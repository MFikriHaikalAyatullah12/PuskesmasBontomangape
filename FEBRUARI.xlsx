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PORAN OBAT 2026\REKAPAN\"/>
    </mc:Choice>
  </mc:AlternateContent>
  <xr:revisionPtr revIDLastSave="0" documentId="13_ncr:1_{76BC9CBA-1A66-4445-B769-5080F7D348C8}" xr6:coauthVersionLast="47" xr6:coauthVersionMax="47" xr10:uidLastSave="{00000000-0000-0000-0000-000000000000}"/>
  <bookViews>
    <workbookView xWindow="-110" yWindow="-110" windowWidth="19420" windowHeight="10300" firstSheet="5" activeTab="8" xr2:uid="{00000000-000D-0000-FFFF-FFFF00000000}"/>
  </bookViews>
  <sheets>
    <sheet name="PENERIMAAN OBAT PKD" sheetId="19" r:id="rId1"/>
    <sheet name="PENERIMAAN OBAT PROGRAM" sheetId="20" r:id="rId2"/>
    <sheet name="DISTRIBUSI" sheetId="4" r:id="rId3"/>
    <sheet name="STOK OPNAME GUDANG" sheetId="22" r:id="rId4"/>
    <sheet name="STOK OPNAME PROGRAM" sheetId="23" r:id="rId5"/>
    <sheet name="LPLPO GUDANG" sheetId="1" r:id="rId6"/>
    <sheet name="LPLPO PROGRAM" sheetId="5" r:id="rId7"/>
    <sheet name="PEMAKAIAN UNIT" sheetId="12" r:id="rId8"/>
    <sheet name="SISA STOK UNIT" sheetId="13" r:id="rId9"/>
    <sheet name="LPLPO REKAPAN" sheetId="6" r:id="rId10"/>
    <sheet name="REKAPAN PROGRAM" sheetId="7" r:id="rId11"/>
    <sheet name="APOTIK" sheetId="24" r:id="rId12"/>
  </sheets>
  <definedNames>
    <definedName name="_xlnm.Print_Titles" localSheetId="11">APOTIK!$4:$4</definedName>
    <definedName name="_xlnm.Print_Titles" localSheetId="2">DISTRIBUSI!$7:$9</definedName>
    <definedName name="_xlnm.Print_Titles" localSheetId="5">'LPLPO GUDANG'!$9:$14</definedName>
    <definedName name="_xlnm.Print_Titles" localSheetId="6">'LPLPO PROGRAM'!$9:$13</definedName>
    <definedName name="_xlnm.Print_Titles" localSheetId="9">'LPLPO REKAPAN'!$9:$14</definedName>
    <definedName name="_xlnm.Print_Titles" localSheetId="7">'PEMAKAIAN UNIT'!$5:$8</definedName>
    <definedName name="_xlnm.Print_Titles" localSheetId="0">'PENERIMAAN OBAT PKD'!$5:$8</definedName>
    <definedName name="_xlnm.Print_Titles" localSheetId="1">'PENERIMAAN OBAT PROGRAM'!$5:$8</definedName>
    <definedName name="_xlnm.Print_Titles" localSheetId="10">'REKAPAN PROGRAM'!$9:$13</definedName>
    <definedName name="_xlnm.Print_Titles" localSheetId="8">'SISA STOK UNIT'!$8:$11</definedName>
    <definedName name="_xlnm.Print_Titles" localSheetId="3">'STOK OPNAME GUDANG'!$5:$7</definedName>
    <definedName name="_xlnm.Print_Titles" localSheetId="4">'STOK OPNAME PROGRAM'!$5:$7</definedName>
  </definedNames>
  <calcPr calcId="191029"/>
</workbook>
</file>

<file path=xl/calcChain.xml><?xml version="1.0" encoding="utf-8"?>
<calcChain xmlns="http://schemas.openxmlformats.org/spreadsheetml/2006/main">
  <c r="GO312" i="4" l="1"/>
  <c r="GO313" i="4"/>
  <c r="GO314" i="4"/>
  <c r="GO315" i="4"/>
  <c r="GO316" i="4"/>
  <c r="GO317" i="4"/>
  <c r="GO318" i="4"/>
  <c r="GO319" i="4"/>
  <c r="GO320" i="4"/>
  <c r="GO321" i="4"/>
  <c r="GO322" i="4"/>
  <c r="GO323" i="4"/>
  <c r="GO324" i="4"/>
  <c r="GO325" i="4"/>
  <c r="GO326" i="4"/>
  <c r="GO327" i="4"/>
  <c r="GO328" i="4"/>
  <c r="GO329" i="4"/>
  <c r="GO330" i="4"/>
  <c r="GO331" i="4"/>
  <c r="GO332" i="4"/>
  <c r="GO333" i="4"/>
  <c r="GO334" i="4"/>
  <c r="GO335" i="4"/>
  <c r="GO336" i="4"/>
  <c r="GO337" i="4"/>
  <c r="GO338" i="4"/>
  <c r="GO339" i="4"/>
  <c r="GO340" i="4"/>
  <c r="GO341" i="4"/>
  <c r="GO342" i="4"/>
  <c r="GO343" i="4"/>
  <c r="GO344" i="4"/>
  <c r="GO345" i="4"/>
  <c r="GO346" i="4"/>
  <c r="GO347" i="4"/>
  <c r="GO348" i="4"/>
  <c r="GO349" i="4"/>
  <c r="GO350" i="4"/>
  <c r="GO351" i="4"/>
  <c r="GO352" i="4"/>
  <c r="GO353" i="4"/>
  <c r="GO354" i="4"/>
  <c r="GO355" i="4"/>
  <c r="GO356" i="4"/>
  <c r="GO357" i="4"/>
  <c r="GO358" i="4"/>
  <c r="GO359" i="4"/>
  <c r="GO360" i="4"/>
  <c r="GO361" i="4"/>
  <c r="GO362" i="4"/>
  <c r="GO363" i="4"/>
  <c r="GO364" i="4"/>
  <c r="HV328" i="4"/>
  <c r="HV329" i="4"/>
  <c r="HV330" i="4"/>
  <c r="HV331" i="4"/>
  <c r="HV332" i="4"/>
  <c r="HV333" i="4"/>
  <c r="HV334" i="4"/>
  <c r="HV335" i="4"/>
  <c r="HV336" i="4"/>
  <c r="HV337" i="4"/>
  <c r="HV338" i="4"/>
  <c r="HV339" i="4"/>
  <c r="HV340" i="4"/>
  <c r="HV341" i="4"/>
  <c r="HV342" i="4"/>
  <c r="HV343" i="4"/>
  <c r="HV344" i="4"/>
  <c r="HV345" i="4"/>
  <c r="HV346" i="4"/>
  <c r="HV347" i="4"/>
  <c r="HV348" i="4"/>
  <c r="HV349" i="4"/>
  <c r="HV350" i="4"/>
  <c r="HV351" i="4"/>
  <c r="HV352" i="4"/>
  <c r="HV353" i="4"/>
  <c r="HV354" i="4"/>
  <c r="HV355" i="4"/>
  <c r="HV356" i="4"/>
  <c r="HV357" i="4"/>
  <c r="HV358" i="4"/>
  <c r="HV359" i="4"/>
  <c r="HV360" i="4"/>
  <c r="CT329" i="4"/>
  <c r="CT330" i="4"/>
  <c r="CT331" i="4"/>
  <c r="CT332" i="4"/>
  <c r="CT333" i="4"/>
  <c r="CT334" i="4"/>
  <c r="CT335" i="4"/>
  <c r="CT336" i="4"/>
  <c r="CT337" i="4"/>
  <c r="CT338" i="4"/>
  <c r="CT339" i="4"/>
  <c r="CT340" i="4"/>
  <c r="CT341" i="4"/>
  <c r="CT342" i="4"/>
  <c r="CT343" i="4"/>
  <c r="CT344" i="4"/>
  <c r="CT345" i="4"/>
  <c r="CT346" i="4"/>
  <c r="CT347" i="4"/>
  <c r="CT348" i="4"/>
  <c r="CT349" i="4"/>
  <c r="CT350" i="4"/>
  <c r="CT351" i="4"/>
  <c r="CT352" i="4"/>
  <c r="CT353" i="4"/>
  <c r="CT354" i="4"/>
  <c r="CT355" i="4"/>
  <c r="CT356" i="4"/>
  <c r="CT357" i="4"/>
  <c r="CT358" i="4"/>
  <c r="CT359" i="4"/>
  <c r="CT360" i="4"/>
  <c r="CT361" i="4"/>
  <c r="CT362" i="4"/>
  <c r="FH11" i="4"/>
  <c r="FH12" i="4"/>
  <c r="FH13" i="4"/>
  <c r="FH14" i="4"/>
  <c r="FH15" i="4"/>
  <c r="FH16" i="4"/>
  <c r="FH17" i="4"/>
  <c r="FH18" i="4"/>
  <c r="FH19" i="4"/>
  <c r="FH20" i="4"/>
  <c r="FH21" i="4"/>
  <c r="FH22" i="4"/>
  <c r="FH23" i="4"/>
  <c r="FH24" i="4"/>
  <c r="FH25" i="4"/>
  <c r="FH26" i="4"/>
  <c r="FH27" i="4"/>
  <c r="FH28" i="4"/>
  <c r="FH29" i="4"/>
  <c r="FH30" i="4"/>
  <c r="FH31" i="4"/>
  <c r="FH32" i="4"/>
  <c r="FH33" i="4"/>
  <c r="FH34" i="4"/>
  <c r="FH35" i="4"/>
  <c r="FH36" i="4"/>
  <c r="FH37" i="4"/>
  <c r="FH38" i="4"/>
  <c r="FH39" i="4"/>
  <c r="FH40" i="4"/>
  <c r="FH41" i="4"/>
  <c r="FH42" i="4"/>
  <c r="FH43" i="4"/>
  <c r="FH44" i="4"/>
  <c r="FH45" i="4"/>
  <c r="FH46" i="4"/>
  <c r="FH47" i="4"/>
  <c r="FH48" i="4"/>
  <c r="FH49" i="4"/>
  <c r="FH50" i="4"/>
  <c r="FH51" i="4"/>
  <c r="FH52" i="4"/>
  <c r="FH53" i="4"/>
  <c r="FH54" i="4"/>
  <c r="FH55" i="4"/>
  <c r="FH56" i="4"/>
  <c r="FH57" i="4"/>
  <c r="FH58" i="4"/>
  <c r="FH59" i="4"/>
  <c r="FH60" i="4"/>
  <c r="FH61" i="4"/>
  <c r="FH62" i="4"/>
  <c r="FH63" i="4"/>
  <c r="FH64" i="4"/>
  <c r="FH65" i="4"/>
  <c r="FH66" i="4"/>
  <c r="FH67" i="4"/>
  <c r="FH68" i="4"/>
  <c r="FH69" i="4"/>
  <c r="FH70" i="4"/>
  <c r="FH71" i="4"/>
  <c r="FH72" i="4"/>
  <c r="FH73" i="4"/>
  <c r="FH74" i="4"/>
  <c r="FH75" i="4"/>
  <c r="FH76" i="4"/>
  <c r="FH77" i="4"/>
  <c r="FH78" i="4"/>
  <c r="FH79" i="4"/>
  <c r="FH80" i="4"/>
  <c r="FH81" i="4"/>
  <c r="FH82" i="4"/>
  <c r="FH83" i="4"/>
  <c r="FH84" i="4"/>
  <c r="FH85" i="4"/>
  <c r="FH86" i="4"/>
  <c r="FH87" i="4"/>
  <c r="FH88" i="4"/>
  <c r="FH89" i="4"/>
  <c r="FH90" i="4"/>
  <c r="FH91" i="4"/>
  <c r="FH92" i="4"/>
  <c r="FH93" i="4"/>
  <c r="FH94" i="4"/>
  <c r="FH95" i="4"/>
  <c r="FH96" i="4"/>
  <c r="FH97" i="4"/>
  <c r="FH98" i="4"/>
  <c r="FH99" i="4"/>
  <c r="FH100" i="4"/>
  <c r="FH101" i="4"/>
  <c r="FH102" i="4"/>
  <c r="FH103" i="4"/>
  <c r="FH104" i="4"/>
  <c r="FH105" i="4"/>
  <c r="FH106" i="4"/>
  <c r="FH107" i="4"/>
  <c r="FH108" i="4"/>
  <c r="FH109" i="4"/>
  <c r="FH110" i="4"/>
  <c r="FH111" i="4"/>
  <c r="FH112" i="4"/>
  <c r="FH113" i="4"/>
  <c r="FH114" i="4"/>
  <c r="FH115" i="4"/>
  <c r="FH116" i="4"/>
  <c r="FH117" i="4"/>
  <c r="FH118" i="4"/>
  <c r="FH119" i="4"/>
  <c r="FH120" i="4"/>
  <c r="FH121" i="4"/>
  <c r="FH122" i="4"/>
  <c r="FH123" i="4"/>
  <c r="FH124" i="4"/>
  <c r="FH125" i="4"/>
  <c r="FH126" i="4"/>
  <c r="FH127" i="4"/>
  <c r="FH128" i="4"/>
  <c r="FH129" i="4"/>
  <c r="FH130" i="4"/>
  <c r="FH131" i="4"/>
  <c r="FH132" i="4"/>
  <c r="FH133" i="4"/>
  <c r="FH134" i="4"/>
  <c r="FH135" i="4"/>
  <c r="FH136" i="4"/>
  <c r="FH137" i="4"/>
  <c r="FH138" i="4"/>
  <c r="FH139" i="4"/>
  <c r="FH140" i="4"/>
  <c r="FH141" i="4"/>
  <c r="FH142" i="4"/>
  <c r="FH143" i="4"/>
  <c r="FH144" i="4"/>
  <c r="FH145" i="4"/>
  <c r="FH146" i="4"/>
  <c r="FH147" i="4"/>
  <c r="FH148" i="4"/>
  <c r="FH149" i="4"/>
  <c r="FH150" i="4"/>
  <c r="FH151" i="4"/>
  <c r="FH152" i="4"/>
  <c r="FH153" i="4"/>
  <c r="FH154" i="4"/>
  <c r="FH155" i="4"/>
  <c r="FH156" i="4"/>
  <c r="FH157" i="4"/>
  <c r="FH158" i="4"/>
  <c r="FH159" i="4"/>
  <c r="FH160" i="4"/>
  <c r="FH161" i="4"/>
  <c r="FH162" i="4"/>
  <c r="FH163" i="4"/>
  <c r="FH164" i="4"/>
  <c r="FH165" i="4"/>
  <c r="FH166" i="4"/>
  <c r="FH167" i="4"/>
  <c r="FH168" i="4"/>
  <c r="FH169" i="4"/>
  <c r="FH170" i="4"/>
  <c r="FH171" i="4"/>
  <c r="FH172" i="4"/>
  <c r="FH173" i="4"/>
  <c r="FH174" i="4"/>
  <c r="FH175" i="4"/>
  <c r="FH176" i="4"/>
  <c r="FH177" i="4"/>
  <c r="FH178" i="4"/>
  <c r="FH179" i="4"/>
  <c r="FH180" i="4"/>
  <c r="FH181" i="4"/>
  <c r="FH182" i="4"/>
  <c r="FH183" i="4"/>
  <c r="FH184" i="4"/>
  <c r="FH185" i="4"/>
  <c r="FH186" i="4"/>
  <c r="FH187" i="4"/>
  <c r="FH188" i="4"/>
  <c r="FH189" i="4"/>
  <c r="FH190" i="4"/>
  <c r="FH191" i="4"/>
  <c r="FH192" i="4"/>
  <c r="FH193" i="4"/>
  <c r="FH194" i="4"/>
  <c r="FH195" i="4"/>
  <c r="FH196" i="4"/>
  <c r="FH197" i="4"/>
  <c r="FH198" i="4"/>
  <c r="FH199" i="4"/>
  <c r="FH200" i="4"/>
  <c r="FH201" i="4"/>
  <c r="FH202" i="4"/>
  <c r="FH203" i="4"/>
  <c r="FH204" i="4"/>
  <c r="FH205" i="4"/>
  <c r="FH206" i="4"/>
  <c r="FH207" i="4"/>
  <c r="FH208" i="4"/>
  <c r="FH209" i="4"/>
  <c r="FH210" i="4"/>
  <c r="FH211" i="4"/>
  <c r="FH212" i="4"/>
  <c r="FH213" i="4"/>
  <c r="FH214" i="4"/>
  <c r="FH215" i="4"/>
  <c r="FH216" i="4"/>
  <c r="FH217" i="4"/>
  <c r="FH218" i="4"/>
  <c r="FH219" i="4"/>
  <c r="FH220" i="4"/>
  <c r="FH221" i="4"/>
  <c r="FH222" i="4"/>
  <c r="FH223" i="4"/>
  <c r="FH224" i="4"/>
  <c r="FH225" i="4"/>
  <c r="FH226" i="4"/>
  <c r="FH227" i="4"/>
  <c r="FH228" i="4"/>
  <c r="FH229" i="4"/>
  <c r="FH230" i="4"/>
  <c r="FH231" i="4"/>
  <c r="FH232" i="4"/>
  <c r="FH233" i="4"/>
  <c r="FH234" i="4"/>
  <c r="FH235" i="4"/>
  <c r="FH236" i="4"/>
  <c r="FH237" i="4"/>
  <c r="FH238" i="4"/>
  <c r="FH239" i="4"/>
  <c r="FH240" i="4"/>
  <c r="FH241" i="4"/>
  <c r="FH242" i="4"/>
  <c r="FH243" i="4"/>
  <c r="FH244" i="4"/>
  <c r="FH245" i="4"/>
  <c r="FH246" i="4"/>
  <c r="FH247" i="4"/>
  <c r="FH248" i="4"/>
  <c r="FH249" i="4"/>
  <c r="FH250" i="4"/>
  <c r="FH251" i="4"/>
  <c r="FH252" i="4"/>
  <c r="FH253" i="4"/>
  <c r="FH254" i="4"/>
  <c r="FH255" i="4"/>
  <c r="FH256" i="4"/>
  <c r="FH257" i="4"/>
  <c r="FH258" i="4"/>
  <c r="FH259" i="4"/>
  <c r="FH260" i="4"/>
  <c r="FH261" i="4"/>
  <c r="FH262" i="4"/>
  <c r="FH263" i="4"/>
  <c r="FH264" i="4"/>
  <c r="FH265" i="4"/>
  <c r="FH266" i="4"/>
  <c r="FH267" i="4"/>
  <c r="FH268" i="4"/>
  <c r="FH269" i="4"/>
  <c r="FH270" i="4"/>
  <c r="FH271" i="4"/>
  <c r="FH272" i="4"/>
  <c r="FH273" i="4"/>
  <c r="FH274" i="4"/>
  <c r="FH275" i="4"/>
  <c r="FH276" i="4"/>
  <c r="FH277" i="4"/>
  <c r="FH278" i="4"/>
  <c r="FH279" i="4"/>
  <c r="FH280" i="4"/>
  <c r="FH281" i="4"/>
  <c r="FH282" i="4"/>
  <c r="FH283" i="4"/>
  <c r="FH284" i="4"/>
  <c r="FH285" i="4"/>
  <c r="FH286" i="4"/>
  <c r="FH287" i="4"/>
  <c r="FH288" i="4"/>
  <c r="FH289" i="4"/>
  <c r="FH290" i="4"/>
  <c r="FH291" i="4"/>
  <c r="FH292" i="4"/>
  <c r="FH293" i="4"/>
  <c r="FH294" i="4"/>
  <c r="FH295" i="4"/>
  <c r="FH296" i="4"/>
  <c r="FH297" i="4"/>
  <c r="FH298" i="4"/>
  <c r="FH299" i="4"/>
  <c r="FH300" i="4"/>
  <c r="FH301" i="4"/>
  <c r="FH302" i="4"/>
  <c r="FH303" i="4"/>
  <c r="FH304" i="4"/>
  <c r="FH305" i="4"/>
  <c r="FH306" i="4"/>
  <c r="FH307" i="4"/>
  <c r="FH308" i="4"/>
  <c r="FH309" i="4"/>
  <c r="FH310" i="4"/>
  <c r="FH311" i="4"/>
  <c r="FH312" i="4"/>
  <c r="FH313" i="4"/>
  <c r="FH314" i="4"/>
  <c r="FH315" i="4"/>
  <c r="FH316" i="4"/>
  <c r="FH317" i="4"/>
  <c r="FH318" i="4"/>
  <c r="FH319" i="4"/>
  <c r="FH320" i="4"/>
  <c r="FH321" i="4"/>
  <c r="FH322" i="4"/>
  <c r="FH323" i="4"/>
  <c r="FH324" i="4"/>
  <c r="FH325" i="4"/>
  <c r="FH326" i="4"/>
  <c r="FH327" i="4"/>
  <c r="FH328" i="4"/>
  <c r="FH329" i="4"/>
  <c r="FH330" i="4"/>
  <c r="FH331" i="4"/>
  <c r="FH332" i="4"/>
  <c r="FH333" i="4"/>
  <c r="FH334" i="4"/>
  <c r="FH335" i="4"/>
  <c r="FH336" i="4"/>
  <c r="FH337" i="4"/>
  <c r="FH338" i="4"/>
  <c r="FH339" i="4"/>
  <c r="FH340" i="4"/>
  <c r="FH341" i="4"/>
  <c r="FH342" i="4"/>
  <c r="FH343" i="4"/>
  <c r="FH344" i="4"/>
  <c r="FH345" i="4"/>
  <c r="FH346" i="4"/>
  <c r="FH347" i="4"/>
  <c r="FH348" i="4"/>
  <c r="FH349" i="4"/>
  <c r="FH350" i="4"/>
  <c r="FH351" i="4"/>
  <c r="FH352" i="4"/>
  <c r="FH353" i="4"/>
  <c r="FH354" i="4"/>
  <c r="FH355" i="4"/>
  <c r="EA11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41" i="4"/>
  <c r="EA42" i="4"/>
  <c r="EA43" i="4"/>
  <c r="EA44" i="4"/>
  <c r="EA45" i="4"/>
  <c r="EA46" i="4"/>
  <c r="EA47" i="4"/>
  <c r="EA48" i="4"/>
  <c r="EA49" i="4"/>
  <c r="EA50" i="4"/>
  <c r="EA51" i="4"/>
  <c r="EA52" i="4"/>
  <c r="EA53" i="4"/>
  <c r="EA54" i="4"/>
  <c r="EA55" i="4"/>
  <c r="EA56" i="4"/>
  <c r="EA57" i="4"/>
  <c r="EA58" i="4"/>
  <c r="EA59" i="4"/>
  <c r="EA60" i="4"/>
  <c r="EA61" i="4"/>
  <c r="EA62" i="4"/>
  <c r="EA63" i="4"/>
  <c r="EA64" i="4"/>
  <c r="EA65" i="4"/>
  <c r="EA66" i="4"/>
  <c r="EA67" i="4"/>
  <c r="EA68" i="4"/>
  <c r="EA69" i="4"/>
  <c r="EA70" i="4"/>
  <c r="EA71" i="4"/>
  <c r="EA72" i="4"/>
  <c r="EA73" i="4"/>
  <c r="EA74" i="4"/>
  <c r="EA75" i="4"/>
  <c r="EA76" i="4"/>
  <c r="EA77" i="4"/>
  <c r="EA78" i="4"/>
  <c r="EA79" i="4"/>
  <c r="EA80" i="4"/>
  <c r="EA81" i="4"/>
  <c r="EA82" i="4"/>
  <c r="EA83" i="4"/>
  <c r="EA84" i="4"/>
  <c r="EA85" i="4"/>
  <c r="EA86" i="4"/>
  <c r="EA87" i="4"/>
  <c r="EA88" i="4"/>
  <c r="EA89" i="4"/>
  <c r="EA90" i="4"/>
  <c r="EA91" i="4"/>
  <c r="EA92" i="4"/>
  <c r="EA93" i="4"/>
  <c r="EA94" i="4"/>
  <c r="EA95" i="4"/>
  <c r="EA96" i="4"/>
  <c r="EA97" i="4"/>
  <c r="EA98" i="4"/>
  <c r="EA99" i="4"/>
  <c r="EA100" i="4"/>
  <c r="EA101" i="4"/>
  <c r="EA102" i="4"/>
  <c r="EA103" i="4"/>
  <c r="EA104" i="4"/>
  <c r="EA105" i="4"/>
  <c r="EA106" i="4"/>
  <c r="EA107" i="4"/>
  <c r="EA108" i="4"/>
  <c r="EA109" i="4"/>
  <c r="EA110" i="4"/>
  <c r="EA111" i="4"/>
  <c r="EA112" i="4"/>
  <c r="EA113" i="4"/>
  <c r="EA114" i="4"/>
  <c r="EA115" i="4"/>
  <c r="EA116" i="4"/>
  <c r="EA117" i="4"/>
  <c r="EA118" i="4"/>
  <c r="EA119" i="4"/>
  <c r="EA120" i="4"/>
  <c r="EA121" i="4"/>
  <c r="EA122" i="4"/>
  <c r="EA123" i="4"/>
  <c r="EA124" i="4"/>
  <c r="EA125" i="4"/>
  <c r="EA126" i="4"/>
  <c r="EA127" i="4"/>
  <c r="EA128" i="4"/>
  <c r="EA129" i="4"/>
  <c r="EA130" i="4"/>
  <c r="EA131" i="4"/>
  <c r="EA132" i="4"/>
  <c r="EA133" i="4"/>
  <c r="EA134" i="4"/>
  <c r="EA135" i="4"/>
  <c r="EA136" i="4"/>
  <c r="EA137" i="4"/>
  <c r="EA138" i="4"/>
  <c r="EA139" i="4"/>
  <c r="EA140" i="4"/>
  <c r="EA141" i="4"/>
  <c r="EA142" i="4"/>
  <c r="EA143" i="4"/>
  <c r="EA144" i="4"/>
  <c r="EA145" i="4"/>
  <c r="EA146" i="4"/>
  <c r="EA147" i="4"/>
  <c r="EA148" i="4"/>
  <c r="EA149" i="4"/>
  <c r="EA150" i="4"/>
  <c r="EA151" i="4"/>
  <c r="EA152" i="4"/>
  <c r="EA153" i="4"/>
  <c r="EA154" i="4"/>
  <c r="EA155" i="4"/>
  <c r="EA156" i="4"/>
  <c r="EA157" i="4"/>
  <c r="EA158" i="4"/>
  <c r="EA159" i="4"/>
  <c r="EA160" i="4"/>
  <c r="EA161" i="4"/>
  <c r="EA162" i="4"/>
  <c r="EA163" i="4"/>
  <c r="EA164" i="4"/>
  <c r="EA165" i="4"/>
  <c r="EA166" i="4"/>
  <c r="EA167" i="4"/>
  <c r="EA168" i="4"/>
  <c r="EA169" i="4"/>
  <c r="EA170" i="4"/>
  <c r="EA171" i="4"/>
  <c r="EA172" i="4"/>
  <c r="EA173" i="4"/>
  <c r="EA174" i="4"/>
  <c r="EA175" i="4"/>
  <c r="EA176" i="4"/>
  <c r="EA177" i="4"/>
  <c r="EA178" i="4"/>
  <c r="EA179" i="4"/>
  <c r="EA180" i="4"/>
  <c r="EA181" i="4"/>
  <c r="EA182" i="4"/>
  <c r="EA183" i="4"/>
  <c r="EA184" i="4"/>
  <c r="EA185" i="4"/>
  <c r="EA186" i="4"/>
  <c r="EA187" i="4"/>
  <c r="EA188" i="4"/>
  <c r="EA189" i="4"/>
  <c r="EA190" i="4"/>
  <c r="EA191" i="4"/>
  <c r="EA192" i="4"/>
  <c r="EA193" i="4"/>
  <c r="EA194" i="4"/>
  <c r="EA195" i="4"/>
  <c r="EA196" i="4"/>
  <c r="EA197" i="4"/>
  <c r="EA198" i="4"/>
  <c r="EA199" i="4"/>
  <c r="EA200" i="4"/>
  <c r="EA201" i="4"/>
  <c r="EA202" i="4"/>
  <c r="EA203" i="4"/>
  <c r="EA204" i="4"/>
  <c r="EA205" i="4"/>
  <c r="EA206" i="4"/>
  <c r="EA207" i="4"/>
  <c r="EA208" i="4"/>
  <c r="EA209" i="4"/>
  <c r="EA210" i="4"/>
  <c r="EA211" i="4"/>
  <c r="EA212" i="4"/>
  <c r="EA213" i="4"/>
  <c r="EA214" i="4"/>
  <c r="EA215" i="4"/>
  <c r="EA216" i="4"/>
  <c r="EA217" i="4"/>
  <c r="EA218" i="4"/>
  <c r="EA219" i="4"/>
  <c r="EA220" i="4"/>
  <c r="EA221" i="4"/>
  <c r="EA222" i="4"/>
  <c r="EA223" i="4"/>
  <c r="EA224" i="4"/>
  <c r="EA225" i="4"/>
  <c r="EA226" i="4"/>
  <c r="EA227" i="4"/>
  <c r="EA228" i="4"/>
  <c r="EA229" i="4"/>
  <c r="EA230" i="4"/>
  <c r="EA231" i="4"/>
  <c r="EA232" i="4"/>
  <c r="EA233" i="4"/>
  <c r="EA234" i="4"/>
  <c r="EA235" i="4"/>
  <c r="EA236" i="4"/>
  <c r="EA237" i="4"/>
  <c r="EA238" i="4"/>
  <c r="EA239" i="4"/>
  <c r="EA240" i="4"/>
  <c r="EA241" i="4"/>
  <c r="EA242" i="4"/>
  <c r="EA243" i="4"/>
  <c r="EA244" i="4"/>
  <c r="EA245" i="4"/>
  <c r="EA246" i="4"/>
  <c r="EA247" i="4"/>
  <c r="EA248" i="4"/>
  <c r="EA249" i="4"/>
  <c r="EA250" i="4"/>
  <c r="EA251" i="4"/>
  <c r="EA252" i="4"/>
  <c r="EA253" i="4"/>
  <c r="EA254" i="4"/>
  <c r="EA255" i="4"/>
  <c r="EA256" i="4"/>
  <c r="EA257" i="4"/>
  <c r="EA258" i="4"/>
  <c r="EA259" i="4"/>
  <c r="EA260" i="4"/>
  <c r="EA261" i="4"/>
  <c r="EA262" i="4"/>
  <c r="EA263" i="4"/>
  <c r="EA264" i="4"/>
  <c r="EA265" i="4"/>
  <c r="EA266" i="4"/>
  <c r="EA267" i="4"/>
  <c r="EA268" i="4"/>
  <c r="EA269" i="4"/>
  <c r="EA270" i="4"/>
  <c r="EA271" i="4"/>
  <c r="EA272" i="4"/>
  <c r="EA273" i="4"/>
  <c r="EA274" i="4"/>
  <c r="EA275" i="4"/>
  <c r="EA276" i="4"/>
  <c r="EA277" i="4"/>
  <c r="EA278" i="4"/>
  <c r="EA279" i="4"/>
  <c r="EA280" i="4"/>
  <c r="EA281" i="4"/>
  <c r="EA282" i="4"/>
  <c r="EA283" i="4"/>
  <c r="EA284" i="4"/>
  <c r="EA285" i="4"/>
  <c r="EA286" i="4"/>
  <c r="EA287" i="4"/>
  <c r="EA288" i="4"/>
  <c r="EA289" i="4"/>
  <c r="EA290" i="4"/>
  <c r="EA291" i="4"/>
  <c r="EA292" i="4"/>
  <c r="EA293" i="4"/>
  <c r="EA294" i="4"/>
  <c r="EA295" i="4"/>
  <c r="EA296" i="4"/>
  <c r="EA297" i="4"/>
  <c r="EA298" i="4"/>
  <c r="EA299" i="4"/>
  <c r="EA300" i="4"/>
  <c r="EA301" i="4"/>
  <c r="EA302" i="4"/>
  <c r="EA303" i="4"/>
  <c r="EA304" i="4"/>
  <c r="EA305" i="4"/>
  <c r="EA306" i="4"/>
  <c r="EA307" i="4"/>
  <c r="EA308" i="4"/>
  <c r="EA309" i="4"/>
  <c r="EA310" i="4"/>
  <c r="EA311" i="4"/>
  <c r="EA312" i="4"/>
  <c r="EA313" i="4"/>
  <c r="EA314" i="4"/>
  <c r="EA315" i="4"/>
  <c r="EA316" i="4"/>
  <c r="EA317" i="4"/>
  <c r="EA318" i="4"/>
  <c r="EA319" i="4"/>
  <c r="EA320" i="4"/>
  <c r="EA321" i="4"/>
  <c r="EA322" i="4"/>
  <c r="EA323" i="4"/>
  <c r="EA324" i="4"/>
  <c r="EA325" i="4"/>
  <c r="EA326" i="4"/>
  <c r="EA327" i="4"/>
  <c r="EA328" i="4"/>
  <c r="EA329" i="4"/>
  <c r="EA330" i="4"/>
  <c r="EA331" i="4"/>
  <c r="EA332" i="4"/>
  <c r="EA333" i="4"/>
  <c r="EA334" i="4"/>
  <c r="EA335" i="4"/>
  <c r="EA336" i="4"/>
  <c r="EA337" i="4"/>
  <c r="EA338" i="4"/>
  <c r="EA339" i="4"/>
  <c r="EA340" i="4"/>
  <c r="EA341" i="4"/>
  <c r="EA342" i="4"/>
  <c r="EA343" i="4"/>
  <c r="EA344" i="4"/>
  <c r="EA345" i="4"/>
  <c r="EA346" i="4"/>
  <c r="EA347" i="4"/>
  <c r="EA348" i="4"/>
  <c r="EA349" i="4"/>
  <c r="EA350" i="4"/>
  <c r="EA351" i="4"/>
  <c r="EA352" i="4"/>
  <c r="EA353" i="4"/>
  <c r="EA354" i="4"/>
  <c r="EA355" i="4"/>
  <c r="EA356" i="4"/>
  <c r="EA357" i="4"/>
  <c r="EA358" i="4"/>
  <c r="EA359" i="4"/>
  <c r="EA360" i="4"/>
  <c r="EA361" i="4"/>
  <c r="EA362" i="4"/>
  <c r="R15" i="4"/>
  <c r="R16" i="4"/>
  <c r="R18" i="4"/>
  <c r="R19" i="4"/>
  <c r="R20" i="4"/>
  <c r="R21" i="4"/>
  <c r="R22" i="4"/>
  <c r="R23" i="4"/>
  <c r="R24" i="4"/>
  <c r="R26" i="4"/>
  <c r="R27" i="4"/>
  <c r="R28" i="4"/>
  <c r="R29" i="4"/>
  <c r="R30" i="4"/>
  <c r="R31" i="4"/>
  <c r="R32" i="4"/>
  <c r="R34" i="4"/>
  <c r="R35" i="4"/>
  <c r="R36" i="4"/>
  <c r="R37" i="4"/>
  <c r="R39" i="4"/>
  <c r="R40" i="4"/>
  <c r="R41" i="4"/>
  <c r="R42" i="4"/>
  <c r="R43" i="4"/>
  <c r="R44" i="4"/>
  <c r="R46" i="4"/>
  <c r="R47" i="4"/>
  <c r="R48" i="4"/>
  <c r="R49" i="4"/>
  <c r="R50" i="4"/>
  <c r="R51" i="4"/>
  <c r="R53" i="4"/>
  <c r="R55" i="4"/>
  <c r="R56" i="4"/>
  <c r="R60" i="4"/>
  <c r="R61" i="4"/>
  <c r="R62" i="4"/>
  <c r="R64" i="4"/>
  <c r="R66" i="4"/>
  <c r="R69" i="4"/>
  <c r="R70" i="4"/>
  <c r="R71" i="4"/>
  <c r="R72" i="4"/>
  <c r="R73" i="4"/>
  <c r="R74" i="4"/>
  <c r="R75" i="4"/>
  <c r="R76" i="4"/>
  <c r="R77" i="4"/>
  <c r="R79" i="4"/>
  <c r="R80" i="4"/>
  <c r="R81" i="4"/>
  <c r="R82" i="4"/>
  <c r="R83" i="4"/>
  <c r="R84" i="4"/>
  <c r="R86" i="4"/>
  <c r="R87" i="4"/>
  <c r="R89" i="4"/>
  <c r="R91" i="4"/>
  <c r="R92" i="4"/>
  <c r="R96" i="4"/>
  <c r="R97" i="4"/>
  <c r="R98" i="4"/>
  <c r="R99" i="4"/>
  <c r="R101" i="4"/>
  <c r="R103" i="4"/>
  <c r="R104" i="4"/>
  <c r="R107" i="4"/>
  <c r="R108" i="4"/>
  <c r="R110" i="4"/>
  <c r="R111" i="4"/>
  <c r="R112" i="4"/>
  <c r="R113" i="4"/>
  <c r="R115" i="4"/>
  <c r="R116" i="4"/>
  <c r="R117" i="4"/>
  <c r="R118" i="4"/>
  <c r="R119" i="4"/>
  <c r="R120" i="4"/>
  <c r="R121" i="4"/>
  <c r="R123" i="4"/>
  <c r="R124" i="4"/>
  <c r="R125" i="4"/>
  <c r="R126" i="4"/>
  <c r="R127" i="4"/>
  <c r="R128" i="4"/>
  <c r="R129" i="4"/>
  <c r="R130" i="4"/>
  <c r="R131" i="4"/>
  <c r="R132" i="4"/>
  <c r="R133" i="4"/>
  <c r="R136" i="4"/>
  <c r="R138" i="4"/>
  <c r="R139" i="4"/>
  <c r="R141" i="4"/>
  <c r="R143" i="4"/>
  <c r="R144" i="4"/>
  <c r="R145" i="4"/>
  <c r="R146" i="4"/>
  <c r="R148" i="4"/>
  <c r="R149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5" i="4"/>
  <c r="R306" i="4"/>
  <c r="R307" i="4"/>
  <c r="R308" i="4"/>
  <c r="R309" i="4"/>
  <c r="R310" i="4"/>
  <c r="R313" i="4"/>
  <c r="R314" i="4"/>
  <c r="R315" i="4"/>
  <c r="R316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BM11" i="4"/>
  <c r="R11" i="4" s="1"/>
  <c r="BM12" i="4"/>
  <c r="R12" i="4" s="1"/>
  <c r="BM13" i="4"/>
  <c r="R13" i="4" s="1"/>
  <c r="BM14" i="4"/>
  <c r="R14" i="4" s="1"/>
  <c r="BM15" i="4"/>
  <c r="BM16" i="4"/>
  <c r="BM17" i="4"/>
  <c r="R17" i="4" s="1"/>
  <c r="BM18" i="4"/>
  <c r="BM19" i="4"/>
  <c r="BM20" i="4"/>
  <c r="BM21" i="4"/>
  <c r="BM22" i="4"/>
  <c r="BM23" i="4"/>
  <c r="BM24" i="4"/>
  <c r="BM25" i="4"/>
  <c r="R25" i="4" s="1"/>
  <c r="BM26" i="4"/>
  <c r="BM27" i="4"/>
  <c r="BM28" i="4"/>
  <c r="BM29" i="4"/>
  <c r="BM30" i="4"/>
  <c r="BM31" i="4"/>
  <c r="BM32" i="4"/>
  <c r="BM33" i="4"/>
  <c r="R33" i="4" s="1"/>
  <c r="BM34" i="4"/>
  <c r="BM35" i="4"/>
  <c r="BM36" i="4"/>
  <c r="BM37" i="4"/>
  <c r="BM38" i="4"/>
  <c r="R38" i="4" s="1"/>
  <c r="BM39" i="4"/>
  <c r="BM40" i="4"/>
  <c r="BM41" i="4"/>
  <c r="BM42" i="4"/>
  <c r="BM43" i="4"/>
  <c r="BM44" i="4"/>
  <c r="BM45" i="4"/>
  <c r="R45" i="4" s="1"/>
  <c r="BM46" i="4"/>
  <c r="BM47" i="4"/>
  <c r="BM48" i="4"/>
  <c r="BM49" i="4"/>
  <c r="BM50" i="4"/>
  <c r="BM51" i="4"/>
  <c r="BM52" i="4"/>
  <c r="R52" i="4" s="1"/>
  <c r="BM53" i="4"/>
  <c r="BM54" i="4"/>
  <c r="R54" i="4" s="1"/>
  <c r="BM55" i="4"/>
  <c r="BM56" i="4"/>
  <c r="BM57" i="4"/>
  <c r="R57" i="4" s="1"/>
  <c r="BM58" i="4"/>
  <c r="R58" i="4" s="1"/>
  <c r="BM59" i="4"/>
  <c r="R59" i="4" s="1"/>
  <c r="BM60" i="4"/>
  <c r="BM61" i="4"/>
  <c r="BM62" i="4"/>
  <c r="BM63" i="4"/>
  <c r="R63" i="4" s="1"/>
  <c r="BM64" i="4"/>
  <c r="BM65" i="4"/>
  <c r="R65" i="4" s="1"/>
  <c r="BM66" i="4"/>
  <c r="BM67" i="4"/>
  <c r="R67" i="4" s="1"/>
  <c r="BM68" i="4"/>
  <c r="R68" i="4" s="1"/>
  <c r="BM69" i="4"/>
  <c r="BM70" i="4"/>
  <c r="BM71" i="4"/>
  <c r="BM72" i="4"/>
  <c r="BM73" i="4"/>
  <c r="BM74" i="4"/>
  <c r="BM75" i="4"/>
  <c r="BM76" i="4"/>
  <c r="BM77" i="4"/>
  <c r="BM78" i="4"/>
  <c r="R78" i="4" s="1"/>
  <c r="BM79" i="4"/>
  <c r="BM80" i="4"/>
  <c r="BM81" i="4"/>
  <c r="BM82" i="4"/>
  <c r="BM83" i="4"/>
  <c r="BM84" i="4"/>
  <c r="BM85" i="4"/>
  <c r="R85" i="4" s="1"/>
  <c r="BM86" i="4"/>
  <c r="BM87" i="4"/>
  <c r="BM88" i="4"/>
  <c r="R88" i="4" s="1"/>
  <c r="BM89" i="4"/>
  <c r="BM90" i="4"/>
  <c r="R90" i="4" s="1"/>
  <c r="BM91" i="4"/>
  <c r="BM92" i="4"/>
  <c r="BM93" i="4"/>
  <c r="R93" i="4" s="1"/>
  <c r="BM94" i="4"/>
  <c r="R94" i="4" s="1"/>
  <c r="BM95" i="4"/>
  <c r="R95" i="4" s="1"/>
  <c r="BM96" i="4"/>
  <c r="BM97" i="4"/>
  <c r="BM98" i="4"/>
  <c r="BM99" i="4"/>
  <c r="BM100" i="4"/>
  <c r="R100" i="4" s="1"/>
  <c r="BM101" i="4"/>
  <c r="BM102" i="4"/>
  <c r="R102" i="4" s="1"/>
  <c r="BM103" i="4"/>
  <c r="BM104" i="4"/>
  <c r="BM105" i="4"/>
  <c r="R105" i="4" s="1"/>
  <c r="BM106" i="4"/>
  <c r="R106" i="4" s="1"/>
  <c r="BM107" i="4"/>
  <c r="BM108" i="4"/>
  <c r="BM109" i="4"/>
  <c r="R109" i="4" s="1"/>
  <c r="BM110" i="4"/>
  <c r="BM111" i="4"/>
  <c r="BM112" i="4"/>
  <c r="BM113" i="4"/>
  <c r="BM114" i="4"/>
  <c r="R114" i="4" s="1"/>
  <c r="BM115" i="4"/>
  <c r="BM116" i="4"/>
  <c r="BM117" i="4"/>
  <c r="BM118" i="4"/>
  <c r="BM119" i="4"/>
  <c r="BM120" i="4"/>
  <c r="BM121" i="4"/>
  <c r="BM122" i="4"/>
  <c r="R122" i="4" s="1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R134" i="4" s="1"/>
  <c r="BM135" i="4"/>
  <c r="R135" i="4" s="1"/>
  <c r="BM136" i="4"/>
  <c r="BM137" i="4"/>
  <c r="R137" i="4" s="1"/>
  <c r="BM138" i="4"/>
  <c r="BM139" i="4"/>
  <c r="BM140" i="4"/>
  <c r="R140" i="4" s="1"/>
  <c r="BM141" i="4"/>
  <c r="BM142" i="4"/>
  <c r="R142" i="4" s="1"/>
  <c r="BM143" i="4"/>
  <c r="BM144" i="4"/>
  <c r="BM145" i="4"/>
  <c r="BM146" i="4"/>
  <c r="BM147" i="4"/>
  <c r="R147" i="4" s="1"/>
  <c r="BM148" i="4"/>
  <c r="BM149" i="4"/>
  <c r="BM150" i="4"/>
  <c r="R150" i="4" s="1"/>
  <c r="BM151" i="4"/>
  <c r="R151" i="4" s="1"/>
  <c r="BM152" i="4"/>
  <c r="R152" i="4" s="1"/>
  <c r="BM153" i="4"/>
  <c r="R153" i="4" s="1"/>
  <c r="BM154" i="4"/>
  <c r="R154" i="4" s="1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R174" i="4" s="1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R203" i="4" s="1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R304" i="4" s="1"/>
  <c r="BM305" i="4"/>
  <c r="BM306" i="4"/>
  <c r="BM307" i="4"/>
  <c r="BM308" i="4"/>
  <c r="BM309" i="4"/>
  <c r="BM310" i="4"/>
  <c r="BM311" i="4"/>
  <c r="R311" i="4" s="1"/>
  <c r="BM312" i="4"/>
  <c r="R312" i="4" s="1"/>
  <c r="BM313" i="4"/>
  <c r="BM314" i="4"/>
  <c r="BM315" i="4"/>
  <c r="BM316" i="4"/>
  <c r="BM317" i="4"/>
  <c r="R317" i="4" s="1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9" i="12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A172" i="24" s="1"/>
  <c r="A173" i="24" s="1"/>
  <c r="A174" i="24" s="1"/>
  <c r="Y126" i="4"/>
  <c r="Y125" i="12" s="1"/>
  <c r="Y141" i="4"/>
  <c r="Y140" i="12" s="1"/>
  <c r="Y152" i="4"/>
  <c r="Y151" i="12" s="1"/>
  <c r="Y177" i="4"/>
  <c r="Y176" i="12" s="1"/>
  <c r="Y178" i="4"/>
  <c r="Y177" i="12" s="1"/>
  <c r="Y179" i="4"/>
  <c r="Y178" i="12" s="1"/>
  <c r="Y330" i="4"/>
  <c r="Y329" i="12" s="1"/>
  <c r="Y331" i="4"/>
  <c r="Y330" i="12" s="1"/>
  <c r="Y332" i="4"/>
  <c r="Y331" i="12" s="1"/>
  <c r="Y333" i="4"/>
  <c r="Y332" i="12" s="1"/>
  <c r="Y334" i="4"/>
  <c r="Y333" i="12" s="1"/>
  <c r="Y335" i="4"/>
  <c r="Y334" i="12" s="1"/>
  <c r="Y336" i="4"/>
  <c r="Y335" i="12" s="1"/>
  <c r="Y337" i="4"/>
  <c r="Y336" i="12" s="1"/>
  <c r="Y338" i="4"/>
  <c r="Y337" i="12" s="1"/>
  <c r="Y339" i="4"/>
  <c r="Y338" i="12" s="1"/>
  <c r="Y340" i="4"/>
  <c r="Y339" i="12" s="1"/>
  <c r="Y359" i="4"/>
  <c r="Y340" i="12" s="1"/>
  <c r="Y360" i="4"/>
  <c r="Y341" i="12" s="1"/>
  <c r="X126" i="4"/>
  <c r="X125" i="12" s="1"/>
  <c r="X141" i="4"/>
  <c r="X140" i="12" s="1"/>
  <c r="X152" i="4"/>
  <c r="X151" i="12" s="1"/>
  <c r="X177" i="4"/>
  <c r="X176" i="12" s="1"/>
  <c r="X178" i="4"/>
  <c r="X177" i="12" s="1"/>
  <c r="X179" i="4"/>
  <c r="X178" i="12" s="1"/>
  <c r="X330" i="4"/>
  <c r="X329" i="12" s="1"/>
  <c r="X331" i="4"/>
  <c r="X330" i="12" s="1"/>
  <c r="X332" i="4"/>
  <c r="X331" i="12" s="1"/>
  <c r="X333" i="4"/>
  <c r="X332" i="12" s="1"/>
  <c r="X334" i="4"/>
  <c r="X333" i="12" s="1"/>
  <c r="X335" i="4"/>
  <c r="X334" i="12" s="1"/>
  <c r="X336" i="4"/>
  <c r="X335" i="12" s="1"/>
  <c r="X337" i="4"/>
  <c r="X336" i="12" s="1"/>
  <c r="X338" i="4"/>
  <c r="X337" i="12" s="1"/>
  <c r="X339" i="4"/>
  <c r="X338" i="12" s="1"/>
  <c r="X340" i="4"/>
  <c r="X339" i="12" s="1"/>
  <c r="X359" i="4"/>
  <c r="X340" i="12" s="1"/>
  <c r="X360" i="4"/>
  <c r="X341" i="12" s="1"/>
  <c r="W126" i="4"/>
  <c r="W125" i="12" s="1"/>
  <c r="W141" i="4"/>
  <c r="W140" i="12" s="1"/>
  <c r="W152" i="4"/>
  <c r="W151" i="12" s="1"/>
  <c r="W177" i="4"/>
  <c r="W176" i="12" s="1"/>
  <c r="W178" i="4"/>
  <c r="W177" i="12" s="1"/>
  <c r="W179" i="4"/>
  <c r="W178" i="12" s="1"/>
  <c r="W330" i="4"/>
  <c r="W329" i="12" s="1"/>
  <c r="W331" i="4"/>
  <c r="W330" i="12" s="1"/>
  <c r="W332" i="4"/>
  <c r="W331" i="12" s="1"/>
  <c r="W333" i="4"/>
  <c r="W332" i="12" s="1"/>
  <c r="W334" i="4"/>
  <c r="W333" i="12" s="1"/>
  <c r="W335" i="4"/>
  <c r="W334" i="12" s="1"/>
  <c r="W336" i="4"/>
  <c r="W335" i="12" s="1"/>
  <c r="W337" i="4"/>
  <c r="W336" i="12" s="1"/>
  <c r="W338" i="4"/>
  <c r="W337" i="12" s="1"/>
  <c r="W339" i="4"/>
  <c r="W338" i="12" s="1"/>
  <c r="W340" i="4"/>
  <c r="W339" i="12" s="1"/>
  <c r="W359" i="4"/>
  <c r="W340" i="12" s="1"/>
  <c r="W360" i="4"/>
  <c r="W341" i="12" s="1"/>
  <c r="V126" i="4"/>
  <c r="V125" i="12" s="1"/>
  <c r="V141" i="4"/>
  <c r="V140" i="12" s="1"/>
  <c r="V152" i="4"/>
  <c r="V151" i="12" s="1"/>
  <c r="V177" i="4"/>
  <c r="V176" i="12" s="1"/>
  <c r="V178" i="4"/>
  <c r="V177" i="12" s="1"/>
  <c r="V179" i="4"/>
  <c r="V178" i="12" s="1"/>
  <c r="V330" i="4"/>
  <c r="V329" i="12" s="1"/>
  <c r="V331" i="4"/>
  <c r="V330" i="12" s="1"/>
  <c r="V332" i="4"/>
  <c r="V331" i="12" s="1"/>
  <c r="V333" i="4"/>
  <c r="V332" i="12" s="1"/>
  <c r="V334" i="4"/>
  <c r="V333" i="12" s="1"/>
  <c r="V335" i="4"/>
  <c r="V334" i="12" s="1"/>
  <c r="V336" i="4"/>
  <c r="V335" i="12" s="1"/>
  <c r="V337" i="4"/>
  <c r="V336" i="12" s="1"/>
  <c r="V338" i="4"/>
  <c r="V337" i="12" s="1"/>
  <c r="V339" i="4"/>
  <c r="V338" i="12" s="1"/>
  <c r="V340" i="4"/>
  <c r="V339" i="12" s="1"/>
  <c r="V359" i="4"/>
  <c r="V340" i="12" s="1"/>
  <c r="V360" i="4"/>
  <c r="V341" i="12" s="1"/>
  <c r="U126" i="4"/>
  <c r="U125" i="12" s="1"/>
  <c r="U141" i="4"/>
  <c r="U140" i="12" s="1"/>
  <c r="U152" i="4"/>
  <c r="U151" i="12" s="1"/>
  <c r="U177" i="4"/>
  <c r="U176" i="12" s="1"/>
  <c r="U178" i="4"/>
  <c r="U177" i="12" s="1"/>
  <c r="U179" i="4"/>
  <c r="U178" i="12" s="1"/>
  <c r="U330" i="4"/>
  <c r="U329" i="12" s="1"/>
  <c r="U331" i="4"/>
  <c r="U330" i="12" s="1"/>
  <c r="U332" i="4"/>
  <c r="U331" i="12" s="1"/>
  <c r="U333" i="4"/>
  <c r="U332" i="12" s="1"/>
  <c r="U334" i="4"/>
  <c r="U333" i="12" s="1"/>
  <c r="U335" i="4"/>
  <c r="U334" i="12" s="1"/>
  <c r="U336" i="4"/>
  <c r="U335" i="12" s="1"/>
  <c r="U337" i="4"/>
  <c r="U336" i="12" s="1"/>
  <c r="U338" i="4"/>
  <c r="U337" i="12" s="1"/>
  <c r="U339" i="4"/>
  <c r="U338" i="12" s="1"/>
  <c r="U340" i="4"/>
  <c r="U339" i="12" s="1"/>
  <c r="U359" i="4"/>
  <c r="U340" i="12" s="1"/>
  <c r="U360" i="4"/>
  <c r="U341" i="12" s="1"/>
  <c r="T126" i="4"/>
  <c r="T141" i="4"/>
  <c r="T152" i="4"/>
  <c r="T177" i="4"/>
  <c r="T178" i="4"/>
  <c r="T179" i="4"/>
  <c r="T330" i="4"/>
  <c r="T331" i="4"/>
  <c r="T332" i="4"/>
  <c r="T333" i="4"/>
  <c r="T334" i="4"/>
  <c r="T335" i="4"/>
  <c r="T336" i="4"/>
  <c r="T337" i="4"/>
  <c r="T338" i="4"/>
  <c r="T339" i="4"/>
  <c r="T340" i="4"/>
  <c r="T359" i="4"/>
  <c r="T360" i="4"/>
  <c r="S126" i="4"/>
  <c r="S125" i="12" s="1"/>
  <c r="S141" i="4"/>
  <c r="S140" i="12" s="1"/>
  <c r="S152" i="4"/>
  <c r="S151" i="12" s="1"/>
  <c r="S177" i="4"/>
  <c r="S176" i="12" s="1"/>
  <c r="S178" i="4"/>
  <c r="S177" i="12" s="1"/>
  <c r="S179" i="4"/>
  <c r="S178" i="12" s="1"/>
  <c r="S330" i="4"/>
  <c r="S329" i="12" s="1"/>
  <c r="Z329" i="12" s="1"/>
  <c r="S331" i="4"/>
  <c r="S330" i="12" s="1"/>
  <c r="S332" i="4"/>
  <c r="S331" i="12" s="1"/>
  <c r="S333" i="4"/>
  <c r="S332" i="12" s="1"/>
  <c r="S334" i="4"/>
  <c r="S333" i="12" s="1"/>
  <c r="S335" i="4"/>
  <c r="S334" i="12" s="1"/>
  <c r="S336" i="4"/>
  <c r="S335" i="12" s="1"/>
  <c r="S337" i="4"/>
  <c r="S336" i="12" s="1"/>
  <c r="S338" i="4"/>
  <c r="S337" i="12" s="1"/>
  <c r="S339" i="4"/>
  <c r="S338" i="12" s="1"/>
  <c r="S340" i="4"/>
  <c r="S339" i="12" s="1"/>
  <c r="S359" i="4"/>
  <c r="S340" i="12" s="1"/>
  <c r="S360" i="4"/>
  <c r="S341" i="12" s="1"/>
  <c r="Z341" i="12" s="1"/>
  <c r="KJ329" i="4"/>
  <c r="Y329" i="4" s="1"/>
  <c r="Y328" i="12" s="1"/>
  <c r="KJ328" i="4"/>
  <c r="Y328" i="4" s="1"/>
  <c r="Y327" i="12" s="1"/>
  <c r="KJ327" i="4"/>
  <c r="Y327" i="4" s="1"/>
  <c r="Y326" i="12" s="1"/>
  <c r="KJ326" i="4"/>
  <c r="Y326" i="4" s="1"/>
  <c r="Y325" i="12" s="1"/>
  <c r="KJ325" i="4"/>
  <c r="Y325" i="4" s="1"/>
  <c r="Y324" i="12" s="1"/>
  <c r="KJ324" i="4"/>
  <c r="Y324" i="4" s="1"/>
  <c r="Y323" i="12" s="1"/>
  <c r="KJ323" i="4"/>
  <c r="Y323" i="4" s="1"/>
  <c r="Y322" i="12" s="1"/>
  <c r="KJ322" i="4"/>
  <c r="Y322" i="4" s="1"/>
  <c r="Y321" i="12" s="1"/>
  <c r="KJ321" i="4"/>
  <c r="Y321" i="4" s="1"/>
  <c r="Y320" i="12" s="1"/>
  <c r="KJ320" i="4"/>
  <c r="Y320" i="4" s="1"/>
  <c r="Y319" i="12" s="1"/>
  <c r="KJ319" i="4"/>
  <c r="Y319" i="4" s="1"/>
  <c r="Y318" i="12" s="1"/>
  <c r="KJ318" i="4"/>
  <c r="Y318" i="4" s="1"/>
  <c r="Y317" i="12" s="1"/>
  <c r="KJ317" i="4"/>
  <c r="Y317" i="4" s="1"/>
  <c r="Y316" i="12" s="1"/>
  <c r="KJ316" i="4"/>
  <c r="Y316" i="4" s="1"/>
  <c r="Y315" i="12" s="1"/>
  <c r="KJ315" i="4"/>
  <c r="Y315" i="4" s="1"/>
  <c r="Y314" i="12" s="1"/>
  <c r="KJ314" i="4"/>
  <c r="Y314" i="4" s="1"/>
  <c r="Y313" i="12" s="1"/>
  <c r="KJ313" i="4"/>
  <c r="Y313" i="4" s="1"/>
  <c r="Y312" i="12" s="1"/>
  <c r="KJ312" i="4"/>
  <c r="Y312" i="4" s="1"/>
  <c r="Y311" i="12" s="1"/>
  <c r="KJ311" i="4"/>
  <c r="Y311" i="4" s="1"/>
  <c r="Y310" i="12" s="1"/>
  <c r="KJ310" i="4"/>
  <c r="Y310" i="4" s="1"/>
  <c r="Y309" i="12" s="1"/>
  <c r="KJ309" i="4"/>
  <c r="Y309" i="4" s="1"/>
  <c r="Y308" i="12" s="1"/>
  <c r="KJ308" i="4"/>
  <c r="Y308" i="4" s="1"/>
  <c r="Y307" i="12" s="1"/>
  <c r="KJ307" i="4"/>
  <c r="Y307" i="4" s="1"/>
  <c r="Y306" i="12" s="1"/>
  <c r="KJ306" i="4"/>
  <c r="Y306" i="4" s="1"/>
  <c r="Y305" i="12" s="1"/>
  <c r="KJ305" i="4"/>
  <c r="Y305" i="4" s="1"/>
  <c r="Y304" i="12" s="1"/>
  <c r="KJ304" i="4"/>
  <c r="Y304" i="4" s="1"/>
  <c r="Y303" i="12" s="1"/>
  <c r="KJ303" i="4"/>
  <c r="Y303" i="4" s="1"/>
  <c r="Y302" i="12" s="1"/>
  <c r="KJ302" i="4"/>
  <c r="Y302" i="4" s="1"/>
  <c r="Y301" i="12" s="1"/>
  <c r="KJ301" i="4"/>
  <c r="Y301" i="4" s="1"/>
  <c r="Y300" i="12" s="1"/>
  <c r="KJ300" i="4"/>
  <c r="Y300" i="4" s="1"/>
  <c r="Y299" i="12" s="1"/>
  <c r="KJ299" i="4"/>
  <c r="Y299" i="4" s="1"/>
  <c r="Y298" i="12" s="1"/>
  <c r="KJ298" i="4"/>
  <c r="Y298" i="4" s="1"/>
  <c r="Y297" i="12" s="1"/>
  <c r="KJ297" i="4"/>
  <c r="Y297" i="4" s="1"/>
  <c r="Y296" i="12" s="1"/>
  <c r="KJ296" i="4"/>
  <c r="Y296" i="4" s="1"/>
  <c r="Y295" i="12" s="1"/>
  <c r="KJ295" i="4"/>
  <c r="Y295" i="4" s="1"/>
  <c r="Y294" i="12" s="1"/>
  <c r="KJ294" i="4"/>
  <c r="Y294" i="4" s="1"/>
  <c r="Y293" i="12" s="1"/>
  <c r="KJ293" i="4"/>
  <c r="Y293" i="4" s="1"/>
  <c r="Y292" i="12" s="1"/>
  <c r="KJ292" i="4"/>
  <c r="Y292" i="4" s="1"/>
  <c r="Y291" i="12" s="1"/>
  <c r="KJ291" i="4"/>
  <c r="Y291" i="4" s="1"/>
  <c r="Y290" i="12" s="1"/>
  <c r="KJ290" i="4"/>
  <c r="Y290" i="4" s="1"/>
  <c r="Y289" i="12" s="1"/>
  <c r="KJ289" i="4"/>
  <c r="Y289" i="4" s="1"/>
  <c r="Y288" i="12" s="1"/>
  <c r="KJ288" i="4"/>
  <c r="Y288" i="4" s="1"/>
  <c r="Y287" i="12" s="1"/>
  <c r="KJ287" i="4"/>
  <c r="Y287" i="4" s="1"/>
  <c r="Y286" i="12" s="1"/>
  <c r="KJ286" i="4"/>
  <c r="Y286" i="4" s="1"/>
  <c r="Y285" i="12" s="1"/>
  <c r="KJ285" i="4"/>
  <c r="Y285" i="4" s="1"/>
  <c r="Y284" i="12" s="1"/>
  <c r="KJ284" i="4"/>
  <c r="Y284" i="4" s="1"/>
  <c r="Y283" i="12" s="1"/>
  <c r="KJ283" i="4"/>
  <c r="Y283" i="4" s="1"/>
  <c r="Y282" i="12" s="1"/>
  <c r="KJ282" i="4"/>
  <c r="Y282" i="4" s="1"/>
  <c r="Y281" i="12" s="1"/>
  <c r="KJ281" i="4"/>
  <c r="Y281" i="4" s="1"/>
  <c r="Y280" i="12" s="1"/>
  <c r="KJ280" i="4"/>
  <c r="Y280" i="4" s="1"/>
  <c r="Y279" i="12" s="1"/>
  <c r="KJ279" i="4"/>
  <c r="Y279" i="4" s="1"/>
  <c r="Y278" i="12" s="1"/>
  <c r="KJ278" i="4"/>
  <c r="Y278" i="4" s="1"/>
  <c r="Y277" i="12" s="1"/>
  <c r="KJ277" i="4"/>
  <c r="Y277" i="4" s="1"/>
  <c r="Y276" i="12" s="1"/>
  <c r="KJ276" i="4"/>
  <c r="Y276" i="4" s="1"/>
  <c r="Y275" i="12" s="1"/>
  <c r="KJ275" i="4"/>
  <c r="Y275" i="4" s="1"/>
  <c r="Y274" i="12" s="1"/>
  <c r="KJ274" i="4"/>
  <c r="Y274" i="4" s="1"/>
  <c r="Y273" i="12" s="1"/>
  <c r="KJ273" i="4"/>
  <c r="Y273" i="4" s="1"/>
  <c r="Y272" i="12" s="1"/>
  <c r="KJ272" i="4"/>
  <c r="Y272" i="4" s="1"/>
  <c r="Y271" i="12" s="1"/>
  <c r="KJ271" i="4"/>
  <c r="Y271" i="4" s="1"/>
  <c r="Y270" i="12" s="1"/>
  <c r="KJ270" i="4"/>
  <c r="Y270" i="4" s="1"/>
  <c r="Y269" i="12" s="1"/>
  <c r="KJ269" i="4"/>
  <c r="Y269" i="4" s="1"/>
  <c r="Y268" i="12" s="1"/>
  <c r="KJ268" i="4"/>
  <c r="Y268" i="4" s="1"/>
  <c r="Y267" i="12" s="1"/>
  <c r="KJ267" i="4"/>
  <c r="Y267" i="4" s="1"/>
  <c r="Y266" i="12" s="1"/>
  <c r="KJ266" i="4"/>
  <c r="Y266" i="4" s="1"/>
  <c r="Y265" i="12" s="1"/>
  <c r="KJ265" i="4"/>
  <c r="Y265" i="4" s="1"/>
  <c r="Y264" i="12" s="1"/>
  <c r="KJ264" i="4"/>
  <c r="Y264" i="4" s="1"/>
  <c r="Y263" i="12" s="1"/>
  <c r="KJ263" i="4"/>
  <c r="Y263" i="4" s="1"/>
  <c r="Y262" i="12" s="1"/>
  <c r="KJ262" i="4"/>
  <c r="Y262" i="4" s="1"/>
  <c r="Y261" i="12" s="1"/>
  <c r="KJ261" i="4"/>
  <c r="Y261" i="4" s="1"/>
  <c r="Y260" i="12" s="1"/>
  <c r="KJ260" i="4"/>
  <c r="Y260" i="4" s="1"/>
  <c r="Y259" i="12" s="1"/>
  <c r="KJ259" i="4"/>
  <c r="Y259" i="4" s="1"/>
  <c r="Y258" i="12" s="1"/>
  <c r="KJ258" i="4"/>
  <c r="Y258" i="4" s="1"/>
  <c r="Y257" i="12" s="1"/>
  <c r="KJ257" i="4"/>
  <c r="Y257" i="4" s="1"/>
  <c r="Y256" i="12" s="1"/>
  <c r="KJ256" i="4"/>
  <c r="Y256" i="4" s="1"/>
  <c r="Y255" i="12" s="1"/>
  <c r="KJ255" i="4"/>
  <c r="Y255" i="4" s="1"/>
  <c r="Y254" i="12" s="1"/>
  <c r="KJ254" i="4"/>
  <c r="Y254" i="4" s="1"/>
  <c r="Y253" i="12" s="1"/>
  <c r="KJ253" i="4"/>
  <c r="Y253" i="4" s="1"/>
  <c r="Y252" i="12" s="1"/>
  <c r="KJ252" i="4"/>
  <c r="Y252" i="4" s="1"/>
  <c r="Y251" i="12" s="1"/>
  <c r="KJ251" i="4"/>
  <c r="Y251" i="4" s="1"/>
  <c r="Y250" i="12" s="1"/>
  <c r="KJ250" i="4"/>
  <c r="Y250" i="4" s="1"/>
  <c r="Y249" i="12" s="1"/>
  <c r="KJ249" i="4"/>
  <c r="Y249" i="4" s="1"/>
  <c r="Y248" i="12" s="1"/>
  <c r="KJ248" i="4"/>
  <c r="Y248" i="4" s="1"/>
  <c r="Y247" i="12" s="1"/>
  <c r="KJ247" i="4"/>
  <c r="Y247" i="4" s="1"/>
  <c r="Y246" i="12" s="1"/>
  <c r="KJ246" i="4"/>
  <c r="Y246" i="4" s="1"/>
  <c r="Y245" i="12" s="1"/>
  <c r="KJ245" i="4"/>
  <c r="Y245" i="4" s="1"/>
  <c r="Y244" i="12" s="1"/>
  <c r="KJ244" i="4"/>
  <c r="Y244" i="4" s="1"/>
  <c r="Y243" i="12" s="1"/>
  <c r="KJ243" i="4"/>
  <c r="Y243" i="4" s="1"/>
  <c r="Y242" i="12" s="1"/>
  <c r="KJ242" i="4"/>
  <c r="Y242" i="4" s="1"/>
  <c r="Y241" i="12" s="1"/>
  <c r="KJ241" i="4"/>
  <c r="Y241" i="4" s="1"/>
  <c r="Y240" i="12" s="1"/>
  <c r="KJ240" i="4"/>
  <c r="Y240" i="4" s="1"/>
  <c r="Y239" i="12" s="1"/>
  <c r="KJ239" i="4"/>
  <c r="Y239" i="4" s="1"/>
  <c r="Y238" i="12" s="1"/>
  <c r="KJ238" i="4"/>
  <c r="Y238" i="4" s="1"/>
  <c r="Y237" i="12" s="1"/>
  <c r="KJ237" i="4"/>
  <c r="Y237" i="4" s="1"/>
  <c r="Y236" i="12" s="1"/>
  <c r="KJ236" i="4"/>
  <c r="Y236" i="4" s="1"/>
  <c r="Y235" i="12" s="1"/>
  <c r="KJ235" i="4"/>
  <c r="Y235" i="4" s="1"/>
  <c r="Y234" i="12" s="1"/>
  <c r="KJ234" i="4"/>
  <c r="Y234" i="4" s="1"/>
  <c r="Y233" i="12" s="1"/>
  <c r="KJ233" i="4"/>
  <c r="Y233" i="4" s="1"/>
  <c r="Y232" i="12" s="1"/>
  <c r="KJ232" i="4"/>
  <c r="Y232" i="4" s="1"/>
  <c r="Y231" i="12" s="1"/>
  <c r="KJ231" i="4"/>
  <c r="Y231" i="4" s="1"/>
  <c r="Y230" i="12" s="1"/>
  <c r="KJ230" i="4"/>
  <c r="Y230" i="4" s="1"/>
  <c r="Y229" i="12" s="1"/>
  <c r="KJ229" i="4"/>
  <c r="Y229" i="4" s="1"/>
  <c r="Y228" i="12" s="1"/>
  <c r="KJ228" i="4"/>
  <c r="Y228" i="4" s="1"/>
  <c r="Y227" i="12" s="1"/>
  <c r="KJ227" i="4"/>
  <c r="Y227" i="4" s="1"/>
  <c r="Y226" i="12" s="1"/>
  <c r="KJ226" i="4"/>
  <c r="Y226" i="4" s="1"/>
  <c r="Y225" i="12" s="1"/>
  <c r="KJ225" i="4"/>
  <c r="Y225" i="4" s="1"/>
  <c r="Y224" i="12" s="1"/>
  <c r="KJ224" i="4"/>
  <c r="Y224" i="4" s="1"/>
  <c r="Y223" i="12" s="1"/>
  <c r="KJ223" i="4"/>
  <c r="Y223" i="4" s="1"/>
  <c r="Y222" i="12" s="1"/>
  <c r="KJ222" i="4"/>
  <c r="Y222" i="4" s="1"/>
  <c r="Y221" i="12" s="1"/>
  <c r="KJ221" i="4"/>
  <c r="Y221" i="4" s="1"/>
  <c r="Y220" i="12" s="1"/>
  <c r="KJ220" i="4"/>
  <c r="Y220" i="4" s="1"/>
  <c r="Y219" i="12" s="1"/>
  <c r="KJ219" i="4"/>
  <c r="Y219" i="4" s="1"/>
  <c r="Y218" i="12" s="1"/>
  <c r="KJ218" i="4"/>
  <c r="Y218" i="4" s="1"/>
  <c r="Y217" i="12" s="1"/>
  <c r="KJ217" i="4"/>
  <c r="Y217" i="4" s="1"/>
  <c r="Y216" i="12" s="1"/>
  <c r="KJ216" i="4"/>
  <c r="Y216" i="4" s="1"/>
  <c r="Y215" i="12" s="1"/>
  <c r="KJ215" i="4"/>
  <c r="Y215" i="4" s="1"/>
  <c r="Y214" i="12" s="1"/>
  <c r="KJ214" i="4"/>
  <c r="Y214" i="4" s="1"/>
  <c r="Y213" i="12" s="1"/>
  <c r="KJ213" i="4"/>
  <c r="Y213" i="4" s="1"/>
  <c r="Y212" i="12" s="1"/>
  <c r="KJ212" i="4"/>
  <c r="Y212" i="4" s="1"/>
  <c r="Y211" i="12" s="1"/>
  <c r="KJ211" i="4"/>
  <c r="Y211" i="4" s="1"/>
  <c r="Y210" i="12" s="1"/>
  <c r="KJ210" i="4"/>
  <c r="Y210" i="4" s="1"/>
  <c r="Y209" i="12" s="1"/>
  <c r="KJ209" i="4"/>
  <c r="Y209" i="4" s="1"/>
  <c r="Y208" i="12" s="1"/>
  <c r="KJ208" i="4"/>
  <c r="Y208" i="4" s="1"/>
  <c r="Y207" i="12" s="1"/>
  <c r="KJ207" i="4"/>
  <c r="Y207" i="4" s="1"/>
  <c r="Y206" i="12" s="1"/>
  <c r="KJ206" i="4"/>
  <c r="Y206" i="4" s="1"/>
  <c r="Y205" i="12" s="1"/>
  <c r="KJ205" i="4"/>
  <c r="Y205" i="4" s="1"/>
  <c r="Y204" i="12" s="1"/>
  <c r="KJ204" i="4"/>
  <c r="Y204" i="4" s="1"/>
  <c r="Y203" i="12" s="1"/>
  <c r="KJ203" i="4"/>
  <c r="Y203" i="4" s="1"/>
  <c r="Y202" i="12" s="1"/>
  <c r="KJ202" i="4"/>
  <c r="Y202" i="4" s="1"/>
  <c r="Y201" i="12" s="1"/>
  <c r="KJ201" i="4"/>
  <c r="Y201" i="4" s="1"/>
  <c r="Y200" i="12" s="1"/>
  <c r="KJ200" i="4"/>
  <c r="Y200" i="4" s="1"/>
  <c r="Y199" i="12" s="1"/>
  <c r="KJ199" i="4"/>
  <c r="Y199" i="4" s="1"/>
  <c r="Y198" i="12" s="1"/>
  <c r="KJ198" i="4"/>
  <c r="Y198" i="4" s="1"/>
  <c r="Y197" i="12" s="1"/>
  <c r="KJ197" i="4"/>
  <c r="Y197" i="4" s="1"/>
  <c r="Y196" i="12" s="1"/>
  <c r="KJ196" i="4"/>
  <c r="Y196" i="4" s="1"/>
  <c r="Y195" i="12" s="1"/>
  <c r="KJ195" i="4"/>
  <c r="Y195" i="4" s="1"/>
  <c r="Y194" i="12" s="1"/>
  <c r="KJ194" i="4"/>
  <c r="Y194" i="4" s="1"/>
  <c r="Y193" i="12" s="1"/>
  <c r="KJ193" i="4"/>
  <c r="Y193" i="4" s="1"/>
  <c r="Y192" i="12" s="1"/>
  <c r="KJ192" i="4"/>
  <c r="Y192" i="4" s="1"/>
  <c r="Y191" i="12" s="1"/>
  <c r="KJ191" i="4"/>
  <c r="Y191" i="4" s="1"/>
  <c r="Y190" i="12" s="1"/>
  <c r="KJ190" i="4"/>
  <c r="Y190" i="4" s="1"/>
  <c r="Y189" i="12" s="1"/>
  <c r="KJ189" i="4"/>
  <c r="Y189" i="4" s="1"/>
  <c r="Y188" i="12" s="1"/>
  <c r="KJ188" i="4"/>
  <c r="Y188" i="4" s="1"/>
  <c r="Y187" i="12" s="1"/>
  <c r="KJ187" i="4"/>
  <c r="Y187" i="4" s="1"/>
  <c r="Y186" i="12" s="1"/>
  <c r="KJ186" i="4"/>
  <c r="Y186" i="4" s="1"/>
  <c r="Y185" i="12" s="1"/>
  <c r="KJ185" i="4"/>
  <c r="Y185" i="4" s="1"/>
  <c r="Y184" i="12" s="1"/>
  <c r="KJ184" i="4"/>
  <c r="Y184" i="4" s="1"/>
  <c r="Y183" i="12" s="1"/>
  <c r="KJ183" i="4"/>
  <c r="Y183" i="4" s="1"/>
  <c r="Y182" i="12" s="1"/>
  <c r="KJ182" i="4"/>
  <c r="Y182" i="4" s="1"/>
  <c r="Y181" i="12" s="1"/>
  <c r="KJ181" i="4"/>
  <c r="Y181" i="4" s="1"/>
  <c r="Y180" i="12" s="1"/>
  <c r="KJ180" i="4"/>
  <c r="Y180" i="4" s="1"/>
  <c r="Y179" i="12" s="1"/>
  <c r="KJ176" i="4"/>
  <c r="Y176" i="4" s="1"/>
  <c r="Y175" i="12" s="1"/>
  <c r="KJ175" i="4"/>
  <c r="Y175" i="4" s="1"/>
  <c r="Y174" i="12" s="1"/>
  <c r="KJ174" i="4"/>
  <c r="Y174" i="4" s="1"/>
  <c r="Y173" i="12" s="1"/>
  <c r="KJ173" i="4"/>
  <c r="Y173" i="4" s="1"/>
  <c r="Y172" i="12" s="1"/>
  <c r="KJ172" i="4"/>
  <c r="Y172" i="4" s="1"/>
  <c r="Y171" i="12" s="1"/>
  <c r="KJ171" i="4"/>
  <c r="Y171" i="4" s="1"/>
  <c r="Y170" i="12" s="1"/>
  <c r="KJ170" i="4"/>
  <c r="Y170" i="4" s="1"/>
  <c r="Y169" i="12" s="1"/>
  <c r="KJ169" i="4"/>
  <c r="Y169" i="4" s="1"/>
  <c r="Y168" i="12" s="1"/>
  <c r="KJ168" i="4"/>
  <c r="Y168" i="4" s="1"/>
  <c r="Y167" i="12" s="1"/>
  <c r="KJ167" i="4"/>
  <c r="Y167" i="4" s="1"/>
  <c r="Y166" i="12" s="1"/>
  <c r="KJ166" i="4"/>
  <c r="Y166" i="4" s="1"/>
  <c r="Y165" i="12" s="1"/>
  <c r="KJ165" i="4"/>
  <c r="Y165" i="4" s="1"/>
  <c r="Y164" i="12" s="1"/>
  <c r="KJ164" i="4"/>
  <c r="Y164" i="4" s="1"/>
  <c r="Y163" i="12" s="1"/>
  <c r="KJ163" i="4"/>
  <c r="Y163" i="4" s="1"/>
  <c r="Y162" i="12" s="1"/>
  <c r="KJ162" i="4"/>
  <c r="Y162" i="4" s="1"/>
  <c r="Y161" i="12" s="1"/>
  <c r="KJ161" i="4"/>
  <c r="Y161" i="4" s="1"/>
  <c r="Y160" i="12" s="1"/>
  <c r="KJ160" i="4"/>
  <c r="Y160" i="4" s="1"/>
  <c r="Y159" i="12" s="1"/>
  <c r="KJ159" i="4"/>
  <c r="Y159" i="4" s="1"/>
  <c r="Y158" i="12" s="1"/>
  <c r="KJ158" i="4"/>
  <c r="Y158" i="4" s="1"/>
  <c r="Y157" i="12" s="1"/>
  <c r="KJ157" i="4"/>
  <c r="Y157" i="4" s="1"/>
  <c r="Y156" i="12" s="1"/>
  <c r="KJ156" i="4"/>
  <c r="Y156" i="4" s="1"/>
  <c r="Y155" i="12" s="1"/>
  <c r="KJ155" i="4"/>
  <c r="Y155" i="4" s="1"/>
  <c r="Y154" i="12" s="1"/>
  <c r="KJ154" i="4"/>
  <c r="Y154" i="4" s="1"/>
  <c r="Y153" i="12" s="1"/>
  <c r="KJ153" i="4"/>
  <c r="Y153" i="4" s="1"/>
  <c r="Y152" i="12" s="1"/>
  <c r="KJ151" i="4"/>
  <c r="Y151" i="4" s="1"/>
  <c r="Y150" i="12" s="1"/>
  <c r="KJ150" i="4"/>
  <c r="Y150" i="4" s="1"/>
  <c r="Y149" i="12" s="1"/>
  <c r="KJ149" i="4"/>
  <c r="Y149" i="4" s="1"/>
  <c r="Y148" i="12" s="1"/>
  <c r="KJ148" i="4"/>
  <c r="Y148" i="4" s="1"/>
  <c r="Y147" i="12" s="1"/>
  <c r="KJ147" i="4"/>
  <c r="Y147" i="4" s="1"/>
  <c r="Y146" i="12" s="1"/>
  <c r="KJ146" i="4"/>
  <c r="Y146" i="4" s="1"/>
  <c r="Y145" i="12" s="1"/>
  <c r="KJ145" i="4"/>
  <c r="Y145" i="4" s="1"/>
  <c r="Y144" i="12" s="1"/>
  <c r="KJ144" i="4"/>
  <c r="Y144" i="4" s="1"/>
  <c r="Y143" i="12" s="1"/>
  <c r="KJ143" i="4"/>
  <c r="Y143" i="4" s="1"/>
  <c r="Y142" i="12" s="1"/>
  <c r="KJ142" i="4"/>
  <c r="Y142" i="4" s="1"/>
  <c r="Y141" i="12" s="1"/>
  <c r="KJ140" i="4"/>
  <c r="Y140" i="4" s="1"/>
  <c r="Y139" i="12" s="1"/>
  <c r="KJ139" i="4"/>
  <c r="Y139" i="4" s="1"/>
  <c r="Y138" i="12" s="1"/>
  <c r="KJ138" i="4"/>
  <c r="Y138" i="4" s="1"/>
  <c r="Y137" i="12" s="1"/>
  <c r="KJ137" i="4"/>
  <c r="Y137" i="4" s="1"/>
  <c r="Y136" i="12" s="1"/>
  <c r="KJ136" i="4"/>
  <c r="Y136" i="4" s="1"/>
  <c r="Y135" i="12" s="1"/>
  <c r="KJ135" i="4"/>
  <c r="Y135" i="4" s="1"/>
  <c r="Y134" i="12" s="1"/>
  <c r="KJ134" i="4"/>
  <c r="Y134" i="4" s="1"/>
  <c r="Y133" i="12" s="1"/>
  <c r="KJ133" i="4"/>
  <c r="Y133" i="4" s="1"/>
  <c r="Y132" i="12" s="1"/>
  <c r="KJ132" i="4"/>
  <c r="Y132" i="4" s="1"/>
  <c r="Y131" i="12" s="1"/>
  <c r="KJ131" i="4"/>
  <c r="Y131" i="4" s="1"/>
  <c r="Y130" i="12" s="1"/>
  <c r="KJ130" i="4"/>
  <c r="Y130" i="4" s="1"/>
  <c r="Y129" i="12" s="1"/>
  <c r="KJ129" i="4"/>
  <c r="Y129" i="4" s="1"/>
  <c r="Y128" i="12" s="1"/>
  <c r="KJ128" i="4"/>
  <c r="Y128" i="4" s="1"/>
  <c r="Y127" i="12" s="1"/>
  <c r="KJ127" i="4"/>
  <c r="Y127" i="4" s="1"/>
  <c r="Y126" i="12" s="1"/>
  <c r="KJ125" i="4"/>
  <c r="Y125" i="4" s="1"/>
  <c r="Y124" i="12" s="1"/>
  <c r="KJ124" i="4"/>
  <c r="Y124" i="4" s="1"/>
  <c r="Y123" i="12" s="1"/>
  <c r="KJ123" i="4"/>
  <c r="Y123" i="4" s="1"/>
  <c r="Y122" i="12" s="1"/>
  <c r="KJ122" i="4"/>
  <c r="Y122" i="4" s="1"/>
  <c r="Y121" i="12" s="1"/>
  <c r="KJ121" i="4"/>
  <c r="Y121" i="4" s="1"/>
  <c r="Y120" i="12" s="1"/>
  <c r="KJ120" i="4"/>
  <c r="Y120" i="4" s="1"/>
  <c r="Y119" i="12" s="1"/>
  <c r="KJ119" i="4"/>
  <c r="Y119" i="4" s="1"/>
  <c r="Y118" i="12" s="1"/>
  <c r="KJ118" i="4"/>
  <c r="Y118" i="4" s="1"/>
  <c r="Y117" i="12" s="1"/>
  <c r="KJ117" i="4"/>
  <c r="Y117" i="4" s="1"/>
  <c r="Y116" i="12" s="1"/>
  <c r="KJ116" i="4"/>
  <c r="Y116" i="4" s="1"/>
  <c r="Y115" i="12" s="1"/>
  <c r="KJ115" i="4"/>
  <c r="Y115" i="4" s="1"/>
  <c r="Y114" i="12" s="1"/>
  <c r="KJ114" i="4"/>
  <c r="Y114" i="4" s="1"/>
  <c r="Y113" i="12" s="1"/>
  <c r="KJ113" i="4"/>
  <c r="Y113" i="4" s="1"/>
  <c r="Y112" i="12" s="1"/>
  <c r="KJ112" i="4"/>
  <c r="Y112" i="4" s="1"/>
  <c r="Y111" i="12" s="1"/>
  <c r="KJ111" i="4"/>
  <c r="Y111" i="4" s="1"/>
  <c r="Y110" i="12" s="1"/>
  <c r="KJ110" i="4"/>
  <c r="Y110" i="4" s="1"/>
  <c r="Y109" i="12" s="1"/>
  <c r="KJ109" i="4"/>
  <c r="Y109" i="4" s="1"/>
  <c r="Y108" i="12" s="1"/>
  <c r="KJ108" i="4"/>
  <c r="Y108" i="4" s="1"/>
  <c r="Y107" i="12" s="1"/>
  <c r="KJ107" i="4"/>
  <c r="Y107" i="4" s="1"/>
  <c r="Y106" i="12" s="1"/>
  <c r="KJ106" i="4"/>
  <c r="Y106" i="4" s="1"/>
  <c r="Y105" i="12" s="1"/>
  <c r="KJ105" i="4"/>
  <c r="Y105" i="4" s="1"/>
  <c r="Y104" i="12" s="1"/>
  <c r="KJ104" i="4"/>
  <c r="Y104" i="4" s="1"/>
  <c r="Y103" i="12" s="1"/>
  <c r="KJ103" i="4"/>
  <c r="Y103" i="4" s="1"/>
  <c r="Y102" i="12" s="1"/>
  <c r="KJ102" i="4"/>
  <c r="Y102" i="4" s="1"/>
  <c r="Y101" i="12" s="1"/>
  <c r="KJ101" i="4"/>
  <c r="Y101" i="4" s="1"/>
  <c r="Y100" i="12" s="1"/>
  <c r="KJ100" i="4"/>
  <c r="Y100" i="4" s="1"/>
  <c r="Y99" i="12" s="1"/>
  <c r="KJ99" i="4"/>
  <c r="Y99" i="4" s="1"/>
  <c r="Y98" i="12" s="1"/>
  <c r="KJ98" i="4"/>
  <c r="Y98" i="4" s="1"/>
  <c r="Y97" i="12" s="1"/>
  <c r="KJ97" i="4"/>
  <c r="Y97" i="4" s="1"/>
  <c r="Y96" i="12" s="1"/>
  <c r="KJ96" i="4"/>
  <c r="Y96" i="4" s="1"/>
  <c r="Y95" i="12" s="1"/>
  <c r="KJ95" i="4"/>
  <c r="Y95" i="4" s="1"/>
  <c r="Y94" i="12" s="1"/>
  <c r="KJ94" i="4"/>
  <c r="Y94" i="4" s="1"/>
  <c r="Y93" i="12" s="1"/>
  <c r="KJ93" i="4"/>
  <c r="Y93" i="4" s="1"/>
  <c r="Y92" i="12" s="1"/>
  <c r="KJ92" i="4"/>
  <c r="Y92" i="4" s="1"/>
  <c r="Y91" i="12" s="1"/>
  <c r="KJ91" i="4"/>
  <c r="Y91" i="4" s="1"/>
  <c r="Y90" i="12" s="1"/>
  <c r="KJ90" i="4"/>
  <c r="Y90" i="4" s="1"/>
  <c r="Y89" i="12" s="1"/>
  <c r="KJ89" i="4"/>
  <c r="Y89" i="4" s="1"/>
  <c r="Y88" i="12" s="1"/>
  <c r="KJ88" i="4"/>
  <c r="Y88" i="4" s="1"/>
  <c r="Y87" i="12" s="1"/>
  <c r="KJ87" i="4"/>
  <c r="Y87" i="4" s="1"/>
  <c r="Y86" i="12" s="1"/>
  <c r="KJ86" i="4"/>
  <c r="Y86" i="4" s="1"/>
  <c r="Y85" i="12" s="1"/>
  <c r="KJ85" i="4"/>
  <c r="Y85" i="4" s="1"/>
  <c r="Y84" i="12" s="1"/>
  <c r="KJ84" i="4"/>
  <c r="Y84" i="4" s="1"/>
  <c r="Y83" i="12" s="1"/>
  <c r="KJ83" i="4"/>
  <c r="Y83" i="4" s="1"/>
  <c r="Y82" i="12" s="1"/>
  <c r="KJ82" i="4"/>
  <c r="Y82" i="4" s="1"/>
  <c r="Y81" i="12" s="1"/>
  <c r="KJ81" i="4"/>
  <c r="Y81" i="4" s="1"/>
  <c r="Y80" i="12" s="1"/>
  <c r="KJ80" i="4"/>
  <c r="Y80" i="4" s="1"/>
  <c r="Y79" i="12" s="1"/>
  <c r="KJ79" i="4"/>
  <c r="Y79" i="4" s="1"/>
  <c r="Y78" i="12" s="1"/>
  <c r="KJ78" i="4"/>
  <c r="Y78" i="4" s="1"/>
  <c r="Y77" i="12" s="1"/>
  <c r="KJ77" i="4"/>
  <c r="Y77" i="4" s="1"/>
  <c r="Y76" i="12" s="1"/>
  <c r="KJ76" i="4"/>
  <c r="Y76" i="4" s="1"/>
  <c r="Y75" i="12" s="1"/>
  <c r="KJ75" i="4"/>
  <c r="Y75" i="4" s="1"/>
  <c r="Y74" i="12" s="1"/>
  <c r="KJ74" i="4"/>
  <c r="Y74" i="4" s="1"/>
  <c r="Y73" i="12" s="1"/>
  <c r="KJ73" i="4"/>
  <c r="Y73" i="4" s="1"/>
  <c r="Y72" i="12" s="1"/>
  <c r="KJ72" i="4"/>
  <c r="Y72" i="4" s="1"/>
  <c r="Y71" i="12" s="1"/>
  <c r="KJ71" i="4"/>
  <c r="Y71" i="4" s="1"/>
  <c r="Y70" i="12" s="1"/>
  <c r="KJ70" i="4"/>
  <c r="Y70" i="4" s="1"/>
  <c r="Y69" i="12" s="1"/>
  <c r="KJ69" i="4"/>
  <c r="Y69" i="4" s="1"/>
  <c r="Y68" i="12" s="1"/>
  <c r="KJ68" i="4"/>
  <c r="Y68" i="4" s="1"/>
  <c r="Y67" i="12" s="1"/>
  <c r="KJ67" i="4"/>
  <c r="Y67" i="4" s="1"/>
  <c r="Y66" i="12" s="1"/>
  <c r="KJ66" i="4"/>
  <c r="Y66" i="4" s="1"/>
  <c r="Y65" i="12" s="1"/>
  <c r="KJ65" i="4"/>
  <c r="Y65" i="4" s="1"/>
  <c r="Y64" i="12" s="1"/>
  <c r="KJ64" i="4"/>
  <c r="Y64" i="4" s="1"/>
  <c r="Y63" i="12" s="1"/>
  <c r="KJ63" i="4"/>
  <c r="Y63" i="4" s="1"/>
  <c r="Y62" i="12" s="1"/>
  <c r="KJ62" i="4"/>
  <c r="Y62" i="4" s="1"/>
  <c r="Y61" i="12" s="1"/>
  <c r="KJ61" i="4"/>
  <c r="Y61" i="4" s="1"/>
  <c r="Y60" i="12" s="1"/>
  <c r="KJ60" i="4"/>
  <c r="Y60" i="4" s="1"/>
  <c r="Y59" i="12" s="1"/>
  <c r="KJ59" i="4"/>
  <c r="Y59" i="4" s="1"/>
  <c r="Y58" i="12" s="1"/>
  <c r="KJ58" i="4"/>
  <c r="Y58" i="4" s="1"/>
  <c r="Y57" i="12" s="1"/>
  <c r="KJ57" i="4"/>
  <c r="Y57" i="4" s="1"/>
  <c r="Y56" i="12" s="1"/>
  <c r="KJ56" i="4"/>
  <c r="Y56" i="4" s="1"/>
  <c r="Y55" i="12" s="1"/>
  <c r="KJ55" i="4"/>
  <c r="Y55" i="4" s="1"/>
  <c r="Y54" i="12" s="1"/>
  <c r="KJ54" i="4"/>
  <c r="Y54" i="4" s="1"/>
  <c r="Y53" i="12" s="1"/>
  <c r="KJ53" i="4"/>
  <c r="Y53" i="4" s="1"/>
  <c r="Y52" i="12" s="1"/>
  <c r="KJ52" i="4"/>
  <c r="Y52" i="4" s="1"/>
  <c r="Y51" i="12" s="1"/>
  <c r="KJ51" i="4"/>
  <c r="Y51" i="4" s="1"/>
  <c r="Y50" i="12" s="1"/>
  <c r="KJ50" i="4"/>
  <c r="Y50" i="4" s="1"/>
  <c r="Y49" i="12" s="1"/>
  <c r="KJ49" i="4"/>
  <c r="Y49" i="4" s="1"/>
  <c r="Y48" i="12" s="1"/>
  <c r="KJ48" i="4"/>
  <c r="Y48" i="4" s="1"/>
  <c r="Y47" i="12" s="1"/>
  <c r="KJ47" i="4"/>
  <c r="Y47" i="4" s="1"/>
  <c r="Y46" i="12" s="1"/>
  <c r="KJ46" i="4"/>
  <c r="Y46" i="4" s="1"/>
  <c r="Y45" i="12" s="1"/>
  <c r="KJ45" i="4"/>
  <c r="Y45" i="4" s="1"/>
  <c r="Y44" i="12" s="1"/>
  <c r="KJ44" i="4"/>
  <c r="Y44" i="4" s="1"/>
  <c r="Y43" i="12" s="1"/>
  <c r="KJ43" i="4"/>
  <c r="Y43" i="4" s="1"/>
  <c r="Y42" i="12" s="1"/>
  <c r="KJ42" i="4"/>
  <c r="Y42" i="4" s="1"/>
  <c r="Y41" i="12" s="1"/>
  <c r="KJ41" i="4"/>
  <c r="Y41" i="4" s="1"/>
  <c r="Y40" i="12" s="1"/>
  <c r="KJ40" i="4"/>
  <c r="Y40" i="4" s="1"/>
  <c r="Y39" i="12" s="1"/>
  <c r="KJ39" i="4"/>
  <c r="Y39" i="4" s="1"/>
  <c r="Y38" i="12" s="1"/>
  <c r="KJ38" i="4"/>
  <c r="Y38" i="4" s="1"/>
  <c r="Y37" i="12" s="1"/>
  <c r="KJ37" i="4"/>
  <c r="Y37" i="4" s="1"/>
  <c r="Y36" i="12" s="1"/>
  <c r="KJ36" i="4"/>
  <c r="Y36" i="4" s="1"/>
  <c r="Y35" i="12" s="1"/>
  <c r="KJ35" i="4"/>
  <c r="Y35" i="4" s="1"/>
  <c r="Y34" i="12" s="1"/>
  <c r="KJ34" i="4"/>
  <c r="Y34" i="4" s="1"/>
  <c r="Y33" i="12" s="1"/>
  <c r="KJ33" i="4"/>
  <c r="Y33" i="4" s="1"/>
  <c r="Y32" i="12" s="1"/>
  <c r="KJ32" i="4"/>
  <c r="Y32" i="4" s="1"/>
  <c r="Y31" i="12" s="1"/>
  <c r="KJ31" i="4"/>
  <c r="Y31" i="4" s="1"/>
  <c r="Y30" i="12" s="1"/>
  <c r="KJ30" i="4"/>
  <c r="Y30" i="4" s="1"/>
  <c r="Y29" i="12" s="1"/>
  <c r="KJ29" i="4"/>
  <c r="Y29" i="4" s="1"/>
  <c r="Y28" i="12" s="1"/>
  <c r="KJ28" i="4"/>
  <c r="Y28" i="4" s="1"/>
  <c r="Y27" i="12" s="1"/>
  <c r="KJ27" i="4"/>
  <c r="Y27" i="4" s="1"/>
  <c r="Y26" i="12" s="1"/>
  <c r="KJ26" i="4"/>
  <c r="Y26" i="4" s="1"/>
  <c r="Y25" i="12" s="1"/>
  <c r="KJ25" i="4"/>
  <c r="Y25" i="4" s="1"/>
  <c r="Y24" i="12" s="1"/>
  <c r="KJ24" i="4"/>
  <c r="Y24" i="4" s="1"/>
  <c r="Y23" i="12" s="1"/>
  <c r="KJ23" i="4"/>
  <c r="Y23" i="4" s="1"/>
  <c r="Y22" i="12" s="1"/>
  <c r="KJ22" i="4"/>
  <c r="Y22" i="4" s="1"/>
  <c r="Y21" i="12" s="1"/>
  <c r="KJ21" i="4"/>
  <c r="Y21" i="4" s="1"/>
  <c r="Y20" i="12" s="1"/>
  <c r="KJ20" i="4"/>
  <c r="Y20" i="4" s="1"/>
  <c r="Y19" i="12" s="1"/>
  <c r="KJ19" i="4"/>
  <c r="Y19" i="4" s="1"/>
  <c r="Y18" i="12" s="1"/>
  <c r="KJ18" i="4"/>
  <c r="Y18" i="4" s="1"/>
  <c r="Y17" i="12" s="1"/>
  <c r="KJ17" i="4"/>
  <c r="Y17" i="4" s="1"/>
  <c r="Y16" i="12" s="1"/>
  <c r="KJ16" i="4"/>
  <c r="Y16" i="4" s="1"/>
  <c r="Y15" i="12" s="1"/>
  <c r="KJ15" i="4"/>
  <c r="Y15" i="4" s="1"/>
  <c r="Y14" i="12" s="1"/>
  <c r="KJ14" i="4"/>
  <c r="Y14" i="4" s="1"/>
  <c r="Y13" i="12" s="1"/>
  <c r="KJ13" i="4"/>
  <c r="Y13" i="4" s="1"/>
  <c r="Y12" i="12" s="1"/>
  <c r="KJ12" i="4"/>
  <c r="Y12" i="4" s="1"/>
  <c r="Y11" i="12" s="1"/>
  <c r="KJ11" i="4"/>
  <c r="Y11" i="4" s="1"/>
  <c r="Y10" i="12" s="1"/>
  <c r="KJ10" i="4"/>
  <c r="Y10" i="4" s="1"/>
  <c r="Y9" i="12" s="1"/>
  <c r="JC329" i="4"/>
  <c r="X329" i="4" s="1"/>
  <c r="X328" i="12" s="1"/>
  <c r="W329" i="4"/>
  <c r="W328" i="12" s="1"/>
  <c r="JC328" i="4"/>
  <c r="X328" i="4" s="1"/>
  <c r="X327" i="12" s="1"/>
  <c r="W328" i="4"/>
  <c r="W327" i="12" s="1"/>
  <c r="JC327" i="4"/>
  <c r="X327" i="4" s="1"/>
  <c r="X326" i="12" s="1"/>
  <c r="HV327" i="4"/>
  <c r="W327" i="4" s="1"/>
  <c r="W326" i="12" s="1"/>
  <c r="JC326" i="4"/>
  <c r="X326" i="4" s="1"/>
  <c r="X325" i="12" s="1"/>
  <c r="HV326" i="4"/>
  <c r="W326" i="4" s="1"/>
  <c r="W325" i="12" s="1"/>
  <c r="JC325" i="4"/>
  <c r="X325" i="4" s="1"/>
  <c r="X324" i="12" s="1"/>
  <c r="HV325" i="4"/>
  <c r="W325" i="4" s="1"/>
  <c r="W324" i="12" s="1"/>
  <c r="JC324" i="4"/>
  <c r="X324" i="4" s="1"/>
  <c r="X323" i="12" s="1"/>
  <c r="HV324" i="4"/>
  <c r="W324" i="4" s="1"/>
  <c r="W323" i="12" s="1"/>
  <c r="JC323" i="4"/>
  <c r="X323" i="4" s="1"/>
  <c r="X322" i="12" s="1"/>
  <c r="HV323" i="4"/>
  <c r="W323" i="4" s="1"/>
  <c r="W322" i="12" s="1"/>
  <c r="JC322" i="4"/>
  <c r="X322" i="4" s="1"/>
  <c r="X321" i="12" s="1"/>
  <c r="HV322" i="4"/>
  <c r="W322" i="4" s="1"/>
  <c r="W321" i="12" s="1"/>
  <c r="JC321" i="4"/>
  <c r="X321" i="4" s="1"/>
  <c r="X320" i="12" s="1"/>
  <c r="HV321" i="4"/>
  <c r="W321" i="4" s="1"/>
  <c r="W320" i="12" s="1"/>
  <c r="JC320" i="4"/>
  <c r="X320" i="4" s="1"/>
  <c r="X319" i="12" s="1"/>
  <c r="HV320" i="4"/>
  <c r="W320" i="4" s="1"/>
  <c r="W319" i="12" s="1"/>
  <c r="JC319" i="4"/>
  <c r="X319" i="4" s="1"/>
  <c r="X318" i="12" s="1"/>
  <c r="HV319" i="4"/>
  <c r="W319" i="4" s="1"/>
  <c r="W318" i="12" s="1"/>
  <c r="JC318" i="4"/>
  <c r="X318" i="4" s="1"/>
  <c r="X317" i="12" s="1"/>
  <c r="HV318" i="4"/>
  <c r="W318" i="4" s="1"/>
  <c r="W317" i="12" s="1"/>
  <c r="JC317" i="4"/>
  <c r="X317" i="4" s="1"/>
  <c r="X316" i="12" s="1"/>
  <c r="HV317" i="4"/>
  <c r="W317" i="4" s="1"/>
  <c r="W316" i="12" s="1"/>
  <c r="JC316" i="4"/>
  <c r="X316" i="4" s="1"/>
  <c r="X315" i="12" s="1"/>
  <c r="HV316" i="4"/>
  <c r="W316" i="4" s="1"/>
  <c r="W315" i="12" s="1"/>
  <c r="JC315" i="4"/>
  <c r="X315" i="4" s="1"/>
  <c r="X314" i="12" s="1"/>
  <c r="HV315" i="4"/>
  <c r="W315" i="4" s="1"/>
  <c r="W314" i="12" s="1"/>
  <c r="JC314" i="4"/>
  <c r="X314" i="4" s="1"/>
  <c r="X313" i="12" s="1"/>
  <c r="HV314" i="4"/>
  <c r="W314" i="4" s="1"/>
  <c r="W313" i="12" s="1"/>
  <c r="JC313" i="4"/>
  <c r="X313" i="4" s="1"/>
  <c r="X312" i="12" s="1"/>
  <c r="HV313" i="4"/>
  <c r="W313" i="4" s="1"/>
  <c r="W312" i="12" s="1"/>
  <c r="JC312" i="4"/>
  <c r="X312" i="4" s="1"/>
  <c r="X311" i="12" s="1"/>
  <c r="HV312" i="4"/>
  <c r="W312" i="4" s="1"/>
  <c r="W311" i="12" s="1"/>
  <c r="JC311" i="4"/>
  <c r="X311" i="4" s="1"/>
  <c r="X310" i="12" s="1"/>
  <c r="HV311" i="4"/>
  <c r="W311" i="4" s="1"/>
  <c r="W310" i="12" s="1"/>
  <c r="JC310" i="4"/>
  <c r="X310" i="4" s="1"/>
  <c r="X309" i="12" s="1"/>
  <c r="HV310" i="4"/>
  <c r="W310" i="4" s="1"/>
  <c r="W309" i="12" s="1"/>
  <c r="JC309" i="4"/>
  <c r="X309" i="4" s="1"/>
  <c r="X308" i="12" s="1"/>
  <c r="HV309" i="4"/>
  <c r="W309" i="4" s="1"/>
  <c r="W308" i="12" s="1"/>
  <c r="JC308" i="4"/>
  <c r="X308" i="4" s="1"/>
  <c r="X307" i="12" s="1"/>
  <c r="HV308" i="4"/>
  <c r="W308" i="4" s="1"/>
  <c r="W307" i="12" s="1"/>
  <c r="JC307" i="4"/>
  <c r="X307" i="4" s="1"/>
  <c r="X306" i="12" s="1"/>
  <c r="HV307" i="4"/>
  <c r="W307" i="4" s="1"/>
  <c r="W306" i="12" s="1"/>
  <c r="JC306" i="4"/>
  <c r="X306" i="4" s="1"/>
  <c r="X305" i="12" s="1"/>
  <c r="HV306" i="4"/>
  <c r="W306" i="4" s="1"/>
  <c r="W305" i="12" s="1"/>
  <c r="JC305" i="4"/>
  <c r="X305" i="4" s="1"/>
  <c r="X304" i="12" s="1"/>
  <c r="HV305" i="4"/>
  <c r="W305" i="4" s="1"/>
  <c r="W304" i="12" s="1"/>
  <c r="JC304" i="4"/>
  <c r="X304" i="4" s="1"/>
  <c r="X303" i="12" s="1"/>
  <c r="HV304" i="4"/>
  <c r="W304" i="4" s="1"/>
  <c r="W303" i="12" s="1"/>
  <c r="JC303" i="4"/>
  <c r="X303" i="4" s="1"/>
  <c r="X302" i="12" s="1"/>
  <c r="HV303" i="4"/>
  <c r="W303" i="4" s="1"/>
  <c r="W302" i="12" s="1"/>
  <c r="JC302" i="4"/>
  <c r="X302" i="4" s="1"/>
  <c r="X301" i="12" s="1"/>
  <c r="HV302" i="4"/>
  <c r="W302" i="4" s="1"/>
  <c r="W301" i="12" s="1"/>
  <c r="JC301" i="4"/>
  <c r="X301" i="4" s="1"/>
  <c r="X300" i="12" s="1"/>
  <c r="HV301" i="4"/>
  <c r="W301" i="4" s="1"/>
  <c r="W300" i="12" s="1"/>
  <c r="JC300" i="4"/>
  <c r="X300" i="4" s="1"/>
  <c r="X299" i="12" s="1"/>
  <c r="HV300" i="4"/>
  <c r="W300" i="4" s="1"/>
  <c r="W299" i="12" s="1"/>
  <c r="JC299" i="4"/>
  <c r="X299" i="4" s="1"/>
  <c r="X298" i="12" s="1"/>
  <c r="HV299" i="4"/>
  <c r="W299" i="4" s="1"/>
  <c r="W298" i="12" s="1"/>
  <c r="JC298" i="4"/>
  <c r="X298" i="4" s="1"/>
  <c r="X297" i="12" s="1"/>
  <c r="HV298" i="4"/>
  <c r="W298" i="4" s="1"/>
  <c r="W297" i="12" s="1"/>
  <c r="JC297" i="4"/>
  <c r="X297" i="4" s="1"/>
  <c r="X296" i="12" s="1"/>
  <c r="HV297" i="4"/>
  <c r="W297" i="4" s="1"/>
  <c r="W296" i="12" s="1"/>
  <c r="JC296" i="4"/>
  <c r="X296" i="4" s="1"/>
  <c r="X295" i="12" s="1"/>
  <c r="HV296" i="4"/>
  <c r="W296" i="4" s="1"/>
  <c r="W295" i="12" s="1"/>
  <c r="JC295" i="4"/>
  <c r="X295" i="4" s="1"/>
  <c r="X294" i="12" s="1"/>
  <c r="HV295" i="4"/>
  <c r="W295" i="4" s="1"/>
  <c r="W294" i="12" s="1"/>
  <c r="JC294" i="4"/>
  <c r="X294" i="4" s="1"/>
  <c r="X293" i="12" s="1"/>
  <c r="HV294" i="4"/>
  <c r="W294" i="4" s="1"/>
  <c r="W293" i="12" s="1"/>
  <c r="JC293" i="4"/>
  <c r="X293" i="4" s="1"/>
  <c r="X292" i="12" s="1"/>
  <c r="HV293" i="4"/>
  <c r="W293" i="4" s="1"/>
  <c r="W292" i="12" s="1"/>
  <c r="JC292" i="4"/>
  <c r="X292" i="4" s="1"/>
  <c r="X291" i="12" s="1"/>
  <c r="HV292" i="4"/>
  <c r="W292" i="4" s="1"/>
  <c r="W291" i="12" s="1"/>
  <c r="JC291" i="4"/>
  <c r="X291" i="4" s="1"/>
  <c r="X290" i="12" s="1"/>
  <c r="HV291" i="4"/>
  <c r="W291" i="4" s="1"/>
  <c r="W290" i="12" s="1"/>
  <c r="JC290" i="4"/>
  <c r="X290" i="4" s="1"/>
  <c r="X289" i="12" s="1"/>
  <c r="HV290" i="4"/>
  <c r="W290" i="4" s="1"/>
  <c r="W289" i="12" s="1"/>
  <c r="JC289" i="4"/>
  <c r="X289" i="4" s="1"/>
  <c r="X288" i="12" s="1"/>
  <c r="HV289" i="4"/>
  <c r="W289" i="4" s="1"/>
  <c r="W288" i="12" s="1"/>
  <c r="JC288" i="4"/>
  <c r="X288" i="4" s="1"/>
  <c r="X287" i="12" s="1"/>
  <c r="HV288" i="4"/>
  <c r="W288" i="4" s="1"/>
  <c r="W287" i="12" s="1"/>
  <c r="JC287" i="4"/>
  <c r="X287" i="4" s="1"/>
  <c r="X286" i="12" s="1"/>
  <c r="HV287" i="4"/>
  <c r="W287" i="4" s="1"/>
  <c r="W286" i="12" s="1"/>
  <c r="JC286" i="4"/>
  <c r="X286" i="4" s="1"/>
  <c r="X285" i="12" s="1"/>
  <c r="HV286" i="4"/>
  <c r="W286" i="4" s="1"/>
  <c r="W285" i="12" s="1"/>
  <c r="JC285" i="4"/>
  <c r="X285" i="4" s="1"/>
  <c r="X284" i="12" s="1"/>
  <c r="HV285" i="4"/>
  <c r="W285" i="4" s="1"/>
  <c r="W284" i="12" s="1"/>
  <c r="JC284" i="4"/>
  <c r="X284" i="4" s="1"/>
  <c r="X283" i="12" s="1"/>
  <c r="HV284" i="4"/>
  <c r="W284" i="4" s="1"/>
  <c r="W283" i="12" s="1"/>
  <c r="JC283" i="4"/>
  <c r="X283" i="4" s="1"/>
  <c r="X282" i="12" s="1"/>
  <c r="HV283" i="4"/>
  <c r="W283" i="4" s="1"/>
  <c r="W282" i="12" s="1"/>
  <c r="JC282" i="4"/>
  <c r="X282" i="4" s="1"/>
  <c r="X281" i="12" s="1"/>
  <c r="HV282" i="4"/>
  <c r="W282" i="4" s="1"/>
  <c r="W281" i="12" s="1"/>
  <c r="JC281" i="4"/>
  <c r="X281" i="4" s="1"/>
  <c r="X280" i="12" s="1"/>
  <c r="HV281" i="4"/>
  <c r="W281" i="4" s="1"/>
  <c r="W280" i="12" s="1"/>
  <c r="JC280" i="4"/>
  <c r="X280" i="4" s="1"/>
  <c r="X279" i="12" s="1"/>
  <c r="HV280" i="4"/>
  <c r="W280" i="4" s="1"/>
  <c r="W279" i="12" s="1"/>
  <c r="JC279" i="4"/>
  <c r="X279" i="4" s="1"/>
  <c r="X278" i="12" s="1"/>
  <c r="HV279" i="4"/>
  <c r="W279" i="4" s="1"/>
  <c r="W278" i="12" s="1"/>
  <c r="JC278" i="4"/>
  <c r="X278" i="4" s="1"/>
  <c r="X277" i="12" s="1"/>
  <c r="HV278" i="4"/>
  <c r="W278" i="4" s="1"/>
  <c r="W277" i="12" s="1"/>
  <c r="JC277" i="4"/>
  <c r="X277" i="4" s="1"/>
  <c r="X276" i="12" s="1"/>
  <c r="HV277" i="4"/>
  <c r="W277" i="4" s="1"/>
  <c r="W276" i="12" s="1"/>
  <c r="JC276" i="4"/>
  <c r="X276" i="4" s="1"/>
  <c r="X275" i="12" s="1"/>
  <c r="HV276" i="4"/>
  <c r="W276" i="4" s="1"/>
  <c r="W275" i="12" s="1"/>
  <c r="JC275" i="4"/>
  <c r="X275" i="4" s="1"/>
  <c r="X274" i="12" s="1"/>
  <c r="HV275" i="4"/>
  <c r="W275" i="4" s="1"/>
  <c r="W274" i="12" s="1"/>
  <c r="JC274" i="4"/>
  <c r="X274" i="4" s="1"/>
  <c r="X273" i="12" s="1"/>
  <c r="HV274" i="4"/>
  <c r="W274" i="4" s="1"/>
  <c r="W273" i="12" s="1"/>
  <c r="JC273" i="4"/>
  <c r="X273" i="4" s="1"/>
  <c r="X272" i="12" s="1"/>
  <c r="HV273" i="4"/>
  <c r="W273" i="4" s="1"/>
  <c r="W272" i="12" s="1"/>
  <c r="JC272" i="4"/>
  <c r="X272" i="4" s="1"/>
  <c r="X271" i="12" s="1"/>
  <c r="HV272" i="4"/>
  <c r="W272" i="4" s="1"/>
  <c r="W271" i="12" s="1"/>
  <c r="JC271" i="4"/>
  <c r="X271" i="4" s="1"/>
  <c r="X270" i="12" s="1"/>
  <c r="HV271" i="4"/>
  <c r="W271" i="4" s="1"/>
  <c r="W270" i="12" s="1"/>
  <c r="JC270" i="4"/>
  <c r="X270" i="4" s="1"/>
  <c r="X269" i="12" s="1"/>
  <c r="HV270" i="4"/>
  <c r="W270" i="4" s="1"/>
  <c r="W269" i="12" s="1"/>
  <c r="JC269" i="4"/>
  <c r="X269" i="4" s="1"/>
  <c r="X268" i="12" s="1"/>
  <c r="HV269" i="4"/>
  <c r="W269" i="4" s="1"/>
  <c r="W268" i="12" s="1"/>
  <c r="JC268" i="4"/>
  <c r="X268" i="4" s="1"/>
  <c r="X267" i="12" s="1"/>
  <c r="HV268" i="4"/>
  <c r="W268" i="4" s="1"/>
  <c r="W267" i="12" s="1"/>
  <c r="JC267" i="4"/>
  <c r="X267" i="4" s="1"/>
  <c r="X266" i="12" s="1"/>
  <c r="HV267" i="4"/>
  <c r="W267" i="4" s="1"/>
  <c r="W266" i="12" s="1"/>
  <c r="JC266" i="4"/>
  <c r="X266" i="4" s="1"/>
  <c r="X265" i="12" s="1"/>
  <c r="HV266" i="4"/>
  <c r="W266" i="4" s="1"/>
  <c r="W265" i="12" s="1"/>
  <c r="JC265" i="4"/>
  <c r="X265" i="4" s="1"/>
  <c r="X264" i="12" s="1"/>
  <c r="HV265" i="4"/>
  <c r="W265" i="4" s="1"/>
  <c r="W264" i="12" s="1"/>
  <c r="JC264" i="4"/>
  <c r="X264" i="4" s="1"/>
  <c r="X263" i="12" s="1"/>
  <c r="HV264" i="4"/>
  <c r="W264" i="4" s="1"/>
  <c r="W263" i="12" s="1"/>
  <c r="JC263" i="4"/>
  <c r="X263" i="4" s="1"/>
  <c r="X262" i="12" s="1"/>
  <c r="HV263" i="4"/>
  <c r="W263" i="4" s="1"/>
  <c r="W262" i="12" s="1"/>
  <c r="JC262" i="4"/>
  <c r="X262" i="4" s="1"/>
  <c r="X261" i="12" s="1"/>
  <c r="HV262" i="4"/>
  <c r="W262" i="4" s="1"/>
  <c r="W261" i="12" s="1"/>
  <c r="JC261" i="4"/>
  <c r="X261" i="4" s="1"/>
  <c r="X260" i="12" s="1"/>
  <c r="HV261" i="4"/>
  <c r="W261" i="4" s="1"/>
  <c r="W260" i="12" s="1"/>
  <c r="JC260" i="4"/>
  <c r="X260" i="4" s="1"/>
  <c r="X259" i="12" s="1"/>
  <c r="HV260" i="4"/>
  <c r="W260" i="4" s="1"/>
  <c r="W259" i="12" s="1"/>
  <c r="JC259" i="4"/>
  <c r="X259" i="4" s="1"/>
  <c r="X258" i="12" s="1"/>
  <c r="HV259" i="4"/>
  <c r="W259" i="4" s="1"/>
  <c r="W258" i="12" s="1"/>
  <c r="JC258" i="4"/>
  <c r="X258" i="4" s="1"/>
  <c r="X257" i="12" s="1"/>
  <c r="HV258" i="4"/>
  <c r="W258" i="4" s="1"/>
  <c r="W257" i="12" s="1"/>
  <c r="JC257" i="4"/>
  <c r="X257" i="4" s="1"/>
  <c r="X256" i="12" s="1"/>
  <c r="HV257" i="4"/>
  <c r="W257" i="4" s="1"/>
  <c r="W256" i="12" s="1"/>
  <c r="JC256" i="4"/>
  <c r="X256" i="4" s="1"/>
  <c r="X255" i="12" s="1"/>
  <c r="HV256" i="4"/>
  <c r="W256" i="4" s="1"/>
  <c r="W255" i="12" s="1"/>
  <c r="JC255" i="4"/>
  <c r="X255" i="4" s="1"/>
  <c r="X254" i="12" s="1"/>
  <c r="HV255" i="4"/>
  <c r="W255" i="4" s="1"/>
  <c r="W254" i="12" s="1"/>
  <c r="JC254" i="4"/>
  <c r="X254" i="4" s="1"/>
  <c r="X253" i="12" s="1"/>
  <c r="HV254" i="4"/>
  <c r="W254" i="4" s="1"/>
  <c r="W253" i="12" s="1"/>
  <c r="JC253" i="4"/>
  <c r="X253" i="4" s="1"/>
  <c r="X252" i="12" s="1"/>
  <c r="HV253" i="4"/>
  <c r="W253" i="4" s="1"/>
  <c r="W252" i="12" s="1"/>
  <c r="JC252" i="4"/>
  <c r="X252" i="4" s="1"/>
  <c r="X251" i="12" s="1"/>
  <c r="HV252" i="4"/>
  <c r="W252" i="4" s="1"/>
  <c r="W251" i="12" s="1"/>
  <c r="JC251" i="4"/>
  <c r="X251" i="4" s="1"/>
  <c r="X250" i="12" s="1"/>
  <c r="HV251" i="4"/>
  <c r="W251" i="4" s="1"/>
  <c r="W250" i="12" s="1"/>
  <c r="JC250" i="4"/>
  <c r="X250" i="4" s="1"/>
  <c r="X249" i="12" s="1"/>
  <c r="HV250" i="4"/>
  <c r="W250" i="4" s="1"/>
  <c r="W249" i="12" s="1"/>
  <c r="JC249" i="4"/>
  <c r="X249" i="4" s="1"/>
  <c r="X248" i="12" s="1"/>
  <c r="HV249" i="4"/>
  <c r="W249" i="4" s="1"/>
  <c r="W248" i="12" s="1"/>
  <c r="JC248" i="4"/>
  <c r="X248" i="4" s="1"/>
  <c r="X247" i="12" s="1"/>
  <c r="HV248" i="4"/>
  <c r="W248" i="4" s="1"/>
  <c r="W247" i="12" s="1"/>
  <c r="JC247" i="4"/>
  <c r="X247" i="4" s="1"/>
  <c r="X246" i="12" s="1"/>
  <c r="HV247" i="4"/>
  <c r="W247" i="4" s="1"/>
  <c r="W246" i="12" s="1"/>
  <c r="JC246" i="4"/>
  <c r="X246" i="4" s="1"/>
  <c r="X245" i="12" s="1"/>
  <c r="HV246" i="4"/>
  <c r="W246" i="4" s="1"/>
  <c r="W245" i="12" s="1"/>
  <c r="JC245" i="4"/>
  <c r="X245" i="4" s="1"/>
  <c r="X244" i="12" s="1"/>
  <c r="HV245" i="4"/>
  <c r="W245" i="4" s="1"/>
  <c r="W244" i="12" s="1"/>
  <c r="JC244" i="4"/>
  <c r="X244" i="4" s="1"/>
  <c r="X243" i="12" s="1"/>
  <c r="HV244" i="4"/>
  <c r="W244" i="4" s="1"/>
  <c r="W243" i="12" s="1"/>
  <c r="JC243" i="4"/>
  <c r="X243" i="4" s="1"/>
  <c r="X242" i="12" s="1"/>
  <c r="HV243" i="4"/>
  <c r="W243" i="4" s="1"/>
  <c r="W242" i="12" s="1"/>
  <c r="JC242" i="4"/>
  <c r="X242" i="4" s="1"/>
  <c r="X241" i="12" s="1"/>
  <c r="HV242" i="4"/>
  <c r="W242" i="4" s="1"/>
  <c r="W241" i="12" s="1"/>
  <c r="JC241" i="4"/>
  <c r="X241" i="4" s="1"/>
  <c r="X240" i="12" s="1"/>
  <c r="HV241" i="4"/>
  <c r="W241" i="4" s="1"/>
  <c r="W240" i="12" s="1"/>
  <c r="JC240" i="4"/>
  <c r="X240" i="4" s="1"/>
  <c r="X239" i="12" s="1"/>
  <c r="HV240" i="4"/>
  <c r="W240" i="4" s="1"/>
  <c r="W239" i="12" s="1"/>
  <c r="JC239" i="4"/>
  <c r="X239" i="4" s="1"/>
  <c r="X238" i="12" s="1"/>
  <c r="HV239" i="4"/>
  <c r="W239" i="4" s="1"/>
  <c r="W238" i="12" s="1"/>
  <c r="JC238" i="4"/>
  <c r="X238" i="4" s="1"/>
  <c r="X237" i="12" s="1"/>
  <c r="HV238" i="4"/>
  <c r="W238" i="4" s="1"/>
  <c r="W237" i="12" s="1"/>
  <c r="JC237" i="4"/>
  <c r="X237" i="4" s="1"/>
  <c r="X236" i="12" s="1"/>
  <c r="HV237" i="4"/>
  <c r="W237" i="4" s="1"/>
  <c r="W236" i="12" s="1"/>
  <c r="JC236" i="4"/>
  <c r="X236" i="4" s="1"/>
  <c r="X235" i="12" s="1"/>
  <c r="HV236" i="4"/>
  <c r="W236" i="4" s="1"/>
  <c r="W235" i="12" s="1"/>
  <c r="JC235" i="4"/>
  <c r="X235" i="4" s="1"/>
  <c r="X234" i="12" s="1"/>
  <c r="HV235" i="4"/>
  <c r="W235" i="4" s="1"/>
  <c r="W234" i="12" s="1"/>
  <c r="JC234" i="4"/>
  <c r="X234" i="4" s="1"/>
  <c r="X233" i="12" s="1"/>
  <c r="HV234" i="4"/>
  <c r="W234" i="4" s="1"/>
  <c r="W233" i="12" s="1"/>
  <c r="JC233" i="4"/>
  <c r="X233" i="4" s="1"/>
  <c r="X232" i="12" s="1"/>
  <c r="HV233" i="4"/>
  <c r="W233" i="4" s="1"/>
  <c r="W232" i="12" s="1"/>
  <c r="JC232" i="4"/>
  <c r="X232" i="4" s="1"/>
  <c r="X231" i="12" s="1"/>
  <c r="HV232" i="4"/>
  <c r="W232" i="4" s="1"/>
  <c r="W231" i="12" s="1"/>
  <c r="JC231" i="4"/>
  <c r="X231" i="4" s="1"/>
  <c r="X230" i="12" s="1"/>
  <c r="HV231" i="4"/>
  <c r="W231" i="4" s="1"/>
  <c r="W230" i="12" s="1"/>
  <c r="JC230" i="4"/>
  <c r="X230" i="4" s="1"/>
  <c r="X229" i="12" s="1"/>
  <c r="HV230" i="4"/>
  <c r="W230" i="4" s="1"/>
  <c r="W229" i="12" s="1"/>
  <c r="JC229" i="4"/>
  <c r="X229" i="4" s="1"/>
  <c r="X228" i="12" s="1"/>
  <c r="HV229" i="4"/>
  <c r="W229" i="4" s="1"/>
  <c r="W228" i="12" s="1"/>
  <c r="JC228" i="4"/>
  <c r="X228" i="4" s="1"/>
  <c r="X227" i="12" s="1"/>
  <c r="HV228" i="4"/>
  <c r="W228" i="4" s="1"/>
  <c r="W227" i="12" s="1"/>
  <c r="JC227" i="4"/>
  <c r="X227" i="4" s="1"/>
  <c r="X226" i="12" s="1"/>
  <c r="HV227" i="4"/>
  <c r="W227" i="4" s="1"/>
  <c r="W226" i="12" s="1"/>
  <c r="JC226" i="4"/>
  <c r="X226" i="4" s="1"/>
  <c r="X225" i="12" s="1"/>
  <c r="HV226" i="4"/>
  <c r="W226" i="4" s="1"/>
  <c r="W225" i="12" s="1"/>
  <c r="JC225" i="4"/>
  <c r="X225" i="4" s="1"/>
  <c r="X224" i="12" s="1"/>
  <c r="HV225" i="4"/>
  <c r="W225" i="4" s="1"/>
  <c r="W224" i="12" s="1"/>
  <c r="JC224" i="4"/>
  <c r="X224" i="4" s="1"/>
  <c r="X223" i="12" s="1"/>
  <c r="HV224" i="4"/>
  <c r="W224" i="4" s="1"/>
  <c r="W223" i="12" s="1"/>
  <c r="JC223" i="4"/>
  <c r="X223" i="4" s="1"/>
  <c r="X222" i="12" s="1"/>
  <c r="HV223" i="4"/>
  <c r="W223" i="4" s="1"/>
  <c r="W222" i="12" s="1"/>
  <c r="JC222" i="4"/>
  <c r="X222" i="4" s="1"/>
  <c r="X221" i="12" s="1"/>
  <c r="HV222" i="4"/>
  <c r="W222" i="4" s="1"/>
  <c r="W221" i="12" s="1"/>
  <c r="JC221" i="4"/>
  <c r="X221" i="4" s="1"/>
  <c r="X220" i="12" s="1"/>
  <c r="HV221" i="4"/>
  <c r="W221" i="4" s="1"/>
  <c r="W220" i="12" s="1"/>
  <c r="JC220" i="4"/>
  <c r="X220" i="4" s="1"/>
  <c r="X219" i="12" s="1"/>
  <c r="HV220" i="4"/>
  <c r="W220" i="4" s="1"/>
  <c r="W219" i="12" s="1"/>
  <c r="JC219" i="4"/>
  <c r="X219" i="4" s="1"/>
  <c r="X218" i="12" s="1"/>
  <c r="HV219" i="4"/>
  <c r="W219" i="4" s="1"/>
  <c r="W218" i="12" s="1"/>
  <c r="JC218" i="4"/>
  <c r="X218" i="4" s="1"/>
  <c r="X217" i="12" s="1"/>
  <c r="HV218" i="4"/>
  <c r="W218" i="4" s="1"/>
  <c r="W217" i="12" s="1"/>
  <c r="JC217" i="4"/>
  <c r="X217" i="4" s="1"/>
  <c r="X216" i="12" s="1"/>
  <c r="HV217" i="4"/>
  <c r="W217" i="4" s="1"/>
  <c r="W216" i="12" s="1"/>
  <c r="JC216" i="4"/>
  <c r="X216" i="4" s="1"/>
  <c r="X215" i="12" s="1"/>
  <c r="HV216" i="4"/>
  <c r="W216" i="4" s="1"/>
  <c r="W215" i="12" s="1"/>
  <c r="JC215" i="4"/>
  <c r="X215" i="4" s="1"/>
  <c r="X214" i="12" s="1"/>
  <c r="HV215" i="4"/>
  <c r="W215" i="4" s="1"/>
  <c r="W214" i="12" s="1"/>
  <c r="JC214" i="4"/>
  <c r="X214" i="4" s="1"/>
  <c r="X213" i="12" s="1"/>
  <c r="HV214" i="4"/>
  <c r="W214" i="4" s="1"/>
  <c r="W213" i="12" s="1"/>
  <c r="JC213" i="4"/>
  <c r="X213" i="4" s="1"/>
  <c r="X212" i="12" s="1"/>
  <c r="HV213" i="4"/>
  <c r="W213" i="4" s="1"/>
  <c r="W212" i="12" s="1"/>
  <c r="JC212" i="4"/>
  <c r="X212" i="4" s="1"/>
  <c r="X211" i="12" s="1"/>
  <c r="HV212" i="4"/>
  <c r="W212" i="4" s="1"/>
  <c r="W211" i="12" s="1"/>
  <c r="JC211" i="4"/>
  <c r="X211" i="4" s="1"/>
  <c r="X210" i="12" s="1"/>
  <c r="HV211" i="4"/>
  <c r="W211" i="4" s="1"/>
  <c r="W210" i="12" s="1"/>
  <c r="JC210" i="4"/>
  <c r="X210" i="4" s="1"/>
  <c r="X209" i="12" s="1"/>
  <c r="HV210" i="4"/>
  <c r="W210" i="4" s="1"/>
  <c r="W209" i="12" s="1"/>
  <c r="JC209" i="4"/>
  <c r="X209" i="4" s="1"/>
  <c r="X208" i="12" s="1"/>
  <c r="HV209" i="4"/>
  <c r="W209" i="4" s="1"/>
  <c r="W208" i="12" s="1"/>
  <c r="JC208" i="4"/>
  <c r="X208" i="4" s="1"/>
  <c r="X207" i="12" s="1"/>
  <c r="HV208" i="4"/>
  <c r="W208" i="4" s="1"/>
  <c r="W207" i="12" s="1"/>
  <c r="JC207" i="4"/>
  <c r="X207" i="4" s="1"/>
  <c r="X206" i="12" s="1"/>
  <c r="HV207" i="4"/>
  <c r="W207" i="4" s="1"/>
  <c r="W206" i="12" s="1"/>
  <c r="JC206" i="4"/>
  <c r="X206" i="4" s="1"/>
  <c r="X205" i="12" s="1"/>
  <c r="HV206" i="4"/>
  <c r="W206" i="4" s="1"/>
  <c r="W205" i="12" s="1"/>
  <c r="JC205" i="4"/>
  <c r="X205" i="4" s="1"/>
  <c r="X204" i="12" s="1"/>
  <c r="HV205" i="4"/>
  <c r="W205" i="4" s="1"/>
  <c r="W204" i="12" s="1"/>
  <c r="JC204" i="4"/>
  <c r="X204" i="4" s="1"/>
  <c r="X203" i="12" s="1"/>
  <c r="HV204" i="4"/>
  <c r="W204" i="4" s="1"/>
  <c r="W203" i="12" s="1"/>
  <c r="JC203" i="4"/>
  <c r="X203" i="4" s="1"/>
  <c r="X202" i="12" s="1"/>
  <c r="HV203" i="4"/>
  <c r="W203" i="4" s="1"/>
  <c r="W202" i="12" s="1"/>
  <c r="JC202" i="4"/>
  <c r="X202" i="4" s="1"/>
  <c r="X201" i="12" s="1"/>
  <c r="HV202" i="4"/>
  <c r="W202" i="4" s="1"/>
  <c r="W201" i="12" s="1"/>
  <c r="JC201" i="4"/>
  <c r="X201" i="4" s="1"/>
  <c r="X200" i="12" s="1"/>
  <c r="HV201" i="4"/>
  <c r="W201" i="4" s="1"/>
  <c r="W200" i="12" s="1"/>
  <c r="JC200" i="4"/>
  <c r="X200" i="4" s="1"/>
  <c r="X199" i="12" s="1"/>
  <c r="HV200" i="4"/>
  <c r="W200" i="4" s="1"/>
  <c r="W199" i="12" s="1"/>
  <c r="JC199" i="4"/>
  <c r="X199" i="4" s="1"/>
  <c r="X198" i="12" s="1"/>
  <c r="HV199" i="4"/>
  <c r="W199" i="4" s="1"/>
  <c r="W198" i="12" s="1"/>
  <c r="JC198" i="4"/>
  <c r="X198" i="4" s="1"/>
  <c r="X197" i="12" s="1"/>
  <c r="HV198" i="4"/>
  <c r="W198" i="4" s="1"/>
  <c r="W197" i="12" s="1"/>
  <c r="JC197" i="4"/>
  <c r="X197" i="4" s="1"/>
  <c r="X196" i="12" s="1"/>
  <c r="HV197" i="4"/>
  <c r="W197" i="4" s="1"/>
  <c r="W196" i="12" s="1"/>
  <c r="JC196" i="4"/>
  <c r="X196" i="4" s="1"/>
  <c r="X195" i="12" s="1"/>
  <c r="HV196" i="4"/>
  <c r="W196" i="4" s="1"/>
  <c r="W195" i="12" s="1"/>
  <c r="JC195" i="4"/>
  <c r="X195" i="4" s="1"/>
  <c r="X194" i="12" s="1"/>
  <c r="HV195" i="4"/>
  <c r="W195" i="4" s="1"/>
  <c r="W194" i="12" s="1"/>
  <c r="JC194" i="4"/>
  <c r="X194" i="4" s="1"/>
  <c r="X193" i="12" s="1"/>
  <c r="HV194" i="4"/>
  <c r="W194" i="4" s="1"/>
  <c r="W193" i="12" s="1"/>
  <c r="JC193" i="4"/>
  <c r="X193" i="4" s="1"/>
  <c r="X192" i="12" s="1"/>
  <c r="HV193" i="4"/>
  <c r="W193" i="4" s="1"/>
  <c r="W192" i="12" s="1"/>
  <c r="JC192" i="4"/>
  <c r="X192" i="4" s="1"/>
  <c r="X191" i="12" s="1"/>
  <c r="HV192" i="4"/>
  <c r="W192" i="4" s="1"/>
  <c r="W191" i="12" s="1"/>
  <c r="JC191" i="4"/>
  <c r="X191" i="4" s="1"/>
  <c r="X190" i="12" s="1"/>
  <c r="HV191" i="4"/>
  <c r="W191" i="4" s="1"/>
  <c r="W190" i="12" s="1"/>
  <c r="JC190" i="4"/>
  <c r="X190" i="4" s="1"/>
  <c r="X189" i="12" s="1"/>
  <c r="HV190" i="4"/>
  <c r="W190" i="4" s="1"/>
  <c r="W189" i="12" s="1"/>
  <c r="JC189" i="4"/>
  <c r="X189" i="4" s="1"/>
  <c r="X188" i="12" s="1"/>
  <c r="HV189" i="4"/>
  <c r="W189" i="4" s="1"/>
  <c r="W188" i="12" s="1"/>
  <c r="JC188" i="4"/>
  <c r="X188" i="4" s="1"/>
  <c r="X187" i="12" s="1"/>
  <c r="HV188" i="4"/>
  <c r="W188" i="4" s="1"/>
  <c r="W187" i="12" s="1"/>
  <c r="JC187" i="4"/>
  <c r="X187" i="4" s="1"/>
  <c r="X186" i="12" s="1"/>
  <c r="HV187" i="4"/>
  <c r="W187" i="4" s="1"/>
  <c r="W186" i="12" s="1"/>
  <c r="JC186" i="4"/>
  <c r="X186" i="4" s="1"/>
  <c r="X185" i="12" s="1"/>
  <c r="HV186" i="4"/>
  <c r="W186" i="4" s="1"/>
  <c r="W185" i="12" s="1"/>
  <c r="JC185" i="4"/>
  <c r="X185" i="4" s="1"/>
  <c r="X184" i="12" s="1"/>
  <c r="HV185" i="4"/>
  <c r="W185" i="4" s="1"/>
  <c r="W184" i="12" s="1"/>
  <c r="JC184" i="4"/>
  <c r="X184" i="4" s="1"/>
  <c r="X183" i="12" s="1"/>
  <c r="HV184" i="4"/>
  <c r="W184" i="4" s="1"/>
  <c r="W183" i="12" s="1"/>
  <c r="JC183" i="4"/>
  <c r="X183" i="4" s="1"/>
  <c r="X182" i="12" s="1"/>
  <c r="HV183" i="4"/>
  <c r="W183" i="4" s="1"/>
  <c r="W182" i="12" s="1"/>
  <c r="JC182" i="4"/>
  <c r="X182" i="4" s="1"/>
  <c r="X181" i="12" s="1"/>
  <c r="HV182" i="4"/>
  <c r="W182" i="4" s="1"/>
  <c r="W181" i="12" s="1"/>
  <c r="JC181" i="4"/>
  <c r="X181" i="4" s="1"/>
  <c r="X180" i="12" s="1"/>
  <c r="HV181" i="4"/>
  <c r="W181" i="4" s="1"/>
  <c r="W180" i="12" s="1"/>
  <c r="JC180" i="4"/>
  <c r="X180" i="4" s="1"/>
  <c r="X179" i="12" s="1"/>
  <c r="HV180" i="4"/>
  <c r="W180" i="4" s="1"/>
  <c r="W179" i="12" s="1"/>
  <c r="JC176" i="4"/>
  <c r="X176" i="4" s="1"/>
  <c r="X175" i="12" s="1"/>
  <c r="HV176" i="4"/>
  <c r="W176" i="4" s="1"/>
  <c r="W175" i="12" s="1"/>
  <c r="JC175" i="4"/>
  <c r="X175" i="4" s="1"/>
  <c r="X174" i="12" s="1"/>
  <c r="HV175" i="4"/>
  <c r="W175" i="4" s="1"/>
  <c r="W174" i="12" s="1"/>
  <c r="JC174" i="4"/>
  <c r="X174" i="4" s="1"/>
  <c r="X173" i="12" s="1"/>
  <c r="HV174" i="4"/>
  <c r="W174" i="4" s="1"/>
  <c r="W173" i="12" s="1"/>
  <c r="JC173" i="4"/>
  <c r="X173" i="4" s="1"/>
  <c r="X172" i="12" s="1"/>
  <c r="HV173" i="4"/>
  <c r="W173" i="4" s="1"/>
  <c r="W172" i="12" s="1"/>
  <c r="JC172" i="4"/>
  <c r="X172" i="4" s="1"/>
  <c r="X171" i="12" s="1"/>
  <c r="HV172" i="4"/>
  <c r="W172" i="4" s="1"/>
  <c r="W171" i="12" s="1"/>
  <c r="JC171" i="4"/>
  <c r="X171" i="4" s="1"/>
  <c r="X170" i="12" s="1"/>
  <c r="HV171" i="4"/>
  <c r="W171" i="4" s="1"/>
  <c r="W170" i="12" s="1"/>
  <c r="JC170" i="4"/>
  <c r="X170" i="4" s="1"/>
  <c r="X169" i="12" s="1"/>
  <c r="HV170" i="4"/>
  <c r="W170" i="4" s="1"/>
  <c r="W169" i="12" s="1"/>
  <c r="JC169" i="4"/>
  <c r="X169" i="4" s="1"/>
  <c r="X168" i="12" s="1"/>
  <c r="HV169" i="4"/>
  <c r="W169" i="4" s="1"/>
  <c r="W168" i="12" s="1"/>
  <c r="JC168" i="4"/>
  <c r="X168" i="4" s="1"/>
  <c r="X167" i="12" s="1"/>
  <c r="HV168" i="4"/>
  <c r="W168" i="4" s="1"/>
  <c r="W167" i="12" s="1"/>
  <c r="JC167" i="4"/>
  <c r="X167" i="4" s="1"/>
  <c r="X166" i="12" s="1"/>
  <c r="HV167" i="4"/>
  <c r="W167" i="4" s="1"/>
  <c r="W166" i="12" s="1"/>
  <c r="JC166" i="4"/>
  <c r="X166" i="4" s="1"/>
  <c r="X165" i="12" s="1"/>
  <c r="HV166" i="4"/>
  <c r="W166" i="4" s="1"/>
  <c r="W165" i="12" s="1"/>
  <c r="JC165" i="4"/>
  <c r="X165" i="4" s="1"/>
  <c r="X164" i="12" s="1"/>
  <c r="HV165" i="4"/>
  <c r="W165" i="4" s="1"/>
  <c r="W164" i="12" s="1"/>
  <c r="JC164" i="4"/>
  <c r="X164" i="4" s="1"/>
  <c r="X163" i="12" s="1"/>
  <c r="HV164" i="4"/>
  <c r="W164" i="4" s="1"/>
  <c r="W163" i="12" s="1"/>
  <c r="JC163" i="4"/>
  <c r="X163" i="4" s="1"/>
  <c r="X162" i="12" s="1"/>
  <c r="HV163" i="4"/>
  <c r="W163" i="4" s="1"/>
  <c r="W162" i="12" s="1"/>
  <c r="JC162" i="4"/>
  <c r="X162" i="4" s="1"/>
  <c r="X161" i="12" s="1"/>
  <c r="HV162" i="4"/>
  <c r="W162" i="4" s="1"/>
  <c r="W161" i="12" s="1"/>
  <c r="JC161" i="4"/>
  <c r="X161" i="4" s="1"/>
  <c r="X160" i="12" s="1"/>
  <c r="HV161" i="4"/>
  <c r="W161" i="4" s="1"/>
  <c r="W160" i="12" s="1"/>
  <c r="JC160" i="4"/>
  <c r="X160" i="4" s="1"/>
  <c r="X159" i="12" s="1"/>
  <c r="HV160" i="4"/>
  <c r="W160" i="4" s="1"/>
  <c r="W159" i="12" s="1"/>
  <c r="JC159" i="4"/>
  <c r="X159" i="4" s="1"/>
  <c r="X158" i="12" s="1"/>
  <c r="HV159" i="4"/>
  <c r="W159" i="4" s="1"/>
  <c r="W158" i="12" s="1"/>
  <c r="JC158" i="4"/>
  <c r="X158" i="4" s="1"/>
  <c r="X157" i="12" s="1"/>
  <c r="HV158" i="4"/>
  <c r="W158" i="4" s="1"/>
  <c r="W157" i="12" s="1"/>
  <c r="JC157" i="4"/>
  <c r="X157" i="4" s="1"/>
  <c r="X156" i="12" s="1"/>
  <c r="HV157" i="4"/>
  <c r="W157" i="4" s="1"/>
  <c r="W156" i="12" s="1"/>
  <c r="JC156" i="4"/>
  <c r="X156" i="4" s="1"/>
  <c r="X155" i="12" s="1"/>
  <c r="HV156" i="4"/>
  <c r="W156" i="4" s="1"/>
  <c r="W155" i="12" s="1"/>
  <c r="JC155" i="4"/>
  <c r="X155" i="4" s="1"/>
  <c r="X154" i="12" s="1"/>
  <c r="HV155" i="4"/>
  <c r="W155" i="4" s="1"/>
  <c r="W154" i="12" s="1"/>
  <c r="JC154" i="4"/>
  <c r="X154" i="4" s="1"/>
  <c r="X153" i="12" s="1"/>
  <c r="HV154" i="4"/>
  <c r="W154" i="4" s="1"/>
  <c r="W153" i="12" s="1"/>
  <c r="JC153" i="4"/>
  <c r="X153" i="4" s="1"/>
  <c r="X152" i="12" s="1"/>
  <c r="HV153" i="4"/>
  <c r="W153" i="4" s="1"/>
  <c r="W152" i="12" s="1"/>
  <c r="JC151" i="4"/>
  <c r="X151" i="4" s="1"/>
  <c r="X150" i="12" s="1"/>
  <c r="HV151" i="4"/>
  <c r="W151" i="4" s="1"/>
  <c r="W150" i="12" s="1"/>
  <c r="JC150" i="4"/>
  <c r="X150" i="4" s="1"/>
  <c r="X149" i="12" s="1"/>
  <c r="HV150" i="4"/>
  <c r="W150" i="4" s="1"/>
  <c r="W149" i="12" s="1"/>
  <c r="JC149" i="4"/>
  <c r="X149" i="4" s="1"/>
  <c r="X148" i="12" s="1"/>
  <c r="HV149" i="4"/>
  <c r="W149" i="4" s="1"/>
  <c r="W148" i="12" s="1"/>
  <c r="JC148" i="4"/>
  <c r="X148" i="4" s="1"/>
  <c r="X147" i="12" s="1"/>
  <c r="HV148" i="4"/>
  <c r="W148" i="4" s="1"/>
  <c r="W147" i="12" s="1"/>
  <c r="JC147" i="4"/>
  <c r="X147" i="4" s="1"/>
  <c r="X146" i="12" s="1"/>
  <c r="HV147" i="4"/>
  <c r="W147" i="4" s="1"/>
  <c r="W146" i="12" s="1"/>
  <c r="JC146" i="4"/>
  <c r="X146" i="4" s="1"/>
  <c r="X145" i="12" s="1"/>
  <c r="HV146" i="4"/>
  <c r="W146" i="4" s="1"/>
  <c r="W145" i="12" s="1"/>
  <c r="JC145" i="4"/>
  <c r="X145" i="4" s="1"/>
  <c r="X144" i="12" s="1"/>
  <c r="HV145" i="4"/>
  <c r="W145" i="4" s="1"/>
  <c r="W144" i="12" s="1"/>
  <c r="JC144" i="4"/>
  <c r="X144" i="4" s="1"/>
  <c r="X143" i="12" s="1"/>
  <c r="HV144" i="4"/>
  <c r="W144" i="4" s="1"/>
  <c r="W143" i="12" s="1"/>
  <c r="JC143" i="4"/>
  <c r="X143" i="4" s="1"/>
  <c r="X142" i="12" s="1"/>
  <c r="HV143" i="4"/>
  <c r="W143" i="4" s="1"/>
  <c r="W142" i="12" s="1"/>
  <c r="JC142" i="4"/>
  <c r="X142" i="4" s="1"/>
  <c r="X141" i="12" s="1"/>
  <c r="HV142" i="4"/>
  <c r="W142" i="4" s="1"/>
  <c r="W141" i="12" s="1"/>
  <c r="JC140" i="4"/>
  <c r="X140" i="4" s="1"/>
  <c r="X139" i="12" s="1"/>
  <c r="HV140" i="4"/>
  <c r="W140" i="4" s="1"/>
  <c r="W139" i="12" s="1"/>
  <c r="JC139" i="4"/>
  <c r="X139" i="4" s="1"/>
  <c r="X138" i="12" s="1"/>
  <c r="HV139" i="4"/>
  <c r="W139" i="4" s="1"/>
  <c r="W138" i="12" s="1"/>
  <c r="JC138" i="4"/>
  <c r="X138" i="4" s="1"/>
  <c r="X137" i="12" s="1"/>
  <c r="HV138" i="4"/>
  <c r="W138" i="4" s="1"/>
  <c r="W137" i="12" s="1"/>
  <c r="JC137" i="4"/>
  <c r="X137" i="4" s="1"/>
  <c r="X136" i="12" s="1"/>
  <c r="HV137" i="4"/>
  <c r="W137" i="4" s="1"/>
  <c r="W136" i="12" s="1"/>
  <c r="JC136" i="4"/>
  <c r="X136" i="4" s="1"/>
  <c r="X135" i="12" s="1"/>
  <c r="HV136" i="4"/>
  <c r="W136" i="4" s="1"/>
  <c r="W135" i="12" s="1"/>
  <c r="JC135" i="4"/>
  <c r="X135" i="4" s="1"/>
  <c r="X134" i="12" s="1"/>
  <c r="HV135" i="4"/>
  <c r="W135" i="4" s="1"/>
  <c r="W134" i="12" s="1"/>
  <c r="JC134" i="4"/>
  <c r="X134" i="4" s="1"/>
  <c r="X133" i="12" s="1"/>
  <c r="HV134" i="4"/>
  <c r="W134" i="4" s="1"/>
  <c r="W133" i="12" s="1"/>
  <c r="JC133" i="4"/>
  <c r="X133" i="4" s="1"/>
  <c r="X132" i="12" s="1"/>
  <c r="HV133" i="4"/>
  <c r="W133" i="4" s="1"/>
  <c r="W132" i="12" s="1"/>
  <c r="JC132" i="4"/>
  <c r="X132" i="4" s="1"/>
  <c r="X131" i="12" s="1"/>
  <c r="HV132" i="4"/>
  <c r="W132" i="4" s="1"/>
  <c r="W131" i="12" s="1"/>
  <c r="JC131" i="4"/>
  <c r="X131" i="4" s="1"/>
  <c r="X130" i="12" s="1"/>
  <c r="HV131" i="4"/>
  <c r="W131" i="4" s="1"/>
  <c r="W130" i="12" s="1"/>
  <c r="JC130" i="4"/>
  <c r="X130" i="4" s="1"/>
  <c r="X129" i="12" s="1"/>
  <c r="HV130" i="4"/>
  <c r="W130" i="4" s="1"/>
  <c r="W129" i="12" s="1"/>
  <c r="JC129" i="4"/>
  <c r="X129" i="4" s="1"/>
  <c r="X128" i="12" s="1"/>
  <c r="HV129" i="4"/>
  <c r="W129" i="4" s="1"/>
  <c r="W128" i="12" s="1"/>
  <c r="JC128" i="4"/>
  <c r="X128" i="4" s="1"/>
  <c r="X127" i="12" s="1"/>
  <c r="HV128" i="4"/>
  <c r="W128" i="4" s="1"/>
  <c r="W127" i="12" s="1"/>
  <c r="JC127" i="4"/>
  <c r="X127" i="4" s="1"/>
  <c r="X126" i="12" s="1"/>
  <c r="HV127" i="4"/>
  <c r="W127" i="4" s="1"/>
  <c r="W126" i="12" s="1"/>
  <c r="JC125" i="4"/>
  <c r="X125" i="4" s="1"/>
  <c r="X124" i="12" s="1"/>
  <c r="HV125" i="4"/>
  <c r="W125" i="4" s="1"/>
  <c r="W124" i="12" s="1"/>
  <c r="JC124" i="4"/>
  <c r="X124" i="4" s="1"/>
  <c r="X123" i="12" s="1"/>
  <c r="HV124" i="4"/>
  <c r="W124" i="4" s="1"/>
  <c r="W123" i="12" s="1"/>
  <c r="JC123" i="4"/>
  <c r="X123" i="4" s="1"/>
  <c r="X122" i="12" s="1"/>
  <c r="HV123" i="4"/>
  <c r="W123" i="4" s="1"/>
  <c r="W122" i="12" s="1"/>
  <c r="JC122" i="4"/>
  <c r="X122" i="4" s="1"/>
  <c r="X121" i="12" s="1"/>
  <c r="HV122" i="4"/>
  <c r="W122" i="4" s="1"/>
  <c r="W121" i="12" s="1"/>
  <c r="JC121" i="4"/>
  <c r="X121" i="4" s="1"/>
  <c r="X120" i="12" s="1"/>
  <c r="HV121" i="4"/>
  <c r="W121" i="4" s="1"/>
  <c r="W120" i="12" s="1"/>
  <c r="JC120" i="4"/>
  <c r="X120" i="4" s="1"/>
  <c r="X119" i="12" s="1"/>
  <c r="HV120" i="4"/>
  <c r="W120" i="4" s="1"/>
  <c r="W119" i="12" s="1"/>
  <c r="JC119" i="4"/>
  <c r="X119" i="4" s="1"/>
  <c r="X118" i="12" s="1"/>
  <c r="HV119" i="4"/>
  <c r="W119" i="4" s="1"/>
  <c r="W118" i="12" s="1"/>
  <c r="JC118" i="4"/>
  <c r="X118" i="4" s="1"/>
  <c r="X117" i="12" s="1"/>
  <c r="HV118" i="4"/>
  <c r="W118" i="4" s="1"/>
  <c r="W117" i="12" s="1"/>
  <c r="JC117" i="4"/>
  <c r="X117" i="4" s="1"/>
  <c r="X116" i="12" s="1"/>
  <c r="HV117" i="4"/>
  <c r="W117" i="4" s="1"/>
  <c r="W116" i="12" s="1"/>
  <c r="JC116" i="4"/>
  <c r="X116" i="4" s="1"/>
  <c r="X115" i="12" s="1"/>
  <c r="HV116" i="4"/>
  <c r="W116" i="4" s="1"/>
  <c r="W115" i="12" s="1"/>
  <c r="JC115" i="4"/>
  <c r="X115" i="4" s="1"/>
  <c r="X114" i="12" s="1"/>
  <c r="HV115" i="4"/>
  <c r="W115" i="4" s="1"/>
  <c r="W114" i="12" s="1"/>
  <c r="JC114" i="4"/>
  <c r="X114" i="4" s="1"/>
  <c r="X113" i="12" s="1"/>
  <c r="HV114" i="4"/>
  <c r="W114" i="4" s="1"/>
  <c r="W113" i="12" s="1"/>
  <c r="JC113" i="4"/>
  <c r="X113" i="4" s="1"/>
  <c r="X112" i="12" s="1"/>
  <c r="HV113" i="4"/>
  <c r="W113" i="4" s="1"/>
  <c r="W112" i="12" s="1"/>
  <c r="JC112" i="4"/>
  <c r="X112" i="4" s="1"/>
  <c r="X111" i="12" s="1"/>
  <c r="HV112" i="4"/>
  <c r="W112" i="4" s="1"/>
  <c r="W111" i="12" s="1"/>
  <c r="JC111" i="4"/>
  <c r="X111" i="4" s="1"/>
  <c r="X110" i="12" s="1"/>
  <c r="HV111" i="4"/>
  <c r="W111" i="4" s="1"/>
  <c r="W110" i="12" s="1"/>
  <c r="JC110" i="4"/>
  <c r="X110" i="4" s="1"/>
  <c r="X109" i="12" s="1"/>
  <c r="HV110" i="4"/>
  <c r="W110" i="4" s="1"/>
  <c r="W109" i="12" s="1"/>
  <c r="JC109" i="4"/>
  <c r="X109" i="4" s="1"/>
  <c r="X108" i="12" s="1"/>
  <c r="HV109" i="4"/>
  <c r="W109" i="4" s="1"/>
  <c r="W108" i="12" s="1"/>
  <c r="JC108" i="4"/>
  <c r="X108" i="4" s="1"/>
  <c r="X107" i="12" s="1"/>
  <c r="HV108" i="4"/>
  <c r="W108" i="4" s="1"/>
  <c r="W107" i="12" s="1"/>
  <c r="JC107" i="4"/>
  <c r="X107" i="4" s="1"/>
  <c r="X106" i="12" s="1"/>
  <c r="HV107" i="4"/>
  <c r="W107" i="4" s="1"/>
  <c r="W106" i="12" s="1"/>
  <c r="JC106" i="4"/>
  <c r="X106" i="4" s="1"/>
  <c r="X105" i="12" s="1"/>
  <c r="HV106" i="4"/>
  <c r="W106" i="4" s="1"/>
  <c r="W105" i="12" s="1"/>
  <c r="JC105" i="4"/>
  <c r="X105" i="4" s="1"/>
  <c r="X104" i="12" s="1"/>
  <c r="HV105" i="4"/>
  <c r="W105" i="4" s="1"/>
  <c r="W104" i="12" s="1"/>
  <c r="JC104" i="4"/>
  <c r="X104" i="4" s="1"/>
  <c r="X103" i="12" s="1"/>
  <c r="HV104" i="4"/>
  <c r="W104" i="4" s="1"/>
  <c r="W103" i="12" s="1"/>
  <c r="JC103" i="4"/>
  <c r="X103" i="4" s="1"/>
  <c r="X102" i="12" s="1"/>
  <c r="HV103" i="4"/>
  <c r="W103" i="4" s="1"/>
  <c r="W102" i="12" s="1"/>
  <c r="JC102" i="4"/>
  <c r="X102" i="4" s="1"/>
  <c r="X101" i="12" s="1"/>
  <c r="HV102" i="4"/>
  <c r="W102" i="4" s="1"/>
  <c r="W101" i="12" s="1"/>
  <c r="JC101" i="4"/>
  <c r="X101" i="4" s="1"/>
  <c r="X100" i="12" s="1"/>
  <c r="HV101" i="4"/>
  <c r="W101" i="4" s="1"/>
  <c r="W100" i="12" s="1"/>
  <c r="JC100" i="4"/>
  <c r="X100" i="4" s="1"/>
  <c r="X99" i="12" s="1"/>
  <c r="HV100" i="4"/>
  <c r="W100" i="4" s="1"/>
  <c r="W99" i="12" s="1"/>
  <c r="JC99" i="4"/>
  <c r="X99" i="4" s="1"/>
  <c r="X98" i="12" s="1"/>
  <c r="HV99" i="4"/>
  <c r="W99" i="4" s="1"/>
  <c r="W98" i="12" s="1"/>
  <c r="JC98" i="4"/>
  <c r="X98" i="4" s="1"/>
  <c r="X97" i="12" s="1"/>
  <c r="HV98" i="4"/>
  <c r="W98" i="4" s="1"/>
  <c r="W97" i="12" s="1"/>
  <c r="JC97" i="4"/>
  <c r="X97" i="4" s="1"/>
  <c r="X96" i="12" s="1"/>
  <c r="HV97" i="4"/>
  <c r="W97" i="4" s="1"/>
  <c r="W96" i="12" s="1"/>
  <c r="JC96" i="4"/>
  <c r="X96" i="4" s="1"/>
  <c r="X95" i="12" s="1"/>
  <c r="HV96" i="4"/>
  <c r="W96" i="4" s="1"/>
  <c r="W95" i="12" s="1"/>
  <c r="JC95" i="4"/>
  <c r="X95" i="4" s="1"/>
  <c r="X94" i="12" s="1"/>
  <c r="HV95" i="4"/>
  <c r="W95" i="4" s="1"/>
  <c r="W94" i="12" s="1"/>
  <c r="JC94" i="4"/>
  <c r="X94" i="4" s="1"/>
  <c r="X93" i="12" s="1"/>
  <c r="HV94" i="4"/>
  <c r="W94" i="4" s="1"/>
  <c r="W93" i="12" s="1"/>
  <c r="JC93" i="4"/>
  <c r="X93" i="4" s="1"/>
  <c r="X92" i="12" s="1"/>
  <c r="HV93" i="4"/>
  <c r="W93" i="4" s="1"/>
  <c r="W92" i="12" s="1"/>
  <c r="JC92" i="4"/>
  <c r="X92" i="4" s="1"/>
  <c r="X91" i="12" s="1"/>
  <c r="HV92" i="4"/>
  <c r="W92" i="4" s="1"/>
  <c r="W91" i="12" s="1"/>
  <c r="JC91" i="4"/>
  <c r="X91" i="4" s="1"/>
  <c r="X90" i="12" s="1"/>
  <c r="HV91" i="4"/>
  <c r="W91" i="4" s="1"/>
  <c r="W90" i="12" s="1"/>
  <c r="JC90" i="4"/>
  <c r="X90" i="4" s="1"/>
  <c r="X89" i="12" s="1"/>
  <c r="HV90" i="4"/>
  <c r="W90" i="4" s="1"/>
  <c r="W89" i="12" s="1"/>
  <c r="JC89" i="4"/>
  <c r="X89" i="4" s="1"/>
  <c r="X88" i="12" s="1"/>
  <c r="HV89" i="4"/>
  <c r="W89" i="4" s="1"/>
  <c r="W88" i="12" s="1"/>
  <c r="JC88" i="4"/>
  <c r="X88" i="4" s="1"/>
  <c r="X87" i="12" s="1"/>
  <c r="HV88" i="4"/>
  <c r="W88" i="4" s="1"/>
  <c r="W87" i="12" s="1"/>
  <c r="JC87" i="4"/>
  <c r="X87" i="4" s="1"/>
  <c r="X86" i="12" s="1"/>
  <c r="HV87" i="4"/>
  <c r="W87" i="4" s="1"/>
  <c r="W86" i="12" s="1"/>
  <c r="JC86" i="4"/>
  <c r="X86" i="4" s="1"/>
  <c r="X85" i="12" s="1"/>
  <c r="HV86" i="4"/>
  <c r="W86" i="4" s="1"/>
  <c r="W85" i="12" s="1"/>
  <c r="JC85" i="4"/>
  <c r="X85" i="4" s="1"/>
  <c r="X84" i="12" s="1"/>
  <c r="HV85" i="4"/>
  <c r="W85" i="4" s="1"/>
  <c r="W84" i="12" s="1"/>
  <c r="JC84" i="4"/>
  <c r="X84" i="4" s="1"/>
  <c r="X83" i="12" s="1"/>
  <c r="HV84" i="4"/>
  <c r="W84" i="4" s="1"/>
  <c r="W83" i="12" s="1"/>
  <c r="JC83" i="4"/>
  <c r="X83" i="4" s="1"/>
  <c r="X82" i="12" s="1"/>
  <c r="HV83" i="4"/>
  <c r="W83" i="4" s="1"/>
  <c r="W82" i="12" s="1"/>
  <c r="JC82" i="4"/>
  <c r="X82" i="4" s="1"/>
  <c r="X81" i="12" s="1"/>
  <c r="HV82" i="4"/>
  <c r="W82" i="4" s="1"/>
  <c r="W81" i="12" s="1"/>
  <c r="JC81" i="4"/>
  <c r="X81" i="4" s="1"/>
  <c r="X80" i="12" s="1"/>
  <c r="HV81" i="4"/>
  <c r="W81" i="4" s="1"/>
  <c r="W80" i="12" s="1"/>
  <c r="JC80" i="4"/>
  <c r="X80" i="4" s="1"/>
  <c r="X79" i="12" s="1"/>
  <c r="HV80" i="4"/>
  <c r="W80" i="4" s="1"/>
  <c r="W79" i="12" s="1"/>
  <c r="JC79" i="4"/>
  <c r="X79" i="4" s="1"/>
  <c r="X78" i="12" s="1"/>
  <c r="HV79" i="4"/>
  <c r="W79" i="4" s="1"/>
  <c r="W78" i="12" s="1"/>
  <c r="JC78" i="4"/>
  <c r="X78" i="4" s="1"/>
  <c r="X77" i="12" s="1"/>
  <c r="HV78" i="4"/>
  <c r="W78" i="4" s="1"/>
  <c r="W77" i="12" s="1"/>
  <c r="JC77" i="4"/>
  <c r="X77" i="4" s="1"/>
  <c r="X76" i="12" s="1"/>
  <c r="HV77" i="4"/>
  <c r="W77" i="4" s="1"/>
  <c r="W76" i="12" s="1"/>
  <c r="JC76" i="4"/>
  <c r="X76" i="4" s="1"/>
  <c r="X75" i="12" s="1"/>
  <c r="HV76" i="4"/>
  <c r="W76" i="4" s="1"/>
  <c r="W75" i="12" s="1"/>
  <c r="JC75" i="4"/>
  <c r="X75" i="4" s="1"/>
  <c r="X74" i="12" s="1"/>
  <c r="HV75" i="4"/>
  <c r="W75" i="4" s="1"/>
  <c r="W74" i="12" s="1"/>
  <c r="JC74" i="4"/>
  <c r="X74" i="4" s="1"/>
  <c r="X73" i="12" s="1"/>
  <c r="HV74" i="4"/>
  <c r="W74" i="4" s="1"/>
  <c r="W73" i="12" s="1"/>
  <c r="JC73" i="4"/>
  <c r="X73" i="4" s="1"/>
  <c r="X72" i="12" s="1"/>
  <c r="HV73" i="4"/>
  <c r="W73" i="4" s="1"/>
  <c r="W72" i="12" s="1"/>
  <c r="JC72" i="4"/>
  <c r="X72" i="4" s="1"/>
  <c r="X71" i="12" s="1"/>
  <c r="HV72" i="4"/>
  <c r="W72" i="4" s="1"/>
  <c r="W71" i="12" s="1"/>
  <c r="JC71" i="4"/>
  <c r="X71" i="4" s="1"/>
  <c r="X70" i="12" s="1"/>
  <c r="HV71" i="4"/>
  <c r="W71" i="4" s="1"/>
  <c r="W70" i="12" s="1"/>
  <c r="JC70" i="4"/>
  <c r="X70" i="4" s="1"/>
  <c r="X69" i="12" s="1"/>
  <c r="HV70" i="4"/>
  <c r="W70" i="4" s="1"/>
  <c r="W69" i="12" s="1"/>
  <c r="JC69" i="4"/>
  <c r="X69" i="4" s="1"/>
  <c r="X68" i="12" s="1"/>
  <c r="HV69" i="4"/>
  <c r="W69" i="4" s="1"/>
  <c r="W68" i="12" s="1"/>
  <c r="JC68" i="4"/>
  <c r="X68" i="4" s="1"/>
  <c r="X67" i="12" s="1"/>
  <c r="HV68" i="4"/>
  <c r="W68" i="4" s="1"/>
  <c r="W67" i="12" s="1"/>
  <c r="JC67" i="4"/>
  <c r="X67" i="4" s="1"/>
  <c r="X66" i="12" s="1"/>
  <c r="HV67" i="4"/>
  <c r="W67" i="4" s="1"/>
  <c r="W66" i="12" s="1"/>
  <c r="JC66" i="4"/>
  <c r="X66" i="4" s="1"/>
  <c r="X65" i="12" s="1"/>
  <c r="HV66" i="4"/>
  <c r="W66" i="4" s="1"/>
  <c r="W65" i="12" s="1"/>
  <c r="JC65" i="4"/>
  <c r="X65" i="4" s="1"/>
  <c r="X64" i="12" s="1"/>
  <c r="HV65" i="4"/>
  <c r="W65" i="4" s="1"/>
  <c r="W64" i="12" s="1"/>
  <c r="JC64" i="4"/>
  <c r="X64" i="4" s="1"/>
  <c r="X63" i="12" s="1"/>
  <c r="HV64" i="4"/>
  <c r="W64" i="4" s="1"/>
  <c r="W63" i="12" s="1"/>
  <c r="JC63" i="4"/>
  <c r="X63" i="4" s="1"/>
  <c r="X62" i="12" s="1"/>
  <c r="HV63" i="4"/>
  <c r="W63" i="4" s="1"/>
  <c r="W62" i="12" s="1"/>
  <c r="JC62" i="4"/>
  <c r="X62" i="4" s="1"/>
  <c r="X61" i="12" s="1"/>
  <c r="HV62" i="4"/>
  <c r="W62" i="4" s="1"/>
  <c r="W61" i="12" s="1"/>
  <c r="JC61" i="4"/>
  <c r="X61" i="4" s="1"/>
  <c r="X60" i="12" s="1"/>
  <c r="HV61" i="4"/>
  <c r="W61" i="4" s="1"/>
  <c r="W60" i="12" s="1"/>
  <c r="JC60" i="4"/>
  <c r="X60" i="4" s="1"/>
  <c r="X59" i="12" s="1"/>
  <c r="HV60" i="4"/>
  <c r="W60" i="4" s="1"/>
  <c r="W59" i="12" s="1"/>
  <c r="JC59" i="4"/>
  <c r="X59" i="4" s="1"/>
  <c r="X58" i="12" s="1"/>
  <c r="HV59" i="4"/>
  <c r="W59" i="4" s="1"/>
  <c r="W58" i="12" s="1"/>
  <c r="JC58" i="4"/>
  <c r="X58" i="4" s="1"/>
  <c r="X57" i="12" s="1"/>
  <c r="HV58" i="4"/>
  <c r="W58" i="4" s="1"/>
  <c r="W57" i="12" s="1"/>
  <c r="JC57" i="4"/>
  <c r="X57" i="4" s="1"/>
  <c r="X56" i="12" s="1"/>
  <c r="HV57" i="4"/>
  <c r="W57" i="4" s="1"/>
  <c r="W56" i="12" s="1"/>
  <c r="JC56" i="4"/>
  <c r="X56" i="4" s="1"/>
  <c r="X55" i="12" s="1"/>
  <c r="HV56" i="4"/>
  <c r="W56" i="4" s="1"/>
  <c r="W55" i="12" s="1"/>
  <c r="JC55" i="4"/>
  <c r="X55" i="4" s="1"/>
  <c r="X54" i="12" s="1"/>
  <c r="HV55" i="4"/>
  <c r="W55" i="4" s="1"/>
  <c r="W54" i="12" s="1"/>
  <c r="JC54" i="4"/>
  <c r="X54" i="4" s="1"/>
  <c r="X53" i="12" s="1"/>
  <c r="HV54" i="4"/>
  <c r="W54" i="4" s="1"/>
  <c r="W53" i="12" s="1"/>
  <c r="JC53" i="4"/>
  <c r="X53" i="4" s="1"/>
  <c r="X52" i="12" s="1"/>
  <c r="HV53" i="4"/>
  <c r="W53" i="4" s="1"/>
  <c r="W52" i="12" s="1"/>
  <c r="JC52" i="4"/>
  <c r="X52" i="4" s="1"/>
  <c r="X51" i="12" s="1"/>
  <c r="HV52" i="4"/>
  <c r="W52" i="4" s="1"/>
  <c r="W51" i="12" s="1"/>
  <c r="JC51" i="4"/>
  <c r="X51" i="4" s="1"/>
  <c r="X50" i="12" s="1"/>
  <c r="HV51" i="4"/>
  <c r="W51" i="4" s="1"/>
  <c r="W50" i="12" s="1"/>
  <c r="JC50" i="4"/>
  <c r="X50" i="4" s="1"/>
  <c r="X49" i="12" s="1"/>
  <c r="HV50" i="4"/>
  <c r="W50" i="4" s="1"/>
  <c r="W49" i="12" s="1"/>
  <c r="JC49" i="4"/>
  <c r="X49" i="4" s="1"/>
  <c r="X48" i="12" s="1"/>
  <c r="HV49" i="4"/>
  <c r="W49" i="4" s="1"/>
  <c r="W48" i="12" s="1"/>
  <c r="JC48" i="4"/>
  <c r="X48" i="4" s="1"/>
  <c r="X47" i="12" s="1"/>
  <c r="HV48" i="4"/>
  <c r="W48" i="4" s="1"/>
  <c r="W47" i="12" s="1"/>
  <c r="JC47" i="4"/>
  <c r="X47" i="4" s="1"/>
  <c r="X46" i="12" s="1"/>
  <c r="HV47" i="4"/>
  <c r="W47" i="4" s="1"/>
  <c r="W46" i="12" s="1"/>
  <c r="JC46" i="4"/>
  <c r="X46" i="4" s="1"/>
  <c r="X45" i="12" s="1"/>
  <c r="HV46" i="4"/>
  <c r="W46" i="4" s="1"/>
  <c r="W45" i="12" s="1"/>
  <c r="JC45" i="4"/>
  <c r="X45" i="4" s="1"/>
  <c r="X44" i="12" s="1"/>
  <c r="HV45" i="4"/>
  <c r="W45" i="4" s="1"/>
  <c r="W44" i="12" s="1"/>
  <c r="JC44" i="4"/>
  <c r="X44" i="4" s="1"/>
  <c r="X43" i="12" s="1"/>
  <c r="HV44" i="4"/>
  <c r="W44" i="4" s="1"/>
  <c r="W43" i="12" s="1"/>
  <c r="JC43" i="4"/>
  <c r="X43" i="4" s="1"/>
  <c r="X42" i="12" s="1"/>
  <c r="HV43" i="4"/>
  <c r="W43" i="4" s="1"/>
  <c r="W42" i="12" s="1"/>
  <c r="JC42" i="4"/>
  <c r="X42" i="4" s="1"/>
  <c r="X41" i="12" s="1"/>
  <c r="HV42" i="4"/>
  <c r="W42" i="4" s="1"/>
  <c r="W41" i="12" s="1"/>
  <c r="JC41" i="4"/>
  <c r="X41" i="4" s="1"/>
  <c r="X40" i="12" s="1"/>
  <c r="HV41" i="4"/>
  <c r="W41" i="4" s="1"/>
  <c r="W40" i="12" s="1"/>
  <c r="JC40" i="4"/>
  <c r="X40" i="4" s="1"/>
  <c r="X39" i="12" s="1"/>
  <c r="HV40" i="4"/>
  <c r="W40" i="4" s="1"/>
  <c r="W39" i="12" s="1"/>
  <c r="JC39" i="4"/>
  <c r="X39" i="4" s="1"/>
  <c r="X38" i="12" s="1"/>
  <c r="HV39" i="4"/>
  <c r="W39" i="4" s="1"/>
  <c r="W38" i="12" s="1"/>
  <c r="JC38" i="4"/>
  <c r="X38" i="4" s="1"/>
  <c r="X37" i="12" s="1"/>
  <c r="HV38" i="4"/>
  <c r="W38" i="4" s="1"/>
  <c r="W37" i="12" s="1"/>
  <c r="JC37" i="4"/>
  <c r="X37" i="4" s="1"/>
  <c r="X36" i="12" s="1"/>
  <c r="HV37" i="4"/>
  <c r="W37" i="4" s="1"/>
  <c r="W36" i="12" s="1"/>
  <c r="JC36" i="4"/>
  <c r="X36" i="4" s="1"/>
  <c r="X35" i="12" s="1"/>
  <c r="HV36" i="4"/>
  <c r="W36" i="4" s="1"/>
  <c r="W35" i="12" s="1"/>
  <c r="JC35" i="4"/>
  <c r="X35" i="4" s="1"/>
  <c r="X34" i="12" s="1"/>
  <c r="HV35" i="4"/>
  <c r="W35" i="4" s="1"/>
  <c r="W34" i="12" s="1"/>
  <c r="JC34" i="4"/>
  <c r="X34" i="4" s="1"/>
  <c r="X33" i="12" s="1"/>
  <c r="HV34" i="4"/>
  <c r="W34" i="4" s="1"/>
  <c r="W33" i="12" s="1"/>
  <c r="JC33" i="4"/>
  <c r="X33" i="4" s="1"/>
  <c r="X32" i="12" s="1"/>
  <c r="HV33" i="4"/>
  <c r="W33" i="4" s="1"/>
  <c r="W32" i="12" s="1"/>
  <c r="JC32" i="4"/>
  <c r="X32" i="4" s="1"/>
  <c r="X31" i="12" s="1"/>
  <c r="HV32" i="4"/>
  <c r="W32" i="4" s="1"/>
  <c r="W31" i="12" s="1"/>
  <c r="JC31" i="4"/>
  <c r="X31" i="4" s="1"/>
  <c r="X30" i="12" s="1"/>
  <c r="HV31" i="4"/>
  <c r="W31" i="4" s="1"/>
  <c r="W30" i="12" s="1"/>
  <c r="JC30" i="4"/>
  <c r="X30" i="4" s="1"/>
  <c r="X29" i="12" s="1"/>
  <c r="HV30" i="4"/>
  <c r="W30" i="4" s="1"/>
  <c r="W29" i="12" s="1"/>
  <c r="JC29" i="4"/>
  <c r="X29" i="4" s="1"/>
  <c r="X28" i="12" s="1"/>
  <c r="HV29" i="4"/>
  <c r="W29" i="4" s="1"/>
  <c r="W28" i="12" s="1"/>
  <c r="JC28" i="4"/>
  <c r="X28" i="4" s="1"/>
  <c r="X27" i="12" s="1"/>
  <c r="HV28" i="4"/>
  <c r="W28" i="4" s="1"/>
  <c r="W27" i="12" s="1"/>
  <c r="JC27" i="4"/>
  <c r="X27" i="4" s="1"/>
  <c r="X26" i="12" s="1"/>
  <c r="HV27" i="4"/>
  <c r="W27" i="4" s="1"/>
  <c r="W26" i="12" s="1"/>
  <c r="JC26" i="4"/>
  <c r="X26" i="4" s="1"/>
  <c r="X25" i="12" s="1"/>
  <c r="HV26" i="4"/>
  <c r="W26" i="4" s="1"/>
  <c r="W25" i="12" s="1"/>
  <c r="JC25" i="4"/>
  <c r="X25" i="4" s="1"/>
  <c r="X24" i="12" s="1"/>
  <c r="HV25" i="4"/>
  <c r="W25" i="4" s="1"/>
  <c r="W24" i="12" s="1"/>
  <c r="JC24" i="4"/>
  <c r="X24" i="4" s="1"/>
  <c r="X23" i="12" s="1"/>
  <c r="HV24" i="4"/>
  <c r="W24" i="4" s="1"/>
  <c r="W23" i="12" s="1"/>
  <c r="JC23" i="4"/>
  <c r="X23" i="4" s="1"/>
  <c r="X22" i="12" s="1"/>
  <c r="HV23" i="4"/>
  <c r="W23" i="4" s="1"/>
  <c r="W22" i="12" s="1"/>
  <c r="JC22" i="4"/>
  <c r="X22" i="4" s="1"/>
  <c r="X21" i="12" s="1"/>
  <c r="HV22" i="4"/>
  <c r="W22" i="4" s="1"/>
  <c r="W21" i="12" s="1"/>
  <c r="JC21" i="4"/>
  <c r="X21" i="4" s="1"/>
  <c r="X20" i="12" s="1"/>
  <c r="HV21" i="4"/>
  <c r="W21" i="4" s="1"/>
  <c r="W20" i="12" s="1"/>
  <c r="JC20" i="4"/>
  <c r="X20" i="4" s="1"/>
  <c r="X19" i="12" s="1"/>
  <c r="HV20" i="4"/>
  <c r="W20" i="4" s="1"/>
  <c r="W19" i="12" s="1"/>
  <c r="JC19" i="4"/>
  <c r="X19" i="4" s="1"/>
  <c r="X18" i="12" s="1"/>
  <c r="HV19" i="4"/>
  <c r="W19" i="4" s="1"/>
  <c r="W18" i="12" s="1"/>
  <c r="JC18" i="4"/>
  <c r="X18" i="4" s="1"/>
  <c r="X17" i="12" s="1"/>
  <c r="HV18" i="4"/>
  <c r="W18" i="4" s="1"/>
  <c r="W17" i="12" s="1"/>
  <c r="JC17" i="4"/>
  <c r="X17" i="4" s="1"/>
  <c r="X16" i="12" s="1"/>
  <c r="HV17" i="4"/>
  <c r="W17" i="4" s="1"/>
  <c r="W16" i="12" s="1"/>
  <c r="JC16" i="4"/>
  <c r="X16" i="4" s="1"/>
  <c r="X15" i="12" s="1"/>
  <c r="HV16" i="4"/>
  <c r="W16" i="4" s="1"/>
  <c r="W15" i="12" s="1"/>
  <c r="JC15" i="4"/>
  <c r="X15" i="4" s="1"/>
  <c r="X14" i="12" s="1"/>
  <c r="HV15" i="4"/>
  <c r="W15" i="4" s="1"/>
  <c r="W14" i="12" s="1"/>
  <c r="JC14" i="4"/>
  <c r="X14" i="4" s="1"/>
  <c r="X13" i="12" s="1"/>
  <c r="HV14" i="4"/>
  <c r="W14" i="4" s="1"/>
  <c r="W13" i="12" s="1"/>
  <c r="JC13" i="4"/>
  <c r="X13" i="4" s="1"/>
  <c r="X12" i="12" s="1"/>
  <c r="HV13" i="4"/>
  <c r="W13" i="4" s="1"/>
  <c r="W12" i="12" s="1"/>
  <c r="JC12" i="4"/>
  <c r="X12" i="4" s="1"/>
  <c r="X11" i="12" s="1"/>
  <c r="HV12" i="4"/>
  <c r="W12" i="4" s="1"/>
  <c r="W11" i="12" s="1"/>
  <c r="JC11" i="4"/>
  <c r="X11" i="4" s="1"/>
  <c r="X10" i="12" s="1"/>
  <c r="HV11" i="4"/>
  <c r="W11" i="4" s="1"/>
  <c r="W10" i="12" s="1"/>
  <c r="JC10" i="4"/>
  <c r="X10" i="4" s="1"/>
  <c r="X9" i="12" s="1"/>
  <c r="HV10" i="4"/>
  <c r="W10" i="4" s="1"/>
  <c r="W9" i="12" s="1"/>
  <c r="V329" i="4"/>
  <c r="V328" i="12" s="1"/>
  <c r="V328" i="4"/>
  <c r="V327" i="12" s="1"/>
  <c r="V327" i="4"/>
  <c r="V326" i="12" s="1"/>
  <c r="V326" i="4"/>
  <c r="V325" i="12" s="1"/>
  <c r="V325" i="4"/>
  <c r="V324" i="12" s="1"/>
  <c r="V324" i="4"/>
  <c r="V323" i="12" s="1"/>
  <c r="V323" i="4"/>
  <c r="V322" i="12" s="1"/>
  <c r="V322" i="4"/>
  <c r="V321" i="12" s="1"/>
  <c r="V321" i="4"/>
  <c r="V320" i="12" s="1"/>
  <c r="V320" i="4"/>
  <c r="V319" i="12" s="1"/>
  <c r="V319" i="4"/>
  <c r="V318" i="12" s="1"/>
  <c r="V318" i="4"/>
  <c r="V317" i="12" s="1"/>
  <c r="V317" i="4"/>
  <c r="V316" i="12" s="1"/>
  <c r="V316" i="4"/>
  <c r="V315" i="12" s="1"/>
  <c r="V315" i="4"/>
  <c r="V314" i="12" s="1"/>
  <c r="V314" i="4"/>
  <c r="V313" i="12" s="1"/>
  <c r="V313" i="4"/>
  <c r="V312" i="12" s="1"/>
  <c r="V312" i="4"/>
  <c r="V311" i="12" s="1"/>
  <c r="GO311" i="4"/>
  <c r="V311" i="4" s="1"/>
  <c r="V310" i="12" s="1"/>
  <c r="GO310" i="4"/>
  <c r="V310" i="4" s="1"/>
  <c r="V309" i="12" s="1"/>
  <c r="GO309" i="4"/>
  <c r="V309" i="4" s="1"/>
  <c r="V308" i="12" s="1"/>
  <c r="GO308" i="4"/>
  <c r="V308" i="4" s="1"/>
  <c r="V307" i="12" s="1"/>
  <c r="GO307" i="4"/>
  <c r="V307" i="4" s="1"/>
  <c r="V306" i="12" s="1"/>
  <c r="GO306" i="4"/>
  <c r="V306" i="4" s="1"/>
  <c r="V305" i="12" s="1"/>
  <c r="GO305" i="4"/>
  <c r="V305" i="4" s="1"/>
  <c r="V304" i="12" s="1"/>
  <c r="GO304" i="4"/>
  <c r="V304" i="4" s="1"/>
  <c r="V303" i="12" s="1"/>
  <c r="GO303" i="4"/>
  <c r="V303" i="4" s="1"/>
  <c r="V302" i="12" s="1"/>
  <c r="GO302" i="4"/>
  <c r="V302" i="4" s="1"/>
  <c r="V301" i="12" s="1"/>
  <c r="GO301" i="4"/>
  <c r="V301" i="4" s="1"/>
  <c r="V300" i="12" s="1"/>
  <c r="GO300" i="4"/>
  <c r="V300" i="4" s="1"/>
  <c r="V299" i="12" s="1"/>
  <c r="GO299" i="4"/>
  <c r="V299" i="4" s="1"/>
  <c r="V298" i="12" s="1"/>
  <c r="GO298" i="4"/>
  <c r="V298" i="4" s="1"/>
  <c r="V297" i="12" s="1"/>
  <c r="GO297" i="4"/>
  <c r="V297" i="4" s="1"/>
  <c r="V296" i="12" s="1"/>
  <c r="GO296" i="4"/>
  <c r="V296" i="4" s="1"/>
  <c r="V295" i="12" s="1"/>
  <c r="GO295" i="4"/>
  <c r="V295" i="4" s="1"/>
  <c r="V294" i="12" s="1"/>
  <c r="GO294" i="4"/>
  <c r="V294" i="4" s="1"/>
  <c r="V293" i="12" s="1"/>
  <c r="GO293" i="4"/>
  <c r="V293" i="4" s="1"/>
  <c r="V292" i="12" s="1"/>
  <c r="GO292" i="4"/>
  <c r="V292" i="4" s="1"/>
  <c r="V291" i="12" s="1"/>
  <c r="GO291" i="4"/>
  <c r="V291" i="4" s="1"/>
  <c r="V290" i="12" s="1"/>
  <c r="GO290" i="4"/>
  <c r="V290" i="4" s="1"/>
  <c r="V289" i="12" s="1"/>
  <c r="GO289" i="4"/>
  <c r="V289" i="4" s="1"/>
  <c r="V288" i="12" s="1"/>
  <c r="GO288" i="4"/>
  <c r="V288" i="4" s="1"/>
  <c r="V287" i="12" s="1"/>
  <c r="GO287" i="4"/>
  <c r="V287" i="4" s="1"/>
  <c r="V286" i="12" s="1"/>
  <c r="GO286" i="4"/>
  <c r="V286" i="4" s="1"/>
  <c r="V285" i="12" s="1"/>
  <c r="GO285" i="4"/>
  <c r="V285" i="4" s="1"/>
  <c r="V284" i="12" s="1"/>
  <c r="GO284" i="4"/>
  <c r="V284" i="4" s="1"/>
  <c r="V283" i="12" s="1"/>
  <c r="GO283" i="4"/>
  <c r="V283" i="4" s="1"/>
  <c r="V282" i="12" s="1"/>
  <c r="GO282" i="4"/>
  <c r="V282" i="4" s="1"/>
  <c r="V281" i="12" s="1"/>
  <c r="GO281" i="4"/>
  <c r="V281" i="4" s="1"/>
  <c r="V280" i="12" s="1"/>
  <c r="GO280" i="4"/>
  <c r="V280" i="4" s="1"/>
  <c r="V279" i="12" s="1"/>
  <c r="GO279" i="4"/>
  <c r="V279" i="4" s="1"/>
  <c r="V278" i="12" s="1"/>
  <c r="GO278" i="4"/>
  <c r="V278" i="4" s="1"/>
  <c r="V277" i="12" s="1"/>
  <c r="GO277" i="4"/>
  <c r="V277" i="4" s="1"/>
  <c r="V276" i="12" s="1"/>
  <c r="GO276" i="4"/>
  <c r="V276" i="4" s="1"/>
  <c r="V275" i="12" s="1"/>
  <c r="GO275" i="4"/>
  <c r="V275" i="4" s="1"/>
  <c r="V274" i="12" s="1"/>
  <c r="GO274" i="4"/>
  <c r="V274" i="4" s="1"/>
  <c r="V273" i="12" s="1"/>
  <c r="GO273" i="4"/>
  <c r="V273" i="4" s="1"/>
  <c r="V272" i="12" s="1"/>
  <c r="GO272" i="4"/>
  <c r="V272" i="4" s="1"/>
  <c r="V271" i="12" s="1"/>
  <c r="GO271" i="4"/>
  <c r="V271" i="4" s="1"/>
  <c r="V270" i="12" s="1"/>
  <c r="GO270" i="4"/>
  <c r="V270" i="4" s="1"/>
  <c r="V269" i="12" s="1"/>
  <c r="GO269" i="4"/>
  <c r="V269" i="4" s="1"/>
  <c r="V268" i="12" s="1"/>
  <c r="GO268" i="4"/>
  <c r="V268" i="4" s="1"/>
  <c r="V267" i="12" s="1"/>
  <c r="GO267" i="4"/>
  <c r="V267" i="4" s="1"/>
  <c r="V266" i="12" s="1"/>
  <c r="GO266" i="4"/>
  <c r="V266" i="4" s="1"/>
  <c r="V265" i="12" s="1"/>
  <c r="GO265" i="4"/>
  <c r="V265" i="4" s="1"/>
  <c r="V264" i="12" s="1"/>
  <c r="GO264" i="4"/>
  <c r="V264" i="4" s="1"/>
  <c r="V263" i="12" s="1"/>
  <c r="GO263" i="4"/>
  <c r="V263" i="4" s="1"/>
  <c r="V262" i="12" s="1"/>
  <c r="GO262" i="4"/>
  <c r="V262" i="4" s="1"/>
  <c r="V261" i="12" s="1"/>
  <c r="GO261" i="4"/>
  <c r="V261" i="4" s="1"/>
  <c r="V260" i="12" s="1"/>
  <c r="GO260" i="4"/>
  <c r="V260" i="4" s="1"/>
  <c r="V259" i="12" s="1"/>
  <c r="GO259" i="4"/>
  <c r="V259" i="4" s="1"/>
  <c r="V258" i="12" s="1"/>
  <c r="GO258" i="4"/>
  <c r="V258" i="4" s="1"/>
  <c r="V257" i="12" s="1"/>
  <c r="GO257" i="4"/>
  <c r="V257" i="4" s="1"/>
  <c r="V256" i="12" s="1"/>
  <c r="GO256" i="4"/>
  <c r="V256" i="4" s="1"/>
  <c r="V255" i="12" s="1"/>
  <c r="GO255" i="4"/>
  <c r="V255" i="4" s="1"/>
  <c r="V254" i="12" s="1"/>
  <c r="GO254" i="4"/>
  <c r="V254" i="4" s="1"/>
  <c r="V253" i="12" s="1"/>
  <c r="GO253" i="4"/>
  <c r="V253" i="4" s="1"/>
  <c r="V252" i="12" s="1"/>
  <c r="GO252" i="4"/>
  <c r="V252" i="4" s="1"/>
  <c r="V251" i="12" s="1"/>
  <c r="GO251" i="4"/>
  <c r="V251" i="4" s="1"/>
  <c r="V250" i="12" s="1"/>
  <c r="GO250" i="4"/>
  <c r="V250" i="4" s="1"/>
  <c r="V249" i="12" s="1"/>
  <c r="GO249" i="4"/>
  <c r="V249" i="4" s="1"/>
  <c r="V248" i="12" s="1"/>
  <c r="GO248" i="4"/>
  <c r="V248" i="4" s="1"/>
  <c r="V247" i="12" s="1"/>
  <c r="GO247" i="4"/>
  <c r="V247" i="4" s="1"/>
  <c r="V246" i="12" s="1"/>
  <c r="GO246" i="4"/>
  <c r="V246" i="4" s="1"/>
  <c r="V245" i="12" s="1"/>
  <c r="GO245" i="4"/>
  <c r="V245" i="4" s="1"/>
  <c r="V244" i="12" s="1"/>
  <c r="GO244" i="4"/>
  <c r="V244" i="4" s="1"/>
  <c r="V243" i="12" s="1"/>
  <c r="GO243" i="4"/>
  <c r="V243" i="4" s="1"/>
  <c r="V242" i="12" s="1"/>
  <c r="GO242" i="4"/>
  <c r="V242" i="4" s="1"/>
  <c r="V241" i="12" s="1"/>
  <c r="GO241" i="4"/>
  <c r="V241" i="4" s="1"/>
  <c r="V240" i="12" s="1"/>
  <c r="GO240" i="4"/>
  <c r="V240" i="4" s="1"/>
  <c r="V239" i="12" s="1"/>
  <c r="GO239" i="4"/>
  <c r="V239" i="4" s="1"/>
  <c r="V238" i="12" s="1"/>
  <c r="GO238" i="4"/>
  <c r="V238" i="4" s="1"/>
  <c r="V237" i="12" s="1"/>
  <c r="GO237" i="4"/>
  <c r="V237" i="4" s="1"/>
  <c r="V236" i="12" s="1"/>
  <c r="GO236" i="4"/>
  <c r="V236" i="4" s="1"/>
  <c r="V235" i="12" s="1"/>
  <c r="GO235" i="4"/>
  <c r="V235" i="4" s="1"/>
  <c r="V234" i="12" s="1"/>
  <c r="GO234" i="4"/>
  <c r="V234" i="4" s="1"/>
  <c r="V233" i="12" s="1"/>
  <c r="GO233" i="4"/>
  <c r="V233" i="4" s="1"/>
  <c r="V232" i="12" s="1"/>
  <c r="GO232" i="4"/>
  <c r="V232" i="4" s="1"/>
  <c r="V231" i="12" s="1"/>
  <c r="GO231" i="4"/>
  <c r="V231" i="4" s="1"/>
  <c r="V230" i="12" s="1"/>
  <c r="GO230" i="4"/>
  <c r="V230" i="4" s="1"/>
  <c r="V229" i="12" s="1"/>
  <c r="GO229" i="4"/>
  <c r="V229" i="4" s="1"/>
  <c r="V228" i="12" s="1"/>
  <c r="GO228" i="4"/>
  <c r="V228" i="4" s="1"/>
  <c r="V227" i="12" s="1"/>
  <c r="GO227" i="4"/>
  <c r="V227" i="4" s="1"/>
  <c r="V226" i="12" s="1"/>
  <c r="GO226" i="4"/>
  <c r="V226" i="4" s="1"/>
  <c r="V225" i="12" s="1"/>
  <c r="GO225" i="4"/>
  <c r="V225" i="4" s="1"/>
  <c r="V224" i="12" s="1"/>
  <c r="GO224" i="4"/>
  <c r="V224" i="4" s="1"/>
  <c r="V223" i="12" s="1"/>
  <c r="GO223" i="4"/>
  <c r="V223" i="4" s="1"/>
  <c r="V222" i="12" s="1"/>
  <c r="GO222" i="4"/>
  <c r="V222" i="4" s="1"/>
  <c r="V221" i="12" s="1"/>
  <c r="GO221" i="4"/>
  <c r="V221" i="4" s="1"/>
  <c r="V220" i="12" s="1"/>
  <c r="GO220" i="4"/>
  <c r="V220" i="4" s="1"/>
  <c r="V219" i="12" s="1"/>
  <c r="GO219" i="4"/>
  <c r="V219" i="4" s="1"/>
  <c r="V218" i="12" s="1"/>
  <c r="GO218" i="4"/>
  <c r="V218" i="4" s="1"/>
  <c r="V217" i="12" s="1"/>
  <c r="GO217" i="4"/>
  <c r="V217" i="4" s="1"/>
  <c r="V216" i="12" s="1"/>
  <c r="GO216" i="4"/>
  <c r="V216" i="4" s="1"/>
  <c r="V215" i="12" s="1"/>
  <c r="GO215" i="4"/>
  <c r="V215" i="4" s="1"/>
  <c r="V214" i="12" s="1"/>
  <c r="GO214" i="4"/>
  <c r="V214" i="4" s="1"/>
  <c r="V213" i="12" s="1"/>
  <c r="GO213" i="4"/>
  <c r="V213" i="4" s="1"/>
  <c r="V212" i="12" s="1"/>
  <c r="GO212" i="4"/>
  <c r="V212" i="4" s="1"/>
  <c r="V211" i="12" s="1"/>
  <c r="GO211" i="4"/>
  <c r="V211" i="4" s="1"/>
  <c r="V210" i="12" s="1"/>
  <c r="GO210" i="4"/>
  <c r="V210" i="4" s="1"/>
  <c r="V209" i="12" s="1"/>
  <c r="GO209" i="4"/>
  <c r="V209" i="4" s="1"/>
  <c r="V208" i="12" s="1"/>
  <c r="GO208" i="4"/>
  <c r="V208" i="4" s="1"/>
  <c r="V207" i="12" s="1"/>
  <c r="GO207" i="4"/>
  <c r="V207" i="4" s="1"/>
  <c r="V206" i="12" s="1"/>
  <c r="GO206" i="4"/>
  <c r="V206" i="4" s="1"/>
  <c r="V205" i="12" s="1"/>
  <c r="GO205" i="4"/>
  <c r="V205" i="4" s="1"/>
  <c r="V204" i="12" s="1"/>
  <c r="GO204" i="4"/>
  <c r="V204" i="4" s="1"/>
  <c r="V203" i="12" s="1"/>
  <c r="GO203" i="4"/>
  <c r="V203" i="4" s="1"/>
  <c r="V202" i="12" s="1"/>
  <c r="GO202" i="4"/>
  <c r="V202" i="4" s="1"/>
  <c r="V201" i="12" s="1"/>
  <c r="GO201" i="4"/>
  <c r="V201" i="4" s="1"/>
  <c r="V200" i="12" s="1"/>
  <c r="GO200" i="4"/>
  <c r="V200" i="4" s="1"/>
  <c r="V199" i="12" s="1"/>
  <c r="GO199" i="4"/>
  <c r="V199" i="4" s="1"/>
  <c r="V198" i="12" s="1"/>
  <c r="GO198" i="4"/>
  <c r="V198" i="4" s="1"/>
  <c r="V197" i="12" s="1"/>
  <c r="GO197" i="4"/>
  <c r="V197" i="4" s="1"/>
  <c r="V196" i="12" s="1"/>
  <c r="GO196" i="4"/>
  <c r="V196" i="4" s="1"/>
  <c r="V195" i="12" s="1"/>
  <c r="GO195" i="4"/>
  <c r="V195" i="4" s="1"/>
  <c r="V194" i="12" s="1"/>
  <c r="GO194" i="4"/>
  <c r="V194" i="4" s="1"/>
  <c r="V193" i="12" s="1"/>
  <c r="GO193" i="4"/>
  <c r="V193" i="4" s="1"/>
  <c r="V192" i="12" s="1"/>
  <c r="GO192" i="4"/>
  <c r="V192" i="4" s="1"/>
  <c r="V191" i="12" s="1"/>
  <c r="GO191" i="4"/>
  <c r="V191" i="4" s="1"/>
  <c r="V190" i="12" s="1"/>
  <c r="GO190" i="4"/>
  <c r="V190" i="4" s="1"/>
  <c r="V189" i="12" s="1"/>
  <c r="GO189" i="4"/>
  <c r="V189" i="4" s="1"/>
  <c r="V188" i="12" s="1"/>
  <c r="GO188" i="4"/>
  <c r="V188" i="4" s="1"/>
  <c r="V187" i="12" s="1"/>
  <c r="GO187" i="4"/>
  <c r="V187" i="4" s="1"/>
  <c r="V186" i="12" s="1"/>
  <c r="GO186" i="4"/>
  <c r="V186" i="4" s="1"/>
  <c r="V185" i="12" s="1"/>
  <c r="GO185" i="4"/>
  <c r="V185" i="4" s="1"/>
  <c r="V184" i="12" s="1"/>
  <c r="GO184" i="4"/>
  <c r="V184" i="4" s="1"/>
  <c r="V183" i="12" s="1"/>
  <c r="GO183" i="4"/>
  <c r="V183" i="4" s="1"/>
  <c r="V182" i="12" s="1"/>
  <c r="GO182" i="4"/>
  <c r="V182" i="4" s="1"/>
  <c r="V181" i="12" s="1"/>
  <c r="GO181" i="4"/>
  <c r="V181" i="4" s="1"/>
  <c r="V180" i="12" s="1"/>
  <c r="GO180" i="4"/>
  <c r="V180" i="4" s="1"/>
  <c r="V179" i="12" s="1"/>
  <c r="GO176" i="4"/>
  <c r="V176" i="4" s="1"/>
  <c r="V175" i="12" s="1"/>
  <c r="GO175" i="4"/>
  <c r="V175" i="4" s="1"/>
  <c r="V174" i="12" s="1"/>
  <c r="GO174" i="4"/>
  <c r="V174" i="4" s="1"/>
  <c r="V173" i="12" s="1"/>
  <c r="GO173" i="4"/>
  <c r="V173" i="4" s="1"/>
  <c r="V172" i="12" s="1"/>
  <c r="GO172" i="4"/>
  <c r="V172" i="4" s="1"/>
  <c r="V171" i="12" s="1"/>
  <c r="GO171" i="4"/>
  <c r="V171" i="4" s="1"/>
  <c r="V170" i="12" s="1"/>
  <c r="GO170" i="4"/>
  <c r="V170" i="4" s="1"/>
  <c r="V169" i="12" s="1"/>
  <c r="GO169" i="4"/>
  <c r="V169" i="4" s="1"/>
  <c r="V168" i="12" s="1"/>
  <c r="GO168" i="4"/>
  <c r="V168" i="4" s="1"/>
  <c r="V167" i="12" s="1"/>
  <c r="GO167" i="4"/>
  <c r="V167" i="4" s="1"/>
  <c r="V166" i="12" s="1"/>
  <c r="GO166" i="4"/>
  <c r="V166" i="4" s="1"/>
  <c r="V165" i="12" s="1"/>
  <c r="GO165" i="4"/>
  <c r="V165" i="4" s="1"/>
  <c r="V164" i="12" s="1"/>
  <c r="GO164" i="4"/>
  <c r="V164" i="4" s="1"/>
  <c r="V163" i="12" s="1"/>
  <c r="GO163" i="4"/>
  <c r="V163" i="4" s="1"/>
  <c r="V162" i="12" s="1"/>
  <c r="GO162" i="4"/>
  <c r="V162" i="4" s="1"/>
  <c r="V161" i="12" s="1"/>
  <c r="GO161" i="4"/>
  <c r="V161" i="4" s="1"/>
  <c r="V160" i="12" s="1"/>
  <c r="GO160" i="4"/>
  <c r="V160" i="4" s="1"/>
  <c r="V159" i="12" s="1"/>
  <c r="GO159" i="4"/>
  <c r="V159" i="4" s="1"/>
  <c r="V158" i="12" s="1"/>
  <c r="GO158" i="4"/>
  <c r="V158" i="4" s="1"/>
  <c r="V157" i="12" s="1"/>
  <c r="GO157" i="4"/>
  <c r="V157" i="4" s="1"/>
  <c r="V156" i="12" s="1"/>
  <c r="GO156" i="4"/>
  <c r="V156" i="4" s="1"/>
  <c r="V155" i="12" s="1"/>
  <c r="GO155" i="4"/>
  <c r="V155" i="4" s="1"/>
  <c r="V154" i="12" s="1"/>
  <c r="GO154" i="4"/>
  <c r="V154" i="4" s="1"/>
  <c r="V153" i="12" s="1"/>
  <c r="GO153" i="4"/>
  <c r="V153" i="4" s="1"/>
  <c r="V152" i="12" s="1"/>
  <c r="GO151" i="4"/>
  <c r="V151" i="4" s="1"/>
  <c r="V150" i="12" s="1"/>
  <c r="GO150" i="4"/>
  <c r="V150" i="4" s="1"/>
  <c r="V149" i="12" s="1"/>
  <c r="GO149" i="4"/>
  <c r="V149" i="4" s="1"/>
  <c r="V148" i="12" s="1"/>
  <c r="GO148" i="4"/>
  <c r="V148" i="4" s="1"/>
  <c r="V147" i="12" s="1"/>
  <c r="GO147" i="4"/>
  <c r="V147" i="4" s="1"/>
  <c r="V146" i="12" s="1"/>
  <c r="GO146" i="4"/>
  <c r="V146" i="4" s="1"/>
  <c r="V145" i="12" s="1"/>
  <c r="GO145" i="4"/>
  <c r="V145" i="4" s="1"/>
  <c r="V144" i="12" s="1"/>
  <c r="GO144" i="4"/>
  <c r="V144" i="4" s="1"/>
  <c r="V143" i="12" s="1"/>
  <c r="GO143" i="4"/>
  <c r="V143" i="4" s="1"/>
  <c r="V142" i="12" s="1"/>
  <c r="GO142" i="4"/>
  <c r="V142" i="4" s="1"/>
  <c r="V141" i="12" s="1"/>
  <c r="GO140" i="4"/>
  <c r="V140" i="4" s="1"/>
  <c r="V139" i="12" s="1"/>
  <c r="GO139" i="4"/>
  <c r="V139" i="4" s="1"/>
  <c r="V138" i="12" s="1"/>
  <c r="GO138" i="4"/>
  <c r="V138" i="4" s="1"/>
  <c r="V137" i="12" s="1"/>
  <c r="GO137" i="4"/>
  <c r="V137" i="4" s="1"/>
  <c r="V136" i="12" s="1"/>
  <c r="GO136" i="4"/>
  <c r="V136" i="4" s="1"/>
  <c r="V135" i="12" s="1"/>
  <c r="GO135" i="4"/>
  <c r="V135" i="4" s="1"/>
  <c r="V134" i="12" s="1"/>
  <c r="GO134" i="4"/>
  <c r="V134" i="4" s="1"/>
  <c r="V133" i="12" s="1"/>
  <c r="GO133" i="4"/>
  <c r="V133" i="4" s="1"/>
  <c r="V132" i="12" s="1"/>
  <c r="GO132" i="4"/>
  <c r="V132" i="4" s="1"/>
  <c r="V131" i="12" s="1"/>
  <c r="GO131" i="4"/>
  <c r="V131" i="4" s="1"/>
  <c r="V130" i="12" s="1"/>
  <c r="GO130" i="4"/>
  <c r="V130" i="4" s="1"/>
  <c r="V129" i="12" s="1"/>
  <c r="GO129" i="4"/>
  <c r="V129" i="4" s="1"/>
  <c r="V128" i="12" s="1"/>
  <c r="GO128" i="4"/>
  <c r="V128" i="4" s="1"/>
  <c r="V127" i="12" s="1"/>
  <c r="GO127" i="4"/>
  <c r="V127" i="4" s="1"/>
  <c r="V126" i="12" s="1"/>
  <c r="GO125" i="4"/>
  <c r="V125" i="4" s="1"/>
  <c r="V124" i="12" s="1"/>
  <c r="GO124" i="4"/>
  <c r="V124" i="4" s="1"/>
  <c r="V123" i="12" s="1"/>
  <c r="GO123" i="4"/>
  <c r="V123" i="4" s="1"/>
  <c r="V122" i="12" s="1"/>
  <c r="GO122" i="4"/>
  <c r="V122" i="4" s="1"/>
  <c r="V121" i="12" s="1"/>
  <c r="GO121" i="4"/>
  <c r="V121" i="4" s="1"/>
  <c r="V120" i="12" s="1"/>
  <c r="GO120" i="4"/>
  <c r="V120" i="4" s="1"/>
  <c r="V119" i="12" s="1"/>
  <c r="GO119" i="4"/>
  <c r="V119" i="4" s="1"/>
  <c r="V118" i="12" s="1"/>
  <c r="GO118" i="4"/>
  <c r="V118" i="4" s="1"/>
  <c r="V117" i="12" s="1"/>
  <c r="GO117" i="4"/>
  <c r="V117" i="4" s="1"/>
  <c r="V116" i="12" s="1"/>
  <c r="GO116" i="4"/>
  <c r="V116" i="4" s="1"/>
  <c r="V115" i="12" s="1"/>
  <c r="GO115" i="4"/>
  <c r="V115" i="4" s="1"/>
  <c r="V114" i="12" s="1"/>
  <c r="GO114" i="4"/>
  <c r="V114" i="4" s="1"/>
  <c r="V113" i="12" s="1"/>
  <c r="GO113" i="4"/>
  <c r="V113" i="4" s="1"/>
  <c r="V112" i="12" s="1"/>
  <c r="GO112" i="4"/>
  <c r="V112" i="4" s="1"/>
  <c r="V111" i="12" s="1"/>
  <c r="GO111" i="4"/>
  <c r="V111" i="4" s="1"/>
  <c r="V110" i="12" s="1"/>
  <c r="GO110" i="4"/>
  <c r="V110" i="4" s="1"/>
  <c r="V109" i="12" s="1"/>
  <c r="GO109" i="4"/>
  <c r="V109" i="4" s="1"/>
  <c r="V108" i="12" s="1"/>
  <c r="GO108" i="4"/>
  <c r="V108" i="4" s="1"/>
  <c r="V107" i="12" s="1"/>
  <c r="GO107" i="4"/>
  <c r="V107" i="4" s="1"/>
  <c r="V106" i="12" s="1"/>
  <c r="GO106" i="4"/>
  <c r="V106" i="4" s="1"/>
  <c r="V105" i="12" s="1"/>
  <c r="GO105" i="4"/>
  <c r="V105" i="4" s="1"/>
  <c r="V104" i="12" s="1"/>
  <c r="GO104" i="4"/>
  <c r="V104" i="4" s="1"/>
  <c r="V103" i="12" s="1"/>
  <c r="GO103" i="4"/>
  <c r="V103" i="4" s="1"/>
  <c r="V102" i="12" s="1"/>
  <c r="GO102" i="4"/>
  <c r="V102" i="4" s="1"/>
  <c r="V101" i="12" s="1"/>
  <c r="GO101" i="4"/>
  <c r="V101" i="4" s="1"/>
  <c r="V100" i="12" s="1"/>
  <c r="GO100" i="4"/>
  <c r="V100" i="4" s="1"/>
  <c r="V99" i="12" s="1"/>
  <c r="GO99" i="4"/>
  <c r="V99" i="4" s="1"/>
  <c r="V98" i="12" s="1"/>
  <c r="GO98" i="4"/>
  <c r="V98" i="4" s="1"/>
  <c r="V97" i="12" s="1"/>
  <c r="GO97" i="4"/>
  <c r="V97" i="4" s="1"/>
  <c r="V96" i="12" s="1"/>
  <c r="GO96" i="4"/>
  <c r="V96" i="4" s="1"/>
  <c r="V95" i="12" s="1"/>
  <c r="GO95" i="4"/>
  <c r="V95" i="4" s="1"/>
  <c r="V94" i="12" s="1"/>
  <c r="GO94" i="4"/>
  <c r="V94" i="4" s="1"/>
  <c r="V93" i="12" s="1"/>
  <c r="GO93" i="4"/>
  <c r="V93" i="4" s="1"/>
  <c r="V92" i="12" s="1"/>
  <c r="GO92" i="4"/>
  <c r="V92" i="4" s="1"/>
  <c r="V91" i="12" s="1"/>
  <c r="GO91" i="4"/>
  <c r="V91" i="4" s="1"/>
  <c r="V90" i="12" s="1"/>
  <c r="GO90" i="4"/>
  <c r="V90" i="4" s="1"/>
  <c r="V89" i="12" s="1"/>
  <c r="GO89" i="4"/>
  <c r="V89" i="4" s="1"/>
  <c r="V88" i="12" s="1"/>
  <c r="GO88" i="4"/>
  <c r="V88" i="4" s="1"/>
  <c r="V87" i="12" s="1"/>
  <c r="GO87" i="4"/>
  <c r="V87" i="4" s="1"/>
  <c r="V86" i="12" s="1"/>
  <c r="GO86" i="4"/>
  <c r="V86" i="4" s="1"/>
  <c r="V85" i="12" s="1"/>
  <c r="GO85" i="4"/>
  <c r="V85" i="4" s="1"/>
  <c r="V84" i="12" s="1"/>
  <c r="GO84" i="4"/>
  <c r="V84" i="4" s="1"/>
  <c r="V83" i="12" s="1"/>
  <c r="GO83" i="4"/>
  <c r="V83" i="4" s="1"/>
  <c r="V82" i="12" s="1"/>
  <c r="GO82" i="4"/>
  <c r="V82" i="4" s="1"/>
  <c r="V81" i="12" s="1"/>
  <c r="GO81" i="4"/>
  <c r="V81" i="4" s="1"/>
  <c r="V80" i="12" s="1"/>
  <c r="GO80" i="4"/>
  <c r="V80" i="4" s="1"/>
  <c r="V79" i="12" s="1"/>
  <c r="GO79" i="4"/>
  <c r="V79" i="4" s="1"/>
  <c r="V78" i="12" s="1"/>
  <c r="GO78" i="4"/>
  <c r="V78" i="4" s="1"/>
  <c r="V77" i="12" s="1"/>
  <c r="GO77" i="4"/>
  <c r="V77" i="4" s="1"/>
  <c r="V76" i="12" s="1"/>
  <c r="GO76" i="4"/>
  <c r="V76" i="4" s="1"/>
  <c r="V75" i="12" s="1"/>
  <c r="GO75" i="4"/>
  <c r="V75" i="4" s="1"/>
  <c r="V74" i="12" s="1"/>
  <c r="GO74" i="4"/>
  <c r="V74" i="4" s="1"/>
  <c r="V73" i="12" s="1"/>
  <c r="GO73" i="4"/>
  <c r="V73" i="4" s="1"/>
  <c r="V72" i="12" s="1"/>
  <c r="GO72" i="4"/>
  <c r="V72" i="4" s="1"/>
  <c r="V71" i="12" s="1"/>
  <c r="GO71" i="4"/>
  <c r="V71" i="4" s="1"/>
  <c r="V70" i="12" s="1"/>
  <c r="GO70" i="4"/>
  <c r="V70" i="4" s="1"/>
  <c r="V69" i="12" s="1"/>
  <c r="GO69" i="4"/>
  <c r="V69" i="4" s="1"/>
  <c r="V68" i="12" s="1"/>
  <c r="GO68" i="4"/>
  <c r="V68" i="4" s="1"/>
  <c r="V67" i="12" s="1"/>
  <c r="GO67" i="4"/>
  <c r="V67" i="4" s="1"/>
  <c r="V66" i="12" s="1"/>
  <c r="GO66" i="4"/>
  <c r="V66" i="4" s="1"/>
  <c r="V65" i="12" s="1"/>
  <c r="GO65" i="4"/>
  <c r="V65" i="4" s="1"/>
  <c r="V64" i="12" s="1"/>
  <c r="GO64" i="4"/>
  <c r="V64" i="4" s="1"/>
  <c r="V63" i="12" s="1"/>
  <c r="GO63" i="4"/>
  <c r="V63" i="4" s="1"/>
  <c r="V62" i="12" s="1"/>
  <c r="GO62" i="4"/>
  <c r="V62" i="4" s="1"/>
  <c r="V61" i="12" s="1"/>
  <c r="GO61" i="4"/>
  <c r="V61" i="4" s="1"/>
  <c r="V60" i="12" s="1"/>
  <c r="GO60" i="4"/>
  <c r="V60" i="4" s="1"/>
  <c r="V59" i="12" s="1"/>
  <c r="GO59" i="4"/>
  <c r="V59" i="4" s="1"/>
  <c r="V58" i="12" s="1"/>
  <c r="GO58" i="4"/>
  <c r="V58" i="4" s="1"/>
  <c r="V57" i="12" s="1"/>
  <c r="GO57" i="4"/>
  <c r="V57" i="4" s="1"/>
  <c r="V56" i="12" s="1"/>
  <c r="GO56" i="4"/>
  <c r="V56" i="4" s="1"/>
  <c r="V55" i="12" s="1"/>
  <c r="GO55" i="4"/>
  <c r="V55" i="4" s="1"/>
  <c r="V54" i="12" s="1"/>
  <c r="GO54" i="4"/>
  <c r="V54" i="4" s="1"/>
  <c r="V53" i="12" s="1"/>
  <c r="GO53" i="4"/>
  <c r="V53" i="4" s="1"/>
  <c r="V52" i="12" s="1"/>
  <c r="GO52" i="4"/>
  <c r="V52" i="4" s="1"/>
  <c r="V51" i="12" s="1"/>
  <c r="GO51" i="4"/>
  <c r="V51" i="4" s="1"/>
  <c r="V50" i="12" s="1"/>
  <c r="GO50" i="4"/>
  <c r="V50" i="4" s="1"/>
  <c r="V49" i="12" s="1"/>
  <c r="GO49" i="4"/>
  <c r="V49" i="4" s="1"/>
  <c r="V48" i="12" s="1"/>
  <c r="GO48" i="4"/>
  <c r="V48" i="4" s="1"/>
  <c r="V47" i="12" s="1"/>
  <c r="GO47" i="4"/>
  <c r="V47" i="4" s="1"/>
  <c r="V46" i="12" s="1"/>
  <c r="GO46" i="4"/>
  <c r="V46" i="4" s="1"/>
  <c r="V45" i="12" s="1"/>
  <c r="GO45" i="4"/>
  <c r="V45" i="4" s="1"/>
  <c r="V44" i="12" s="1"/>
  <c r="GO44" i="4"/>
  <c r="V44" i="4" s="1"/>
  <c r="V43" i="12" s="1"/>
  <c r="GO43" i="4"/>
  <c r="V43" i="4" s="1"/>
  <c r="V42" i="12" s="1"/>
  <c r="GO42" i="4"/>
  <c r="V42" i="4" s="1"/>
  <c r="V41" i="12" s="1"/>
  <c r="GO41" i="4"/>
  <c r="V41" i="4" s="1"/>
  <c r="V40" i="12" s="1"/>
  <c r="GO40" i="4"/>
  <c r="V40" i="4" s="1"/>
  <c r="V39" i="12" s="1"/>
  <c r="GO39" i="4"/>
  <c r="V39" i="4" s="1"/>
  <c r="V38" i="12" s="1"/>
  <c r="GO38" i="4"/>
  <c r="V38" i="4" s="1"/>
  <c r="V37" i="12" s="1"/>
  <c r="GO37" i="4"/>
  <c r="V37" i="4" s="1"/>
  <c r="V36" i="12" s="1"/>
  <c r="GO36" i="4"/>
  <c r="V36" i="4" s="1"/>
  <c r="V35" i="12" s="1"/>
  <c r="GO35" i="4"/>
  <c r="V35" i="4" s="1"/>
  <c r="V34" i="12" s="1"/>
  <c r="GO34" i="4"/>
  <c r="V34" i="4" s="1"/>
  <c r="V33" i="12" s="1"/>
  <c r="GO33" i="4"/>
  <c r="V33" i="4" s="1"/>
  <c r="V32" i="12" s="1"/>
  <c r="GO32" i="4"/>
  <c r="V32" i="4" s="1"/>
  <c r="V31" i="12" s="1"/>
  <c r="GO31" i="4"/>
  <c r="V31" i="4" s="1"/>
  <c r="V30" i="12" s="1"/>
  <c r="GO30" i="4"/>
  <c r="V30" i="4" s="1"/>
  <c r="V29" i="12" s="1"/>
  <c r="GO29" i="4"/>
  <c r="V29" i="4" s="1"/>
  <c r="V28" i="12" s="1"/>
  <c r="GO28" i="4"/>
  <c r="V28" i="4" s="1"/>
  <c r="V27" i="12" s="1"/>
  <c r="GO27" i="4"/>
  <c r="V27" i="4" s="1"/>
  <c r="V26" i="12" s="1"/>
  <c r="GO26" i="4"/>
  <c r="V26" i="4" s="1"/>
  <c r="V25" i="12" s="1"/>
  <c r="GO25" i="4"/>
  <c r="V25" i="4" s="1"/>
  <c r="V24" i="12" s="1"/>
  <c r="GO24" i="4"/>
  <c r="V24" i="4" s="1"/>
  <c r="V23" i="12" s="1"/>
  <c r="GO23" i="4"/>
  <c r="V23" i="4" s="1"/>
  <c r="V22" i="12" s="1"/>
  <c r="GO22" i="4"/>
  <c r="V22" i="4" s="1"/>
  <c r="V21" i="12" s="1"/>
  <c r="GO21" i="4"/>
  <c r="V21" i="4" s="1"/>
  <c r="V20" i="12" s="1"/>
  <c r="GO20" i="4"/>
  <c r="V20" i="4" s="1"/>
  <c r="V19" i="12" s="1"/>
  <c r="GO19" i="4"/>
  <c r="V19" i="4" s="1"/>
  <c r="V18" i="12" s="1"/>
  <c r="GO18" i="4"/>
  <c r="V18" i="4" s="1"/>
  <c r="V17" i="12" s="1"/>
  <c r="GO17" i="4"/>
  <c r="V17" i="4" s="1"/>
  <c r="V16" i="12" s="1"/>
  <c r="GO16" i="4"/>
  <c r="V16" i="4" s="1"/>
  <c r="V15" i="12" s="1"/>
  <c r="GO15" i="4"/>
  <c r="V15" i="4" s="1"/>
  <c r="V14" i="12" s="1"/>
  <c r="GO14" i="4"/>
  <c r="V14" i="4" s="1"/>
  <c r="V13" i="12" s="1"/>
  <c r="GO13" i="4"/>
  <c r="V13" i="4" s="1"/>
  <c r="V12" i="12" s="1"/>
  <c r="GO12" i="4"/>
  <c r="V12" i="4" s="1"/>
  <c r="V11" i="12" s="1"/>
  <c r="GO11" i="4"/>
  <c r="V11" i="4" s="1"/>
  <c r="V10" i="12" s="1"/>
  <c r="GO10" i="4"/>
  <c r="V10" i="4" s="1"/>
  <c r="V9" i="12" s="1"/>
  <c r="U329" i="4"/>
  <c r="U328" i="12" s="1"/>
  <c r="U328" i="4"/>
  <c r="U327" i="12" s="1"/>
  <c r="U327" i="4"/>
  <c r="U326" i="12" s="1"/>
  <c r="U326" i="4"/>
  <c r="U325" i="12" s="1"/>
  <c r="U325" i="4"/>
  <c r="U324" i="12" s="1"/>
  <c r="U324" i="4"/>
  <c r="U323" i="12" s="1"/>
  <c r="U323" i="4"/>
  <c r="U322" i="12" s="1"/>
  <c r="U322" i="4"/>
  <c r="U321" i="12" s="1"/>
  <c r="U321" i="4"/>
  <c r="U320" i="12" s="1"/>
  <c r="U320" i="4"/>
  <c r="U319" i="12" s="1"/>
  <c r="U319" i="4"/>
  <c r="U318" i="12" s="1"/>
  <c r="U318" i="4"/>
  <c r="U317" i="12" s="1"/>
  <c r="U317" i="4"/>
  <c r="U316" i="12" s="1"/>
  <c r="U316" i="4"/>
  <c r="U315" i="12" s="1"/>
  <c r="U315" i="4"/>
  <c r="U314" i="12" s="1"/>
  <c r="U314" i="4"/>
  <c r="U313" i="12" s="1"/>
  <c r="U313" i="4"/>
  <c r="U312" i="12" s="1"/>
  <c r="U312" i="4"/>
  <c r="U311" i="12" s="1"/>
  <c r="U311" i="4"/>
  <c r="U310" i="12" s="1"/>
  <c r="U310" i="4"/>
  <c r="U309" i="12" s="1"/>
  <c r="U309" i="4"/>
  <c r="U308" i="12" s="1"/>
  <c r="U308" i="4"/>
  <c r="U307" i="12" s="1"/>
  <c r="U307" i="4"/>
  <c r="U306" i="12" s="1"/>
  <c r="U306" i="4"/>
  <c r="U305" i="12" s="1"/>
  <c r="U305" i="4"/>
  <c r="U304" i="12" s="1"/>
  <c r="U304" i="4"/>
  <c r="U303" i="12" s="1"/>
  <c r="U303" i="4"/>
  <c r="U302" i="12" s="1"/>
  <c r="U302" i="4"/>
  <c r="U301" i="12" s="1"/>
  <c r="U301" i="4"/>
  <c r="U300" i="12" s="1"/>
  <c r="U300" i="4"/>
  <c r="U299" i="12" s="1"/>
  <c r="U299" i="4"/>
  <c r="U298" i="12" s="1"/>
  <c r="U298" i="4"/>
  <c r="U297" i="12" s="1"/>
  <c r="U297" i="4"/>
  <c r="U296" i="12" s="1"/>
  <c r="U296" i="4"/>
  <c r="U295" i="12" s="1"/>
  <c r="U295" i="4"/>
  <c r="U294" i="12" s="1"/>
  <c r="U294" i="4"/>
  <c r="U293" i="12" s="1"/>
  <c r="U293" i="4"/>
  <c r="U292" i="12" s="1"/>
  <c r="U292" i="4"/>
  <c r="U291" i="12" s="1"/>
  <c r="U291" i="4"/>
  <c r="U290" i="12" s="1"/>
  <c r="U290" i="4"/>
  <c r="U289" i="12" s="1"/>
  <c r="U289" i="4"/>
  <c r="U288" i="12" s="1"/>
  <c r="U288" i="4"/>
  <c r="U287" i="12" s="1"/>
  <c r="U287" i="4"/>
  <c r="U286" i="12" s="1"/>
  <c r="U286" i="4"/>
  <c r="U285" i="12" s="1"/>
  <c r="U285" i="4"/>
  <c r="U284" i="12" s="1"/>
  <c r="U284" i="4"/>
  <c r="U283" i="12" s="1"/>
  <c r="U283" i="4"/>
  <c r="U282" i="12" s="1"/>
  <c r="U282" i="4"/>
  <c r="U281" i="12" s="1"/>
  <c r="U281" i="4"/>
  <c r="U280" i="12" s="1"/>
  <c r="U280" i="4"/>
  <c r="U279" i="12" s="1"/>
  <c r="U279" i="4"/>
  <c r="U278" i="12" s="1"/>
  <c r="U278" i="4"/>
  <c r="U277" i="12" s="1"/>
  <c r="U277" i="4"/>
  <c r="U276" i="12" s="1"/>
  <c r="U276" i="4"/>
  <c r="U275" i="12" s="1"/>
  <c r="U275" i="4"/>
  <c r="U274" i="12" s="1"/>
  <c r="U274" i="4"/>
  <c r="U273" i="12" s="1"/>
  <c r="U273" i="4"/>
  <c r="U272" i="12" s="1"/>
  <c r="U272" i="4"/>
  <c r="U271" i="12" s="1"/>
  <c r="U271" i="4"/>
  <c r="U270" i="12" s="1"/>
  <c r="U270" i="4"/>
  <c r="U269" i="12" s="1"/>
  <c r="U269" i="4"/>
  <c r="U268" i="12" s="1"/>
  <c r="U268" i="4"/>
  <c r="U267" i="12" s="1"/>
  <c r="U267" i="4"/>
  <c r="U266" i="12" s="1"/>
  <c r="U266" i="4"/>
  <c r="U265" i="12" s="1"/>
  <c r="U265" i="4"/>
  <c r="U264" i="12" s="1"/>
  <c r="U264" i="4"/>
  <c r="U263" i="12" s="1"/>
  <c r="U263" i="4"/>
  <c r="U262" i="12" s="1"/>
  <c r="U262" i="4"/>
  <c r="U261" i="12" s="1"/>
  <c r="U261" i="4"/>
  <c r="U260" i="12" s="1"/>
  <c r="U260" i="4"/>
  <c r="U259" i="12" s="1"/>
  <c r="U259" i="4"/>
  <c r="U258" i="12" s="1"/>
  <c r="U258" i="4"/>
  <c r="U257" i="12" s="1"/>
  <c r="U257" i="4"/>
  <c r="U256" i="12" s="1"/>
  <c r="U256" i="4"/>
  <c r="U255" i="12" s="1"/>
  <c r="U255" i="4"/>
  <c r="U254" i="12" s="1"/>
  <c r="U254" i="4"/>
  <c r="U253" i="12" s="1"/>
  <c r="U253" i="4"/>
  <c r="U252" i="12" s="1"/>
  <c r="U252" i="4"/>
  <c r="U251" i="12" s="1"/>
  <c r="U251" i="4"/>
  <c r="U250" i="12" s="1"/>
  <c r="U250" i="4"/>
  <c r="U249" i="12" s="1"/>
  <c r="U249" i="4"/>
  <c r="U248" i="12" s="1"/>
  <c r="U248" i="4"/>
  <c r="U247" i="12" s="1"/>
  <c r="U247" i="4"/>
  <c r="U246" i="12" s="1"/>
  <c r="U246" i="4"/>
  <c r="U245" i="12" s="1"/>
  <c r="U245" i="4"/>
  <c r="U244" i="12" s="1"/>
  <c r="U244" i="4"/>
  <c r="U243" i="12" s="1"/>
  <c r="U243" i="4"/>
  <c r="U242" i="12" s="1"/>
  <c r="U242" i="4"/>
  <c r="U241" i="12" s="1"/>
  <c r="U241" i="4"/>
  <c r="U240" i="12" s="1"/>
  <c r="U240" i="4"/>
  <c r="U239" i="12" s="1"/>
  <c r="U239" i="4"/>
  <c r="U238" i="12" s="1"/>
  <c r="U238" i="4"/>
  <c r="U237" i="12" s="1"/>
  <c r="U237" i="4"/>
  <c r="U236" i="12" s="1"/>
  <c r="U236" i="4"/>
  <c r="U235" i="12" s="1"/>
  <c r="U235" i="4"/>
  <c r="U234" i="12" s="1"/>
  <c r="U234" i="4"/>
  <c r="U233" i="12" s="1"/>
  <c r="U233" i="4"/>
  <c r="U232" i="12" s="1"/>
  <c r="U232" i="4"/>
  <c r="U231" i="12" s="1"/>
  <c r="U231" i="4"/>
  <c r="U230" i="12" s="1"/>
  <c r="U230" i="4"/>
  <c r="U229" i="12" s="1"/>
  <c r="U229" i="4"/>
  <c r="U228" i="12" s="1"/>
  <c r="U228" i="4"/>
  <c r="U227" i="12" s="1"/>
  <c r="U227" i="4"/>
  <c r="U226" i="12" s="1"/>
  <c r="U226" i="4"/>
  <c r="U225" i="12" s="1"/>
  <c r="U225" i="4"/>
  <c r="U224" i="12" s="1"/>
  <c r="U224" i="4"/>
  <c r="U223" i="12" s="1"/>
  <c r="U223" i="4"/>
  <c r="U222" i="12" s="1"/>
  <c r="U222" i="4"/>
  <c r="U221" i="12" s="1"/>
  <c r="U221" i="4"/>
  <c r="U220" i="12" s="1"/>
  <c r="U220" i="4"/>
  <c r="U219" i="12" s="1"/>
  <c r="U219" i="4"/>
  <c r="U218" i="12" s="1"/>
  <c r="U218" i="4"/>
  <c r="U217" i="12" s="1"/>
  <c r="U217" i="4"/>
  <c r="U216" i="12" s="1"/>
  <c r="U216" i="4"/>
  <c r="U215" i="12" s="1"/>
  <c r="U215" i="4"/>
  <c r="U214" i="12" s="1"/>
  <c r="U214" i="4"/>
  <c r="U213" i="12" s="1"/>
  <c r="U213" i="4"/>
  <c r="U212" i="12" s="1"/>
  <c r="U212" i="4"/>
  <c r="U211" i="12" s="1"/>
  <c r="U211" i="4"/>
  <c r="U210" i="12" s="1"/>
  <c r="U210" i="4"/>
  <c r="U209" i="12" s="1"/>
  <c r="U209" i="4"/>
  <c r="U208" i="12" s="1"/>
  <c r="U208" i="4"/>
  <c r="U207" i="12" s="1"/>
  <c r="U207" i="4"/>
  <c r="U206" i="12" s="1"/>
  <c r="U206" i="4"/>
  <c r="U205" i="12" s="1"/>
  <c r="U205" i="4"/>
  <c r="U204" i="12" s="1"/>
  <c r="U204" i="4"/>
  <c r="U203" i="12" s="1"/>
  <c r="U203" i="4"/>
  <c r="U202" i="12" s="1"/>
  <c r="U202" i="4"/>
  <c r="U201" i="12" s="1"/>
  <c r="U201" i="4"/>
  <c r="U200" i="12" s="1"/>
  <c r="U200" i="4"/>
  <c r="U199" i="12" s="1"/>
  <c r="U199" i="4"/>
  <c r="U198" i="12" s="1"/>
  <c r="U198" i="4"/>
  <c r="U197" i="12" s="1"/>
  <c r="U197" i="4"/>
  <c r="U196" i="12" s="1"/>
  <c r="U196" i="4"/>
  <c r="U195" i="12" s="1"/>
  <c r="U195" i="4"/>
  <c r="U194" i="12" s="1"/>
  <c r="U194" i="4"/>
  <c r="U193" i="12" s="1"/>
  <c r="U193" i="4"/>
  <c r="U192" i="12" s="1"/>
  <c r="U192" i="4"/>
  <c r="U191" i="12" s="1"/>
  <c r="U191" i="4"/>
  <c r="U190" i="12" s="1"/>
  <c r="U190" i="4"/>
  <c r="U189" i="12" s="1"/>
  <c r="U189" i="4"/>
  <c r="U188" i="12" s="1"/>
  <c r="U188" i="4"/>
  <c r="U187" i="12" s="1"/>
  <c r="U187" i="4"/>
  <c r="U186" i="12" s="1"/>
  <c r="U186" i="4"/>
  <c r="U185" i="12" s="1"/>
  <c r="U185" i="4"/>
  <c r="U184" i="12" s="1"/>
  <c r="U184" i="4"/>
  <c r="U183" i="12" s="1"/>
  <c r="U183" i="4"/>
  <c r="U182" i="12" s="1"/>
  <c r="U182" i="4"/>
  <c r="U181" i="12" s="1"/>
  <c r="U181" i="4"/>
  <c r="U180" i="12" s="1"/>
  <c r="U180" i="4"/>
  <c r="U179" i="12" s="1"/>
  <c r="U176" i="4"/>
  <c r="U175" i="12" s="1"/>
  <c r="U175" i="4"/>
  <c r="U174" i="12" s="1"/>
  <c r="U174" i="4"/>
  <c r="U173" i="12" s="1"/>
  <c r="U173" i="4"/>
  <c r="U172" i="12" s="1"/>
  <c r="U172" i="4"/>
  <c r="U171" i="12" s="1"/>
  <c r="U171" i="4"/>
  <c r="U170" i="12" s="1"/>
  <c r="U170" i="4"/>
  <c r="U169" i="12" s="1"/>
  <c r="U169" i="4"/>
  <c r="U168" i="12" s="1"/>
  <c r="U168" i="4"/>
  <c r="U167" i="12" s="1"/>
  <c r="U167" i="4"/>
  <c r="U166" i="12" s="1"/>
  <c r="U166" i="4"/>
  <c r="U165" i="12" s="1"/>
  <c r="U165" i="4"/>
  <c r="U164" i="12" s="1"/>
  <c r="U164" i="4"/>
  <c r="U163" i="12" s="1"/>
  <c r="U163" i="4"/>
  <c r="U162" i="12" s="1"/>
  <c r="U162" i="4"/>
  <c r="U161" i="12" s="1"/>
  <c r="U161" i="4"/>
  <c r="U160" i="12" s="1"/>
  <c r="U160" i="4"/>
  <c r="U159" i="12" s="1"/>
  <c r="U159" i="4"/>
  <c r="U158" i="12" s="1"/>
  <c r="U158" i="4"/>
  <c r="U157" i="12" s="1"/>
  <c r="U157" i="4"/>
  <c r="U156" i="12" s="1"/>
  <c r="U156" i="4"/>
  <c r="U155" i="12" s="1"/>
  <c r="U155" i="4"/>
  <c r="U154" i="12" s="1"/>
  <c r="U154" i="4"/>
  <c r="U153" i="12" s="1"/>
  <c r="U153" i="4"/>
  <c r="U152" i="12" s="1"/>
  <c r="U151" i="4"/>
  <c r="U150" i="12" s="1"/>
  <c r="U150" i="4"/>
  <c r="U149" i="12" s="1"/>
  <c r="U149" i="4"/>
  <c r="U148" i="12" s="1"/>
  <c r="U148" i="4"/>
  <c r="U147" i="12" s="1"/>
  <c r="U147" i="4"/>
  <c r="U146" i="12" s="1"/>
  <c r="U146" i="4"/>
  <c r="U145" i="12" s="1"/>
  <c r="U145" i="4"/>
  <c r="U144" i="12" s="1"/>
  <c r="U144" i="4"/>
  <c r="U143" i="12" s="1"/>
  <c r="U143" i="4"/>
  <c r="U142" i="12" s="1"/>
  <c r="U142" i="4"/>
  <c r="U141" i="12" s="1"/>
  <c r="U140" i="4"/>
  <c r="U139" i="12" s="1"/>
  <c r="U139" i="4"/>
  <c r="U138" i="12" s="1"/>
  <c r="U138" i="4"/>
  <c r="U137" i="12" s="1"/>
  <c r="U137" i="4"/>
  <c r="U136" i="12" s="1"/>
  <c r="U136" i="4"/>
  <c r="U135" i="12" s="1"/>
  <c r="U135" i="4"/>
  <c r="U134" i="12" s="1"/>
  <c r="U134" i="4"/>
  <c r="U133" i="12" s="1"/>
  <c r="U133" i="4"/>
  <c r="U132" i="12" s="1"/>
  <c r="U132" i="4"/>
  <c r="U131" i="12" s="1"/>
  <c r="U131" i="4"/>
  <c r="U130" i="12" s="1"/>
  <c r="U130" i="4"/>
  <c r="U129" i="12" s="1"/>
  <c r="U129" i="4"/>
  <c r="U128" i="12" s="1"/>
  <c r="U128" i="4"/>
  <c r="U127" i="12" s="1"/>
  <c r="U127" i="4"/>
  <c r="U126" i="12" s="1"/>
  <c r="U125" i="4"/>
  <c r="U124" i="12" s="1"/>
  <c r="U124" i="4"/>
  <c r="U123" i="12" s="1"/>
  <c r="U123" i="4"/>
  <c r="U122" i="12" s="1"/>
  <c r="U122" i="4"/>
  <c r="U121" i="12" s="1"/>
  <c r="U121" i="4"/>
  <c r="U120" i="12" s="1"/>
  <c r="U120" i="4"/>
  <c r="U119" i="12" s="1"/>
  <c r="U119" i="4"/>
  <c r="U118" i="12" s="1"/>
  <c r="U118" i="4"/>
  <c r="U117" i="12" s="1"/>
  <c r="U117" i="4"/>
  <c r="U116" i="12" s="1"/>
  <c r="U116" i="4"/>
  <c r="U115" i="12" s="1"/>
  <c r="U115" i="4"/>
  <c r="U114" i="12" s="1"/>
  <c r="U114" i="4"/>
  <c r="U113" i="12" s="1"/>
  <c r="U113" i="4"/>
  <c r="U112" i="12" s="1"/>
  <c r="U112" i="4"/>
  <c r="U111" i="12" s="1"/>
  <c r="U111" i="4"/>
  <c r="U110" i="12" s="1"/>
  <c r="U110" i="4"/>
  <c r="U109" i="12" s="1"/>
  <c r="U109" i="4"/>
  <c r="U108" i="12" s="1"/>
  <c r="U108" i="4"/>
  <c r="U107" i="12" s="1"/>
  <c r="U107" i="4"/>
  <c r="U106" i="12" s="1"/>
  <c r="U106" i="4"/>
  <c r="U105" i="12" s="1"/>
  <c r="U105" i="4"/>
  <c r="U104" i="12" s="1"/>
  <c r="U104" i="4"/>
  <c r="U103" i="12" s="1"/>
  <c r="U103" i="4"/>
  <c r="U102" i="12" s="1"/>
  <c r="U102" i="4"/>
  <c r="U101" i="12" s="1"/>
  <c r="U101" i="4"/>
  <c r="U100" i="12" s="1"/>
  <c r="U100" i="4"/>
  <c r="U99" i="12" s="1"/>
  <c r="U99" i="4"/>
  <c r="U98" i="12" s="1"/>
  <c r="U98" i="4"/>
  <c r="U97" i="12" s="1"/>
  <c r="U97" i="4"/>
  <c r="U96" i="12" s="1"/>
  <c r="U96" i="4"/>
  <c r="U95" i="12" s="1"/>
  <c r="U95" i="4"/>
  <c r="U94" i="12" s="1"/>
  <c r="U94" i="4"/>
  <c r="U93" i="12" s="1"/>
  <c r="U93" i="4"/>
  <c r="U92" i="12" s="1"/>
  <c r="U92" i="4"/>
  <c r="U91" i="12" s="1"/>
  <c r="U91" i="4"/>
  <c r="U90" i="12" s="1"/>
  <c r="U90" i="4"/>
  <c r="U89" i="12" s="1"/>
  <c r="U89" i="4"/>
  <c r="U88" i="12" s="1"/>
  <c r="U88" i="4"/>
  <c r="U87" i="12" s="1"/>
  <c r="U87" i="4"/>
  <c r="U86" i="12" s="1"/>
  <c r="U86" i="4"/>
  <c r="U85" i="12" s="1"/>
  <c r="U85" i="4"/>
  <c r="U84" i="12" s="1"/>
  <c r="U84" i="4"/>
  <c r="U83" i="12" s="1"/>
  <c r="U83" i="4"/>
  <c r="U82" i="12" s="1"/>
  <c r="U82" i="4"/>
  <c r="U81" i="12" s="1"/>
  <c r="U81" i="4"/>
  <c r="U80" i="12" s="1"/>
  <c r="U80" i="4"/>
  <c r="U79" i="12" s="1"/>
  <c r="U79" i="4"/>
  <c r="U78" i="12" s="1"/>
  <c r="U78" i="4"/>
  <c r="U77" i="12" s="1"/>
  <c r="U77" i="4"/>
  <c r="U76" i="12" s="1"/>
  <c r="U76" i="4"/>
  <c r="U75" i="12" s="1"/>
  <c r="U75" i="4"/>
  <c r="U74" i="12" s="1"/>
  <c r="U74" i="4"/>
  <c r="U73" i="12" s="1"/>
  <c r="U73" i="4"/>
  <c r="U72" i="12" s="1"/>
  <c r="U72" i="4"/>
  <c r="U71" i="12" s="1"/>
  <c r="U71" i="4"/>
  <c r="U70" i="12" s="1"/>
  <c r="U70" i="4"/>
  <c r="U69" i="12" s="1"/>
  <c r="U69" i="4"/>
  <c r="U68" i="12" s="1"/>
  <c r="U68" i="4"/>
  <c r="U67" i="12" s="1"/>
  <c r="U67" i="4"/>
  <c r="U66" i="12" s="1"/>
  <c r="U66" i="4"/>
  <c r="U65" i="12" s="1"/>
  <c r="U65" i="4"/>
  <c r="U64" i="12" s="1"/>
  <c r="U64" i="4"/>
  <c r="U63" i="12" s="1"/>
  <c r="U63" i="4"/>
  <c r="U62" i="12" s="1"/>
  <c r="U62" i="4"/>
  <c r="U61" i="12" s="1"/>
  <c r="U61" i="4"/>
  <c r="U60" i="12" s="1"/>
  <c r="U60" i="4"/>
  <c r="U59" i="12" s="1"/>
  <c r="U59" i="4"/>
  <c r="U58" i="12" s="1"/>
  <c r="U58" i="4"/>
  <c r="U57" i="12" s="1"/>
  <c r="U57" i="4"/>
  <c r="U56" i="12" s="1"/>
  <c r="U56" i="4"/>
  <c r="U55" i="12" s="1"/>
  <c r="U55" i="4"/>
  <c r="U54" i="12" s="1"/>
  <c r="U54" i="4"/>
  <c r="U53" i="12" s="1"/>
  <c r="U53" i="4"/>
  <c r="U52" i="12" s="1"/>
  <c r="U52" i="4"/>
  <c r="U51" i="12" s="1"/>
  <c r="U51" i="4"/>
  <c r="U50" i="12" s="1"/>
  <c r="U50" i="4"/>
  <c r="U49" i="12" s="1"/>
  <c r="U49" i="4"/>
  <c r="U48" i="12" s="1"/>
  <c r="U48" i="4"/>
  <c r="U47" i="12" s="1"/>
  <c r="U47" i="4"/>
  <c r="U46" i="12" s="1"/>
  <c r="U46" i="4"/>
  <c r="U45" i="12" s="1"/>
  <c r="U45" i="4"/>
  <c r="U44" i="12" s="1"/>
  <c r="U44" i="4"/>
  <c r="U43" i="12" s="1"/>
  <c r="U43" i="4"/>
  <c r="U42" i="12" s="1"/>
  <c r="U42" i="4"/>
  <c r="U41" i="12" s="1"/>
  <c r="U41" i="4"/>
  <c r="U40" i="12" s="1"/>
  <c r="U40" i="4"/>
  <c r="U39" i="12" s="1"/>
  <c r="U39" i="4"/>
  <c r="U38" i="12" s="1"/>
  <c r="U38" i="4"/>
  <c r="U37" i="12" s="1"/>
  <c r="U37" i="4"/>
  <c r="U36" i="12" s="1"/>
  <c r="U36" i="4"/>
  <c r="U35" i="12" s="1"/>
  <c r="U35" i="4"/>
  <c r="U34" i="12" s="1"/>
  <c r="U34" i="4"/>
  <c r="U33" i="12" s="1"/>
  <c r="U33" i="4"/>
  <c r="U32" i="12" s="1"/>
  <c r="U32" i="4"/>
  <c r="U31" i="12" s="1"/>
  <c r="U31" i="4"/>
  <c r="U30" i="12" s="1"/>
  <c r="U30" i="4"/>
  <c r="U29" i="12" s="1"/>
  <c r="U29" i="4"/>
  <c r="U28" i="12" s="1"/>
  <c r="U28" i="4"/>
  <c r="U27" i="12" s="1"/>
  <c r="U27" i="4"/>
  <c r="U26" i="12" s="1"/>
  <c r="U26" i="4"/>
  <c r="U25" i="12" s="1"/>
  <c r="U25" i="4"/>
  <c r="U24" i="12" s="1"/>
  <c r="U24" i="4"/>
  <c r="U23" i="12" s="1"/>
  <c r="U23" i="4"/>
  <c r="U22" i="12" s="1"/>
  <c r="U22" i="4"/>
  <c r="U21" i="12" s="1"/>
  <c r="U21" i="4"/>
  <c r="U20" i="12" s="1"/>
  <c r="U20" i="4"/>
  <c r="U19" i="12" s="1"/>
  <c r="U19" i="4"/>
  <c r="U18" i="12" s="1"/>
  <c r="U18" i="4"/>
  <c r="U17" i="12" s="1"/>
  <c r="U17" i="4"/>
  <c r="U16" i="12" s="1"/>
  <c r="U16" i="4"/>
  <c r="U15" i="12" s="1"/>
  <c r="U15" i="4"/>
  <c r="U14" i="12" s="1"/>
  <c r="U14" i="4"/>
  <c r="U13" i="12" s="1"/>
  <c r="U13" i="4"/>
  <c r="U12" i="12" s="1"/>
  <c r="U12" i="4"/>
  <c r="U11" i="12" s="1"/>
  <c r="U11" i="4"/>
  <c r="U10" i="12" s="1"/>
  <c r="FH10" i="4"/>
  <c r="U10" i="4" s="1"/>
  <c r="U9" i="12" s="1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1" i="4"/>
  <c r="T150" i="4"/>
  <c r="T149" i="4"/>
  <c r="T148" i="4"/>
  <c r="T147" i="4"/>
  <c r="T146" i="4"/>
  <c r="T145" i="4"/>
  <c r="T144" i="4"/>
  <c r="T143" i="4"/>
  <c r="T142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EA10" i="4"/>
  <c r="T10" i="4" s="1"/>
  <c r="S329" i="4"/>
  <c r="S328" i="12" s="1"/>
  <c r="CT328" i="4"/>
  <c r="S328" i="4" s="1"/>
  <c r="S327" i="12" s="1"/>
  <c r="CT327" i="4"/>
  <c r="S327" i="4" s="1"/>
  <c r="S326" i="12" s="1"/>
  <c r="CT326" i="4"/>
  <c r="S326" i="4" s="1"/>
  <c r="S325" i="12" s="1"/>
  <c r="CT325" i="4"/>
  <c r="S325" i="4" s="1"/>
  <c r="S324" i="12" s="1"/>
  <c r="CT324" i="4"/>
  <c r="S324" i="4" s="1"/>
  <c r="S323" i="12" s="1"/>
  <c r="CT323" i="4"/>
  <c r="S323" i="4" s="1"/>
  <c r="S322" i="12" s="1"/>
  <c r="Z322" i="12" s="1"/>
  <c r="CT322" i="4"/>
  <c r="S322" i="4" s="1"/>
  <c r="S321" i="12" s="1"/>
  <c r="CT321" i="4"/>
  <c r="S321" i="4" s="1"/>
  <c r="S320" i="12" s="1"/>
  <c r="CT320" i="4"/>
  <c r="S320" i="4" s="1"/>
  <c r="S319" i="12" s="1"/>
  <c r="CT319" i="4"/>
  <c r="S319" i="4" s="1"/>
  <c r="S318" i="12" s="1"/>
  <c r="CT318" i="4"/>
  <c r="S318" i="4" s="1"/>
  <c r="S317" i="12" s="1"/>
  <c r="CT317" i="4"/>
  <c r="S317" i="4" s="1"/>
  <c r="S316" i="12" s="1"/>
  <c r="CT316" i="4"/>
  <c r="S316" i="4" s="1"/>
  <c r="S315" i="12" s="1"/>
  <c r="CT315" i="4"/>
  <c r="S315" i="4" s="1"/>
  <c r="S314" i="12" s="1"/>
  <c r="CT314" i="4"/>
  <c r="S314" i="4" s="1"/>
  <c r="S313" i="12" s="1"/>
  <c r="CT313" i="4"/>
  <c r="S313" i="4" s="1"/>
  <c r="S312" i="12" s="1"/>
  <c r="CT312" i="4"/>
  <c r="S312" i="4" s="1"/>
  <c r="S311" i="12" s="1"/>
  <c r="CT311" i="4"/>
  <c r="S311" i="4" s="1"/>
  <c r="S310" i="12" s="1"/>
  <c r="CT310" i="4"/>
  <c r="S310" i="4" s="1"/>
  <c r="S309" i="12" s="1"/>
  <c r="CT309" i="4"/>
  <c r="S309" i="4" s="1"/>
  <c r="S308" i="12" s="1"/>
  <c r="CT308" i="4"/>
  <c r="S308" i="4" s="1"/>
  <c r="S307" i="12" s="1"/>
  <c r="CT307" i="4"/>
  <c r="S307" i="4" s="1"/>
  <c r="S306" i="12" s="1"/>
  <c r="CT306" i="4"/>
  <c r="S306" i="4" s="1"/>
  <c r="S305" i="12" s="1"/>
  <c r="CT305" i="4"/>
  <c r="S305" i="4" s="1"/>
  <c r="S304" i="12" s="1"/>
  <c r="CT304" i="4"/>
  <c r="S304" i="4" s="1"/>
  <c r="S303" i="12" s="1"/>
  <c r="CT303" i="4"/>
  <c r="S303" i="4" s="1"/>
  <c r="S302" i="12" s="1"/>
  <c r="CT302" i="4"/>
  <c r="S302" i="4" s="1"/>
  <c r="S301" i="12" s="1"/>
  <c r="CT301" i="4"/>
  <c r="S301" i="4" s="1"/>
  <c r="S300" i="12" s="1"/>
  <c r="CT300" i="4"/>
  <c r="S300" i="4" s="1"/>
  <c r="S299" i="12" s="1"/>
  <c r="CT299" i="4"/>
  <c r="S299" i="4" s="1"/>
  <c r="S298" i="12" s="1"/>
  <c r="CT298" i="4"/>
  <c r="S298" i="4" s="1"/>
  <c r="S297" i="12" s="1"/>
  <c r="CT297" i="4"/>
  <c r="S297" i="4" s="1"/>
  <c r="S296" i="12" s="1"/>
  <c r="CT296" i="4"/>
  <c r="S296" i="4" s="1"/>
  <c r="S295" i="12" s="1"/>
  <c r="CT295" i="4"/>
  <c r="S295" i="4" s="1"/>
  <c r="S294" i="12" s="1"/>
  <c r="CT294" i="4"/>
  <c r="S294" i="4" s="1"/>
  <c r="S293" i="12" s="1"/>
  <c r="CT293" i="4"/>
  <c r="S293" i="4" s="1"/>
  <c r="S292" i="12" s="1"/>
  <c r="CT292" i="4"/>
  <c r="S292" i="4" s="1"/>
  <c r="S291" i="12" s="1"/>
  <c r="CT291" i="4"/>
  <c r="S291" i="4" s="1"/>
  <c r="S290" i="12" s="1"/>
  <c r="CT290" i="4"/>
  <c r="S290" i="4" s="1"/>
  <c r="S289" i="12" s="1"/>
  <c r="CT289" i="4"/>
  <c r="S289" i="4" s="1"/>
  <c r="S288" i="12" s="1"/>
  <c r="CT288" i="4"/>
  <c r="S288" i="4" s="1"/>
  <c r="S287" i="12" s="1"/>
  <c r="CT287" i="4"/>
  <c r="S287" i="4" s="1"/>
  <c r="S286" i="12" s="1"/>
  <c r="Z286" i="12" s="1"/>
  <c r="CT286" i="4"/>
  <c r="S286" i="4" s="1"/>
  <c r="S285" i="12" s="1"/>
  <c r="CT285" i="4"/>
  <c r="S285" i="4" s="1"/>
  <c r="S284" i="12" s="1"/>
  <c r="CT284" i="4"/>
  <c r="S284" i="4" s="1"/>
  <c r="S283" i="12" s="1"/>
  <c r="CT283" i="4"/>
  <c r="S283" i="4" s="1"/>
  <c r="S282" i="12" s="1"/>
  <c r="CT282" i="4"/>
  <c r="S282" i="4" s="1"/>
  <c r="S281" i="12" s="1"/>
  <c r="CT281" i="4"/>
  <c r="S281" i="4" s="1"/>
  <c r="S280" i="12" s="1"/>
  <c r="CT280" i="4"/>
  <c r="S280" i="4" s="1"/>
  <c r="S279" i="12" s="1"/>
  <c r="CT279" i="4"/>
  <c r="S279" i="4" s="1"/>
  <c r="S278" i="12" s="1"/>
  <c r="Z278" i="12" s="1"/>
  <c r="CT278" i="4"/>
  <c r="S278" i="4" s="1"/>
  <c r="S277" i="12" s="1"/>
  <c r="CT277" i="4"/>
  <c r="S277" i="4" s="1"/>
  <c r="S276" i="12" s="1"/>
  <c r="CT276" i="4"/>
  <c r="S276" i="4" s="1"/>
  <c r="S275" i="12" s="1"/>
  <c r="CT275" i="4"/>
  <c r="S275" i="4" s="1"/>
  <c r="S274" i="12" s="1"/>
  <c r="CT274" i="4"/>
  <c r="S274" i="4" s="1"/>
  <c r="S273" i="12" s="1"/>
  <c r="CT273" i="4"/>
  <c r="S273" i="4" s="1"/>
  <c r="S272" i="12" s="1"/>
  <c r="Z272" i="12" s="1"/>
  <c r="CT272" i="4"/>
  <c r="S272" i="4" s="1"/>
  <c r="S271" i="12" s="1"/>
  <c r="CT271" i="4"/>
  <c r="S271" i="4" s="1"/>
  <c r="S270" i="12" s="1"/>
  <c r="CT270" i="4"/>
  <c r="S270" i="4" s="1"/>
  <c r="S269" i="12" s="1"/>
  <c r="CT269" i="4"/>
  <c r="S269" i="4" s="1"/>
  <c r="S268" i="12" s="1"/>
  <c r="CT268" i="4"/>
  <c r="S268" i="4" s="1"/>
  <c r="S267" i="12" s="1"/>
  <c r="CT267" i="4"/>
  <c r="S267" i="4" s="1"/>
  <c r="S266" i="12" s="1"/>
  <c r="CT266" i="4"/>
  <c r="S266" i="4" s="1"/>
  <c r="S265" i="12" s="1"/>
  <c r="Z265" i="12" s="1"/>
  <c r="CT265" i="4"/>
  <c r="S265" i="4" s="1"/>
  <c r="S264" i="12" s="1"/>
  <c r="CT264" i="4"/>
  <c r="S264" i="4" s="1"/>
  <c r="S263" i="12" s="1"/>
  <c r="CT263" i="4"/>
  <c r="S263" i="4" s="1"/>
  <c r="S262" i="12" s="1"/>
  <c r="CT262" i="4"/>
  <c r="S262" i="4" s="1"/>
  <c r="S261" i="12" s="1"/>
  <c r="CT261" i="4"/>
  <c r="S261" i="4" s="1"/>
  <c r="S260" i="12" s="1"/>
  <c r="CT260" i="4"/>
  <c r="S260" i="4" s="1"/>
  <c r="S259" i="12" s="1"/>
  <c r="CT259" i="4"/>
  <c r="S259" i="4" s="1"/>
  <c r="S258" i="12" s="1"/>
  <c r="CT258" i="4"/>
  <c r="S258" i="4" s="1"/>
  <c r="S257" i="12" s="1"/>
  <c r="CT257" i="4"/>
  <c r="S257" i="4" s="1"/>
  <c r="S256" i="12" s="1"/>
  <c r="CT256" i="4"/>
  <c r="S256" i="4" s="1"/>
  <c r="S255" i="12" s="1"/>
  <c r="CT255" i="4"/>
  <c r="S255" i="4" s="1"/>
  <c r="S254" i="12" s="1"/>
  <c r="CT254" i="4"/>
  <c r="S254" i="4" s="1"/>
  <c r="S253" i="12" s="1"/>
  <c r="CT253" i="4"/>
  <c r="S253" i="4" s="1"/>
  <c r="S252" i="12" s="1"/>
  <c r="CT252" i="4"/>
  <c r="S252" i="4" s="1"/>
  <c r="S251" i="12" s="1"/>
  <c r="CT251" i="4"/>
  <c r="S251" i="4" s="1"/>
  <c r="S250" i="12" s="1"/>
  <c r="CT250" i="4"/>
  <c r="S250" i="4" s="1"/>
  <c r="S249" i="12" s="1"/>
  <c r="CT249" i="4"/>
  <c r="S249" i="4" s="1"/>
  <c r="S248" i="12" s="1"/>
  <c r="CT248" i="4"/>
  <c r="S248" i="4" s="1"/>
  <c r="S247" i="12" s="1"/>
  <c r="CT247" i="4"/>
  <c r="S247" i="4" s="1"/>
  <c r="S246" i="12" s="1"/>
  <c r="CT246" i="4"/>
  <c r="S246" i="4" s="1"/>
  <c r="S245" i="12" s="1"/>
  <c r="CT245" i="4"/>
  <c r="S245" i="4" s="1"/>
  <c r="S244" i="12" s="1"/>
  <c r="CT244" i="4"/>
  <c r="S244" i="4" s="1"/>
  <c r="S243" i="12" s="1"/>
  <c r="CT243" i="4"/>
  <c r="S243" i="4" s="1"/>
  <c r="S242" i="12" s="1"/>
  <c r="CT242" i="4"/>
  <c r="S242" i="4" s="1"/>
  <c r="S241" i="12" s="1"/>
  <c r="CT241" i="4"/>
  <c r="S241" i="4" s="1"/>
  <c r="S240" i="12" s="1"/>
  <c r="Z240" i="12" s="1"/>
  <c r="CT240" i="4"/>
  <c r="S240" i="4" s="1"/>
  <c r="S239" i="12" s="1"/>
  <c r="CT239" i="4"/>
  <c r="S239" i="4" s="1"/>
  <c r="S238" i="12" s="1"/>
  <c r="CT238" i="4"/>
  <c r="S238" i="4" s="1"/>
  <c r="S237" i="12" s="1"/>
  <c r="CT237" i="4"/>
  <c r="S237" i="4" s="1"/>
  <c r="S236" i="12" s="1"/>
  <c r="CT236" i="4"/>
  <c r="S236" i="4" s="1"/>
  <c r="S235" i="12" s="1"/>
  <c r="CT235" i="4"/>
  <c r="S235" i="4" s="1"/>
  <c r="S234" i="12" s="1"/>
  <c r="CT234" i="4"/>
  <c r="S234" i="4" s="1"/>
  <c r="S233" i="12" s="1"/>
  <c r="CT233" i="4"/>
  <c r="S233" i="4" s="1"/>
  <c r="S232" i="12" s="1"/>
  <c r="CT232" i="4"/>
  <c r="S232" i="4" s="1"/>
  <c r="S231" i="12" s="1"/>
  <c r="CT231" i="4"/>
  <c r="S231" i="4" s="1"/>
  <c r="S230" i="12" s="1"/>
  <c r="CT230" i="4"/>
  <c r="S230" i="4" s="1"/>
  <c r="S229" i="12" s="1"/>
  <c r="Z229" i="12" s="1"/>
  <c r="CT229" i="4"/>
  <c r="S229" i="4" s="1"/>
  <c r="S228" i="12" s="1"/>
  <c r="CT228" i="4"/>
  <c r="S228" i="4" s="1"/>
  <c r="S227" i="12" s="1"/>
  <c r="CT227" i="4"/>
  <c r="S227" i="4" s="1"/>
  <c r="S226" i="12" s="1"/>
  <c r="CT226" i="4"/>
  <c r="S226" i="4" s="1"/>
  <c r="S225" i="12" s="1"/>
  <c r="CT225" i="4"/>
  <c r="S225" i="4" s="1"/>
  <c r="S224" i="12" s="1"/>
  <c r="CT224" i="4"/>
  <c r="S224" i="4" s="1"/>
  <c r="S223" i="12" s="1"/>
  <c r="CT223" i="4"/>
  <c r="S223" i="4" s="1"/>
  <c r="S222" i="12" s="1"/>
  <c r="Z222" i="12" s="1"/>
  <c r="CT222" i="4"/>
  <c r="S222" i="4" s="1"/>
  <c r="S221" i="12" s="1"/>
  <c r="CT221" i="4"/>
  <c r="S221" i="4" s="1"/>
  <c r="S220" i="12" s="1"/>
  <c r="CT220" i="4"/>
  <c r="S220" i="4" s="1"/>
  <c r="S219" i="12" s="1"/>
  <c r="CT219" i="4"/>
  <c r="S219" i="4" s="1"/>
  <c r="S218" i="12" s="1"/>
  <c r="CT218" i="4"/>
  <c r="S218" i="4" s="1"/>
  <c r="S217" i="12" s="1"/>
  <c r="CT217" i="4"/>
  <c r="S217" i="4" s="1"/>
  <c r="S216" i="12" s="1"/>
  <c r="CT216" i="4"/>
  <c r="S216" i="4" s="1"/>
  <c r="S215" i="12" s="1"/>
  <c r="CT215" i="4"/>
  <c r="S215" i="4" s="1"/>
  <c r="S214" i="12" s="1"/>
  <c r="CT214" i="4"/>
  <c r="S214" i="4" s="1"/>
  <c r="S213" i="12" s="1"/>
  <c r="CT213" i="4"/>
  <c r="S213" i="4" s="1"/>
  <c r="S212" i="12" s="1"/>
  <c r="CT212" i="4"/>
  <c r="S212" i="4" s="1"/>
  <c r="S211" i="12" s="1"/>
  <c r="CT211" i="4"/>
  <c r="S211" i="4" s="1"/>
  <c r="S210" i="12" s="1"/>
  <c r="CT210" i="4"/>
  <c r="S210" i="4" s="1"/>
  <c r="S209" i="12" s="1"/>
  <c r="Z209" i="12" s="1"/>
  <c r="CT209" i="4"/>
  <c r="S209" i="4" s="1"/>
  <c r="S208" i="12" s="1"/>
  <c r="CT208" i="4"/>
  <c r="S208" i="4" s="1"/>
  <c r="S207" i="12" s="1"/>
  <c r="CT207" i="4"/>
  <c r="S207" i="4" s="1"/>
  <c r="S206" i="12" s="1"/>
  <c r="CT206" i="4"/>
  <c r="S206" i="4" s="1"/>
  <c r="S205" i="12" s="1"/>
  <c r="CT205" i="4"/>
  <c r="S205" i="4" s="1"/>
  <c r="S204" i="12" s="1"/>
  <c r="CT204" i="4"/>
  <c r="S204" i="4" s="1"/>
  <c r="S203" i="12" s="1"/>
  <c r="CT203" i="4"/>
  <c r="S203" i="4" s="1"/>
  <c r="S202" i="12" s="1"/>
  <c r="CT202" i="4"/>
  <c r="S202" i="4" s="1"/>
  <c r="S201" i="12" s="1"/>
  <c r="CT201" i="4"/>
  <c r="S201" i="4" s="1"/>
  <c r="S200" i="12" s="1"/>
  <c r="CT200" i="4"/>
  <c r="S200" i="4" s="1"/>
  <c r="S199" i="12" s="1"/>
  <c r="CT199" i="4"/>
  <c r="S199" i="4" s="1"/>
  <c r="S198" i="12" s="1"/>
  <c r="CT198" i="4"/>
  <c r="S198" i="4" s="1"/>
  <c r="S197" i="12" s="1"/>
  <c r="CT197" i="4"/>
  <c r="S197" i="4" s="1"/>
  <c r="S196" i="12" s="1"/>
  <c r="CT196" i="4"/>
  <c r="S196" i="4" s="1"/>
  <c r="S195" i="12" s="1"/>
  <c r="CT195" i="4"/>
  <c r="S195" i="4" s="1"/>
  <c r="S194" i="12" s="1"/>
  <c r="CT194" i="4"/>
  <c r="S194" i="4" s="1"/>
  <c r="S193" i="12" s="1"/>
  <c r="CT193" i="4"/>
  <c r="S193" i="4" s="1"/>
  <c r="S192" i="12" s="1"/>
  <c r="Z192" i="12" s="1"/>
  <c r="CT192" i="4"/>
  <c r="S192" i="4" s="1"/>
  <c r="S191" i="12" s="1"/>
  <c r="CT191" i="4"/>
  <c r="S191" i="4" s="1"/>
  <c r="S190" i="12" s="1"/>
  <c r="CT190" i="4"/>
  <c r="S190" i="4" s="1"/>
  <c r="S189" i="12" s="1"/>
  <c r="CT189" i="4"/>
  <c r="S189" i="4" s="1"/>
  <c r="S188" i="12" s="1"/>
  <c r="CT188" i="4"/>
  <c r="S188" i="4" s="1"/>
  <c r="S187" i="12" s="1"/>
  <c r="CT187" i="4"/>
  <c r="S187" i="4" s="1"/>
  <c r="S186" i="12" s="1"/>
  <c r="CT186" i="4"/>
  <c r="S186" i="4" s="1"/>
  <c r="S185" i="12" s="1"/>
  <c r="CT185" i="4"/>
  <c r="S185" i="4" s="1"/>
  <c r="S184" i="12" s="1"/>
  <c r="CT184" i="4"/>
  <c r="S184" i="4" s="1"/>
  <c r="S183" i="12" s="1"/>
  <c r="CT183" i="4"/>
  <c r="S183" i="4" s="1"/>
  <c r="S182" i="12" s="1"/>
  <c r="Z182" i="12" s="1"/>
  <c r="CT182" i="4"/>
  <c r="S182" i="4" s="1"/>
  <c r="S181" i="12" s="1"/>
  <c r="Z181" i="12" s="1"/>
  <c r="CT181" i="4"/>
  <c r="S181" i="4" s="1"/>
  <c r="S180" i="12" s="1"/>
  <c r="Z180" i="12" s="1"/>
  <c r="CT180" i="4"/>
  <c r="S180" i="4" s="1"/>
  <c r="S179" i="12" s="1"/>
  <c r="CT176" i="4"/>
  <c r="S176" i="4" s="1"/>
  <c r="S175" i="12" s="1"/>
  <c r="CT175" i="4"/>
  <c r="S175" i="4" s="1"/>
  <c r="S174" i="12" s="1"/>
  <c r="CT174" i="4"/>
  <c r="S174" i="4" s="1"/>
  <c r="S173" i="12" s="1"/>
  <c r="CT173" i="4"/>
  <c r="S173" i="4" s="1"/>
  <c r="S172" i="12" s="1"/>
  <c r="CT172" i="4"/>
  <c r="S172" i="4" s="1"/>
  <c r="S171" i="12" s="1"/>
  <c r="CT171" i="4"/>
  <c r="S171" i="4" s="1"/>
  <c r="S170" i="12" s="1"/>
  <c r="CT170" i="4"/>
  <c r="S170" i="4" s="1"/>
  <c r="S169" i="12" s="1"/>
  <c r="CT169" i="4"/>
  <c r="S169" i="4" s="1"/>
  <c r="S168" i="12" s="1"/>
  <c r="CT168" i="4"/>
  <c r="S168" i="4" s="1"/>
  <c r="S167" i="12" s="1"/>
  <c r="CT167" i="4"/>
  <c r="S167" i="4" s="1"/>
  <c r="S166" i="12" s="1"/>
  <c r="CT166" i="4"/>
  <c r="S166" i="4" s="1"/>
  <c r="S165" i="12" s="1"/>
  <c r="CT165" i="4"/>
  <c r="S165" i="4" s="1"/>
  <c r="S164" i="12" s="1"/>
  <c r="CT164" i="4"/>
  <c r="S164" i="4" s="1"/>
  <c r="S163" i="12" s="1"/>
  <c r="CT163" i="4"/>
  <c r="S163" i="4" s="1"/>
  <c r="S162" i="12" s="1"/>
  <c r="CT162" i="4"/>
  <c r="S162" i="4" s="1"/>
  <c r="S161" i="12" s="1"/>
  <c r="CT161" i="4"/>
  <c r="S161" i="4" s="1"/>
  <c r="S160" i="12" s="1"/>
  <c r="CT160" i="4"/>
  <c r="S160" i="4" s="1"/>
  <c r="S159" i="12" s="1"/>
  <c r="CT159" i="4"/>
  <c r="S159" i="4" s="1"/>
  <c r="S158" i="12" s="1"/>
  <c r="CT158" i="4"/>
  <c r="S158" i="4" s="1"/>
  <c r="S157" i="12" s="1"/>
  <c r="CT157" i="4"/>
  <c r="S157" i="4" s="1"/>
  <c r="S156" i="12" s="1"/>
  <c r="CT156" i="4"/>
  <c r="S156" i="4" s="1"/>
  <c r="S155" i="12" s="1"/>
  <c r="CT155" i="4"/>
  <c r="S155" i="4" s="1"/>
  <c r="S154" i="12" s="1"/>
  <c r="CT154" i="4"/>
  <c r="S154" i="4" s="1"/>
  <c r="S153" i="12" s="1"/>
  <c r="CT153" i="4"/>
  <c r="S153" i="4" s="1"/>
  <c r="S152" i="12" s="1"/>
  <c r="CT151" i="4"/>
  <c r="S151" i="4" s="1"/>
  <c r="S150" i="12" s="1"/>
  <c r="CT150" i="4"/>
  <c r="S150" i="4" s="1"/>
  <c r="S149" i="12" s="1"/>
  <c r="CT149" i="4"/>
  <c r="S149" i="4" s="1"/>
  <c r="S148" i="12" s="1"/>
  <c r="CT148" i="4"/>
  <c r="S148" i="4" s="1"/>
  <c r="S147" i="12" s="1"/>
  <c r="CT147" i="4"/>
  <c r="S147" i="4" s="1"/>
  <c r="S146" i="12" s="1"/>
  <c r="CT146" i="4"/>
  <c r="S146" i="4" s="1"/>
  <c r="S145" i="12" s="1"/>
  <c r="CT145" i="4"/>
  <c r="S145" i="4" s="1"/>
  <c r="S144" i="12" s="1"/>
  <c r="CT144" i="4"/>
  <c r="S144" i="4" s="1"/>
  <c r="S143" i="12" s="1"/>
  <c r="CT143" i="4"/>
  <c r="S143" i="4" s="1"/>
  <c r="S142" i="12" s="1"/>
  <c r="CT142" i="4"/>
  <c r="S142" i="4" s="1"/>
  <c r="S141" i="12" s="1"/>
  <c r="CT140" i="4"/>
  <c r="S140" i="4" s="1"/>
  <c r="S139" i="12" s="1"/>
  <c r="CT139" i="4"/>
  <c r="S139" i="4" s="1"/>
  <c r="S138" i="12" s="1"/>
  <c r="CT138" i="4"/>
  <c r="S138" i="4" s="1"/>
  <c r="S137" i="12" s="1"/>
  <c r="CT137" i="4"/>
  <c r="S137" i="4" s="1"/>
  <c r="S136" i="12" s="1"/>
  <c r="CT136" i="4"/>
  <c r="S136" i="4" s="1"/>
  <c r="S135" i="12" s="1"/>
  <c r="CT135" i="4"/>
  <c r="S135" i="4" s="1"/>
  <c r="S134" i="12" s="1"/>
  <c r="CT134" i="4"/>
  <c r="S134" i="4" s="1"/>
  <c r="S133" i="12" s="1"/>
  <c r="CT133" i="4"/>
  <c r="S133" i="4" s="1"/>
  <c r="S132" i="12" s="1"/>
  <c r="CT132" i="4"/>
  <c r="S132" i="4" s="1"/>
  <c r="S131" i="12" s="1"/>
  <c r="CT131" i="4"/>
  <c r="S131" i="4" s="1"/>
  <c r="S130" i="12" s="1"/>
  <c r="CT130" i="4"/>
  <c r="S130" i="4" s="1"/>
  <c r="S129" i="12" s="1"/>
  <c r="CT129" i="4"/>
  <c r="S129" i="4" s="1"/>
  <c r="S128" i="12" s="1"/>
  <c r="CT128" i="4"/>
  <c r="S128" i="4" s="1"/>
  <c r="S127" i="12" s="1"/>
  <c r="CT127" i="4"/>
  <c r="S127" i="4" s="1"/>
  <c r="S126" i="12" s="1"/>
  <c r="CT125" i="4"/>
  <c r="S125" i="4" s="1"/>
  <c r="S124" i="12" s="1"/>
  <c r="CT124" i="4"/>
  <c r="S124" i="4" s="1"/>
  <c r="S123" i="12" s="1"/>
  <c r="CT123" i="4"/>
  <c r="S123" i="4" s="1"/>
  <c r="S122" i="12" s="1"/>
  <c r="CT122" i="4"/>
  <c r="S122" i="4" s="1"/>
  <c r="S121" i="12" s="1"/>
  <c r="CT121" i="4"/>
  <c r="S121" i="4" s="1"/>
  <c r="S120" i="12" s="1"/>
  <c r="CT120" i="4"/>
  <c r="S120" i="4" s="1"/>
  <c r="S119" i="12" s="1"/>
  <c r="CT119" i="4"/>
  <c r="S119" i="4" s="1"/>
  <c r="S118" i="12" s="1"/>
  <c r="CT118" i="4"/>
  <c r="S118" i="4" s="1"/>
  <c r="S117" i="12" s="1"/>
  <c r="CT117" i="4"/>
  <c r="S117" i="4" s="1"/>
  <c r="S116" i="12" s="1"/>
  <c r="CT116" i="4"/>
  <c r="S116" i="4" s="1"/>
  <c r="S115" i="12" s="1"/>
  <c r="CT115" i="4"/>
  <c r="S115" i="4" s="1"/>
  <c r="S114" i="12" s="1"/>
  <c r="CT114" i="4"/>
  <c r="S114" i="4" s="1"/>
  <c r="S113" i="12" s="1"/>
  <c r="CT113" i="4"/>
  <c r="S113" i="4" s="1"/>
  <c r="S112" i="12" s="1"/>
  <c r="CT112" i="4"/>
  <c r="S112" i="4" s="1"/>
  <c r="S111" i="12" s="1"/>
  <c r="CT111" i="4"/>
  <c r="S111" i="4" s="1"/>
  <c r="S110" i="12" s="1"/>
  <c r="CT110" i="4"/>
  <c r="S110" i="4" s="1"/>
  <c r="S109" i="12" s="1"/>
  <c r="CT109" i="4"/>
  <c r="S109" i="4" s="1"/>
  <c r="S108" i="12" s="1"/>
  <c r="CT108" i="4"/>
  <c r="S108" i="4" s="1"/>
  <c r="S107" i="12" s="1"/>
  <c r="CT107" i="4"/>
  <c r="S107" i="4" s="1"/>
  <c r="S106" i="12" s="1"/>
  <c r="CT106" i="4"/>
  <c r="S106" i="4" s="1"/>
  <c r="S105" i="12" s="1"/>
  <c r="CT105" i="4"/>
  <c r="S105" i="4" s="1"/>
  <c r="S104" i="12" s="1"/>
  <c r="CT104" i="4"/>
  <c r="S104" i="4" s="1"/>
  <c r="S103" i="12" s="1"/>
  <c r="CT103" i="4"/>
  <c r="S103" i="4" s="1"/>
  <c r="S102" i="12" s="1"/>
  <c r="CT102" i="4"/>
  <c r="S102" i="4" s="1"/>
  <c r="S101" i="12" s="1"/>
  <c r="CT101" i="4"/>
  <c r="S101" i="4" s="1"/>
  <c r="S100" i="12" s="1"/>
  <c r="CT100" i="4"/>
  <c r="S100" i="4" s="1"/>
  <c r="S99" i="12" s="1"/>
  <c r="CT99" i="4"/>
  <c r="S99" i="4" s="1"/>
  <c r="S98" i="12" s="1"/>
  <c r="CT98" i="4"/>
  <c r="S98" i="4" s="1"/>
  <c r="S97" i="12" s="1"/>
  <c r="CT97" i="4"/>
  <c r="S97" i="4" s="1"/>
  <c r="S96" i="12" s="1"/>
  <c r="CT96" i="4"/>
  <c r="S96" i="4" s="1"/>
  <c r="S95" i="12" s="1"/>
  <c r="CT95" i="4"/>
  <c r="S95" i="4" s="1"/>
  <c r="S94" i="12" s="1"/>
  <c r="CT94" i="4"/>
  <c r="S94" i="4" s="1"/>
  <c r="S93" i="12" s="1"/>
  <c r="CT93" i="4"/>
  <c r="S93" i="4" s="1"/>
  <c r="S92" i="12" s="1"/>
  <c r="CT92" i="4"/>
  <c r="S92" i="4" s="1"/>
  <c r="S91" i="12" s="1"/>
  <c r="CT91" i="4"/>
  <c r="S91" i="4" s="1"/>
  <c r="S90" i="12" s="1"/>
  <c r="CT90" i="4"/>
  <c r="S90" i="4" s="1"/>
  <c r="S89" i="12" s="1"/>
  <c r="CT89" i="4"/>
  <c r="S89" i="4" s="1"/>
  <c r="S88" i="12" s="1"/>
  <c r="CT88" i="4"/>
  <c r="S88" i="4" s="1"/>
  <c r="S87" i="12" s="1"/>
  <c r="CT87" i="4"/>
  <c r="S87" i="4" s="1"/>
  <c r="S86" i="12" s="1"/>
  <c r="CT86" i="4"/>
  <c r="S86" i="4" s="1"/>
  <c r="S85" i="12" s="1"/>
  <c r="CT85" i="4"/>
  <c r="S85" i="4" s="1"/>
  <c r="S84" i="12" s="1"/>
  <c r="CT84" i="4"/>
  <c r="S84" i="4" s="1"/>
  <c r="S83" i="12" s="1"/>
  <c r="CT83" i="4"/>
  <c r="S83" i="4" s="1"/>
  <c r="S82" i="12" s="1"/>
  <c r="CT82" i="4"/>
  <c r="S82" i="4" s="1"/>
  <c r="S81" i="12" s="1"/>
  <c r="CT81" i="4"/>
  <c r="S81" i="4" s="1"/>
  <c r="S80" i="12" s="1"/>
  <c r="CT80" i="4"/>
  <c r="S80" i="4" s="1"/>
  <c r="S79" i="12" s="1"/>
  <c r="CT79" i="4"/>
  <c r="S79" i="4" s="1"/>
  <c r="S78" i="12" s="1"/>
  <c r="CT78" i="4"/>
  <c r="S78" i="4" s="1"/>
  <c r="S77" i="12" s="1"/>
  <c r="CT77" i="4"/>
  <c r="S77" i="4" s="1"/>
  <c r="S76" i="12" s="1"/>
  <c r="CT76" i="4"/>
  <c r="S76" i="4" s="1"/>
  <c r="S75" i="12" s="1"/>
  <c r="CT75" i="4"/>
  <c r="S75" i="4" s="1"/>
  <c r="S74" i="12" s="1"/>
  <c r="CT74" i="4"/>
  <c r="S74" i="4" s="1"/>
  <c r="S73" i="12" s="1"/>
  <c r="CT73" i="4"/>
  <c r="S73" i="4" s="1"/>
  <c r="S72" i="12" s="1"/>
  <c r="CT72" i="4"/>
  <c r="S72" i="4" s="1"/>
  <c r="S71" i="12" s="1"/>
  <c r="CT71" i="4"/>
  <c r="S71" i="4" s="1"/>
  <c r="S70" i="12" s="1"/>
  <c r="CT70" i="4"/>
  <c r="S70" i="4" s="1"/>
  <c r="S69" i="12" s="1"/>
  <c r="CT69" i="4"/>
  <c r="S69" i="4" s="1"/>
  <c r="S68" i="12" s="1"/>
  <c r="CT68" i="4"/>
  <c r="S68" i="4" s="1"/>
  <c r="S67" i="12" s="1"/>
  <c r="CT67" i="4"/>
  <c r="S67" i="4" s="1"/>
  <c r="S66" i="12" s="1"/>
  <c r="CT66" i="4"/>
  <c r="S66" i="4" s="1"/>
  <c r="S65" i="12" s="1"/>
  <c r="CT65" i="4"/>
  <c r="S65" i="4" s="1"/>
  <c r="S64" i="12" s="1"/>
  <c r="CT64" i="4"/>
  <c r="S64" i="4" s="1"/>
  <c r="S63" i="12" s="1"/>
  <c r="CT63" i="4"/>
  <c r="S63" i="4" s="1"/>
  <c r="S62" i="12" s="1"/>
  <c r="CT62" i="4"/>
  <c r="S62" i="4" s="1"/>
  <c r="S61" i="12" s="1"/>
  <c r="CT61" i="4"/>
  <c r="S61" i="4" s="1"/>
  <c r="S60" i="12" s="1"/>
  <c r="CT60" i="4"/>
  <c r="S60" i="4" s="1"/>
  <c r="S59" i="12" s="1"/>
  <c r="CT59" i="4"/>
  <c r="S59" i="4" s="1"/>
  <c r="S58" i="12" s="1"/>
  <c r="CT58" i="4"/>
  <c r="S58" i="4" s="1"/>
  <c r="S57" i="12" s="1"/>
  <c r="CT57" i="4"/>
  <c r="S57" i="4" s="1"/>
  <c r="S56" i="12" s="1"/>
  <c r="CT56" i="4"/>
  <c r="S56" i="4" s="1"/>
  <c r="S55" i="12" s="1"/>
  <c r="CT55" i="4"/>
  <c r="S55" i="4" s="1"/>
  <c r="S54" i="12" s="1"/>
  <c r="CT54" i="4"/>
  <c r="S54" i="4" s="1"/>
  <c r="S53" i="12" s="1"/>
  <c r="CT53" i="4"/>
  <c r="S53" i="4" s="1"/>
  <c r="S52" i="12" s="1"/>
  <c r="CT52" i="4"/>
  <c r="S52" i="4" s="1"/>
  <c r="S51" i="12" s="1"/>
  <c r="CT51" i="4"/>
  <c r="S51" i="4" s="1"/>
  <c r="S50" i="12" s="1"/>
  <c r="CT50" i="4"/>
  <c r="S50" i="4" s="1"/>
  <c r="S49" i="12" s="1"/>
  <c r="CT49" i="4"/>
  <c r="S49" i="4" s="1"/>
  <c r="S48" i="12" s="1"/>
  <c r="CT48" i="4"/>
  <c r="S48" i="4" s="1"/>
  <c r="S47" i="12" s="1"/>
  <c r="CT47" i="4"/>
  <c r="S47" i="4" s="1"/>
  <c r="S46" i="12" s="1"/>
  <c r="CT46" i="4"/>
  <c r="S46" i="4" s="1"/>
  <c r="S45" i="12" s="1"/>
  <c r="CT45" i="4"/>
  <c r="S45" i="4" s="1"/>
  <c r="S44" i="12" s="1"/>
  <c r="CT44" i="4"/>
  <c r="S44" i="4" s="1"/>
  <c r="S43" i="12" s="1"/>
  <c r="CT43" i="4"/>
  <c r="S43" i="4" s="1"/>
  <c r="S42" i="12" s="1"/>
  <c r="CT42" i="4"/>
  <c r="S42" i="4" s="1"/>
  <c r="S41" i="12" s="1"/>
  <c r="CT41" i="4"/>
  <c r="S41" i="4" s="1"/>
  <c r="S40" i="12" s="1"/>
  <c r="CT40" i="4"/>
  <c r="S40" i="4" s="1"/>
  <c r="S39" i="12" s="1"/>
  <c r="CT39" i="4"/>
  <c r="S39" i="4" s="1"/>
  <c r="S38" i="12" s="1"/>
  <c r="CT38" i="4"/>
  <c r="S38" i="4" s="1"/>
  <c r="S37" i="12" s="1"/>
  <c r="CT37" i="4"/>
  <c r="S37" i="4" s="1"/>
  <c r="S36" i="12" s="1"/>
  <c r="CT36" i="4"/>
  <c r="S36" i="4" s="1"/>
  <c r="S35" i="12" s="1"/>
  <c r="CT35" i="4"/>
  <c r="S35" i="4" s="1"/>
  <c r="S34" i="12" s="1"/>
  <c r="CT34" i="4"/>
  <c r="S34" i="4" s="1"/>
  <c r="S33" i="12" s="1"/>
  <c r="CT33" i="4"/>
  <c r="S33" i="4" s="1"/>
  <c r="S32" i="12" s="1"/>
  <c r="CT32" i="4"/>
  <c r="S32" i="4" s="1"/>
  <c r="S31" i="12" s="1"/>
  <c r="CT31" i="4"/>
  <c r="S31" i="4" s="1"/>
  <c r="S30" i="12" s="1"/>
  <c r="CT30" i="4"/>
  <c r="S30" i="4" s="1"/>
  <c r="S29" i="12" s="1"/>
  <c r="CT29" i="4"/>
  <c r="S29" i="4" s="1"/>
  <c r="S28" i="12" s="1"/>
  <c r="CT28" i="4"/>
  <c r="S28" i="4" s="1"/>
  <c r="S27" i="12" s="1"/>
  <c r="CT27" i="4"/>
  <c r="S27" i="4" s="1"/>
  <c r="S26" i="12" s="1"/>
  <c r="CT26" i="4"/>
  <c r="S26" i="4" s="1"/>
  <c r="S25" i="12" s="1"/>
  <c r="CT25" i="4"/>
  <c r="S25" i="4" s="1"/>
  <c r="S24" i="12" s="1"/>
  <c r="CT24" i="4"/>
  <c r="S24" i="4" s="1"/>
  <c r="S23" i="12" s="1"/>
  <c r="CT23" i="4"/>
  <c r="S23" i="4" s="1"/>
  <c r="S22" i="12" s="1"/>
  <c r="CT22" i="4"/>
  <c r="S22" i="4" s="1"/>
  <c r="S21" i="12" s="1"/>
  <c r="CT21" i="4"/>
  <c r="S21" i="4" s="1"/>
  <c r="S20" i="12" s="1"/>
  <c r="CT20" i="4"/>
  <c r="S20" i="4" s="1"/>
  <c r="S19" i="12" s="1"/>
  <c r="CT19" i="4"/>
  <c r="S19" i="4" s="1"/>
  <c r="S18" i="12" s="1"/>
  <c r="CT18" i="4"/>
  <c r="S18" i="4" s="1"/>
  <c r="S17" i="12" s="1"/>
  <c r="CT17" i="4"/>
  <c r="S17" i="4" s="1"/>
  <c r="S16" i="12" s="1"/>
  <c r="CT16" i="4"/>
  <c r="S16" i="4" s="1"/>
  <c r="S15" i="12" s="1"/>
  <c r="CT15" i="4"/>
  <c r="S15" i="4" s="1"/>
  <c r="S14" i="12" s="1"/>
  <c r="CT14" i="4"/>
  <c r="S14" i="4" s="1"/>
  <c r="S13" i="12" s="1"/>
  <c r="CT13" i="4"/>
  <c r="S13" i="4" s="1"/>
  <c r="S12" i="12" s="1"/>
  <c r="CT12" i="4"/>
  <c r="S12" i="4" s="1"/>
  <c r="S11" i="12" s="1"/>
  <c r="CT11" i="4"/>
  <c r="S11" i="4" s="1"/>
  <c r="S10" i="12" s="1"/>
  <c r="CT10" i="4"/>
  <c r="S10" i="4" s="1"/>
  <c r="S9" i="12" s="1"/>
  <c r="DP63" i="13" l="1"/>
  <c r="DP62" i="13"/>
  <c r="DP61" i="13"/>
  <c r="DP60" i="13"/>
  <c r="DP59" i="13"/>
  <c r="DP58" i="13"/>
  <c r="DP57" i="13"/>
  <c r="DP56" i="13"/>
  <c r="DP55" i="13"/>
  <c r="DP54" i="13"/>
  <c r="DP53" i="13"/>
  <c r="DP52" i="13"/>
  <c r="DP51" i="13"/>
  <c r="DP50" i="13"/>
  <c r="DP49" i="13"/>
  <c r="DP48" i="13"/>
  <c r="DP47" i="13"/>
  <c r="DP46" i="13"/>
  <c r="DP45" i="13"/>
  <c r="DP44" i="13"/>
  <c r="DP43" i="13"/>
  <c r="DP42" i="13"/>
  <c r="DP41" i="13"/>
  <c r="DP40" i="13"/>
  <c r="DP39" i="13"/>
  <c r="DP38" i="13"/>
  <c r="DP37" i="13"/>
  <c r="DP36" i="13"/>
  <c r="DP35" i="13"/>
  <c r="DP34" i="13"/>
  <c r="DP188" i="13"/>
  <c r="DP187" i="13"/>
  <c r="DP186" i="13"/>
  <c r="DP185" i="13"/>
  <c r="DP183" i="13"/>
  <c r="DP182" i="13"/>
  <c r="DP181" i="13"/>
  <c r="DP180" i="13"/>
  <c r="DP179" i="13"/>
  <c r="DP178" i="13"/>
  <c r="DP177" i="13"/>
  <c r="DP176" i="13"/>
  <c r="DP175" i="13"/>
  <c r="DP174" i="13"/>
  <c r="DP173" i="13"/>
  <c r="DP172" i="13"/>
  <c r="DP171" i="13"/>
  <c r="DP170" i="13"/>
  <c r="DP169" i="13"/>
  <c r="DP168" i="13"/>
  <c r="DP167" i="13"/>
  <c r="DP166" i="13"/>
  <c r="DP165" i="13"/>
  <c r="DP164" i="13"/>
  <c r="DP163" i="13"/>
  <c r="DP162" i="13"/>
  <c r="DP161" i="13"/>
  <c r="DP160" i="13"/>
  <c r="DP159" i="13"/>
  <c r="DP158" i="13"/>
  <c r="DP157" i="13"/>
  <c r="DP156" i="13"/>
  <c r="DP155" i="13"/>
  <c r="DP154" i="13"/>
  <c r="DP153" i="13"/>
  <c r="DP152" i="13"/>
  <c r="DP151" i="13"/>
  <c r="DP150" i="13"/>
  <c r="DP149" i="13"/>
  <c r="DP148" i="13"/>
  <c r="DP147" i="13"/>
  <c r="DP146" i="13"/>
  <c r="DP145" i="13"/>
  <c r="DP144" i="13"/>
  <c r="DP143" i="13"/>
  <c r="DP142" i="13"/>
  <c r="DP141" i="13"/>
  <c r="DP140" i="13"/>
  <c r="DP139" i="13"/>
  <c r="DP138" i="13"/>
  <c r="DP137" i="13"/>
  <c r="DP136" i="13"/>
  <c r="DP135" i="13"/>
  <c r="DP134" i="13"/>
  <c r="DP133" i="13"/>
  <c r="DP132" i="13"/>
  <c r="DP131" i="13"/>
  <c r="DP130" i="13"/>
  <c r="DP129" i="13"/>
  <c r="DP128" i="13"/>
  <c r="DP127" i="13"/>
  <c r="DP126" i="13"/>
  <c r="DP125" i="13"/>
  <c r="DP124" i="13"/>
  <c r="DP123" i="13"/>
  <c r="DP122" i="13"/>
  <c r="DP121" i="13"/>
  <c r="DP120" i="13"/>
  <c r="DP119" i="13"/>
  <c r="DP118" i="13"/>
  <c r="DP117" i="13"/>
  <c r="DP116" i="13"/>
  <c r="DP115" i="13"/>
  <c r="DP114" i="13"/>
  <c r="DP113" i="13"/>
  <c r="DP112" i="13"/>
  <c r="DP111" i="13"/>
  <c r="DP110" i="13"/>
  <c r="DP109" i="13"/>
  <c r="DP108" i="13"/>
  <c r="DP107" i="13"/>
  <c r="DP106" i="13"/>
  <c r="DP105" i="13"/>
  <c r="DP104" i="13"/>
  <c r="DP103" i="13"/>
  <c r="DP102" i="13"/>
  <c r="DP101" i="13"/>
  <c r="DP100" i="13"/>
  <c r="DP99" i="13"/>
  <c r="DP98" i="13"/>
  <c r="DP97" i="13"/>
  <c r="DP96" i="13"/>
  <c r="DP95" i="13"/>
  <c r="DP94" i="13"/>
  <c r="DP93" i="13"/>
  <c r="DP92" i="13"/>
  <c r="DP91" i="13"/>
  <c r="DP90" i="13"/>
  <c r="DP89" i="13"/>
  <c r="DP88" i="13"/>
  <c r="DP87" i="13"/>
  <c r="DP86" i="13"/>
  <c r="DP85" i="13"/>
  <c r="DP84" i="13"/>
  <c r="DP83" i="13"/>
  <c r="DP82" i="13"/>
  <c r="DP81" i="13"/>
  <c r="DP80" i="13"/>
  <c r="DP79" i="13"/>
  <c r="DP78" i="13"/>
  <c r="DP77" i="13"/>
  <c r="DP76" i="13"/>
  <c r="DP75" i="13"/>
  <c r="DP74" i="13"/>
  <c r="DP73" i="13"/>
  <c r="DP72" i="13"/>
  <c r="DP71" i="13"/>
  <c r="DP70" i="13"/>
  <c r="DP69" i="13"/>
  <c r="DP68" i="13"/>
  <c r="DP67" i="13"/>
  <c r="DP66" i="13"/>
  <c r="DP65" i="13"/>
  <c r="DP64" i="13"/>
  <c r="DP33" i="13"/>
  <c r="I158" i="7" l="1"/>
  <c r="D158" i="7"/>
  <c r="I157" i="7"/>
  <c r="D157" i="7"/>
  <c r="I156" i="7"/>
  <c r="D156" i="7"/>
  <c r="I155" i="7"/>
  <c r="D155" i="7"/>
  <c r="I149" i="7"/>
  <c r="D149" i="7"/>
  <c r="I148" i="7"/>
  <c r="D148" i="7"/>
  <c r="I147" i="7"/>
  <c r="D147" i="7"/>
  <c r="I146" i="7"/>
  <c r="D146" i="7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I120" i="7"/>
  <c r="D120" i="7"/>
  <c r="I119" i="7"/>
  <c r="D119" i="7"/>
  <c r="I114" i="7"/>
  <c r="D114" i="7"/>
  <c r="I113" i="7"/>
  <c r="D113" i="7"/>
  <c r="I112" i="7"/>
  <c r="D112" i="7"/>
  <c r="I111" i="7"/>
  <c r="D111" i="7"/>
  <c r="I106" i="7"/>
  <c r="D106" i="7"/>
  <c r="I105" i="7"/>
  <c r="D105" i="7"/>
  <c r="I100" i="7"/>
  <c r="D100" i="7"/>
  <c r="I99" i="7"/>
  <c r="D99" i="7"/>
  <c r="I98" i="7"/>
  <c r="D98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0" i="7"/>
  <c r="D60" i="7"/>
  <c r="I59" i="7"/>
  <c r="D59" i="7"/>
  <c r="I58" i="7"/>
  <c r="D58" i="7"/>
  <c r="I57" i="7"/>
  <c r="D57" i="7"/>
  <c r="I56" i="7"/>
  <c r="D56" i="7"/>
  <c r="I55" i="7"/>
  <c r="D55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39" i="7"/>
  <c r="D39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6" i="7"/>
  <c r="D26" i="7"/>
  <c r="I25" i="7"/>
  <c r="D25" i="7"/>
  <c r="I23" i="7"/>
  <c r="D23" i="7"/>
  <c r="I22" i="7"/>
  <c r="D22" i="7"/>
  <c r="I21" i="7"/>
  <c r="D21" i="7"/>
  <c r="I20" i="7"/>
  <c r="D20" i="7"/>
  <c r="I19" i="7"/>
  <c r="D19" i="7"/>
  <c r="I18" i="7"/>
  <c r="D18" i="7"/>
  <c r="I17" i="7"/>
  <c r="D17" i="7"/>
  <c r="I16" i="7"/>
  <c r="D16" i="7"/>
  <c r="D15" i="7"/>
  <c r="I181" i="6"/>
  <c r="D181" i="6"/>
  <c r="I180" i="6"/>
  <c r="D180" i="6"/>
  <c r="I179" i="6"/>
  <c r="D179" i="6"/>
  <c r="I178" i="6"/>
  <c r="D178" i="6"/>
  <c r="I177" i="6"/>
  <c r="D177" i="6"/>
  <c r="I176" i="6"/>
  <c r="D176" i="6"/>
  <c r="I175" i="6"/>
  <c r="D175" i="6"/>
  <c r="I174" i="6"/>
  <c r="D174" i="6"/>
  <c r="I173" i="6"/>
  <c r="D173" i="6"/>
  <c r="I172" i="6"/>
  <c r="D172" i="6"/>
  <c r="I171" i="6"/>
  <c r="D171" i="6"/>
  <c r="I170" i="6"/>
  <c r="D170" i="6"/>
  <c r="I169" i="6"/>
  <c r="D169" i="6"/>
  <c r="I168" i="6"/>
  <c r="D168" i="6"/>
  <c r="I167" i="6"/>
  <c r="D167" i="6"/>
  <c r="I166" i="6"/>
  <c r="D166" i="6"/>
  <c r="I165" i="6"/>
  <c r="D165" i="6"/>
  <c r="I164" i="6"/>
  <c r="D164" i="6"/>
  <c r="I163" i="6"/>
  <c r="D163" i="6"/>
  <c r="I162" i="6"/>
  <c r="D162" i="6"/>
  <c r="I161" i="6"/>
  <c r="D161" i="6"/>
  <c r="I160" i="6"/>
  <c r="D160" i="6"/>
  <c r="I159" i="6"/>
  <c r="D159" i="6"/>
  <c r="I158" i="6"/>
  <c r="D158" i="6"/>
  <c r="I157" i="6"/>
  <c r="D157" i="6"/>
  <c r="I156" i="6"/>
  <c r="D156" i="6"/>
  <c r="I155" i="6"/>
  <c r="D155" i="6"/>
  <c r="I154" i="6"/>
  <c r="D154" i="6"/>
  <c r="I153" i="6"/>
  <c r="D153" i="6"/>
  <c r="I152" i="6"/>
  <c r="D152" i="6"/>
  <c r="I151" i="6"/>
  <c r="D151" i="6"/>
  <c r="I150" i="6"/>
  <c r="D150" i="6"/>
  <c r="I149" i="6"/>
  <c r="D149" i="6"/>
  <c r="I148" i="6"/>
  <c r="D148" i="6"/>
  <c r="I147" i="6"/>
  <c r="D147" i="6"/>
  <c r="I146" i="6"/>
  <c r="D146" i="6"/>
  <c r="I145" i="6"/>
  <c r="D145" i="6"/>
  <c r="I144" i="6"/>
  <c r="D144" i="6"/>
  <c r="I143" i="6"/>
  <c r="D143" i="6"/>
  <c r="I142" i="6"/>
  <c r="D142" i="6"/>
  <c r="I141" i="6"/>
  <c r="D141" i="6"/>
  <c r="I140" i="6"/>
  <c r="D140" i="6"/>
  <c r="I139" i="6"/>
  <c r="D139" i="6"/>
  <c r="I138" i="6"/>
  <c r="D138" i="6"/>
  <c r="I137" i="6"/>
  <c r="D137" i="6"/>
  <c r="I136" i="6"/>
  <c r="D136" i="6"/>
  <c r="I135" i="6"/>
  <c r="D135" i="6"/>
  <c r="I134" i="6"/>
  <c r="D134" i="6"/>
  <c r="I133" i="6"/>
  <c r="D133" i="6"/>
  <c r="I132" i="6"/>
  <c r="D132" i="6"/>
  <c r="I131" i="6"/>
  <c r="D131" i="6"/>
  <c r="I130" i="6"/>
  <c r="D130" i="6"/>
  <c r="I129" i="6"/>
  <c r="D129" i="6"/>
  <c r="I128" i="6"/>
  <c r="D128" i="6"/>
  <c r="I127" i="6"/>
  <c r="D127" i="6"/>
  <c r="I126" i="6"/>
  <c r="D126" i="6"/>
  <c r="I125" i="6"/>
  <c r="D125" i="6"/>
  <c r="I124" i="6"/>
  <c r="D124" i="6"/>
  <c r="I123" i="6"/>
  <c r="D123" i="6"/>
  <c r="I122" i="6"/>
  <c r="D122" i="6"/>
  <c r="I121" i="6"/>
  <c r="D121" i="6"/>
  <c r="I120" i="6"/>
  <c r="D120" i="6"/>
  <c r="I119" i="6"/>
  <c r="D119" i="6"/>
  <c r="I118" i="6"/>
  <c r="D118" i="6"/>
  <c r="I117" i="6"/>
  <c r="D117" i="6"/>
  <c r="I116" i="6"/>
  <c r="D116" i="6"/>
  <c r="I115" i="6"/>
  <c r="D115" i="6"/>
  <c r="I114" i="6"/>
  <c r="D114" i="6"/>
  <c r="I113" i="6"/>
  <c r="D113" i="6"/>
  <c r="I112" i="6"/>
  <c r="D112" i="6"/>
  <c r="I111" i="6"/>
  <c r="D111" i="6"/>
  <c r="I110" i="6"/>
  <c r="D110" i="6"/>
  <c r="I109" i="6"/>
  <c r="D109" i="6"/>
  <c r="I108" i="6"/>
  <c r="D108" i="6"/>
  <c r="I107" i="6"/>
  <c r="D107" i="6"/>
  <c r="I106" i="6"/>
  <c r="D106" i="6"/>
  <c r="I105" i="6"/>
  <c r="D105" i="6"/>
  <c r="I104" i="6"/>
  <c r="D104" i="6"/>
  <c r="I103" i="6"/>
  <c r="D103" i="6"/>
  <c r="I102" i="6"/>
  <c r="D102" i="6"/>
  <c r="I101" i="6"/>
  <c r="D101" i="6"/>
  <c r="I100" i="6"/>
  <c r="D100" i="6"/>
  <c r="I99" i="6"/>
  <c r="D99" i="6"/>
  <c r="I98" i="6"/>
  <c r="D98" i="6"/>
  <c r="I97" i="6"/>
  <c r="D97" i="6"/>
  <c r="I96" i="6"/>
  <c r="D96" i="6"/>
  <c r="I95" i="6"/>
  <c r="D95" i="6"/>
  <c r="I94" i="6"/>
  <c r="D94" i="6"/>
  <c r="I93" i="6"/>
  <c r="D93" i="6"/>
  <c r="I92" i="6"/>
  <c r="D92" i="6"/>
  <c r="I91" i="6"/>
  <c r="D91" i="6"/>
  <c r="I90" i="6"/>
  <c r="D90" i="6"/>
  <c r="I89" i="6"/>
  <c r="D89" i="6"/>
  <c r="I88" i="6"/>
  <c r="D88" i="6"/>
  <c r="I87" i="6"/>
  <c r="D87" i="6"/>
  <c r="I86" i="6"/>
  <c r="D86" i="6"/>
  <c r="I85" i="6"/>
  <c r="D85" i="6"/>
  <c r="I84" i="6"/>
  <c r="D84" i="6"/>
  <c r="I83" i="6"/>
  <c r="D83" i="6"/>
  <c r="I82" i="6"/>
  <c r="D82" i="6"/>
  <c r="I81" i="6"/>
  <c r="D81" i="6"/>
  <c r="I80" i="6"/>
  <c r="D80" i="6"/>
  <c r="I79" i="6"/>
  <c r="D79" i="6"/>
  <c r="I78" i="6"/>
  <c r="D78" i="6"/>
  <c r="I77" i="6"/>
  <c r="D77" i="6"/>
  <c r="I76" i="6"/>
  <c r="D76" i="6"/>
  <c r="I75" i="6"/>
  <c r="D75" i="6"/>
  <c r="I74" i="6"/>
  <c r="D74" i="6"/>
  <c r="I73" i="6"/>
  <c r="D73" i="6"/>
  <c r="I72" i="6"/>
  <c r="D72" i="6"/>
  <c r="I71" i="6"/>
  <c r="D71" i="6"/>
  <c r="I70" i="6"/>
  <c r="D70" i="6"/>
  <c r="I69" i="6"/>
  <c r="D69" i="6"/>
  <c r="I68" i="6"/>
  <c r="D68" i="6"/>
  <c r="I67" i="6"/>
  <c r="D67" i="6"/>
  <c r="I66" i="6"/>
  <c r="D66" i="6"/>
  <c r="I65" i="6"/>
  <c r="D65" i="6"/>
  <c r="I64" i="6"/>
  <c r="D64" i="6"/>
  <c r="I63" i="6"/>
  <c r="D63" i="6"/>
  <c r="I62" i="6"/>
  <c r="D62" i="6"/>
  <c r="I61" i="6"/>
  <c r="D61" i="6"/>
  <c r="I60" i="6"/>
  <c r="D60" i="6"/>
  <c r="I59" i="6"/>
  <c r="D59" i="6"/>
  <c r="I58" i="6"/>
  <c r="D58" i="6"/>
  <c r="I57" i="6"/>
  <c r="D57" i="6"/>
  <c r="I56" i="6"/>
  <c r="D56" i="6"/>
  <c r="I55" i="6"/>
  <c r="D55" i="6"/>
  <c r="I54" i="6"/>
  <c r="D54" i="6"/>
  <c r="I53" i="6"/>
  <c r="D53" i="6"/>
  <c r="I52" i="6"/>
  <c r="D52" i="6"/>
  <c r="I51" i="6"/>
  <c r="D51" i="6"/>
  <c r="I50" i="6"/>
  <c r="D50" i="6"/>
  <c r="I49" i="6"/>
  <c r="D49" i="6"/>
  <c r="I48" i="6"/>
  <c r="D48" i="6"/>
  <c r="I47" i="6"/>
  <c r="D47" i="6"/>
  <c r="I46" i="6"/>
  <c r="D46" i="6"/>
  <c r="I45" i="6"/>
  <c r="D45" i="6"/>
  <c r="I44" i="6"/>
  <c r="D44" i="6"/>
  <c r="I43" i="6"/>
  <c r="D43" i="6"/>
  <c r="I42" i="6"/>
  <c r="D42" i="6"/>
  <c r="I41" i="6"/>
  <c r="D41" i="6"/>
  <c r="I40" i="6"/>
  <c r="D40" i="6"/>
  <c r="I39" i="6"/>
  <c r="D39" i="6"/>
  <c r="I38" i="6"/>
  <c r="D38" i="6"/>
  <c r="I37" i="6"/>
  <c r="D37" i="6"/>
  <c r="I36" i="6"/>
  <c r="D36" i="6"/>
  <c r="I35" i="6"/>
  <c r="D35" i="6"/>
  <c r="I34" i="6"/>
  <c r="D34" i="6"/>
  <c r="I33" i="6"/>
  <c r="D33" i="6"/>
  <c r="I32" i="6"/>
  <c r="D32" i="6"/>
  <c r="I31" i="6"/>
  <c r="D31" i="6"/>
  <c r="I30" i="6"/>
  <c r="D30" i="6"/>
  <c r="I29" i="6"/>
  <c r="D29" i="6"/>
  <c r="I28" i="6"/>
  <c r="D28" i="6"/>
  <c r="I27" i="6"/>
  <c r="D27" i="6"/>
  <c r="I26" i="6"/>
  <c r="D26" i="6"/>
  <c r="I25" i="6"/>
  <c r="D25" i="6"/>
  <c r="I24" i="6"/>
  <c r="D24" i="6"/>
  <c r="I23" i="6"/>
  <c r="D23" i="6"/>
  <c r="I22" i="6"/>
  <c r="D22" i="6"/>
  <c r="I21" i="6"/>
  <c r="D21" i="6"/>
  <c r="I20" i="6"/>
  <c r="D20" i="6"/>
  <c r="I19" i="6"/>
  <c r="D19" i="6"/>
  <c r="I18" i="6"/>
  <c r="D18" i="6"/>
  <c r="I17" i="6"/>
  <c r="D17" i="6"/>
  <c r="I16" i="6"/>
  <c r="D16" i="6"/>
  <c r="A16" i="6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CX343" i="13"/>
  <c r="CY343" i="13" s="1"/>
  <c r="CS343" i="13"/>
  <c r="CR343" i="13"/>
  <c r="CQ343" i="13"/>
  <c r="CO343" i="13"/>
  <c r="CP343" i="13" s="1"/>
  <c r="CL343" i="13"/>
  <c r="CK343" i="13"/>
  <c r="CJ343" i="13"/>
  <c r="CF343" i="13"/>
  <c r="CE343" i="13"/>
  <c r="CB343" i="13"/>
  <c r="CA343" i="13"/>
  <c r="BZ343" i="13"/>
  <c r="BW343" i="13"/>
  <c r="BV343" i="13"/>
  <c r="BU343" i="13"/>
  <c r="BR343" i="13"/>
  <c r="BQ343" i="13"/>
  <c r="BP343" i="13"/>
  <c r="BM343" i="13"/>
  <c r="BL343" i="13"/>
  <c r="BK343" i="13"/>
  <c r="BH343" i="13"/>
  <c r="BG343" i="13"/>
  <c r="BF343" i="13"/>
  <c r="BC343" i="13"/>
  <c r="BB343" i="13"/>
  <c r="BA343" i="13"/>
  <c r="AX343" i="13"/>
  <c r="AW343" i="13"/>
  <c r="AV343" i="13"/>
  <c r="AS343" i="13"/>
  <c r="AR343" i="13"/>
  <c r="AQ343" i="13"/>
  <c r="AN343" i="13"/>
  <c r="AM343" i="13"/>
  <c r="AL343" i="13"/>
  <c r="AO343" i="13" s="1"/>
  <c r="AP343" i="13" s="1"/>
  <c r="CS342" i="13"/>
  <c r="CR342" i="13"/>
  <c r="CQ342" i="13"/>
  <c r="CO342" i="13"/>
  <c r="AA342" i="13" s="1"/>
  <c r="CP342" i="13" s="1"/>
  <c r="CL342" i="13"/>
  <c r="CK342" i="13"/>
  <c r="CJ342" i="13"/>
  <c r="CF342" i="13"/>
  <c r="CE342" i="13"/>
  <c r="CB342" i="13"/>
  <c r="CA342" i="13"/>
  <c r="BZ342" i="13"/>
  <c r="BW342" i="13"/>
  <c r="BV342" i="13"/>
  <c r="BU342" i="13"/>
  <c r="BR342" i="13"/>
  <c r="BQ342" i="13"/>
  <c r="BP342" i="13"/>
  <c r="BM342" i="13"/>
  <c r="BL342" i="13"/>
  <c r="BK342" i="13"/>
  <c r="BH342" i="13"/>
  <c r="BG342" i="13"/>
  <c r="BF342" i="13"/>
  <c r="BC342" i="13"/>
  <c r="BB342" i="13"/>
  <c r="BA342" i="13"/>
  <c r="AX342" i="13"/>
  <c r="AW342" i="13"/>
  <c r="AV342" i="13"/>
  <c r="AS342" i="13"/>
  <c r="AR342" i="13"/>
  <c r="AQ342" i="13"/>
  <c r="AN342" i="13"/>
  <c r="AM342" i="13"/>
  <c r="AL342" i="13"/>
  <c r="CS341" i="13"/>
  <c r="CR341" i="13"/>
  <c r="CQ341" i="13"/>
  <c r="CO341" i="13"/>
  <c r="CL341" i="13"/>
  <c r="CK341" i="13"/>
  <c r="CJ341" i="13"/>
  <c r="CF341" i="13"/>
  <c r="CE341" i="13"/>
  <c r="CB341" i="13"/>
  <c r="CA341" i="13"/>
  <c r="BZ341" i="13"/>
  <c r="BW341" i="13"/>
  <c r="BV341" i="13"/>
  <c r="BU341" i="13"/>
  <c r="BR341" i="13"/>
  <c r="BQ341" i="13"/>
  <c r="BP341" i="13"/>
  <c r="BM341" i="13"/>
  <c r="BL341" i="13"/>
  <c r="BK341" i="13"/>
  <c r="BH341" i="13"/>
  <c r="BG341" i="13"/>
  <c r="BF341" i="13"/>
  <c r="BC341" i="13"/>
  <c r="BB341" i="13"/>
  <c r="BA341" i="13"/>
  <c r="AX341" i="13"/>
  <c r="AW341" i="13"/>
  <c r="AV341" i="13"/>
  <c r="AS341" i="13"/>
  <c r="AR341" i="13"/>
  <c r="AQ341" i="13"/>
  <c r="AN341" i="13"/>
  <c r="AM341" i="13"/>
  <c r="AL341" i="13"/>
  <c r="CS340" i="13"/>
  <c r="CR340" i="13"/>
  <c r="CQ340" i="13"/>
  <c r="CO340" i="13"/>
  <c r="AA340" i="13" s="1"/>
  <c r="CL340" i="13"/>
  <c r="CK340" i="13"/>
  <c r="CJ340" i="13"/>
  <c r="CF340" i="13"/>
  <c r="CE340" i="13"/>
  <c r="CB340" i="13"/>
  <c r="CA340" i="13"/>
  <c r="BZ340" i="13"/>
  <c r="BW340" i="13"/>
  <c r="BV340" i="13"/>
  <c r="BU340" i="13"/>
  <c r="BR340" i="13"/>
  <c r="BQ340" i="13"/>
  <c r="BP340" i="13"/>
  <c r="BM340" i="13"/>
  <c r="BL340" i="13"/>
  <c r="BK340" i="13"/>
  <c r="BH340" i="13"/>
  <c r="BG340" i="13"/>
  <c r="BF340" i="13"/>
  <c r="BC340" i="13"/>
  <c r="BB340" i="13"/>
  <c r="BA340" i="13"/>
  <c r="AX340" i="13"/>
  <c r="AW340" i="13"/>
  <c r="AV340" i="13"/>
  <c r="AS340" i="13"/>
  <c r="AR340" i="13"/>
  <c r="AQ340" i="13"/>
  <c r="AN340" i="13"/>
  <c r="AM340" i="13"/>
  <c r="AL340" i="13"/>
  <c r="CS339" i="13"/>
  <c r="CQ339" i="13"/>
  <c r="CO339" i="13"/>
  <c r="CL339" i="13"/>
  <c r="CK339" i="13"/>
  <c r="CJ339" i="13"/>
  <c r="CF339" i="13"/>
  <c r="CE339" i="13"/>
  <c r="CB339" i="13"/>
  <c r="CA339" i="13"/>
  <c r="BZ339" i="13"/>
  <c r="BW339" i="13"/>
  <c r="BV339" i="13"/>
  <c r="BU339" i="13"/>
  <c r="BR339" i="13"/>
  <c r="BQ339" i="13"/>
  <c r="BP339" i="13"/>
  <c r="BM339" i="13"/>
  <c r="BL339" i="13"/>
  <c r="BK339" i="13"/>
  <c r="BH339" i="13"/>
  <c r="BG339" i="13"/>
  <c r="BF339" i="13"/>
  <c r="BC339" i="13"/>
  <c r="BB339" i="13"/>
  <c r="BA339" i="13"/>
  <c r="AX339" i="13"/>
  <c r="AW339" i="13"/>
  <c r="AV339" i="13"/>
  <c r="AS339" i="13"/>
  <c r="AR339" i="13"/>
  <c r="AQ339" i="13"/>
  <c r="AN339" i="13"/>
  <c r="AM339" i="13"/>
  <c r="AL339" i="13"/>
  <c r="CS338" i="13"/>
  <c r="CQ338" i="13"/>
  <c r="CO338" i="13"/>
  <c r="AA338" i="13" s="1"/>
  <c r="CP338" i="13" s="1"/>
  <c r="CL338" i="13"/>
  <c r="CK338" i="13"/>
  <c r="CJ338" i="13"/>
  <c r="CF338" i="13"/>
  <c r="CE338" i="13"/>
  <c r="CB338" i="13"/>
  <c r="CA338" i="13"/>
  <c r="BZ338" i="13"/>
  <c r="BW338" i="13"/>
  <c r="BV338" i="13"/>
  <c r="BU338" i="13"/>
  <c r="BR338" i="13"/>
  <c r="BQ338" i="13"/>
  <c r="BP338" i="13"/>
  <c r="BM338" i="13"/>
  <c r="BL338" i="13"/>
  <c r="BK338" i="13"/>
  <c r="BH338" i="13"/>
  <c r="BG338" i="13"/>
  <c r="BF338" i="13"/>
  <c r="BC338" i="13"/>
  <c r="BB338" i="13"/>
  <c r="BA338" i="13"/>
  <c r="AX338" i="13"/>
  <c r="AW338" i="13"/>
  <c r="AV338" i="13"/>
  <c r="AS338" i="13"/>
  <c r="AR338" i="13"/>
  <c r="AQ338" i="13"/>
  <c r="AN338" i="13"/>
  <c r="AM338" i="13"/>
  <c r="AL338" i="13"/>
  <c r="CS337" i="13"/>
  <c r="CL337" i="13"/>
  <c r="CK337" i="13"/>
  <c r="CF337" i="13"/>
  <c r="CB337" i="13"/>
  <c r="CA337" i="13"/>
  <c r="BW337" i="13"/>
  <c r="BV337" i="13"/>
  <c r="BR337" i="13"/>
  <c r="BQ337" i="13"/>
  <c r="BM337" i="13"/>
  <c r="BL337" i="13"/>
  <c r="BH337" i="13"/>
  <c r="BG337" i="13"/>
  <c r="BC337" i="13"/>
  <c r="BB337" i="13"/>
  <c r="AX337" i="13"/>
  <c r="AW337" i="13"/>
  <c r="AS337" i="13"/>
  <c r="AR337" i="13"/>
  <c r="AN337" i="13"/>
  <c r="AM337" i="13"/>
  <c r="CS336" i="13"/>
  <c r="CL336" i="13"/>
  <c r="CK336" i="13"/>
  <c r="CF336" i="13"/>
  <c r="CB336" i="13"/>
  <c r="CA336" i="13"/>
  <c r="BW336" i="13"/>
  <c r="BV336" i="13"/>
  <c r="BR336" i="13"/>
  <c r="BQ336" i="13"/>
  <c r="BM336" i="13"/>
  <c r="BL336" i="13"/>
  <c r="BH336" i="13"/>
  <c r="BG336" i="13"/>
  <c r="BC336" i="13"/>
  <c r="BB336" i="13"/>
  <c r="AX336" i="13"/>
  <c r="AW336" i="13"/>
  <c r="AS336" i="13"/>
  <c r="AR336" i="13"/>
  <c r="AN336" i="13"/>
  <c r="AM336" i="13"/>
  <c r="CS335" i="13"/>
  <c r="CL335" i="13"/>
  <c r="CK335" i="13"/>
  <c r="CF335" i="13"/>
  <c r="CB335" i="13"/>
  <c r="CA335" i="13"/>
  <c r="BW335" i="13"/>
  <c r="BV335" i="13"/>
  <c r="BR335" i="13"/>
  <c r="BQ335" i="13"/>
  <c r="BM335" i="13"/>
  <c r="BL335" i="13"/>
  <c r="BH335" i="13"/>
  <c r="BG335" i="13"/>
  <c r="BC335" i="13"/>
  <c r="BB335" i="13"/>
  <c r="AX335" i="13"/>
  <c r="AW335" i="13"/>
  <c r="AS335" i="13"/>
  <c r="AR335" i="13"/>
  <c r="AN335" i="13"/>
  <c r="AM335" i="13"/>
  <c r="CS334" i="13"/>
  <c r="CL334" i="13"/>
  <c r="CK334" i="13"/>
  <c r="CF334" i="13"/>
  <c r="CB334" i="13"/>
  <c r="CA334" i="13"/>
  <c r="BW334" i="13"/>
  <c r="BV334" i="13"/>
  <c r="BR334" i="13"/>
  <c r="BQ334" i="13"/>
  <c r="BM334" i="13"/>
  <c r="BL334" i="13"/>
  <c r="BH334" i="13"/>
  <c r="BG334" i="13"/>
  <c r="BC334" i="13"/>
  <c r="BB334" i="13"/>
  <c r="AX334" i="13"/>
  <c r="AW334" i="13"/>
  <c r="AS334" i="13"/>
  <c r="AR334" i="13"/>
  <c r="AN334" i="13"/>
  <c r="AM334" i="13"/>
  <c r="CS333" i="13"/>
  <c r="CL333" i="13"/>
  <c r="CK333" i="13"/>
  <c r="CF333" i="13"/>
  <c r="CB333" i="13"/>
  <c r="CA333" i="13"/>
  <c r="BW333" i="13"/>
  <c r="BV333" i="13"/>
  <c r="BR333" i="13"/>
  <c r="BQ333" i="13"/>
  <c r="BM333" i="13"/>
  <c r="BL333" i="13"/>
  <c r="BH333" i="13"/>
  <c r="BG333" i="13"/>
  <c r="BC333" i="13"/>
  <c r="BB333" i="13"/>
  <c r="AX333" i="13"/>
  <c r="AW333" i="13"/>
  <c r="AS333" i="13"/>
  <c r="AR333" i="13"/>
  <c r="AN333" i="13"/>
  <c r="AM333" i="13"/>
  <c r="CS331" i="13"/>
  <c r="CQ331" i="13"/>
  <c r="CO331" i="13"/>
  <c r="AA331" i="13" s="1"/>
  <c r="CL331" i="13"/>
  <c r="CK331" i="13"/>
  <c r="CJ331" i="13"/>
  <c r="CF331" i="13"/>
  <c r="CE331" i="13"/>
  <c r="CB331" i="13"/>
  <c r="CA331" i="13"/>
  <c r="BZ331" i="13"/>
  <c r="BW331" i="13"/>
  <c r="BV331" i="13"/>
  <c r="BU331" i="13"/>
  <c r="BR331" i="13"/>
  <c r="BQ331" i="13"/>
  <c r="BP331" i="13"/>
  <c r="BM331" i="13"/>
  <c r="BL331" i="13"/>
  <c r="BK331" i="13"/>
  <c r="BH331" i="13"/>
  <c r="BG331" i="13"/>
  <c r="BF331" i="13"/>
  <c r="BC331" i="13"/>
  <c r="BB331" i="13"/>
  <c r="BA331" i="13"/>
  <c r="AX331" i="13"/>
  <c r="AW331" i="13"/>
  <c r="AV331" i="13"/>
  <c r="AS331" i="13"/>
  <c r="AR331" i="13"/>
  <c r="AQ331" i="13"/>
  <c r="AN331" i="13"/>
  <c r="AM331" i="13"/>
  <c r="AL331" i="13"/>
  <c r="CS330" i="13"/>
  <c r="CL330" i="13"/>
  <c r="CK330" i="13"/>
  <c r="CF330" i="13"/>
  <c r="CB330" i="13"/>
  <c r="CA330" i="13"/>
  <c r="BW330" i="13"/>
  <c r="BV330" i="13"/>
  <c r="BR330" i="13"/>
  <c r="BQ330" i="13"/>
  <c r="BM330" i="13"/>
  <c r="BL330" i="13"/>
  <c r="BH330" i="13"/>
  <c r="BG330" i="13"/>
  <c r="BC330" i="13"/>
  <c r="BB330" i="13"/>
  <c r="AX330" i="13"/>
  <c r="AW330" i="13"/>
  <c r="AS330" i="13"/>
  <c r="AR330" i="13"/>
  <c r="AN330" i="13"/>
  <c r="AM330" i="13"/>
  <c r="CS329" i="13"/>
  <c r="CL329" i="13"/>
  <c r="CK329" i="13"/>
  <c r="CF329" i="13"/>
  <c r="CB329" i="13"/>
  <c r="CA329" i="13"/>
  <c r="BW329" i="13"/>
  <c r="BV329" i="13"/>
  <c r="BR329" i="13"/>
  <c r="BQ329" i="13"/>
  <c r="BM329" i="13"/>
  <c r="BL329" i="13"/>
  <c r="BH329" i="13"/>
  <c r="BG329" i="13"/>
  <c r="BC329" i="13"/>
  <c r="BB329" i="13"/>
  <c r="AX329" i="13"/>
  <c r="AW329" i="13"/>
  <c r="AS329" i="13"/>
  <c r="AR329" i="13"/>
  <c r="AN329" i="13"/>
  <c r="AM329" i="13"/>
  <c r="CS328" i="13"/>
  <c r="CL328" i="13"/>
  <c r="CK328" i="13"/>
  <c r="CF328" i="13"/>
  <c r="CB328" i="13"/>
  <c r="CA328" i="13"/>
  <c r="BW328" i="13"/>
  <c r="BV328" i="13"/>
  <c r="BR328" i="13"/>
  <c r="BQ328" i="13"/>
  <c r="BM328" i="13"/>
  <c r="BL328" i="13"/>
  <c r="BH328" i="13"/>
  <c r="BG328" i="13"/>
  <c r="BC328" i="13"/>
  <c r="BB328" i="13"/>
  <c r="AX328" i="13"/>
  <c r="AW328" i="13"/>
  <c r="AS328" i="13"/>
  <c r="AR328" i="13"/>
  <c r="AN328" i="13"/>
  <c r="AM328" i="13"/>
  <c r="CS327" i="13"/>
  <c r="CL327" i="13"/>
  <c r="CK327" i="13"/>
  <c r="CF327" i="13"/>
  <c r="CB327" i="13"/>
  <c r="CA327" i="13"/>
  <c r="BW327" i="13"/>
  <c r="BV327" i="13"/>
  <c r="BR327" i="13"/>
  <c r="BQ327" i="13"/>
  <c r="BM327" i="13"/>
  <c r="BL327" i="13"/>
  <c r="BH327" i="13"/>
  <c r="BG327" i="13"/>
  <c r="BC327" i="13"/>
  <c r="BB327" i="13"/>
  <c r="AX327" i="13"/>
  <c r="AW327" i="13"/>
  <c r="AS327" i="13"/>
  <c r="AR327" i="13"/>
  <c r="AN327" i="13"/>
  <c r="AM327" i="13"/>
  <c r="CS326" i="13"/>
  <c r="CL326" i="13"/>
  <c r="CK326" i="13"/>
  <c r="CF326" i="13"/>
  <c r="CB326" i="13"/>
  <c r="CA326" i="13"/>
  <c r="BW326" i="13"/>
  <c r="BV326" i="13"/>
  <c r="BR326" i="13"/>
  <c r="BQ326" i="13"/>
  <c r="BM326" i="13"/>
  <c r="BL326" i="13"/>
  <c r="BH326" i="13"/>
  <c r="BG326" i="13"/>
  <c r="BC326" i="13"/>
  <c r="BB326" i="13"/>
  <c r="AX326" i="13"/>
  <c r="AW326" i="13"/>
  <c r="AS326" i="13"/>
  <c r="AR326" i="13"/>
  <c r="AN326" i="13"/>
  <c r="AM326" i="13"/>
  <c r="CS324" i="13"/>
  <c r="CK324" i="13"/>
  <c r="CF324" i="13"/>
  <c r="CB324" i="13"/>
  <c r="CA324" i="13"/>
  <c r="BW324" i="13"/>
  <c r="BV324" i="13"/>
  <c r="BR324" i="13"/>
  <c r="BQ324" i="13"/>
  <c r="BM324" i="13"/>
  <c r="BL324" i="13"/>
  <c r="BH324" i="13"/>
  <c r="BG324" i="13"/>
  <c r="BC324" i="13"/>
  <c r="BB324" i="13"/>
  <c r="AX324" i="13"/>
  <c r="AW324" i="13"/>
  <c r="AS324" i="13"/>
  <c r="AR324" i="13"/>
  <c r="AN324" i="13"/>
  <c r="AM324" i="13"/>
  <c r="CS323" i="13"/>
  <c r="CK323" i="13"/>
  <c r="CF323" i="13"/>
  <c r="CB323" i="13"/>
  <c r="CA323" i="13"/>
  <c r="BW323" i="13"/>
  <c r="BV323" i="13"/>
  <c r="BR323" i="13"/>
  <c r="BQ323" i="13"/>
  <c r="BM323" i="13"/>
  <c r="BL323" i="13"/>
  <c r="BH323" i="13"/>
  <c r="BG323" i="13"/>
  <c r="BC323" i="13"/>
  <c r="BB323" i="13"/>
  <c r="AX323" i="13"/>
  <c r="AW323" i="13"/>
  <c r="AS323" i="13"/>
  <c r="AR323" i="13"/>
  <c r="AN323" i="13"/>
  <c r="AM323" i="13"/>
  <c r="CS322" i="13"/>
  <c r="CK322" i="13"/>
  <c r="CF322" i="13"/>
  <c r="CB322" i="13"/>
  <c r="CA322" i="13"/>
  <c r="BW322" i="13"/>
  <c r="BV322" i="13"/>
  <c r="BR322" i="13"/>
  <c r="BQ322" i="13"/>
  <c r="BM322" i="13"/>
  <c r="BL322" i="13"/>
  <c r="BH322" i="13"/>
  <c r="BG322" i="13"/>
  <c r="BC322" i="13"/>
  <c r="BB322" i="13"/>
  <c r="AX322" i="13"/>
  <c r="AW322" i="13"/>
  <c r="AS322" i="13"/>
  <c r="AR322" i="13"/>
  <c r="AN322" i="13"/>
  <c r="AM322" i="13"/>
  <c r="CS321" i="13"/>
  <c r="CK321" i="13"/>
  <c r="CF321" i="13"/>
  <c r="CB321" i="13"/>
  <c r="CA321" i="13"/>
  <c r="BW321" i="13"/>
  <c r="BV321" i="13"/>
  <c r="BR321" i="13"/>
  <c r="BQ321" i="13"/>
  <c r="BM321" i="13"/>
  <c r="BL321" i="13"/>
  <c r="BH321" i="13"/>
  <c r="BG321" i="13"/>
  <c r="BC321" i="13"/>
  <c r="BB321" i="13"/>
  <c r="AX321" i="13"/>
  <c r="AW321" i="13"/>
  <c r="AS321" i="13"/>
  <c r="AR321" i="13"/>
  <c r="AN321" i="13"/>
  <c r="AM321" i="13"/>
  <c r="CS320" i="13"/>
  <c r="CK320" i="13"/>
  <c r="CF320" i="13"/>
  <c r="CB320" i="13"/>
  <c r="CA320" i="13"/>
  <c r="BW320" i="13"/>
  <c r="BV320" i="13"/>
  <c r="BR320" i="13"/>
  <c r="BQ320" i="13"/>
  <c r="BM320" i="13"/>
  <c r="BL320" i="13"/>
  <c r="BH320" i="13"/>
  <c r="BG320" i="13"/>
  <c r="BC320" i="13"/>
  <c r="BB320" i="13"/>
  <c r="AX320" i="13"/>
  <c r="AW320" i="13"/>
  <c r="AS320" i="13"/>
  <c r="AR320" i="13"/>
  <c r="AN320" i="13"/>
  <c r="AM320" i="13"/>
  <c r="CS319" i="13"/>
  <c r="CK319" i="13"/>
  <c r="CF319" i="13"/>
  <c r="CB319" i="13"/>
  <c r="CA319" i="13"/>
  <c r="BW319" i="13"/>
  <c r="BV319" i="13"/>
  <c r="BR319" i="13"/>
  <c r="BQ319" i="13"/>
  <c r="BM319" i="13"/>
  <c r="BL319" i="13"/>
  <c r="BH319" i="13"/>
  <c r="BG319" i="13"/>
  <c r="BC319" i="13"/>
  <c r="BB319" i="13"/>
  <c r="AX319" i="13"/>
  <c r="AW319" i="13"/>
  <c r="AS319" i="13"/>
  <c r="AR319" i="13"/>
  <c r="AN319" i="13"/>
  <c r="AM319" i="13"/>
  <c r="CS318" i="13"/>
  <c r="CK318" i="13"/>
  <c r="CF318" i="13"/>
  <c r="CB318" i="13"/>
  <c r="CA318" i="13"/>
  <c r="BW318" i="13"/>
  <c r="BV318" i="13"/>
  <c r="BR318" i="13"/>
  <c r="BQ318" i="13"/>
  <c r="BM318" i="13"/>
  <c r="BL318" i="13"/>
  <c r="BH318" i="13"/>
  <c r="BG318" i="13"/>
  <c r="BC318" i="13"/>
  <c r="BB318" i="13"/>
  <c r="AX318" i="13"/>
  <c r="AW318" i="13"/>
  <c r="AS318" i="13"/>
  <c r="AR318" i="13"/>
  <c r="AN318" i="13"/>
  <c r="AM318" i="13"/>
  <c r="CS317" i="13"/>
  <c r="CK317" i="13"/>
  <c r="CF317" i="13"/>
  <c r="CB317" i="13"/>
  <c r="CA317" i="13"/>
  <c r="BW317" i="13"/>
  <c r="BV317" i="13"/>
  <c r="BR317" i="13"/>
  <c r="BQ317" i="13"/>
  <c r="BM317" i="13"/>
  <c r="BL317" i="13"/>
  <c r="BH317" i="13"/>
  <c r="BG317" i="13"/>
  <c r="BC317" i="13"/>
  <c r="BB317" i="13"/>
  <c r="AX317" i="13"/>
  <c r="AW317" i="13"/>
  <c r="AS317" i="13"/>
  <c r="AR317" i="13"/>
  <c r="AN317" i="13"/>
  <c r="AM317" i="13"/>
  <c r="CS316" i="13"/>
  <c r="CK316" i="13"/>
  <c r="CF316" i="13"/>
  <c r="CB316" i="13"/>
  <c r="CA316" i="13"/>
  <c r="BW316" i="13"/>
  <c r="BV316" i="13"/>
  <c r="BR316" i="13"/>
  <c r="BQ316" i="13"/>
  <c r="BM316" i="13"/>
  <c r="BL316" i="13"/>
  <c r="BH316" i="13"/>
  <c r="BG316" i="13"/>
  <c r="BC316" i="13"/>
  <c r="BB316" i="13"/>
  <c r="AX316" i="13"/>
  <c r="AW316" i="13"/>
  <c r="AS316" i="13"/>
  <c r="AR316" i="13"/>
  <c r="AN316" i="13"/>
  <c r="AM316" i="13"/>
  <c r="CS315" i="13"/>
  <c r="CK315" i="13"/>
  <c r="CF315" i="13"/>
  <c r="CB315" i="13"/>
  <c r="CA315" i="13"/>
  <c r="BW315" i="13"/>
  <c r="BV315" i="13"/>
  <c r="BR315" i="13"/>
  <c r="BQ315" i="13"/>
  <c r="BM315" i="13"/>
  <c r="BL315" i="13"/>
  <c r="BH315" i="13"/>
  <c r="BG315" i="13"/>
  <c r="BC315" i="13"/>
  <c r="BB315" i="13"/>
  <c r="AX315" i="13"/>
  <c r="AW315" i="13"/>
  <c r="AS315" i="13"/>
  <c r="AR315" i="13"/>
  <c r="AN315" i="13"/>
  <c r="AM315" i="13"/>
  <c r="CS314" i="13"/>
  <c r="CK314" i="13"/>
  <c r="CF314" i="13"/>
  <c r="CB314" i="13"/>
  <c r="CA314" i="13"/>
  <c r="BW314" i="13"/>
  <c r="BV314" i="13"/>
  <c r="BR314" i="13"/>
  <c r="BQ314" i="13"/>
  <c r="BM314" i="13"/>
  <c r="BL314" i="13"/>
  <c r="BH314" i="13"/>
  <c r="BG314" i="13"/>
  <c r="BC314" i="13"/>
  <c r="BB314" i="13"/>
  <c r="AX314" i="13"/>
  <c r="AW314" i="13"/>
  <c r="AS314" i="13"/>
  <c r="AR314" i="13"/>
  <c r="AN314" i="13"/>
  <c r="AM314" i="13"/>
  <c r="CS313" i="13"/>
  <c r="CK313" i="13"/>
  <c r="CF313" i="13"/>
  <c r="CB313" i="13"/>
  <c r="CA313" i="13"/>
  <c r="BW313" i="13"/>
  <c r="BV313" i="13"/>
  <c r="BR313" i="13"/>
  <c r="BQ313" i="13"/>
  <c r="BM313" i="13"/>
  <c r="BL313" i="13"/>
  <c r="BH313" i="13"/>
  <c r="BG313" i="13"/>
  <c r="BC313" i="13"/>
  <c r="BB313" i="13"/>
  <c r="AX313" i="13"/>
  <c r="AW313" i="13"/>
  <c r="AS313" i="13"/>
  <c r="AR313" i="13"/>
  <c r="AN313" i="13"/>
  <c r="AM313" i="13"/>
  <c r="CS312" i="13"/>
  <c r="CK312" i="13"/>
  <c r="CF312" i="13"/>
  <c r="CB312" i="13"/>
  <c r="CA312" i="13"/>
  <c r="BW312" i="13"/>
  <c r="BV312" i="13"/>
  <c r="BR312" i="13"/>
  <c r="BQ312" i="13"/>
  <c r="BM312" i="13"/>
  <c r="BL312" i="13"/>
  <c r="BH312" i="13"/>
  <c r="BG312" i="13"/>
  <c r="BC312" i="13"/>
  <c r="BB312" i="13"/>
  <c r="AX312" i="13"/>
  <c r="AW312" i="13"/>
  <c r="AS312" i="13"/>
  <c r="AR312" i="13"/>
  <c r="AN312" i="13"/>
  <c r="AM312" i="13"/>
  <c r="CS311" i="13"/>
  <c r="CK311" i="13"/>
  <c r="CF311" i="13"/>
  <c r="CB311" i="13"/>
  <c r="CA311" i="13"/>
  <c r="BW311" i="13"/>
  <c r="BV311" i="13"/>
  <c r="BR311" i="13"/>
  <c r="BQ311" i="13"/>
  <c r="BM311" i="13"/>
  <c r="BL311" i="13"/>
  <c r="BH311" i="13"/>
  <c r="BG311" i="13"/>
  <c r="BC311" i="13"/>
  <c r="BB311" i="13"/>
  <c r="AX311" i="13"/>
  <c r="AW311" i="13"/>
  <c r="AS311" i="13"/>
  <c r="AR311" i="13"/>
  <c r="AN311" i="13"/>
  <c r="AM311" i="13"/>
  <c r="CS310" i="13"/>
  <c r="CK310" i="13"/>
  <c r="CF310" i="13"/>
  <c r="CB310" i="13"/>
  <c r="CA310" i="13"/>
  <c r="BW310" i="13"/>
  <c r="BV310" i="13"/>
  <c r="BR310" i="13"/>
  <c r="BQ310" i="13"/>
  <c r="BM310" i="13"/>
  <c r="BL310" i="13"/>
  <c r="BH310" i="13"/>
  <c r="BG310" i="13"/>
  <c r="BC310" i="13"/>
  <c r="BB310" i="13"/>
  <c r="AX310" i="13"/>
  <c r="AW310" i="13"/>
  <c r="AS310" i="13"/>
  <c r="AR310" i="13"/>
  <c r="AN310" i="13"/>
  <c r="AM310" i="13"/>
  <c r="CS309" i="13"/>
  <c r="CK309" i="13"/>
  <c r="CF309" i="13"/>
  <c r="CB309" i="13"/>
  <c r="CA309" i="13"/>
  <c r="BW309" i="13"/>
  <c r="BV309" i="13"/>
  <c r="BR309" i="13"/>
  <c r="BQ309" i="13"/>
  <c r="BM309" i="13"/>
  <c r="BL309" i="13"/>
  <c r="BH309" i="13"/>
  <c r="BG309" i="13"/>
  <c r="BC309" i="13"/>
  <c r="BB309" i="13"/>
  <c r="AX309" i="13"/>
  <c r="AW309" i="13"/>
  <c r="AS309" i="13"/>
  <c r="AR309" i="13"/>
  <c r="AN309" i="13"/>
  <c r="AM309" i="13"/>
  <c r="CS308" i="13"/>
  <c r="CK308" i="13"/>
  <c r="CF308" i="13"/>
  <c r="CB308" i="13"/>
  <c r="CA308" i="13"/>
  <c r="BW308" i="13"/>
  <c r="BV308" i="13"/>
  <c r="BR308" i="13"/>
  <c r="BQ308" i="13"/>
  <c r="BM308" i="13"/>
  <c r="BL308" i="13"/>
  <c r="BH308" i="13"/>
  <c r="BG308" i="13"/>
  <c r="BC308" i="13"/>
  <c r="BB308" i="13"/>
  <c r="AX308" i="13"/>
  <c r="AW308" i="13"/>
  <c r="AS308" i="13"/>
  <c r="AR308" i="13"/>
  <c r="AN308" i="13"/>
  <c r="AM308" i="13"/>
  <c r="CS307" i="13"/>
  <c r="CK307" i="13"/>
  <c r="CF307" i="13"/>
  <c r="CB307" i="13"/>
  <c r="CA307" i="13"/>
  <c r="BW307" i="13"/>
  <c r="BV307" i="13"/>
  <c r="BR307" i="13"/>
  <c r="BQ307" i="13"/>
  <c r="BM307" i="13"/>
  <c r="BL307" i="13"/>
  <c r="BH307" i="13"/>
  <c r="BG307" i="13"/>
  <c r="BC307" i="13"/>
  <c r="BB307" i="13"/>
  <c r="AX307" i="13"/>
  <c r="AW307" i="13"/>
  <c r="AS307" i="13"/>
  <c r="AR307" i="13"/>
  <c r="AN307" i="13"/>
  <c r="AM307" i="13"/>
  <c r="CS306" i="13"/>
  <c r="CK306" i="13"/>
  <c r="CF306" i="13"/>
  <c r="CB306" i="13"/>
  <c r="CA306" i="13"/>
  <c r="BW306" i="13"/>
  <c r="BV306" i="13"/>
  <c r="BR306" i="13"/>
  <c r="BQ306" i="13"/>
  <c r="BM306" i="13"/>
  <c r="BL306" i="13"/>
  <c r="BH306" i="13"/>
  <c r="BG306" i="13"/>
  <c r="BC306" i="13"/>
  <c r="BB306" i="13"/>
  <c r="AX306" i="13"/>
  <c r="AW306" i="13"/>
  <c r="AS306" i="13"/>
  <c r="AR306" i="13"/>
  <c r="AN306" i="13"/>
  <c r="AM306" i="13"/>
  <c r="CS305" i="13"/>
  <c r="CK305" i="13"/>
  <c r="CF305" i="13"/>
  <c r="CB305" i="13"/>
  <c r="CA305" i="13"/>
  <c r="BW305" i="13"/>
  <c r="BV305" i="13"/>
  <c r="BR305" i="13"/>
  <c r="BQ305" i="13"/>
  <c r="BM305" i="13"/>
  <c r="BL305" i="13"/>
  <c r="BH305" i="13"/>
  <c r="BG305" i="13"/>
  <c r="BC305" i="13"/>
  <c r="BB305" i="13"/>
  <c r="AX305" i="13"/>
  <c r="AW305" i="13"/>
  <c r="AS305" i="13"/>
  <c r="AR305" i="13"/>
  <c r="AN305" i="13"/>
  <c r="AM305" i="13"/>
  <c r="CS304" i="13"/>
  <c r="CK304" i="13"/>
  <c r="CF304" i="13"/>
  <c r="CB304" i="13"/>
  <c r="CA304" i="13"/>
  <c r="BW304" i="13"/>
  <c r="BV304" i="13"/>
  <c r="BR304" i="13"/>
  <c r="BQ304" i="13"/>
  <c r="BM304" i="13"/>
  <c r="BL304" i="13"/>
  <c r="BH304" i="13"/>
  <c r="BG304" i="13"/>
  <c r="BC304" i="13"/>
  <c r="BB304" i="13"/>
  <c r="AX304" i="13"/>
  <c r="AW304" i="13"/>
  <c r="AS304" i="13"/>
  <c r="AR304" i="13"/>
  <c r="AN304" i="13"/>
  <c r="AM304" i="13"/>
  <c r="CS303" i="13"/>
  <c r="CK303" i="13"/>
  <c r="CF303" i="13"/>
  <c r="CB303" i="13"/>
  <c r="CA303" i="13"/>
  <c r="BW303" i="13"/>
  <c r="BV303" i="13"/>
  <c r="BR303" i="13"/>
  <c r="BQ303" i="13"/>
  <c r="BM303" i="13"/>
  <c r="BL303" i="13"/>
  <c r="BH303" i="13"/>
  <c r="BG303" i="13"/>
  <c r="BC303" i="13"/>
  <c r="BB303" i="13"/>
  <c r="AX303" i="13"/>
  <c r="AW303" i="13"/>
  <c r="AS303" i="13"/>
  <c r="AR303" i="13"/>
  <c r="AN303" i="13"/>
  <c r="AM303" i="13"/>
  <c r="CS302" i="13"/>
  <c r="CK302" i="13"/>
  <c r="CF302" i="13"/>
  <c r="CB302" i="13"/>
  <c r="CA302" i="13"/>
  <c r="BW302" i="13"/>
  <c r="BV302" i="13"/>
  <c r="BR302" i="13"/>
  <c r="BQ302" i="13"/>
  <c r="BM302" i="13"/>
  <c r="BL302" i="13"/>
  <c r="BH302" i="13"/>
  <c r="BG302" i="13"/>
  <c r="BC302" i="13"/>
  <c r="BB302" i="13"/>
  <c r="AX302" i="13"/>
  <c r="AW302" i="13"/>
  <c r="AS302" i="13"/>
  <c r="AR302" i="13"/>
  <c r="AN302" i="13"/>
  <c r="AM302" i="13"/>
  <c r="CS301" i="13"/>
  <c r="CK301" i="13"/>
  <c r="CF301" i="13"/>
  <c r="CB301" i="13"/>
  <c r="CA301" i="13"/>
  <c r="BW301" i="13"/>
  <c r="BV301" i="13"/>
  <c r="BR301" i="13"/>
  <c r="BQ301" i="13"/>
  <c r="BM301" i="13"/>
  <c r="BL301" i="13"/>
  <c r="BH301" i="13"/>
  <c r="BG301" i="13"/>
  <c r="BC301" i="13"/>
  <c r="BB301" i="13"/>
  <c r="AX301" i="13"/>
  <c r="AW301" i="13"/>
  <c r="AS301" i="13"/>
  <c r="AR301" i="13"/>
  <c r="AN301" i="13"/>
  <c r="AM301" i="13"/>
  <c r="CS300" i="13"/>
  <c r="CK300" i="13"/>
  <c r="CF300" i="13"/>
  <c r="CB300" i="13"/>
  <c r="CA300" i="13"/>
  <c r="BW300" i="13"/>
  <c r="BV300" i="13"/>
  <c r="BR300" i="13"/>
  <c r="BQ300" i="13"/>
  <c r="BM300" i="13"/>
  <c r="BL300" i="13"/>
  <c r="BH300" i="13"/>
  <c r="BG300" i="13"/>
  <c r="BC300" i="13"/>
  <c r="BB300" i="13"/>
  <c r="AX300" i="13"/>
  <c r="AW300" i="13"/>
  <c r="AS300" i="13"/>
  <c r="AR300" i="13"/>
  <c r="AN300" i="13"/>
  <c r="AM300" i="13"/>
  <c r="CS299" i="13"/>
  <c r="CK299" i="13"/>
  <c r="CF299" i="13"/>
  <c r="CB299" i="13"/>
  <c r="CA299" i="13"/>
  <c r="BW299" i="13"/>
  <c r="BV299" i="13"/>
  <c r="BR299" i="13"/>
  <c r="BQ299" i="13"/>
  <c r="BM299" i="13"/>
  <c r="BL299" i="13"/>
  <c r="BH299" i="13"/>
  <c r="BG299" i="13"/>
  <c r="BC299" i="13"/>
  <c r="BB299" i="13"/>
  <c r="AX299" i="13"/>
  <c r="AW299" i="13"/>
  <c r="AS299" i="13"/>
  <c r="AR299" i="13"/>
  <c r="AN299" i="13"/>
  <c r="AM299" i="13"/>
  <c r="CS298" i="13"/>
  <c r="CK298" i="13"/>
  <c r="CF298" i="13"/>
  <c r="CB298" i="13"/>
  <c r="CA298" i="13"/>
  <c r="BW298" i="13"/>
  <c r="BV298" i="13"/>
  <c r="BR298" i="13"/>
  <c r="BQ298" i="13"/>
  <c r="BM298" i="13"/>
  <c r="BL298" i="13"/>
  <c r="BH298" i="13"/>
  <c r="BG298" i="13"/>
  <c r="BC298" i="13"/>
  <c r="BB298" i="13"/>
  <c r="AX298" i="13"/>
  <c r="AW298" i="13"/>
  <c r="AS298" i="13"/>
  <c r="AR298" i="13"/>
  <c r="AN298" i="13"/>
  <c r="AM298" i="13"/>
  <c r="CS297" i="13"/>
  <c r="CK297" i="13"/>
  <c r="CF297" i="13"/>
  <c r="CB297" i="13"/>
  <c r="CA297" i="13"/>
  <c r="BW297" i="13"/>
  <c r="BV297" i="13"/>
  <c r="BR297" i="13"/>
  <c r="BQ297" i="13"/>
  <c r="BM297" i="13"/>
  <c r="BL297" i="13"/>
  <c r="BH297" i="13"/>
  <c r="BG297" i="13"/>
  <c r="BC297" i="13"/>
  <c r="BB297" i="13"/>
  <c r="AX297" i="13"/>
  <c r="AW297" i="13"/>
  <c r="AS297" i="13"/>
  <c r="AR297" i="13"/>
  <c r="AN297" i="13"/>
  <c r="AM297" i="13"/>
  <c r="CS296" i="13"/>
  <c r="CK296" i="13"/>
  <c r="CF296" i="13"/>
  <c r="CB296" i="13"/>
  <c r="CA296" i="13"/>
  <c r="BW296" i="13"/>
  <c r="BV296" i="13"/>
  <c r="BR296" i="13"/>
  <c r="BQ296" i="13"/>
  <c r="BM296" i="13"/>
  <c r="BL296" i="13"/>
  <c r="BH296" i="13"/>
  <c r="BG296" i="13"/>
  <c r="BC296" i="13"/>
  <c r="BB296" i="13"/>
  <c r="AX296" i="13"/>
  <c r="AW296" i="13"/>
  <c r="AS296" i="13"/>
  <c r="AR296" i="13"/>
  <c r="AN296" i="13"/>
  <c r="AM296" i="13"/>
  <c r="CS295" i="13"/>
  <c r="CQ295" i="13"/>
  <c r="CK295" i="13"/>
  <c r="CJ295" i="13"/>
  <c r="CF295" i="13"/>
  <c r="CE295" i="13"/>
  <c r="CB295" i="13"/>
  <c r="CA295" i="13"/>
  <c r="BZ295" i="13"/>
  <c r="BW295" i="13"/>
  <c r="BV295" i="13"/>
  <c r="BU295" i="13"/>
  <c r="BR295" i="13"/>
  <c r="BQ295" i="13"/>
  <c r="BP295" i="13"/>
  <c r="BM295" i="13"/>
  <c r="BL295" i="13"/>
  <c r="BK295" i="13"/>
  <c r="BH295" i="13"/>
  <c r="BG295" i="13"/>
  <c r="BF295" i="13"/>
  <c r="BC295" i="13"/>
  <c r="BB295" i="13"/>
  <c r="BA295" i="13"/>
  <c r="AX295" i="13"/>
  <c r="AW295" i="13"/>
  <c r="AV295" i="13"/>
  <c r="AS295" i="13"/>
  <c r="AR295" i="13"/>
  <c r="AQ295" i="13"/>
  <c r="AN295" i="13"/>
  <c r="AM295" i="13"/>
  <c r="AL295" i="13"/>
  <c r="CS294" i="13"/>
  <c r="CK294" i="13"/>
  <c r="CF294" i="13"/>
  <c r="CB294" i="13"/>
  <c r="CA294" i="13"/>
  <c r="BW294" i="13"/>
  <c r="BV294" i="13"/>
  <c r="BR294" i="13"/>
  <c r="BQ294" i="13"/>
  <c r="BM294" i="13"/>
  <c r="BL294" i="13"/>
  <c r="BH294" i="13"/>
  <c r="BG294" i="13"/>
  <c r="BC294" i="13"/>
  <c r="BB294" i="13"/>
  <c r="AX294" i="13"/>
  <c r="AW294" i="13"/>
  <c r="AS294" i="13"/>
  <c r="AR294" i="13"/>
  <c r="AN294" i="13"/>
  <c r="AM294" i="13"/>
  <c r="CS293" i="13"/>
  <c r="CK293" i="13"/>
  <c r="CF293" i="13"/>
  <c r="CB293" i="13"/>
  <c r="CA293" i="13"/>
  <c r="BW293" i="13"/>
  <c r="BV293" i="13"/>
  <c r="BR293" i="13"/>
  <c r="BQ293" i="13"/>
  <c r="BM293" i="13"/>
  <c r="BL293" i="13"/>
  <c r="BH293" i="13"/>
  <c r="BG293" i="13"/>
  <c r="BC293" i="13"/>
  <c r="BB293" i="13"/>
  <c r="AX293" i="13"/>
  <c r="AW293" i="13"/>
  <c r="AS293" i="13"/>
  <c r="AR293" i="13"/>
  <c r="AN293" i="13"/>
  <c r="AM293" i="13"/>
  <c r="CS292" i="13"/>
  <c r="CK292" i="13"/>
  <c r="CF292" i="13"/>
  <c r="CB292" i="13"/>
  <c r="CA292" i="13"/>
  <c r="BW292" i="13"/>
  <c r="BV292" i="13"/>
  <c r="BR292" i="13"/>
  <c r="BQ292" i="13"/>
  <c r="BM292" i="13"/>
  <c r="BL292" i="13"/>
  <c r="BH292" i="13"/>
  <c r="BG292" i="13"/>
  <c r="BC292" i="13"/>
  <c r="BB292" i="13"/>
  <c r="AX292" i="13"/>
  <c r="AW292" i="13"/>
  <c r="AS292" i="13"/>
  <c r="AR292" i="13"/>
  <c r="AN292" i="13"/>
  <c r="AM292" i="13"/>
  <c r="CS291" i="13"/>
  <c r="CK291" i="13"/>
  <c r="CF291" i="13"/>
  <c r="CB291" i="13"/>
  <c r="CA291" i="13"/>
  <c r="BW291" i="13"/>
  <c r="BV291" i="13"/>
  <c r="BR291" i="13"/>
  <c r="BQ291" i="13"/>
  <c r="BM291" i="13"/>
  <c r="BL291" i="13"/>
  <c r="BH291" i="13"/>
  <c r="BG291" i="13"/>
  <c r="BC291" i="13"/>
  <c r="BB291" i="13"/>
  <c r="AX291" i="13"/>
  <c r="AW291" i="13"/>
  <c r="AS291" i="13"/>
  <c r="AR291" i="13"/>
  <c r="AN291" i="13"/>
  <c r="AM291" i="13"/>
  <c r="CS290" i="13"/>
  <c r="CK290" i="13"/>
  <c r="CF290" i="13"/>
  <c r="CB290" i="13"/>
  <c r="CA290" i="13"/>
  <c r="BW290" i="13"/>
  <c r="BV290" i="13"/>
  <c r="BR290" i="13"/>
  <c r="BQ290" i="13"/>
  <c r="BM290" i="13"/>
  <c r="BL290" i="13"/>
  <c r="BH290" i="13"/>
  <c r="BG290" i="13"/>
  <c r="BC290" i="13"/>
  <c r="BB290" i="13"/>
  <c r="AX290" i="13"/>
  <c r="AW290" i="13"/>
  <c r="AS290" i="13"/>
  <c r="AR290" i="13"/>
  <c r="AN290" i="13"/>
  <c r="AM290" i="13"/>
  <c r="CS288" i="13"/>
  <c r="CK288" i="13"/>
  <c r="CF288" i="13"/>
  <c r="CB288" i="13"/>
  <c r="CA288" i="13"/>
  <c r="BW288" i="13"/>
  <c r="BV288" i="13"/>
  <c r="BR288" i="13"/>
  <c r="BQ288" i="13"/>
  <c r="BM288" i="13"/>
  <c r="BL288" i="13"/>
  <c r="BH288" i="13"/>
  <c r="BG288" i="13"/>
  <c r="BC288" i="13"/>
  <c r="BB288" i="13"/>
  <c r="AX288" i="13"/>
  <c r="AW288" i="13"/>
  <c r="AS288" i="13"/>
  <c r="AR288" i="13"/>
  <c r="AN288" i="13"/>
  <c r="AM288" i="13"/>
  <c r="CS287" i="13"/>
  <c r="CQ287" i="13"/>
  <c r="CK287" i="13"/>
  <c r="CJ287" i="13"/>
  <c r="CF287" i="13"/>
  <c r="CE287" i="13"/>
  <c r="CB287" i="13"/>
  <c r="CA287" i="13"/>
  <c r="BZ287" i="13"/>
  <c r="BW287" i="13"/>
  <c r="BV287" i="13"/>
  <c r="BU287" i="13"/>
  <c r="BR287" i="13"/>
  <c r="BQ287" i="13"/>
  <c r="BP287" i="13"/>
  <c r="BM287" i="13"/>
  <c r="BL287" i="13"/>
  <c r="BK287" i="13"/>
  <c r="BH287" i="13"/>
  <c r="BG287" i="13"/>
  <c r="BF287" i="13"/>
  <c r="BC287" i="13"/>
  <c r="BB287" i="13"/>
  <c r="BA287" i="13"/>
  <c r="AX287" i="13"/>
  <c r="AW287" i="13"/>
  <c r="AV287" i="13"/>
  <c r="AS287" i="13"/>
  <c r="AR287" i="13"/>
  <c r="AQ287" i="13"/>
  <c r="AN287" i="13"/>
  <c r="AM287" i="13"/>
  <c r="AL287" i="13"/>
  <c r="CS286" i="13"/>
  <c r="CK286" i="13"/>
  <c r="CF286" i="13"/>
  <c r="CB286" i="13"/>
  <c r="CA286" i="13"/>
  <c r="BW286" i="13"/>
  <c r="BV286" i="13"/>
  <c r="BR286" i="13"/>
  <c r="BQ286" i="13"/>
  <c r="BM286" i="13"/>
  <c r="BL286" i="13"/>
  <c r="BH286" i="13"/>
  <c r="BG286" i="13"/>
  <c r="BC286" i="13"/>
  <c r="BB286" i="13"/>
  <c r="AX286" i="13"/>
  <c r="AW286" i="13"/>
  <c r="AS286" i="13"/>
  <c r="AR286" i="13"/>
  <c r="AN286" i="13"/>
  <c r="AM286" i="13"/>
  <c r="CS285" i="13"/>
  <c r="CK285" i="13"/>
  <c r="CF285" i="13"/>
  <c r="CB285" i="13"/>
  <c r="CA285" i="13"/>
  <c r="BW285" i="13"/>
  <c r="BV285" i="13"/>
  <c r="BR285" i="13"/>
  <c r="BQ285" i="13"/>
  <c r="BM285" i="13"/>
  <c r="BL285" i="13"/>
  <c r="BH285" i="13"/>
  <c r="BG285" i="13"/>
  <c r="BC285" i="13"/>
  <c r="BB285" i="13"/>
  <c r="AX285" i="13"/>
  <c r="AW285" i="13"/>
  <c r="AS285" i="13"/>
  <c r="AR285" i="13"/>
  <c r="AN285" i="13"/>
  <c r="AM285" i="13"/>
  <c r="CS284" i="13"/>
  <c r="CK284" i="13"/>
  <c r="CF284" i="13"/>
  <c r="CB284" i="13"/>
  <c r="CA284" i="13"/>
  <c r="BW284" i="13"/>
  <c r="BV284" i="13"/>
  <c r="BR284" i="13"/>
  <c r="BQ284" i="13"/>
  <c r="BM284" i="13"/>
  <c r="BL284" i="13"/>
  <c r="BH284" i="13"/>
  <c r="BG284" i="13"/>
  <c r="BC284" i="13"/>
  <c r="BB284" i="13"/>
  <c r="AX284" i="13"/>
  <c r="AW284" i="13"/>
  <c r="AS284" i="13"/>
  <c r="AR284" i="13"/>
  <c r="AN284" i="13"/>
  <c r="AM284" i="13"/>
  <c r="CS283" i="13"/>
  <c r="CK283" i="13"/>
  <c r="CF283" i="13"/>
  <c r="CB283" i="13"/>
  <c r="CA283" i="13"/>
  <c r="BW283" i="13"/>
  <c r="BV283" i="13"/>
  <c r="BR283" i="13"/>
  <c r="BQ283" i="13"/>
  <c r="BM283" i="13"/>
  <c r="BL283" i="13"/>
  <c r="BH283" i="13"/>
  <c r="BG283" i="13"/>
  <c r="BC283" i="13"/>
  <c r="BB283" i="13"/>
  <c r="AX283" i="13"/>
  <c r="AW283" i="13"/>
  <c r="AS283" i="13"/>
  <c r="AR283" i="13"/>
  <c r="AN283" i="13"/>
  <c r="AM283" i="13"/>
  <c r="CS282" i="13"/>
  <c r="CK282" i="13"/>
  <c r="CF282" i="13"/>
  <c r="CB282" i="13"/>
  <c r="CA282" i="13"/>
  <c r="BW282" i="13"/>
  <c r="BV282" i="13"/>
  <c r="BR282" i="13"/>
  <c r="BQ282" i="13"/>
  <c r="BM282" i="13"/>
  <c r="BL282" i="13"/>
  <c r="BH282" i="13"/>
  <c r="BG282" i="13"/>
  <c r="BC282" i="13"/>
  <c r="BB282" i="13"/>
  <c r="AX282" i="13"/>
  <c r="AW282" i="13"/>
  <c r="AS282" i="13"/>
  <c r="AR282" i="13"/>
  <c r="AN282" i="13"/>
  <c r="AM282" i="13"/>
  <c r="CS280" i="13"/>
  <c r="CK280" i="13"/>
  <c r="CF280" i="13"/>
  <c r="CB280" i="13"/>
  <c r="CA280" i="13"/>
  <c r="BW280" i="13"/>
  <c r="BV280" i="13"/>
  <c r="BR280" i="13"/>
  <c r="BQ280" i="13"/>
  <c r="BM280" i="13"/>
  <c r="BL280" i="13"/>
  <c r="BH280" i="13"/>
  <c r="BG280" i="13"/>
  <c r="BC280" i="13"/>
  <c r="BB280" i="13"/>
  <c r="AX280" i="13"/>
  <c r="AW280" i="13"/>
  <c r="AS280" i="13"/>
  <c r="AR280" i="13"/>
  <c r="AN280" i="13"/>
  <c r="AM280" i="13"/>
  <c r="CS279" i="13"/>
  <c r="CK279" i="13"/>
  <c r="CF279" i="13"/>
  <c r="CB279" i="13"/>
  <c r="CA279" i="13"/>
  <c r="BW279" i="13"/>
  <c r="BV279" i="13"/>
  <c r="BR279" i="13"/>
  <c r="BQ279" i="13"/>
  <c r="BM279" i="13"/>
  <c r="BL279" i="13"/>
  <c r="BH279" i="13"/>
  <c r="BG279" i="13"/>
  <c r="BC279" i="13"/>
  <c r="BB279" i="13"/>
  <c r="AX279" i="13"/>
  <c r="AW279" i="13"/>
  <c r="AS279" i="13"/>
  <c r="AR279" i="13"/>
  <c r="AN279" i="13"/>
  <c r="AM279" i="13"/>
  <c r="CS278" i="13"/>
  <c r="CK278" i="13"/>
  <c r="CF278" i="13"/>
  <c r="CB278" i="13"/>
  <c r="CA278" i="13"/>
  <c r="BW278" i="13"/>
  <c r="BV278" i="13"/>
  <c r="BR278" i="13"/>
  <c r="BQ278" i="13"/>
  <c r="BM278" i="13"/>
  <c r="BL278" i="13"/>
  <c r="BH278" i="13"/>
  <c r="BG278" i="13"/>
  <c r="BC278" i="13"/>
  <c r="BB278" i="13"/>
  <c r="AX278" i="13"/>
  <c r="AW278" i="13"/>
  <c r="AS278" i="13"/>
  <c r="AR278" i="13"/>
  <c r="AN278" i="13"/>
  <c r="AM278" i="13"/>
  <c r="CS277" i="13"/>
  <c r="CK277" i="13"/>
  <c r="CF277" i="13"/>
  <c r="CB277" i="13"/>
  <c r="CA277" i="13"/>
  <c r="BW277" i="13"/>
  <c r="BV277" i="13"/>
  <c r="BR277" i="13"/>
  <c r="BQ277" i="13"/>
  <c r="BM277" i="13"/>
  <c r="BL277" i="13"/>
  <c r="BH277" i="13"/>
  <c r="BG277" i="13"/>
  <c r="BC277" i="13"/>
  <c r="BB277" i="13"/>
  <c r="AX277" i="13"/>
  <c r="AW277" i="13"/>
  <c r="AS277" i="13"/>
  <c r="AR277" i="13"/>
  <c r="AN277" i="13"/>
  <c r="AM277" i="13"/>
  <c r="CS276" i="13"/>
  <c r="CK276" i="13"/>
  <c r="CF276" i="13"/>
  <c r="CB276" i="13"/>
  <c r="CA276" i="13"/>
  <c r="BW276" i="13"/>
  <c r="BV276" i="13"/>
  <c r="BR276" i="13"/>
  <c r="BQ276" i="13"/>
  <c r="BM276" i="13"/>
  <c r="BL276" i="13"/>
  <c r="BH276" i="13"/>
  <c r="BG276" i="13"/>
  <c r="BC276" i="13"/>
  <c r="BB276" i="13"/>
  <c r="AX276" i="13"/>
  <c r="AW276" i="13"/>
  <c r="AS276" i="13"/>
  <c r="AR276" i="13"/>
  <c r="AN276" i="13"/>
  <c r="AM276" i="13"/>
  <c r="CS274" i="13"/>
  <c r="CQ274" i="13"/>
  <c r="CK274" i="13"/>
  <c r="CJ274" i="13"/>
  <c r="CF274" i="13"/>
  <c r="CE274" i="13"/>
  <c r="CB274" i="13"/>
  <c r="CA274" i="13"/>
  <c r="BZ274" i="13"/>
  <c r="BW274" i="13"/>
  <c r="BV274" i="13"/>
  <c r="BU274" i="13"/>
  <c r="BR274" i="13"/>
  <c r="BQ274" i="13"/>
  <c r="BP274" i="13"/>
  <c r="BM274" i="13"/>
  <c r="BL274" i="13"/>
  <c r="BK274" i="13"/>
  <c r="BH274" i="13"/>
  <c r="BG274" i="13"/>
  <c r="BF274" i="13"/>
  <c r="BC274" i="13"/>
  <c r="BB274" i="13"/>
  <c r="BA274" i="13"/>
  <c r="AX274" i="13"/>
  <c r="AW274" i="13"/>
  <c r="AV274" i="13"/>
  <c r="AS274" i="13"/>
  <c r="AR274" i="13"/>
  <c r="AQ274" i="13"/>
  <c r="AN274" i="13"/>
  <c r="AM274" i="13"/>
  <c r="AL274" i="13"/>
  <c r="CS273" i="13"/>
  <c r="CK273" i="13"/>
  <c r="CF273" i="13"/>
  <c r="CB273" i="13"/>
  <c r="CA273" i="13"/>
  <c r="BW273" i="13"/>
  <c r="BV273" i="13"/>
  <c r="BR273" i="13"/>
  <c r="BQ273" i="13"/>
  <c r="BM273" i="13"/>
  <c r="BL273" i="13"/>
  <c r="BH273" i="13"/>
  <c r="BG273" i="13"/>
  <c r="BC273" i="13"/>
  <c r="BB273" i="13"/>
  <c r="AX273" i="13"/>
  <c r="AW273" i="13"/>
  <c r="AS273" i="13"/>
  <c r="AR273" i="13"/>
  <c r="AN273" i="13"/>
  <c r="AM273" i="13"/>
  <c r="CS272" i="13"/>
  <c r="CK272" i="13"/>
  <c r="CF272" i="13"/>
  <c r="CB272" i="13"/>
  <c r="CA272" i="13"/>
  <c r="BW272" i="13"/>
  <c r="BV272" i="13"/>
  <c r="BR272" i="13"/>
  <c r="BQ272" i="13"/>
  <c r="BM272" i="13"/>
  <c r="BL272" i="13"/>
  <c r="BH272" i="13"/>
  <c r="BG272" i="13"/>
  <c r="BC272" i="13"/>
  <c r="BB272" i="13"/>
  <c r="AX272" i="13"/>
  <c r="AW272" i="13"/>
  <c r="AS272" i="13"/>
  <c r="AR272" i="13"/>
  <c r="AN272" i="13"/>
  <c r="AM272" i="13"/>
  <c r="CS271" i="13"/>
  <c r="CK271" i="13"/>
  <c r="CF271" i="13"/>
  <c r="CB271" i="13"/>
  <c r="CA271" i="13"/>
  <c r="BW271" i="13"/>
  <c r="BV271" i="13"/>
  <c r="BR271" i="13"/>
  <c r="BQ271" i="13"/>
  <c r="BM271" i="13"/>
  <c r="BL271" i="13"/>
  <c r="BH271" i="13"/>
  <c r="BG271" i="13"/>
  <c r="BC271" i="13"/>
  <c r="BB271" i="13"/>
  <c r="AX271" i="13"/>
  <c r="AW271" i="13"/>
  <c r="AS271" i="13"/>
  <c r="AR271" i="13"/>
  <c r="AN271" i="13"/>
  <c r="AM271" i="13"/>
  <c r="CS270" i="13"/>
  <c r="CK270" i="13"/>
  <c r="CF270" i="13"/>
  <c r="CB270" i="13"/>
  <c r="CA270" i="13"/>
  <c r="BW270" i="13"/>
  <c r="BV270" i="13"/>
  <c r="BR270" i="13"/>
  <c r="BQ270" i="13"/>
  <c r="BM270" i="13"/>
  <c r="BL270" i="13"/>
  <c r="BH270" i="13"/>
  <c r="BG270" i="13"/>
  <c r="BC270" i="13"/>
  <c r="BB270" i="13"/>
  <c r="AX270" i="13"/>
  <c r="AW270" i="13"/>
  <c r="AS270" i="13"/>
  <c r="AR270" i="13"/>
  <c r="AN270" i="13"/>
  <c r="AM270" i="13"/>
  <c r="CS269" i="13"/>
  <c r="CK269" i="13"/>
  <c r="CF269" i="13"/>
  <c r="CB269" i="13"/>
  <c r="CA269" i="13"/>
  <c r="BW269" i="13"/>
  <c r="BV269" i="13"/>
  <c r="BR269" i="13"/>
  <c r="BQ269" i="13"/>
  <c r="BM269" i="13"/>
  <c r="BL269" i="13"/>
  <c r="BH269" i="13"/>
  <c r="BG269" i="13"/>
  <c r="BC269" i="13"/>
  <c r="BB269" i="13"/>
  <c r="AX269" i="13"/>
  <c r="AW269" i="13"/>
  <c r="AS269" i="13"/>
  <c r="AR269" i="13"/>
  <c r="AN269" i="13"/>
  <c r="AM269" i="13"/>
  <c r="CS267" i="13"/>
  <c r="CK267" i="13"/>
  <c r="CF267" i="13"/>
  <c r="CB267" i="13"/>
  <c r="CA267" i="13"/>
  <c r="BW267" i="13"/>
  <c r="BV267" i="13"/>
  <c r="BR267" i="13"/>
  <c r="BQ267" i="13"/>
  <c r="BM267" i="13"/>
  <c r="BL267" i="13"/>
  <c r="BH267" i="13"/>
  <c r="BG267" i="13"/>
  <c r="BC267" i="13"/>
  <c r="BB267" i="13"/>
  <c r="AX267" i="13"/>
  <c r="AW267" i="13"/>
  <c r="AS267" i="13"/>
  <c r="AR267" i="13"/>
  <c r="AN267" i="13"/>
  <c r="AM267" i="13"/>
  <c r="CS266" i="13"/>
  <c r="CK266" i="13"/>
  <c r="CF266" i="13"/>
  <c r="CB266" i="13"/>
  <c r="CA266" i="13"/>
  <c r="BW266" i="13"/>
  <c r="BV266" i="13"/>
  <c r="BR266" i="13"/>
  <c r="BQ266" i="13"/>
  <c r="BM266" i="13"/>
  <c r="BL266" i="13"/>
  <c r="BH266" i="13"/>
  <c r="BG266" i="13"/>
  <c r="BC266" i="13"/>
  <c r="BB266" i="13"/>
  <c r="AX266" i="13"/>
  <c r="AW266" i="13"/>
  <c r="AS266" i="13"/>
  <c r="AR266" i="13"/>
  <c r="AN266" i="13"/>
  <c r="AM266" i="13"/>
  <c r="CS265" i="13"/>
  <c r="CK265" i="13"/>
  <c r="CF265" i="13"/>
  <c r="CB265" i="13"/>
  <c r="CA265" i="13"/>
  <c r="BW265" i="13"/>
  <c r="BV265" i="13"/>
  <c r="BR265" i="13"/>
  <c r="BQ265" i="13"/>
  <c r="BM265" i="13"/>
  <c r="BL265" i="13"/>
  <c r="BH265" i="13"/>
  <c r="BG265" i="13"/>
  <c r="BC265" i="13"/>
  <c r="BB265" i="13"/>
  <c r="AX265" i="13"/>
  <c r="AW265" i="13"/>
  <c r="AS265" i="13"/>
  <c r="AR265" i="13"/>
  <c r="AN265" i="13"/>
  <c r="AM265" i="13"/>
  <c r="CS264" i="13"/>
  <c r="CK264" i="13"/>
  <c r="CF264" i="13"/>
  <c r="CB264" i="13"/>
  <c r="CA264" i="13"/>
  <c r="BW264" i="13"/>
  <c r="BV264" i="13"/>
  <c r="BR264" i="13"/>
  <c r="BQ264" i="13"/>
  <c r="BM264" i="13"/>
  <c r="BL264" i="13"/>
  <c r="BH264" i="13"/>
  <c r="BG264" i="13"/>
  <c r="BC264" i="13"/>
  <c r="BB264" i="13"/>
  <c r="AX264" i="13"/>
  <c r="AW264" i="13"/>
  <c r="AS264" i="13"/>
  <c r="AR264" i="13"/>
  <c r="AN264" i="13"/>
  <c r="AM264" i="13"/>
  <c r="CS263" i="13"/>
  <c r="CK263" i="13"/>
  <c r="CF263" i="13"/>
  <c r="CB263" i="13"/>
  <c r="CA263" i="13"/>
  <c r="BW263" i="13"/>
  <c r="BV263" i="13"/>
  <c r="BR263" i="13"/>
  <c r="BQ263" i="13"/>
  <c r="BM263" i="13"/>
  <c r="BL263" i="13"/>
  <c r="BH263" i="13"/>
  <c r="BG263" i="13"/>
  <c r="BC263" i="13"/>
  <c r="BB263" i="13"/>
  <c r="AX263" i="13"/>
  <c r="AW263" i="13"/>
  <c r="AS263" i="13"/>
  <c r="AR263" i="13"/>
  <c r="AN263" i="13"/>
  <c r="AM263" i="13"/>
  <c r="CS262" i="13"/>
  <c r="CK262" i="13"/>
  <c r="CF262" i="13"/>
  <c r="CB262" i="13"/>
  <c r="CA262" i="13"/>
  <c r="BW262" i="13"/>
  <c r="BV262" i="13"/>
  <c r="BR262" i="13"/>
  <c r="BQ262" i="13"/>
  <c r="BM262" i="13"/>
  <c r="BL262" i="13"/>
  <c r="BH262" i="13"/>
  <c r="BG262" i="13"/>
  <c r="BC262" i="13"/>
  <c r="BB262" i="13"/>
  <c r="AX262" i="13"/>
  <c r="AW262" i="13"/>
  <c r="AS262" i="13"/>
  <c r="AR262" i="13"/>
  <c r="AN262" i="13"/>
  <c r="AM262" i="13"/>
  <c r="CS261" i="13"/>
  <c r="CK261" i="13"/>
  <c r="CF261" i="13"/>
  <c r="CB261" i="13"/>
  <c r="CA261" i="13"/>
  <c r="BW261" i="13"/>
  <c r="BV261" i="13"/>
  <c r="BR261" i="13"/>
  <c r="BQ261" i="13"/>
  <c r="BM261" i="13"/>
  <c r="BL261" i="13"/>
  <c r="BH261" i="13"/>
  <c r="BG261" i="13"/>
  <c r="BC261" i="13"/>
  <c r="BB261" i="13"/>
  <c r="AX261" i="13"/>
  <c r="AW261" i="13"/>
  <c r="AS261" i="13"/>
  <c r="AR261" i="13"/>
  <c r="AN261" i="13"/>
  <c r="AM261" i="13"/>
  <c r="CS260" i="13"/>
  <c r="CK260" i="13"/>
  <c r="CF260" i="13"/>
  <c r="CB260" i="13"/>
  <c r="CA260" i="13"/>
  <c r="BW260" i="13"/>
  <c r="BV260" i="13"/>
  <c r="BR260" i="13"/>
  <c r="BQ260" i="13"/>
  <c r="BM260" i="13"/>
  <c r="BL260" i="13"/>
  <c r="BH260" i="13"/>
  <c r="BG260" i="13"/>
  <c r="BC260" i="13"/>
  <c r="BB260" i="13"/>
  <c r="AX260" i="13"/>
  <c r="AW260" i="13"/>
  <c r="AS260" i="13"/>
  <c r="AR260" i="13"/>
  <c r="AN260" i="13"/>
  <c r="AM260" i="13"/>
  <c r="CS259" i="13"/>
  <c r="CK259" i="13"/>
  <c r="CF259" i="13"/>
  <c r="CB259" i="13"/>
  <c r="CA259" i="13"/>
  <c r="BW259" i="13"/>
  <c r="BV259" i="13"/>
  <c r="BR259" i="13"/>
  <c r="BQ259" i="13"/>
  <c r="BM259" i="13"/>
  <c r="BL259" i="13"/>
  <c r="BH259" i="13"/>
  <c r="BG259" i="13"/>
  <c r="BC259" i="13"/>
  <c r="BB259" i="13"/>
  <c r="AX259" i="13"/>
  <c r="AW259" i="13"/>
  <c r="AS259" i="13"/>
  <c r="AR259" i="13"/>
  <c r="AN259" i="13"/>
  <c r="AM259" i="13"/>
  <c r="CS258" i="13"/>
  <c r="CK258" i="13"/>
  <c r="CF258" i="13"/>
  <c r="CB258" i="13"/>
  <c r="CA258" i="13"/>
  <c r="BW258" i="13"/>
  <c r="BV258" i="13"/>
  <c r="BR258" i="13"/>
  <c r="BQ258" i="13"/>
  <c r="BM258" i="13"/>
  <c r="BL258" i="13"/>
  <c r="BH258" i="13"/>
  <c r="BG258" i="13"/>
  <c r="BC258" i="13"/>
  <c r="BB258" i="13"/>
  <c r="AX258" i="13"/>
  <c r="AW258" i="13"/>
  <c r="AS258" i="13"/>
  <c r="AR258" i="13"/>
  <c r="AN258" i="13"/>
  <c r="AM258" i="13"/>
  <c r="CS257" i="13"/>
  <c r="CK257" i="13"/>
  <c r="CF257" i="13"/>
  <c r="CB257" i="13"/>
  <c r="CA257" i="13"/>
  <c r="BW257" i="13"/>
  <c r="BV257" i="13"/>
  <c r="BR257" i="13"/>
  <c r="BQ257" i="13"/>
  <c r="BM257" i="13"/>
  <c r="BL257" i="13"/>
  <c r="BH257" i="13"/>
  <c r="BG257" i="13"/>
  <c r="BC257" i="13"/>
  <c r="BB257" i="13"/>
  <c r="AX257" i="13"/>
  <c r="AW257" i="13"/>
  <c r="AS257" i="13"/>
  <c r="AR257" i="13"/>
  <c r="AN257" i="13"/>
  <c r="AM257" i="13"/>
  <c r="CS256" i="13"/>
  <c r="CK256" i="13"/>
  <c r="CF256" i="13"/>
  <c r="CB256" i="13"/>
  <c r="CA256" i="13"/>
  <c r="BW256" i="13"/>
  <c r="BV256" i="13"/>
  <c r="BR256" i="13"/>
  <c r="BQ256" i="13"/>
  <c r="BM256" i="13"/>
  <c r="BL256" i="13"/>
  <c r="BH256" i="13"/>
  <c r="BG256" i="13"/>
  <c r="BC256" i="13"/>
  <c r="BB256" i="13"/>
  <c r="AX256" i="13"/>
  <c r="AW256" i="13"/>
  <c r="AS256" i="13"/>
  <c r="AR256" i="13"/>
  <c r="AN256" i="13"/>
  <c r="AM256" i="13"/>
  <c r="CS255" i="13"/>
  <c r="CK255" i="13"/>
  <c r="CF255" i="13"/>
  <c r="CB255" i="13"/>
  <c r="CA255" i="13"/>
  <c r="BW255" i="13"/>
  <c r="BV255" i="13"/>
  <c r="BR255" i="13"/>
  <c r="BQ255" i="13"/>
  <c r="BM255" i="13"/>
  <c r="BL255" i="13"/>
  <c r="BH255" i="13"/>
  <c r="BG255" i="13"/>
  <c r="BC255" i="13"/>
  <c r="BB255" i="13"/>
  <c r="AX255" i="13"/>
  <c r="AW255" i="13"/>
  <c r="AS255" i="13"/>
  <c r="AR255" i="13"/>
  <c r="AN255" i="13"/>
  <c r="AM255" i="13"/>
  <c r="CS254" i="13"/>
  <c r="CK254" i="13"/>
  <c r="CF254" i="13"/>
  <c r="CB254" i="13"/>
  <c r="CA254" i="13"/>
  <c r="BW254" i="13"/>
  <c r="BV254" i="13"/>
  <c r="BR254" i="13"/>
  <c r="BQ254" i="13"/>
  <c r="BM254" i="13"/>
  <c r="BL254" i="13"/>
  <c r="BH254" i="13"/>
  <c r="BG254" i="13"/>
  <c r="BC254" i="13"/>
  <c r="BB254" i="13"/>
  <c r="AX254" i="13"/>
  <c r="AW254" i="13"/>
  <c r="AS254" i="13"/>
  <c r="AR254" i="13"/>
  <c r="AN254" i="13"/>
  <c r="AM254" i="13"/>
  <c r="CS253" i="13"/>
  <c r="CK253" i="13"/>
  <c r="CF253" i="13"/>
  <c r="CB253" i="13"/>
  <c r="CA253" i="13"/>
  <c r="BW253" i="13"/>
  <c r="BV253" i="13"/>
  <c r="BR253" i="13"/>
  <c r="BQ253" i="13"/>
  <c r="BM253" i="13"/>
  <c r="BL253" i="13"/>
  <c r="BH253" i="13"/>
  <c r="BG253" i="13"/>
  <c r="BC253" i="13"/>
  <c r="BB253" i="13"/>
  <c r="AX253" i="13"/>
  <c r="AW253" i="13"/>
  <c r="AS253" i="13"/>
  <c r="AR253" i="13"/>
  <c r="AN253" i="13"/>
  <c r="AM253" i="13"/>
  <c r="CS252" i="13"/>
  <c r="CK252" i="13"/>
  <c r="CF252" i="13"/>
  <c r="CB252" i="13"/>
  <c r="CA252" i="13"/>
  <c r="BW252" i="13"/>
  <c r="BV252" i="13"/>
  <c r="BR252" i="13"/>
  <c r="BQ252" i="13"/>
  <c r="BM252" i="13"/>
  <c r="BL252" i="13"/>
  <c r="BH252" i="13"/>
  <c r="BG252" i="13"/>
  <c r="BC252" i="13"/>
  <c r="BB252" i="13"/>
  <c r="AX252" i="13"/>
  <c r="AW252" i="13"/>
  <c r="AS252" i="13"/>
  <c r="AR252" i="13"/>
  <c r="AN252" i="13"/>
  <c r="AM252" i="13"/>
  <c r="CS251" i="13"/>
  <c r="CK251" i="13"/>
  <c r="CF251" i="13"/>
  <c r="CB251" i="13"/>
  <c r="CA251" i="13"/>
  <c r="BW251" i="13"/>
  <c r="BV251" i="13"/>
  <c r="BR251" i="13"/>
  <c r="BQ251" i="13"/>
  <c r="BM251" i="13"/>
  <c r="BL251" i="13"/>
  <c r="BH251" i="13"/>
  <c r="BG251" i="13"/>
  <c r="BC251" i="13"/>
  <c r="BB251" i="13"/>
  <c r="AX251" i="13"/>
  <c r="AW251" i="13"/>
  <c r="AS251" i="13"/>
  <c r="AR251" i="13"/>
  <c r="AN251" i="13"/>
  <c r="AM251" i="13"/>
  <c r="CS250" i="13"/>
  <c r="CK250" i="13"/>
  <c r="CF250" i="13"/>
  <c r="CB250" i="13"/>
  <c r="CA250" i="13"/>
  <c r="BW250" i="13"/>
  <c r="BV250" i="13"/>
  <c r="BR250" i="13"/>
  <c r="BQ250" i="13"/>
  <c r="BM250" i="13"/>
  <c r="BL250" i="13"/>
  <c r="BH250" i="13"/>
  <c r="BG250" i="13"/>
  <c r="BC250" i="13"/>
  <c r="BB250" i="13"/>
  <c r="AX250" i="13"/>
  <c r="AW250" i="13"/>
  <c r="AS250" i="13"/>
  <c r="AR250" i="13"/>
  <c r="AN250" i="13"/>
  <c r="AM250" i="13"/>
  <c r="CS249" i="13"/>
  <c r="CQ249" i="13"/>
  <c r="CK249" i="13"/>
  <c r="CJ249" i="13"/>
  <c r="CF249" i="13"/>
  <c r="CE249" i="13"/>
  <c r="CB249" i="13"/>
  <c r="CA249" i="13"/>
  <c r="BZ249" i="13"/>
  <c r="BW249" i="13"/>
  <c r="BV249" i="13"/>
  <c r="BU249" i="13"/>
  <c r="BR249" i="13"/>
  <c r="BQ249" i="13"/>
  <c r="BP249" i="13"/>
  <c r="BM249" i="13"/>
  <c r="BL249" i="13"/>
  <c r="BK249" i="13"/>
  <c r="BH249" i="13"/>
  <c r="BG249" i="13"/>
  <c r="BF249" i="13"/>
  <c r="BC249" i="13"/>
  <c r="BB249" i="13"/>
  <c r="BA249" i="13"/>
  <c r="AX249" i="13"/>
  <c r="AW249" i="13"/>
  <c r="AV249" i="13"/>
  <c r="AS249" i="13"/>
  <c r="AR249" i="13"/>
  <c r="AQ249" i="13"/>
  <c r="AN249" i="13"/>
  <c r="AM249" i="13"/>
  <c r="AL249" i="13"/>
  <c r="CS248" i="13"/>
  <c r="CK248" i="13"/>
  <c r="CF248" i="13"/>
  <c r="CB248" i="13"/>
  <c r="CA248" i="13"/>
  <c r="BW248" i="13"/>
  <c r="BV248" i="13"/>
  <c r="BR248" i="13"/>
  <c r="BQ248" i="13"/>
  <c r="BM248" i="13"/>
  <c r="BL248" i="13"/>
  <c r="BH248" i="13"/>
  <c r="BG248" i="13"/>
  <c r="BC248" i="13"/>
  <c r="BB248" i="13"/>
  <c r="AX248" i="13"/>
  <c r="AW248" i="13"/>
  <c r="AS248" i="13"/>
  <c r="AR248" i="13"/>
  <c r="AN248" i="13"/>
  <c r="AM248" i="13"/>
  <c r="CS247" i="13"/>
  <c r="CK247" i="13"/>
  <c r="CF247" i="13"/>
  <c r="CB247" i="13"/>
  <c r="CA247" i="13"/>
  <c r="BW247" i="13"/>
  <c r="BV247" i="13"/>
  <c r="BR247" i="13"/>
  <c r="BQ247" i="13"/>
  <c r="BM247" i="13"/>
  <c r="BL247" i="13"/>
  <c r="BH247" i="13"/>
  <c r="BG247" i="13"/>
  <c r="BC247" i="13"/>
  <c r="BB247" i="13"/>
  <c r="AX247" i="13"/>
  <c r="AW247" i="13"/>
  <c r="AS247" i="13"/>
  <c r="AR247" i="13"/>
  <c r="AN247" i="13"/>
  <c r="AM247" i="13"/>
  <c r="CS246" i="13"/>
  <c r="CK246" i="13"/>
  <c r="CF246" i="13"/>
  <c r="CB246" i="13"/>
  <c r="CA246" i="13"/>
  <c r="BW246" i="13"/>
  <c r="BV246" i="13"/>
  <c r="BR246" i="13"/>
  <c r="BQ246" i="13"/>
  <c r="BM246" i="13"/>
  <c r="BL246" i="13"/>
  <c r="BH246" i="13"/>
  <c r="BG246" i="13"/>
  <c r="BC246" i="13"/>
  <c r="BB246" i="13"/>
  <c r="AX246" i="13"/>
  <c r="AW246" i="13"/>
  <c r="AS246" i="13"/>
  <c r="AR246" i="13"/>
  <c r="AN246" i="13"/>
  <c r="AM246" i="13"/>
  <c r="CS245" i="13"/>
  <c r="CK245" i="13"/>
  <c r="CF245" i="13"/>
  <c r="CB245" i="13"/>
  <c r="CA245" i="13"/>
  <c r="BW245" i="13"/>
  <c r="BV245" i="13"/>
  <c r="BR245" i="13"/>
  <c r="BQ245" i="13"/>
  <c r="BM245" i="13"/>
  <c r="BL245" i="13"/>
  <c r="BH245" i="13"/>
  <c r="BG245" i="13"/>
  <c r="BC245" i="13"/>
  <c r="BB245" i="13"/>
  <c r="AX245" i="13"/>
  <c r="AW245" i="13"/>
  <c r="AS245" i="13"/>
  <c r="AR245" i="13"/>
  <c r="AN245" i="13"/>
  <c r="AM245" i="13"/>
  <c r="CS244" i="13"/>
  <c r="CK244" i="13"/>
  <c r="CF244" i="13"/>
  <c r="CB244" i="13"/>
  <c r="CA244" i="13"/>
  <c r="BW244" i="13"/>
  <c r="BV244" i="13"/>
  <c r="BR244" i="13"/>
  <c r="BQ244" i="13"/>
  <c r="BM244" i="13"/>
  <c r="BL244" i="13"/>
  <c r="BH244" i="13"/>
  <c r="BG244" i="13"/>
  <c r="BC244" i="13"/>
  <c r="BB244" i="13"/>
  <c r="AX244" i="13"/>
  <c r="AW244" i="13"/>
  <c r="AS244" i="13"/>
  <c r="AR244" i="13"/>
  <c r="AN244" i="13"/>
  <c r="AM244" i="13"/>
  <c r="CS242" i="13"/>
  <c r="CK242" i="13"/>
  <c r="CF242" i="13"/>
  <c r="CB242" i="13"/>
  <c r="CA242" i="13"/>
  <c r="BW242" i="13"/>
  <c r="BV242" i="13"/>
  <c r="BR242" i="13"/>
  <c r="BQ242" i="13"/>
  <c r="BM242" i="13"/>
  <c r="BL242" i="13"/>
  <c r="BH242" i="13"/>
  <c r="BG242" i="13"/>
  <c r="BC242" i="13"/>
  <c r="BB242" i="13"/>
  <c r="AX242" i="13"/>
  <c r="AW242" i="13"/>
  <c r="AS242" i="13"/>
  <c r="AR242" i="13"/>
  <c r="AN242" i="13"/>
  <c r="AM242" i="13"/>
  <c r="CS241" i="13"/>
  <c r="CK241" i="13"/>
  <c r="CF241" i="13"/>
  <c r="CB241" i="13"/>
  <c r="CA241" i="13"/>
  <c r="BW241" i="13"/>
  <c r="BV241" i="13"/>
  <c r="BR241" i="13"/>
  <c r="BQ241" i="13"/>
  <c r="BM241" i="13"/>
  <c r="BL241" i="13"/>
  <c r="BH241" i="13"/>
  <c r="BG241" i="13"/>
  <c r="BC241" i="13"/>
  <c r="BB241" i="13"/>
  <c r="AX241" i="13"/>
  <c r="AW241" i="13"/>
  <c r="AS241" i="13"/>
  <c r="AR241" i="13"/>
  <c r="AN241" i="13"/>
  <c r="AM241" i="13"/>
  <c r="CS240" i="13"/>
  <c r="CK240" i="13"/>
  <c r="CF240" i="13"/>
  <c r="CB240" i="13"/>
  <c r="CA240" i="13"/>
  <c r="BW240" i="13"/>
  <c r="BV240" i="13"/>
  <c r="BR240" i="13"/>
  <c r="BQ240" i="13"/>
  <c r="BM240" i="13"/>
  <c r="BL240" i="13"/>
  <c r="BH240" i="13"/>
  <c r="BG240" i="13"/>
  <c r="BC240" i="13"/>
  <c r="BB240" i="13"/>
  <c r="AX240" i="13"/>
  <c r="AW240" i="13"/>
  <c r="AS240" i="13"/>
  <c r="AR240" i="13"/>
  <c r="AN240" i="13"/>
  <c r="AM240" i="13"/>
  <c r="CS239" i="13"/>
  <c r="CK239" i="13"/>
  <c r="CF239" i="13"/>
  <c r="CB239" i="13"/>
  <c r="CA239" i="13"/>
  <c r="BW239" i="13"/>
  <c r="BV239" i="13"/>
  <c r="BR239" i="13"/>
  <c r="BQ239" i="13"/>
  <c r="BM239" i="13"/>
  <c r="BL239" i="13"/>
  <c r="BH239" i="13"/>
  <c r="BG239" i="13"/>
  <c r="BC239" i="13"/>
  <c r="BB239" i="13"/>
  <c r="AX239" i="13"/>
  <c r="AW239" i="13"/>
  <c r="AS239" i="13"/>
  <c r="AR239" i="13"/>
  <c r="AN239" i="13"/>
  <c r="AM239" i="13"/>
  <c r="CS238" i="13"/>
  <c r="CQ238" i="13"/>
  <c r="CK238" i="13"/>
  <c r="CJ238" i="13"/>
  <c r="CF238" i="13"/>
  <c r="CE238" i="13"/>
  <c r="CB238" i="13"/>
  <c r="CA238" i="13"/>
  <c r="BZ238" i="13"/>
  <c r="BW238" i="13"/>
  <c r="BV238" i="13"/>
  <c r="BU238" i="13"/>
  <c r="BR238" i="13"/>
  <c r="BQ238" i="13"/>
  <c r="BP238" i="13"/>
  <c r="BM238" i="13"/>
  <c r="BL238" i="13"/>
  <c r="BK238" i="13"/>
  <c r="BH238" i="13"/>
  <c r="BG238" i="13"/>
  <c r="BF238" i="13"/>
  <c r="BC238" i="13"/>
  <c r="BB238" i="13"/>
  <c r="BA238" i="13"/>
  <c r="AX238" i="13"/>
  <c r="AW238" i="13"/>
  <c r="AV238" i="13"/>
  <c r="AS238" i="13"/>
  <c r="AR238" i="13"/>
  <c r="AQ238" i="13"/>
  <c r="AN238" i="13"/>
  <c r="AM238" i="13"/>
  <c r="AL238" i="13"/>
  <c r="CS237" i="13"/>
  <c r="CK237" i="13"/>
  <c r="CF237" i="13"/>
  <c r="CB237" i="13"/>
  <c r="CA237" i="13"/>
  <c r="BW237" i="13"/>
  <c r="BV237" i="13"/>
  <c r="BR237" i="13"/>
  <c r="BQ237" i="13"/>
  <c r="BM237" i="13"/>
  <c r="BL237" i="13"/>
  <c r="BH237" i="13"/>
  <c r="BG237" i="13"/>
  <c r="BC237" i="13"/>
  <c r="BB237" i="13"/>
  <c r="AX237" i="13"/>
  <c r="AW237" i="13"/>
  <c r="AS237" i="13"/>
  <c r="AR237" i="13"/>
  <c r="AN237" i="13"/>
  <c r="AM237" i="13"/>
  <c r="CS236" i="13"/>
  <c r="CK236" i="13"/>
  <c r="CF236" i="13"/>
  <c r="CB236" i="13"/>
  <c r="CA236" i="13"/>
  <c r="BW236" i="13"/>
  <c r="BV236" i="13"/>
  <c r="BR236" i="13"/>
  <c r="BQ236" i="13"/>
  <c r="BM236" i="13"/>
  <c r="BL236" i="13"/>
  <c r="BH236" i="13"/>
  <c r="BG236" i="13"/>
  <c r="BC236" i="13"/>
  <c r="BB236" i="13"/>
  <c r="AX236" i="13"/>
  <c r="AW236" i="13"/>
  <c r="AS236" i="13"/>
  <c r="AR236" i="13"/>
  <c r="AN236" i="13"/>
  <c r="AM236" i="13"/>
  <c r="CS235" i="13"/>
  <c r="CK235" i="13"/>
  <c r="CF235" i="13"/>
  <c r="CB235" i="13"/>
  <c r="CA235" i="13"/>
  <c r="BW235" i="13"/>
  <c r="BV235" i="13"/>
  <c r="BR235" i="13"/>
  <c r="BQ235" i="13"/>
  <c r="BM235" i="13"/>
  <c r="BL235" i="13"/>
  <c r="BH235" i="13"/>
  <c r="BG235" i="13"/>
  <c r="BC235" i="13"/>
  <c r="BB235" i="13"/>
  <c r="AX235" i="13"/>
  <c r="AW235" i="13"/>
  <c r="AS235" i="13"/>
  <c r="AR235" i="13"/>
  <c r="AN235" i="13"/>
  <c r="AM235" i="13"/>
  <c r="CS234" i="13"/>
  <c r="CK234" i="13"/>
  <c r="CF234" i="13"/>
  <c r="CB234" i="13"/>
  <c r="CA234" i="13"/>
  <c r="BW234" i="13"/>
  <c r="BV234" i="13"/>
  <c r="BR234" i="13"/>
  <c r="BQ234" i="13"/>
  <c r="BM234" i="13"/>
  <c r="BL234" i="13"/>
  <c r="BH234" i="13"/>
  <c r="BG234" i="13"/>
  <c r="BC234" i="13"/>
  <c r="BB234" i="13"/>
  <c r="AX234" i="13"/>
  <c r="AW234" i="13"/>
  <c r="AS234" i="13"/>
  <c r="AR234" i="13"/>
  <c r="AN234" i="13"/>
  <c r="AM234" i="13"/>
  <c r="CS233" i="13"/>
  <c r="CK233" i="13"/>
  <c r="CF233" i="13"/>
  <c r="CB233" i="13"/>
  <c r="CA233" i="13"/>
  <c r="BW233" i="13"/>
  <c r="BV233" i="13"/>
  <c r="BR233" i="13"/>
  <c r="BQ233" i="13"/>
  <c r="BM233" i="13"/>
  <c r="BL233" i="13"/>
  <c r="BH233" i="13"/>
  <c r="BG233" i="13"/>
  <c r="BC233" i="13"/>
  <c r="BB233" i="13"/>
  <c r="AX233" i="13"/>
  <c r="AW233" i="13"/>
  <c r="AS233" i="13"/>
  <c r="AR233" i="13"/>
  <c r="AN233" i="13"/>
  <c r="AM233" i="13"/>
  <c r="CS231" i="13"/>
  <c r="CQ231" i="13"/>
  <c r="CK231" i="13"/>
  <c r="CJ231" i="13"/>
  <c r="CF231" i="13"/>
  <c r="CE231" i="13"/>
  <c r="CB231" i="13"/>
  <c r="CA231" i="13"/>
  <c r="BZ231" i="13"/>
  <c r="BW231" i="13"/>
  <c r="BV231" i="13"/>
  <c r="BU231" i="13"/>
  <c r="BR231" i="13"/>
  <c r="BQ231" i="13"/>
  <c r="BP231" i="13"/>
  <c r="BM231" i="13"/>
  <c r="BL231" i="13"/>
  <c r="BK231" i="13"/>
  <c r="BH231" i="13"/>
  <c r="BG231" i="13"/>
  <c r="BF231" i="13"/>
  <c r="BC231" i="13"/>
  <c r="BB231" i="13"/>
  <c r="BA231" i="13"/>
  <c r="AX231" i="13"/>
  <c r="AW231" i="13"/>
  <c r="AV231" i="13"/>
  <c r="AS231" i="13"/>
  <c r="AR231" i="13"/>
  <c r="AQ231" i="13"/>
  <c r="AN231" i="13"/>
  <c r="AM231" i="13"/>
  <c r="AL231" i="13"/>
  <c r="CS230" i="13"/>
  <c r="CK230" i="13"/>
  <c r="CF230" i="13"/>
  <c r="CB230" i="13"/>
  <c r="CA230" i="13"/>
  <c r="BW230" i="13"/>
  <c r="BV230" i="13"/>
  <c r="BR230" i="13"/>
  <c r="BQ230" i="13"/>
  <c r="BM230" i="13"/>
  <c r="BL230" i="13"/>
  <c r="BH230" i="13"/>
  <c r="BG230" i="13"/>
  <c r="BC230" i="13"/>
  <c r="BB230" i="13"/>
  <c r="AX230" i="13"/>
  <c r="AW230" i="13"/>
  <c r="AS230" i="13"/>
  <c r="AR230" i="13"/>
  <c r="AN230" i="13"/>
  <c r="AM230" i="13"/>
  <c r="CS229" i="13"/>
  <c r="CK229" i="13"/>
  <c r="CF229" i="13"/>
  <c r="CB229" i="13"/>
  <c r="CA229" i="13"/>
  <c r="BW229" i="13"/>
  <c r="BV229" i="13"/>
  <c r="BR229" i="13"/>
  <c r="BQ229" i="13"/>
  <c r="BM229" i="13"/>
  <c r="BL229" i="13"/>
  <c r="BH229" i="13"/>
  <c r="BG229" i="13"/>
  <c r="BC229" i="13"/>
  <c r="BB229" i="13"/>
  <c r="AX229" i="13"/>
  <c r="AW229" i="13"/>
  <c r="AS229" i="13"/>
  <c r="AR229" i="13"/>
  <c r="AN229" i="13"/>
  <c r="AM229" i="13"/>
  <c r="CS228" i="13"/>
  <c r="CK228" i="13"/>
  <c r="CF228" i="13"/>
  <c r="CB228" i="13"/>
  <c r="CA228" i="13"/>
  <c r="BW228" i="13"/>
  <c r="BV228" i="13"/>
  <c r="BR228" i="13"/>
  <c r="BQ228" i="13"/>
  <c r="BM228" i="13"/>
  <c r="BL228" i="13"/>
  <c r="BH228" i="13"/>
  <c r="BG228" i="13"/>
  <c r="BC228" i="13"/>
  <c r="BB228" i="13"/>
  <c r="AX228" i="13"/>
  <c r="AW228" i="13"/>
  <c r="AS228" i="13"/>
  <c r="AR228" i="13"/>
  <c r="AN228" i="13"/>
  <c r="AM228" i="13"/>
  <c r="CS227" i="13"/>
  <c r="CK227" i="13"/>
  <c r="CF227" i="13"/>
  <c r="CB227" i="13"/>
  <c r="CA227" i="13"/>
  <c r="BW227" i="13"/>
  <c r="BV227" i="13"/>
  <c r="BR227" i="13"/>
  <c r="BQ227" i="13"/>
  <c r="BM227" i="13"/>
  <c r="BL227" i="13"/>
  <c r="BH227" i="13"/>
  <c r="BG227" i="13"/>
  <c r="BC227" i="13"/>
  <c r="BB227" i="13"/>
  <c r="AX227" i="13"/>
  <c r="AW227" i="13"/>
  <c r="AS227" i="13"/>
  <c r="AR227" i="13"/>
  <c r="AN227" i="13"/>
  <c r="AM227" i="13"/>
  <c r="CS226" i="13"/>
  <c r="CK226" i="13"/>
  <c r="CF226" i="13"/>
  <c r="CB226" i="13"/>
  <c r="CA226" i="13"/>
  <c r="BW226" i="13"/>
  <c r="BV226" i="13"/>
  <c r="BR226" i="13"/>
  <c r="BQ226" i="13"/>
  <c r="BM226" i="13"/>
  <c r="BL226" i="13"/>
  <c r="BH226" i="13"/>
  <c r="BG226" i="13"/>
  <c r="BC226" i="13"/>
  <c r="BB226" i="13"/>
  <c r="AX226" i="13"/>
  <c r="AW226" i="13"/>
  <c r="AS226" i="13"/>
  <c r="AR226" i="13"/>
  <c r="AN226" i="13"/>
  <c r="AM226" i="13"/>
  <c r="CS224" i="13"/>
  <c r="CK224" i="13"/>
  <c r="CF224" i="13"/>
  <c r="CB224" i="13"/>
  <c r="CA224" i="13"/>
  <c r="BW224" i="13"/>
  <c r="BV224" i="13"/>
  <c r="BR224" i="13"/>
  <c r="BQ224" i="13"/>
  <c r="BM224" i="13"/>
  <c r="BL224" i="13"/>
  <c r="BH224" i="13"/>
  <c r="BG224" i="13"/>
  <c r="BC224" i="13"/>
  <c r="BB224" i="13"/>
  <c r="AX224" i="13"/>
  <c r="AW224" i="13"/>
  <c r="AS224" i="13"/>
  <c r="AR224" i="13"/>
  <c r="AN224" i="13"/>
  <c r="AM224" i="13"/>
  <c r="CS223" i="13"/>
  <c r="CK223" i="13"/>
  <c r="CF223" i="13"/>
  <c r="CB223" i="13"/>
  <c r="CA223" i="13"/>
  <c r="BW223" i="13"/>
  <c r="BV223" i="13"/>
  <c r="BR223" i="13"/>
  <c r="BQ223" i="13"/>
  <c r="BM223" i="13"/>
  <c r="BL223" i="13"/>
  <c r="BH223" i="13"/>
  <c r="BG223" i="13"/>
  <c r="BC223" i="13"/>
  <c r="BB223" i="13"/>
  <c r="AX223" i="13"/>
  <c r="AW223" i="13"/>
  <c r="AS223" i="13"/>
  <c r="AR223" i="13"/>
  <c r="AN223" i="13"/>
  <c r="AM223" i="13"/>
  <c r="CS222" i="13"/>
  <c r="CK222" i="13"/>
  <c r="CF222" i="13"/>
  <c r="CB222" i="13"/>
  <c r="CA222" i="13"/>
  <c r="BW222" i="13"/>
  <c r="BV222" i="13"/>
  <c r="BR222" i="13"/>
  <c r="BQ222" i="13"/>
  <c r="BM222" i="13"/>
  <c r="BL222" i="13"/>
  <c r="BH222" i="13"/>
  <c r="BG222" i="13"/>
  <c r="BC222" i="13"/>
  <c r="BB222" i="13"/>
  <c r="AX222" i="13"/>
  <c r="AW222" i="13"/>
  <c r="AS222" i="13"/>
  <c r="AR222" i="13"/>
  <c r="AN222" i="13"/>
  <c r="AM222" i="13"/>
  <c r="CS221" i="13"/>
  <c r="CK221" i="13"/>
  <c r="CF221" i="13"/>
  <c r="CB221" i="13"/>
  <c r="CA221" i="13"/>
  <c r="BW221" i="13"/>
  <c r="BV221" i="13"/>
  <c r="BR221" i="13"/>
  <c r="BQ221" i="13"/>
  <c r="BM221" i="13"/>
  <c r="BL221" i="13"/>
  <c r="BH221" i="13"/>
  <c r="BG221" i="13"/>
  <c r="BC221" i="13"/>
  <c r="BB221" i="13"/>
  <c r="AX221" i="13"/>
  <c r="AW221" i="13"/>
  <c r="AS221" i="13"/>
  <c r="AR221" i="13"/>
  <c r="AN221" i="13"/>
  <c r="AM221" i="13"/>
  <c r="CS220" i="13"/>
  <c r="CK220" i="13"/>
  <c r="CF220" i="13"/>
  <c r="CB220" i="13"/>
  <c r="CA220" i="13"/>
  <c r="BW220" i="13"/>
  <c r="BV220" i="13"/>
  <c r="BR220" i="13"/>
  <c r="BQ220" i="13"/>
  <c r="BM220" i="13"/>
  <c r="BL220" i="13"/>
  <c r="BH220" i="13"/>
  <c r="BG220" i="13"/>
  <c r="BC220" i="13"/>
  <c r="BB220" i="13"/>
  <c r="AX220" i="13"/>
  <c r="AW220" i="13"/>
  <c r="AS220" i="13"/>
  <c r="AR220" i="13"/>
  <c r="AN220" i="13"/>
  <c r="AM220" i="13"/>
  <c r="CS219" i="13"/>
  <c r="CK219" i="13"/>
  <c r="CF219" i="13"/>
  <c r="CB219" i="13"/>
  <c r="CA219" i="13"/>
  <c r="BW219" i="13"/>
  <c r="BV219" i="13"/>
  <c r="BR219" i="13"/>
  <c r="BQ219" i="13"/>
  <c r="BM219" i="13"/>
  <c r="BL219" i="13"/>
  <c r="BH219" i="13"/>
  <c r="BG219" i="13"/>
  <c r="BC219" i="13"/>
  <c r="BB219" i="13"/>
  <c r="AX219" i="13"/>
  <c r="AW219" i="13"/>
  <c r="AS219" i="13"/>
  <c r="AR219" i="13"/>
  <c r="AN219" i="13"/>
  <c r="AM219" i="13"/>
  <c r="CS218" i="13"/>
  <c r="CQ218" i="13"/>
  <c r="CK218" i="13"/>
  <c r="CJ218" i="13"/>
  <c r="CF218" i="13"/>
  <c r="CE218" i="13"/>
  <c r="CB218" i="13"/>
  <c r="CA218" i="13"/>
  <c r="BZ218" i="13"/>
  <c r="BW218" i="13"/>
  <c r="BV218" i="13"/>
  <c r="BU218" i="13"/>
  <c r="BR218" i="13"/>
  <c r="BQ218" i="13"/>
  <c r="BP218" i="13"/>
  <c r="BM218" i="13"/>
  <c r="BL218" i="13"/>
  <c r="BK218" i="13"/>
  <c r="BH218" i="13"/>
  <c r="BG218" i="13"/>
  <c r="BF218" i="13"/>
  <c r="BC218" i="13"/>
  <c r="BB218" i="13"/>
  <c r="BA218" i="13"/>
  <c r="AX218" i="13"/>
  <c r="AW218" i="13"/>
  <c r="AV218" i="13"/>
  <c r="AS218" i="13"/>
  <c r="AR218" i="13"/>
  <c r="AQ218" i="13"/>
  <c r="AN218" i="13"/>
  <c r="AM218" i="13"/>
  <c r="AL218" i="13"/>
  <c r="CS217" i="13"/>
  <c r="CK217" i="13"/>
  <c r="CF217" i="13"/>
  <c r="CB217" i="13"/>
  <c r="CA217" i="13"/>
  <c r="BW217" i="13"/>
  <c r="BV217" i="13"/>
  <c r="BR217" i="13"/>
  <c r="BQ217" i="13"/>
  <c r="BM217" i="13"/>
  <c r="BL217" i="13"/>
  <c r="BH217" i="13"/>
  <c r="BG217" i="13"/>
  <c r="BC217" i="13"/>
  <c r="BB217" i="13"/>
  <c r="AX217" i="13"/>
  <c r="AW217" i="13"/>
  <c r="AS217" i="13"/>
  <c r="AR217" i="13"/>
  <c r="AN217" i="13"/>
  <c r="AM217" i="13"/>
  <c r="CS216" i="13"/>
  <c r="CK216" i="13"/>
  <c r="CF216" i="13"/>
  <c r="CB216" i="13"/>
  <c r="CA216" i="13"/>
  <c r="BW216" i="13"/>
  <c r="BV216" i="13"/>
  <c r="BR216" i="13"/>
  <c r="BQ216" i="13"/>
  <c r="BM216" i="13"/>
  <c r="BL216" i="13"/>
  <c r="BH216" i="13"/>
  <c r="BG216" i="13"/>
  <c r="BC216" i="13"/>
  <c r="BB216" i="13"/>
  <c r="AX216" i="13"/>
  <c r="AW216" i="13"/>
  <c r="AS216" i="13"/>
  <c r="AR216" i="13"/>
  <c r="AN216" i="13"/>
  <c r="AM216" i="13"/>
  <c r="CS215" i="13"/>
  <c r="CK215" i="13"/>
  <c r="CF215" i="13"/>
  <c r="CB215" i="13"/>
  <c r="CA215" i="13"/>
  <c r="BW215" i="13"/>
  <c r="BV215" i="13"/>
  <c r="BR215" i="13"/>
  <c r="BQ215" i="13"/>
  <c r="BM215" i="13"/>
  <c r="BL215" i="13"/>
  <c r="BH215" i="13"/>
  <c r="BG215" i="13"/>
  <c r="BC215" i="13"/>
  <c r="BB215" i="13"/>
  <c r="AX215" i="13"/>
  <c r="AW215" i="13"/>
  <c r="AS215" i="13"/>
  <c r="AR215" i="13"/>
  <c r="AN215" i="13"/>
  <c r="AM215" i="13"/>
  <c r="CS214" i="13"/>
  <c r="CK214" i="13"/>
  <c r="CF214" i="13"/>
  <c r="CB214" i="13"/>
  <c r="CA214" i="13"/>
  <c r="BW214" i="13"/>
  <c r="BV214" i="13"/>
  <c r="BR214" i="13"/>
  <c r="BQ214" i="13"/>
  <c r="BM214" i="13"/>
  <c r="BL214" i="13"/>
  <c r="BH214" i="13"/>
  <c r="BG214" i="13"/>
  <c r="BC214" i="13"/>
  <c r="BB214" i="13"/>
  <c r="AX214" i="13"/>
  <c r="AW214" i="13"/>
  <c r="AS214" i="13"/>
  <c r="AR214" i="13"/>
  <c r="AN214" i="13"/>
  <c r="AM214" i="13"/>
  <c r="CS213" i="13"/>
  <c r="CK213" i="13"/>
  <c r="CF213" i="13"/>
  <c r="CB213" i="13"/>
  <c r="CA213" i="13"/>
  <c r="BW213" i="13"/>
  <c r="BV213" i="13"/>
  <c r="BR213" i="13"/>
  <c r="BQ213" i="13"/>
  <c r="BM213" i="13"/>
  <c r="BL213" i="13"/>
  <c r="BH213" i="13"/>
  <c r="BG213" i="13"/>
  <c r="BC213" i="13"/>
  <c r="BB213" i="13"/>
  <c r="AX213" i="13"/>
  <c r="AW213" i="13"/>
  <c r="AS213" i="13"/>
  <c r="AR213" i="13"/>
  <c r="AN213" i="13"/>
  <c r="AM213" i="13"/>
  <c r="CS211" i="13"/>
  <c r="CK211" i="13"/>
  <c r="CF211" i="13"/>
  <c r="CB211" i="13"/>
  <c r="CA211" i="13"/>
  <c r="BW211" i="13"/>
  <c r="BV211" i="13"/>
  <c r="BR211" i="13"/>
  <c r="BQ211" i="13"/>
  <c r="BM211" i="13"/>
  <c r="BL211" i="13"/>
  <c r="BH211" i="13"/>
  <c r="BG211" i="13"/>
  <c r="BC211" i="13"/>
  <c r="BB211" i="13"/>
  <c r="AX211" i="13"/>
  <c r="AW211" i="13"/>
  <c r="AS211" i="13"/>
  <c r="AR211" i="13"/>
  <c r="AN211" i="13"/>
  <c r="AM211" i="13"/>
  <c r="CS210" i="13"/>
  <c r="CK210" i="13"/>
  <c r="CF210" i="13"/>
  <c r="CB210" i="13"/>
  <c r="CA210" i="13"/>
  <c r="BW210" i="13"/>
  <c r="BV210" i="13"/>
  <c r="BR210" i="13"/>
  <c r="BQ210" i="13"/>
  <c r="BM210" i="13"/>
  <c r="BL210" i="13"/>
  <c r="BH210" i="13"/>
  <c r="BG210" i="13"/>
  <c r="BC210" i="13"/>
  <c r="BB210" i="13"/>
  <c r="AX210" i="13"/>
  <c r="AW210" i="13"/>
  <c r="AS210" i="13"/>
  <c r="AR210" i="13"/>
  <c r="AN210" i="13"/>
  <c r="AM210" i="13"/>
  <c r="CS209" i="13"/>
  <c r="CK209" i="13"/>
  <c r="CF209" i="13"/>
  <c r="CB209" i="13"/>
  <c r="CA209" i="13"/>
  <c r="BW209" i="13"/>
  <c r="BV209" i="13"/>
  <c r="BR209" i="13"/>
  <c r="BQ209" i="13"/>
  <c r="BM209" i="13"/>
  <c r="BL209" i="13"/>
  <c r="BH209" i="13"/>
  <c r="BG209" i="13"/>
  <c r="BC209" i="13"/>
  <c r="BB209" i="13"/>
  <c r="AX209" i="13"/>
  <c r="AW209" i="13"/>
  <c r="AS209" i="13"/>
  <c r="AR209" i="13"/>
  <c r="AN209" i="13"/>
  <c r="AM209" i="13"/>
  <c r="CS208" i="13"/>
  <c r="CK208" i="13"/>
  <c r="CF208" i="13"/>
  <c r="CB208" i="13"/>
  <c r="CA208" i="13"/>
  <c r="BW208" i="13"/>
  <c r="BV208" i="13"/>
  <c r="BR208" i="13"/>
  <c r="BQ208" i="13"/>
  <c r="BM208" i="13"/>
  <c r="BL208" i="13"/>
  <c r="BH208" i="13"/>
  <c r="BG208" i="13"/>
  <c r="BC208" i="13"/>
  <c r="BB208" i="13"/>
  <c r="AX208" i="13"/>
  <c r="AW208" i="13"/>
  <c r="AS208" i="13"/>
  <c r="AR208" i="13"/>
  <c r="AN208" i="13"/>
  <c r="AM208" i="13"/>
  <c r="CS207" i="13"/>
  <c r="CK207" i="13"/>
  <c r="CF207" i="13"/>
  <c r="CB207" i="13"/>
  <c r="CA207" i="13"/>
  <c r="BW207" i="13"/>
  <c r="BV207" i="13"/>
  <c r="BR207" i="13"/>
  <c r="BQ207" i="13"/>
  <c r="BM207" i="13"/>
  <c r="BL207" i="13"/>
  <c r="BH207" i="13"/>
  <c r="BG207" i="13"/>
  <c r="BC207" i="13"/>
  <c r="BB207" i="13"/>
  <c r="AX207" i="13"/>
  <c r="AW207" i="13"/>
  <c r="AS207" i="13"/>
  <c r="AR207" i="13"/>
  <c r="AN207" i="13"/>
  <c r="AM207" i="13"/>
  <c r="CS206" i="13"/>
  <c r="CK206" i="13"/>
  <c r="CF206" i="13"/>
  <c r="CB206" i="13"/>
  <c r="CA206" i="13"/>
  <c r="BW206" i="13"/>
  <c r="BV206" i="13"/>
  <c r="BR206" i="13"/>
  <c r="BQ206" i="13"/>
  <c r="BM206" i="13"/>
  <c r="BL206" i="13"/>
  <c r="BH206" i="13"/>
  <c r="BG206" i="13"/>
  <c r="BC206" i="13"/>
  <c r="BB206" i="13"/>
  <c r="AX206" i="13"/>
  <c r="AW206" i="13"/>
  <c r="AS206" i="13"/>
  <c r="AR206" i="13"/>
  <c r="AN206" i="13"/>
  <c r="AM206" i="13"/>
  <c r="CS205" i="13"/>
  <c r="CK205" i="13"/>
  <c r="CF205" i="13"/>
  <c r="CB205" i="13"/>
  <c r="CA205" i="13"/>
  <c r="BW205" i="13"/>
  <c r="BV205" i="13"/>
  <c r="BR205" i="13"/>
  <c r="BQ205" i="13"/>
  <c r="BM205" i="13"/>
  <c r="BL205" i="13"/>
  <c r="BH205" i="13"/>
  <c r="BG205" i="13"/>
  <c r="BC205" i="13"/>
  <c r="BB205" i="13"/>
  <c r="AX205" i="13"/>
  <c r="AW205" i="13"/>
  <c r="AS205" i="13"/>
  <c r="AR205" i="13"/>
  <c r="AN205" i="13"/>
  <c r="AM205" i="13"/>
  <c r="CS204" i="13"/>
  <c r="CK204" i="13"/>
  <c r="CF204" i="13"/>
  <c r="CB204" i="13"/>
  <c r="CA204" i="13"/>
  <c r="BW204" i="13"/>
  <c r="BV204" i="13"/>
  <c r="BR204" i="13"/>
  <c r="BQ204" i="13"/>
  <c r="BM204" i="13"/>
  <c r="BL204" i="13"/>
  <c r="BH204" i="13"/>
  <c r="BG204" i="13"/>
  <c r="BC204" i="13"/>
  <c r="BB204" i="13"/>
  <c r="AX204" i="13"/>
  <c r="AW204" i="13"/>
  <c r="AS204" i="13"/>
  <c r="AR204" i="13"/>
  <c r="AN204" i="13"/>
  <c r="AM204" i="13"/>
  <c r="CS203" i="13"/>
  <c r="CK203" i="13"/>
  <c r="CF203" i="13"/>
  <c r="CB203" i="13"/>
  <c r="CA203" i="13"/>
  <c r="BW203" i="13"/>
  <c r="BV203" i="13"/>
  <c r="BR203" i="13"/>
  <c r="BQ203" i="13"/>
  <c r="BM203" i="13"/>
  <c r="BL203" i="13"/>
  <c r="BH203" i="13"/>
  <c r="BG203" i="13"/>
  <c r="BC203" i="13"/>
  <c r="BB203" i="13"/>
  <c r="AX203" i="13"/>
  <c r="AW203" i="13"/>
  <c r="AS203" i="13"/>
  <c r="AR203" i="13"/>
  <c r="AN203" i="13"/>
  <c r="AM203" i="13"/>
  <c r="CS202" i="13"/>
  <c r="CK202" i="13"/>
  <c r="CF202" i="13"/>
  <c r="CB202" i="13"/>
  <c r="CA202" i="13"/>
  <c r="BW202" i="13"/>
  <c r="BV202" i="13"/>
  <c r="BR202" i="13"/>
  <c r="BQ202" i="13"/>
  <c r="BM202" i="13"/>
  <c r="BL202" i="13"/>
  <c r="BH202" i="13"/>
  <c r="BG202" i="13"/>
  <c r="BC202" i="13"/>
  <c r="BB202" i="13"/>
  <c r="AX202" i="13"/>
  <c r="AW202" i="13"/>
  <c r="AS202" i="13"/>
  <c r="AR202" i="13"/>
  <c r="AN202" i="13"/>
  <c r="AM202" i="13"/>
  <c r="CS201" i="13"/>
  <c r="CQ201" i="13"/>
  <c r="CK201" i="13"/>
  <c r="CJ201" i="13"/>
  <c r="CF201" i="13"/>
  <c r="CE201" i="13"/>
  <c r="CB201" i="13"/>
  <c r="CA201" i="13"/>
  <c r="BZ201" i="13"/>
  <c r="BW201" i="13"/>
  <c r="BV201" i="13"/>
  <c r="BU201" i="13"/>
  <c r="BR201" i="13"/>
  <c r="BQ201" i="13"/>
  <c r="BP201" i="13"/>
  <c r="BM201" i="13"/>
  <c r="BL201" i="13"/>
  <c r="BK201" i="13"/>
  <c r="BH201" i="13"/>
  <c r="BG201" i="13"/>
  <c r="BF201" i="13"/>
  <c r="BC201" i="13"/>
  <c r="BB201" i="13"/>
  <c r="BA201" i="13"/>
  <c r="AX201" i="13"/>
  <c r="AW201" i="13"/>
  <c r="AV201" i="13"/>
  <c r="AS201" i="13"/>
  <c r="AR201" i="13"/>
  <c r="AQ201" i="13"/>
  <c r="AN201" i="13"/>
  <c r="AM201" i="13"/>
  <c r="AL201" i="13"/>
  <c r="CS200" i="13"/>
  <c r="CK200" i="13"/>
  <c r="CF200" i="13"/>
  <c r="CB200" i="13"/>
  <c r="CA200" i="13"/>
  <c r="BW200" i="13"/>
  <c r="BV200" i="13"/>
  <c r="BR200" i="13"/>
  <c r="BQ200" i="13"/>
  <c r="BM200" i="13"/>
  <c r="BL200" i="13"/>
  <c r="BH200" i="13"/>
  <c r="BG200" i="13"/>
  <c r="BC200" i="13"/>
  <c r="BB200" i="13"/>
  <c r="AX200" i="13"/>
  <c r="AW200" i="13"/>
  <c r="AS200" i="13"/>
  <c r="AR200" i="13"/>
  <c r="AN200" i="13"/>
  <c r="AM200" i="13"/>
  <c r="CS199" i="13"/>
  <c r="CK199" i="13"/>
  <c r="CF199" i="13"/>
  <c r="CB199" i="13"/>
  <c r="CA199" i="13"/>
  <c r="BW199" i="13"/>
  <c r="BV199" i="13"/>
  <c r="BR199" i="13"/>
  <c r="BQ199" i="13"/>
  <c r="BM199" i="13"/>
  <c r="BL199" i="13"/>
  <c r="BH199" i="13"/>
  <c r="BG199" i="13"/>
  <c r="BC199" i="13"/>
  <c r="BB199" i="13"/>
  <c r="AX199" i="13"/>
  <c r="AW199" i="13"/>
  <c r="AS199" i="13"/>
  <c r="AR199" i="13"/>
  <c r="AN199" i="13"/>
  <c r="AM199" i="13"/>
  <c r="CS198" i="13"/>
  <c r="CK198" i="13"/>
  <c r="CF198" i="13"/>
  <c r="CB198" i="13"/>
  <c r="CA198" i="13"/>
  <c r="BW198" i="13"/>
  <c r="BV198" i="13"/>
  <c r="BR198" i="13"/>
  <c r="BQ198" i="13"/>
  <c r="BM198" i="13"/>
  <c r="BL198" i="13"/>
  <c r="BH198" i="13"/>
  <c r="BG198" i="13"/>
  <c r="BC198" i="13"/>
  <c r="BB198" i="13"/>
  <c r="AX198" i="13"/>
  <c r="AW198" i="13"/>
  <c r="AS198" i="13"/>
  <c r="AR198" i="13"/>
  <c r="AN198" i="13"/>
  <c r="AM198" i="13"/>
  <c r="CS197" i="13"/>
  <c r="CK197" i="13"/>
  <c r="CF197" i="13"/>
  <c r="CB197" i="13"/>
  <c r="CA197" i="13"/>
  <c r="BW197" i="13"/>
  <c r="BV197" i="13"/>
  <c r="BR197" i="13"/>
  <c r="BQ197" i="13"/>
  <c r="BM197" i="13"/>
  <c r="BL197" i="13"/>
  <c r="BH197" i="13"/>
  <c r="BG197" i="13"/>
  <c r="BC197" i="13"/>
  <c r="BB197" i="13"/>
  <c r="AX197" i="13"/>
  <c r="AW197" i="13"/>
  <c r="AS197" i="13"/>
  <c r="AR197" i="13"/>
  <c r="AN197" i="13"/>
  <c r="AM197" i="13"/>
  <c r="CS196" i="13"/>
  <c r="CK196" i="13"/>
  <c r="CF196" i="13"/>
  <c r="CB196" i="13"/>
  <c r="CA196" i="13"/>
  <c r="BW196" i="13"/>
  <c r="BV196" i="13"/>
  <c r="BR196" i="13"/>
  <c r="BQ196" i="13"/>
  <c r="BM196" i="13"/>
  <c r="BL196" i="13"/>
  <c r="BH196" i="13"/>
  <c r="BG196" i="13"/>
  <c r="BC196" i="13"/>
  <c r="BB196" i="13"/>
  <c r="AX196" i="13"/>
  <c r="AW196" i="13"/>
  <c r="AS196" i="13"/>
  <c r="AR196" i="13"/>
  <c r="AN196" i="13"/>
  <c r="AM196" i="13"/>
  <c r="CS194" i="13"/>
  <c r="CK194" i="13"/>
  <c r="CF194" i="13"/>
  <c r="CB194" i="13"/>
  <c r="CA194" i="13"/>
  <c r="BW194" i="13"/>
  <c r="BV194" i="13"/>
  <c r="BR194" i="13"/>
  <c r="BQ194" i="13"/>
  <c r="BM194" i="13"/>
  <c r="BL194" i="13"/>
  <c r="BH194" i="13"/>
  <c r="BG194" i="13"/>
  <c r="BC194" i="13"/>
  <c r="BB194" i="13"/>
  <c r="AX194" i="13"/>
  <c r="AW194" i="13"/>
  <c r="AS194" i="13"/>
  <c r="AR194" i="13"/>
  <c r="AN194" i="13"/>
  <c r="AM194" i="13"/>
  <c r="CS193" i="13"/>
  <c r="CK193" i="13"/>
  <c r="CF193" i="13"/>
  <c r="CB193" i="13"/>
  <c r="CA193" i="13"/>
  <c r="BW193" i="13"/>
  <c r="BV193" i="13"/>
  <c r="BR193" i="13"/>
  <c r="BQ193" i="13"/>
  <c r="BM193" i="13"/>
  <c r="BL193" i="13"/>
  <c r="BH193" i="13"/>
  <c r="BG193" i="13"/>
  <c r="BC193" i="13"/>
  <c r="BB193" i="13"/>
  <c r="AX193" i="13"/>
  <c r="AW193" i="13"/>
  <c r="AS193" i="13"/>
  <c r="AR193" i="13"/>
  <c r="AN193" i="13"/>
  <c r="AM193" i="13"/>
  <c r="CS192" i="13"/>
  <c r="CK192" i="13"/>
  <c r="CF192" i="13"/>
  <c r="CB192" i="13"/>
  <c r="CA192" i="13"/>
  <c r="BW192" i="13"/>
  <c r="BV192" i="13"/>
  <c r="BR192" i="13"/>
  <c r="BQ192" i="13"/>
  <c r="BM192" i="13"/>
  <c r="BL192" i="13"/>
  <c r="BH192" i="13"/>
  <c r="BG192" i="13"/>
  <c r="BC192" i="13"/>
  <c r="BB192" i="13"/>
  <c r="AX192" i="13"/>
  <c r="AW192" i="13"/>
  <c r="AS192" i="13"/>
  <c r="AR192" i="13"/>
  <c r="AN192" i="13"/>
  <c r="AM192" i="13"/>
  <c r="CS191" i="13"/>
  <c r="CQ191" i="13"/>
  <c r="CK191" i="13"/>
  <c r="CJ191" i="13"/>
  <c r="CF191" i="13"/>
  <c r="CE191" i="13"/>
  <c r="CB191" i="13"/>
  <c r="CA191" i="13"/>
  <c r="BZ191" i="13"/>
  <c r="BW191" i="13"/>
  <c r="BV191" i="13"/>
  <c r="BU191" i="13"/>
  <c r="BR191" i="13"/>
  <c r="BQ191" i="13"/>
  <c r="BP191" i="13"/>
  <c r="BM191" i="13"/>
  <c r="BL191" i="13"/>
  <c r="BK191" i="13"/>
  <c r="BH191" i="13"/>
  <c r="BG191" i="13"/>
  <c r="BF191" i="13"/>
  <c r="BC191" i="13"/>
  <c r="BB191" i="13"/>
  <c r="BA191" i="13"/>
  <c r="AX191" i="13"/>
  <c r="AW191" i="13"/>
  <c r="AV191" i="13"/>
  <c r="AS191" i="13"/>
  <c r="AR191" i="13"/>
  <c r="AQ191" i="13"/>
  <c r="AN191" i="13"/>
  <c r="AM191" i="13"/>
  <c r="AL191" i="13"/>
  <c r="CS190" i="13"/>
  <c r="CQ190" i="13"/>
  <c r="CK190" i="13"/>
  <c r="CJ190" i="13"/>
  <c r="CF190" i="13"/>
  <c r="CE190" i="13"/>
  <c r="CB190" i="13"/>
  <c r="CA190" i="13"/>
  <c r="BZ190" i="13"/>
  <c r="BW190" i="13"/>
  <c r="BV190" i="13"/>
  <c r="BU190" i="13"/>
  <c r="BR190" i="13"/>
  <c r="BQ190" i="13"/>
  <c r="BP190" i="13"/>
  <c r="BM190" i="13"/>
  <c r="BL190" i="13"/>
  <c r="BK190" i="13"/>
  <c r="BH190" i="13"/>
  <c r="BG190" i="13"/>
  <c r="BF190" i="13"/>
  <c r="BC190" i="13"/>
  <c r="BB190" i="13"/>
  <c r="BA190" i="13"/>
  <c r="AX190" i="13"/>
  <c r="AW190" i="13"/>
  <c r="AV190" i="13"/>
  <c r="AS190" i="13"/>
  <c r="AR190" i="13"/>
  <c r="AQ190" i="13"/>
  <c r="AN190" i="13"/>
  <c r="AM190" i="13"/>
  <c r="AL190" i="13"/>
  <c r="CS189" i="13"/>
  <c r="CQ189" i="13"/>
  <c r="CK189" i="13"/>
  <c r="CJ189" i="13"/>
  <c r="CF189" i="13"/>
  <c r="CE189" i="13"/>
  <c r="CB189" i="13"/>
  <c r="CA189" i="13"/>
  <c r="BZ189" i="13"/>
  <c r="BW189" i="13"/>
  <c r="BV189" i="13"/>
  <c r="BU189" i="13"/>
  <c r="BR189" i="13"/>
  <c r="BQ189" i="13"/>
  <c r="BP189" i="13"/>
  <c r="BM189" i="13"/>
  <c r="BL189" i="13"/>
  <c r="BK189" i="13"/>
  <c r="BH189" i="13"/>
  <c r="BG189" i="13"/>
  <c r="BF189" i="13"/>
  <c r="BC189" i="13"/>
  <c r="BB189" i="13"/>
  <c r="BA189" i="13"/>
  <c r="AX189" i="13"/>
  <c r="AW189" i="13"/>
  <c r="AV189" i="13"/>
  <c r="AS189" i="13"/>
  <c r="AR189" i="13"/>
  <c r="AQ189" i="13"/>
  <c r="AN189" i="13"/>
  <c r="AM189" i="13"/>
  <c r="AL189" i="13"/>
  <c r="CS188" i="13"/>
  <c r="CQ188" i="13"/>
  <c r="CL188" i="13"/>
  <c r="CK188" i="13"/>
  <c r="CJ188" i="13"/>
  <c r="CF188" i="13"/>
  <c r="CE188" i="13"/>
  <c r="CB188" i="13"/>
  <c r="CA188" i="13"/>
  <c r="BZ188" i="13"/>
  <c r="BW188" i="13"/>
  <c r="BV188" i="13"/>
  <c r="BU188" i="13"/>
  <c r="BR188" i="13"/>
  <c r="BQ188" i="13"/>
  <c r="BP188" i="13"/>
  <c r="BM188" i="13"/>
  <c r="BL188" i="13"/>
  <c r="BK188" i="13"/>
  <c r="BH188" i="13"/>
  <c r="BG188" i="13"/>
  <c r="BF188" i="13"/>
  <c r="BC188" i="13"/>
  <c r="BB188" i="13"/>
  <c r="BA188" i="13"/>
  <c r="AX188" i="13"/>
  <c r="AW188" i="13"/>
  <c r="AV188" i="13"/>
  <c r="AS188" i="13"/>
  <c r="AR188" i="13"/>
  <c r="AQ188" i="13"/>
  <c r="AN188" i="13"/>
  <c r="AM188" i="13"/>
  <c r="AL188" i="13"/>
  <c r="CS187" i="13"/>
  <c r="CQ187" i="13"/>
  <c r="CK187" i="13"/>
  <c r="CJ187" i="13"/>
  <c r="CF187" i="13"/>
  <c r="CE187" i="13"/>
  <c r="CB187" i="13"/>
  <c r="CA187" i="13"/>
  <c r="BZ187" i="13"/>
  <c r="BW187" i="13"/>
  <c r="BV187" i="13"/>
  <c r="BU187" i="13"/>
  <c r="BR187" i="13"/>
  <c r="BQ187" i="13"/>
  <c r="BP187" i="13"/>
  <c r="BM187" i="13"/>
  <c r="BL187" i="13"/>
  <c r="BK187" i="13"/>
  <c r="BH187" i="13"/>
  <c r="BG187" i="13"/>
  <c r="BF187" i="13"/>
  <c r="BC187" i="13"/>
  <c r="BB187" i="13"/>
  <c r="BA187" i="13"/>
  <c r="AX187" i="13"/>
  <c r="AW187" i="13"/>
  <c r="AV187" i="13"/>
  <c r="AS187" i="13"/>
  <c r="AR187" i="13"/>
  <c r="AQ187" i="13"/>
  <c r="AN187" i="13"/>
  <c r="AM187" i="13"/>
  <c r="AL187" i="13"/>
  <c r="CS186" i="13"/>
  <c r="CQ186" i="13"/>
  <c r="CK186" i="13"/>
  <c r="CJ186" i="13"/>
  <c r="CF186" i="13"/>
  <c r="CE186" i="13"/>
  <c r="CB186" i="13"/>
  <c r="CA186" i="13"/>
  <c r="BZ186" i="13"/>
  <c r="BW186" i="13"/>
  <c r="BV186" i="13"/>
  <c r="BU186" i="13"/>
  <c r="BR186" i="13"/>
  <c r="BQ186" i="13"/>
  <c r="BP186" i="13"/>
  <c r="BM186" i="13"/>
  <c r="BL186" i="13"/>
  <c r="BK186" i="13"/>
  <c r="BH186" i="13"/>
  <c r="BG186" i="13"/>
  <c r="BF186" i="13"/>
  <c r="BC186" i="13"/>
  <c r="BB186" i="13"/>
  <c r="BA186" i="13"/>
  <c r="AX186" i="13"/>
  <c r="AW186" i="13"/>
  <c r="AV186" i="13"/>
  <c r="AS186" i="13"/>
  <c r="AR186" i="13"/>
  <c r="AQ186" i="13"/>
  <c r="AN186" i="13"/>
  <c r="AM186" i="13"/>
  <c r="AL186" i="13"/>
  <c r="BS231" i="13" l="1"/>
  <c r="BT231" i="13" s="1"/>
  <c r="BI339" i="13"/>
  <c r="BJ339" i="13" s="1"/>
  <c r="CC190" i="13"/>
  <c r="CD190" i="13" s="1"/>
  <c r="BS191" i="13"/>
  <c r="BT191" i="13" s="1"/>
  <c r="AY218" i="13"/>
  <c r="AZ218" i="13" s="1"/>
  <c r="BD340" i="13"/>
  <c r="BE340" i="13" s="1"/>
  <c r="BX340" i="13"/>
  <c r="BY340" i="13" s="1"/>
  <c r="AY343" i="13"/>
  <c r="AZ343" i="13" s="1"/>
  <c r="BI343" i="13"/>
  <c r="BJ343" i="13" s="1"/>
  <c r="BS343" i="13"/>
  <c r="BT343" i="13" s="1"/>
  <c r="AY191" i="13"/>
  <c r="AZ191" i="13" s="1"/>
  <c r="BS218" i="13"/>
  <c r="BT218" i="13" s="1"/>
  <c r="BI231" i="13"/>
  <c r="BJ231" i="13" s="1"/>
  <c r="AY287" i="13"/>
  <c r="AZ287" i="13" s="1"/>
  <c r="CC231" i="13"/>
  <c r="CD231" i="13" s="1"/>
  <c r="AY238" i="13"/>
  <c r="AZ238" i="13" s="1"/>
  <c r="CT342" i="13"/>
  <c r="CU342" i="13" s="1"/>
  <c r="BN287" i="13"/>
  <c r="BO287" i="13" s="1"/>
  <c r="CC343" i="13"/>
  <c r="CD343" i="13" s="1"/>
  <c r="BD188" i="13"/>
  <c r="BE188" i="13" s="1"/>
  <c r="BI188" i="13"/>
  <c r="BJ188" i="13" s="1"/>
  <c r="BN189" i="13"/>
  <c r="BO189" i="13" s="1"/>
  <c r="BD190" i="13"/>
  <c r="BE190" i="13" s="1"/>
  <c r="AO238" i="13"/>
  <c r="AP238" i="13" s="1"/>
  <c r="CC238" i="13"/>
  <c r="CD238" i="13" s="1"/>
  <c r="AO274" i="13"/>
  <c r="AP274" i="13" s="1"/>
  <c r="AY274" i="13"/>
  <c r="AZ274" i="13" s="1"/>
  <c r="BS274" i="13"/>
  <c r="BT274" i="13" s="1"/>
  <c r="BI331" i="13"/>
  <c r="BJ331" i="13" s="1"/>
  <c r="BD187" i="13"/>
  <c r="BE187" i="13" s="1"/>
  <c r="CM343" i="13"/>
  <c r="CN343" i="13" s="1"/>
  <c r="AY201" i="13"/>
  <c r="AZ201" i="13" s="1"/>
  <c r="AY249" i="13"/>
  <c r="AZ249" i="13" s="1"/>
  <c r="BS249" i="13"/>
  <c r="BT249" i="13" s="1"/>
  <c r="AO201" i="13"/>
  <c r="AP201" i="13" s="1"/>
  <c r="CC249" i="13"/>
  <c r="CD249" i="13" s="1"/>
  <c r="BX339" i="13"/>
  <c r="BY339" i="13" s="1"/>
  <c r="BD341" i="13"/>
  <c r="BE341" i="13" s="1"/>
  <c r="BX341" i="13"/>
  <c r="BY341" i="13" s="1"/>
  <c r="AT342" i="13"/>
  <c r="AU342" i="13" s="1"/>
  <c r="BN342" i="13"/>
  <c r="BO342" i="13" s="1"/>
  <c r="AO186" i="13"/>
  <c r="AP186" i="13" s="1"/>
  <c r="AT186" i="13"/>
  <c r="AU186" i="13" s="1"/>
  <c r="BI186" i="13"/>
  <c r="BJ186" i="13" s="1"/>
  <c r="CC186" i="13"/>
  <c r="CD186" i="13" s="1"/>
  <c r="BS187" i="13"/>
  <c r="BT187" i="13" s="1"/>
  <c r="AO188" i="13"/>
  <c r="AP188" i="13" s="1"/>
  <c r="BN188" i="13"/>
  <c r="BO188" i="13" s="1"/>
  <c r="CC188" i="13"/>
  <c r="CD188" i="13" s="1"/>
  <c r="AY189" i="13"/>
  <c r="AZ189" i="13" s="1"/>
  <c r="BS189" i="13"/>
  <c r="BT189" i="13" s="1"/>
  <c r="AO190" i="13"/>
  <c r="AP190" i="13" s="1"/>
  <c r="BI190" i="13"/>
  <c r="BJ190" i="13" s="1"/>
  <c r="BX191" i="13"/>
  <c r="BY191" i="13" s="1"/>
  <c r="BN201" i="13"/>
  <c r="BO201" i="13" s="1"/>
  <c r="BD218" i="13"/>
  <c r="BE218" i="13" s="1"/>
  <c r="BX218" i="13"/>
  <c r="BY218" i="13" s="1"/>
  <c r="BD238" i="13"/>
  <c r="BE238" i="13" s="1"/>
  <c r="BD274" i="13"/>
  <c r="BE274" i="13" s="1"/>
  <c r="BX274" i="13"/>
  <c r="BY274" i="13" s="1"/>
  <c r="AT295" i="13"/>
  <c r="AU295" i="13" s="1"/>
  <c r="BN295" i="13"/>
  <c r="BO295" i="13" s="1"/>
  <c r="CC331" i="13"/>
  <c r="CD331" i="13" s="1"/>
  <c r="AY338" i="13"/>
  <c r="AZ338" i="13" s="1"/>
  <c r="CM338" i="13"/>
  <c r="AO339" i="13"/>
  <c r="AP339" i="13" s="1"/>
  <c r="CC339" i="13"/>
  <c r="CD339" i="13" s="1"/>
  <c r="AY340" i="13"/>
  <c r="AZ340" i="13" s="1"/>
  <c r="AO341" i="13"/>
  <c r="AP341" i="13" s="1"/>
  <c r="BN190" i="13"/>
  <c r="BO190" i="13" s="1"/>
  <c r="AO191" i="13"/>
  <c r="AP191" i="13" s="1"/>
  <c r="AY231" i="13"/>
  <c r="AZ231" i="13" s="1"/>
  <c r="AO331" i="13"/>
  <c r="AP331" i="13" s="1"/>
  <c r="CT343" i="13"/>
  <c r="CU343" i="13" s="1"/>
  <c r="CC187" i="13"/>
  <c r="CD187" i="13" s="1"/>
  <c r="AO189" i="13"/>
  <c r="AP189" i="13" s="1"/>
  <c r="AT191" i="13"/>
  <c r="AU191" i="13" s="1"/>
  <c r="BN191" i="13"/>
  <c r="BO191" i="13" s="1"/>
  <c r="BX238" i="13"/>
  <c r="BY238" i="13" s="1"/>
  <c r="BD249" i="13"/>
  <c r="BE249" i="13" s="1"/>
  <c r="BI287" i="13"/>
  <c r="BJ287" i="13" s="1"/>
  <c r="AT331" i="13"/>
  <c r="AU331" i="13" s="1"/>
  <c r="BS331" i="13"/>
  <c r="BT331" i="13" s="1"/>
  <c r="BI338" i="13"/>
  <c r="BJ338" i="13" s="1"/>
  <c r="AY339" i="13"/>
  <c r="AZ339" i="13" s="1"/>
  <c r="BS340" i="13"/>
  <c r="BT340" i="13" s="1"/>
  <c r="CM340" i="13"/>
  <c r="Z340" i="13" s="1"/>
  <c r="BX187" i="13"/>
  <c r="BY187" i="13" s="1"/>
  <c r="BX189" i="13"/>
  <c r="BY189" i="13" s="1"/>
  <c r="AO218" i="13"/>
  <c r="AP218" i="13" s="1"/>
  <c r="BS338" i="13"/>
  <c r="BT338" i="13" s="1"/>
  <c r="BS287" i="13"/>
  <c r="BT287" i="13" s="1"/>
  <c r="AO187" i="13"/>
  <c r="AP187" i="13" s="1"/>
  <c r="BI187" i="13"/>
  <c r="BJ187" i="13" s="1"/>
  <c r="AT188" i="13"/>
  <c r="AU188" i="13" s="1"/>
  <c r="CM188" i="13"/>
  <c r="AT189" i="13"/>
  <c r="AU189" i="13" s="1"/>
  <c r="AT201" i="13"/>
  <c r="AU201" i="13" s="1"/>
  <c r="AY186" i="13"/>
  <c r="AZ186" i="13" s="1"/>
  <c r="BS186" i="13"/>
  <c r="BT186" i="13" s="1"/>
  <c r="AT187" i="13"/>
  <c r="AU187" i="13" s="1"/>
  <c r="BN187" i="13"/>
  <c r="BO187" i="13" s="1"/>
  <c r="BS188" i="13"/>
  <c r="BT188" i="13" s="1"/>
  <c r="BD189" i="13"/>
  <c r="BE189" i="13" s="1"/>
  <c r="CC189" i="13"/>
  <c r="CD189" i="13" s="1"/>
  <c r="AT190" i="13"/>
  <c r="AU190" i="13" s="1"/>
  <c r="BS190" i="13"/>
  <c r="BT190" i="13" s="1"/>
  <c r="BD191" i="13"/>
  <c r="BE191" i="13" s="1"/>
  <c r="CC191" i="13"/>
  <c r="CD191" i="13" s="1"/>
  <c r="BD201" i="13"/>
  <c r="BE201" i="13" s="1"/>
  <c r="BX201" i="13"/>
  <c r="BY201" i="13" s="1"/>
  <c r="BD186" i="13"/>
  <c r="BE186" i="13" s="1"/>
  <c r="BX186" i="13"/>
  <c r="BY186" i="13" s="1"/>
  <c r="AY187" i="13"/>
  <c r="AZ187" i="13" s="1"/>
  <c r="AY188" i="13"/>
  <c r="AZ188" i="13" s="1"/>
  <c r="BX188" i="13"/>
  <c r="BY188" i="13" s="1"/>
  <c r="BI189" i="13"/>
  <c r="BJ189" i="13" s="1"/>
  <c r="AY190" i="13"/>
  <c r="AZ190" i="13" s="1"/>
  <c r="BX190" i="13"/>
  <c r="BY190" i="13" s="1"/>
  <c r="BI191" i="13"/>
  <c r="BJ191" i="13" s="1"/>
  <c r="BI201" i="13"/>
  <c r="BJ201" i="13" s="1"/>
  <c r="BS201" i="13"/>
  <c r="BT201" i="13" s="1"/>
  <c r="CC201" i="13"/>
  <c r="CD201" i="13" s="1"/>
  <c r="AT218" i="13"/>
  <c r="AU218" i="13" s="1"/>
  <c r="BN218" i="13"/>
  <c r="BO218" i="13" s="1"/>
  <c r="BI249" i="13"/>
  <c r="BJ249" i="13" s="1"/>
  <c r="BI218" i="13"/>
  <c r="BJ218" i="13" s="1"/>
  <c r="CC218" i="13"/>
  <c r="CD218" i="13" s="1"/>
  <c r="AO231" i="13"/>
  <c r="AP231" i="13" s="1"/>
  <c r="BN231" i="13"/>
  <c r="BO231" i="13" s="1"/>
  <c r="AO249" i="13"/>
  <c r="AP249" i="13" s="1"/>
  <c r="BN249" i="13"/>
  <c r="BO249" i="13" s="1"/>
  <c r="AT231" i="13"/>
  <c r="AU231" i="13" s="1"/>
  <c r="BI238" i="13"/>
  <c r="BJ238" i="13" s="1"/>
  <c r="BS238" i="13"/>
  <c r="BT238" i="13" s="1"/>
  <c r="AT249" i="13"/>
  <c r="AU249" i="13" s="1"/>
  <c r="BX249" i="13"/>
  <c r="BY249" i="13" s="1"/>
  <c r="AT274" i="13"/>
  <c r="AU274" i="13" s="1"/>
  <c r="BN274" i="13"/>
  <c r="BO274" i="13" s="1"/>
  <c r="AT287" i="13"/>
  <c r="AU287" i="13" s="1"/>
  <c r="CC287" i="13"/>
  <c r="CD287" i="13" s="1"/>
  <c r="AO295" i="13"/>
  <c r="AP295" i="13" s="1"/>
  <c r="AY295" i="13"/>
  <c r="AZ295" i="13" s="1"/>
  <c r="BI295" i="13"/>
  <c r="BJ295" i="13" s="1"/>
  <c r="BS295" i="13"/>
  <c r="BT295" i="13" s="1"/>
  <c r="CC295" i="13"/>
  <c r="CD295" i="13" s="1"/>
  <c r="Z338" i="13"/>
  <c r="CN338" i="13" s="1"/>
  <c r="BI274" i="13"/>
  <c r="BJ274" i="13" s="1"/>
  <c r="CC274" i="13"/>
  <c r="CD274" i="13" s="1"/>
  <c r="AO287" i="13"/>
  <c r="AP287" i="13" s="1"/>
  <c r="BD295" i="13"/>
  <c r="BE295" i="13" s="1"/>
  <c r="BX295" i="13"/>
  <c r="BY295" i="13" s="1"/>
  <c r="BN331" i="13"/>
  <c r="BO331" i="13" s="1"/>
  <c r="CM331" i="13"/>
  <c r="BD338" i="13"/>
  <c r="BE338" i="13" s="1"/>
  <c r="CC338" i="13"/>
  <c r="CD338" i="13" s="1"/>
  <c r="BS339" i="13"/>
  <c r="BT339" i="13" s="1"/>
  <c r="AT340" i="13"/>
  <c r="AU340" i="13" s="1"/>
  <c r="CP340" i="13"/>
  <c r="AY341" i="13"/>
  <c r="AZ341" i="13" s="1"/>
  <c r="BI341" i="13"/>
  <c r="BJ341" i="13" s="1"/>
  <c r="BS341" i="13"/>
  <c r="BT341" i="13" s="1"/>
  <c r="CC341" i="13"/>
  <c r="CD341" i="13" s="1"/>
  <c r="CM341" i="13"/>
  <c r="CT341" i="13"/>
  <c r="CU341" i="13" s="1"/>
  <c r="AO342" i="13"/>
  <c r="AP342" i="13" s="1"/>
  <c r="AY342" i="13"/>
  <c r="AZ342" i="13" s="1"/>
  <c r="BI342" i="13"/>
  <c r="BJ342" i="13" s="1"/>
  <c r="BS342" i="13"/>
  <c r="BT342" i="13" s="1"/>
  <c r="CC342" i="13"/>
  <c r="CD342" i="13" s="1"/>
  <c r="CM342" i="13"/>
  <c r="CP331" i="13"/>
  <c r="AT343" i="13"/>
  <c r="AU343" i="13" s="1"/>
  <c r="BN343" i="13"/>
  <c r="BO343" i="13" s="1"/>
  <c r="AA339" i="13"/>
  <c r="CP339" i="13" s="1"/>
  <c r="AY331" i="13"/>
  <c r="AZ331" i="13" s="1"/>
  <c r="BX331" i="13"/>
  <c r="BY331" i="13" s="1"/>
  <c r="AO338" i="13"/>
  <c r="AP338" i="13" s="1"/>
  <c r="BN338" i="13"/>
  <c r="BO338" i="13" s="1"/>
  <c r="BD339" i="13"/>
  <c r="BE339" i="13" s="1"/>
  <c r="BN339" i="13"/>
  <c r="BO339" i="13" s="1"/>
  <c r="BI340" i="13"/>
  <c r="BJ340" i="13" s="1"/>
  <c r="CC340" i="13"/>
  <c r="CD340" i="13" s="1"/>
  <c r="CN340" i="13"/>
  <c r="BD331" i="13"/>
  <c r="BE331" i="13" s="1"/>
  <c r="AT338" i="13"/>
  <c r="AU338" i="13" s="1"/>
  <c r="BX338" i="13"/>
  <c r="BY338" i="13" s="1"/>
  <c r="AT339" i="13"/>
  <c r="AU339" i="13" s="1"/>
  <c r="CM339" i="13"/>
  <c r="AO340" i="13"/>
  <c r="AP340" i="13" s="1"/>
  <c r="BN340" i="13"/>
  <c r="BO340" i="13" s="1"/>
  <c r="CT340" i="13"/>
  <c r="CU340" i="13" s="1"/>
  <c r="AT341" i="13"/>
  <c r="AU341" i="13" s="1"/>
  <c r="BN341" i="13"/>
  <c r="BO341" i="13" s="1"/>
  <c r="BD342" i="13"/>
  <c r="BE342" i="13" s="1"/>
  <c r="BX342" i="13"/>
  <c r="BY342" i="13" s="1"/>
  <c r="BD343" i="13"/>
  <c r="BE343" i="13" s="1"/>
  <c r="BX343" i="13"/>
  <c r="BY343" i="13" s="1"/>
  <c r="AA341" i="13"/>
  <c r="CP341" i="13" s="1"/>
  <c r="BN186" i="13"/>
  <c r="BO186" i="13" s="1"/>
  <c r="AT238" i="13"/>
  <c r="AU238" i="13" s="1"/>
  <c r="BN238" i="13"/>
  <c r="BO238" i="13" s="1"/>
  <c r="BD231" i="13"/>
  <c r="BE231" i="13" s="1"/>
  <c r="BX231" i="13"/>
  <c r="BY231" i="13" s="1"/>
  <c r="BD287" i="13"/>
  <c r="BE287" i="13" s="1"/>
  <c r="BX287" i="13"/>
  <c r="BY287" i="13" s="1"/>
  <c r="Z188" i="13" l="1"/>
  <c r="CN188" i="13" s="1"/>
  <c r="Z339" i="13"/>
  <c r="CN339" i="13" s="1"/>
  <c r="Z342" i="13"/>
  <c r="CN342" i="13" s="1"/>
  <c r="Z341" i="13"/>
  <c r="CN341" i="13" s="1"/>
  <c r="Z331" i="13"/>
  <c r="CN331" i="13" s="1"/>
  <c r="CL324" i="13"/>
  <c r="CL323" i="13"/>
  <c r="CL322" i="13"/>
  <c r="CL321" i="13"/>
  <c r="CL320" i="13"/>
  <c r="CL319" i="13"/>
  <c r="CL318" i="13"/>
  <c r="CL317" i="13"/>
  <c r="CL316" i="13"/>
  <c r="CL315" i="13"/>
  <c r="CL314" i="13"/>
  <c r="CL313" i="13"/>
  <c r="CL312" i="13"/>
  <c r="CL311" i="13"/>
  <c r="CL310" i="13"/>
  <c r="CL309" i="13"/>
  <c r="CL308" i="13"/>
  <c r="CL307" i="13"/>
  <c r="CL306" i="13"/>
  <c r="CL305" i="13"/>
  <c r="CL304" i="13"/>
  <c r="CL303" i="13"/>
  <c r="CL302" i="13"/>
  <c r="CL301" i="13"/>
  <c r="CL300" i="13"/>
  <c r="CL299" i="13"/>
  <c r="CL298" i="13"/>
  <c r="CL297" i="13"/>
  <c r="CL296" i="13"/>
  <c r="CV295" i="13"/>
  <c r="AC295" i="13" s="1"/>
  <c r="CW295" i="13" s="1"/>
  <c r="CO295" i="13"/>
  <c r="CL295" i="13"/>
  <c r="CM295" i="13" s="1"/>
  <c r="Z295" i="13" s="1"/>
  <c r="CN295" i="13" s="1"/>
  <c r="CL294" i="13"/>
  <c r="CL293" i="13"/>
  <c r="CL292" i="13"/>
  <c r="CL291" i="13"/>
  <c r="CL290" i="13"/>
  <c r="CL288" i="13"/>
  <c r="CV287" i="13"/>
  <c r="AC287" i="13" s="1"/>
  <c r="CW287" i="13" s="1"/>
  <c r="CO287" i="13"/>
  <c r="CL287" i="13"/>
  <c r="CM287" i="13" s="1"/>
  <c r="Z287" i="13" s="1"/>
  <c r="CN287" i="13" s="1"/>
  <c r="CL286" i="13"/>
  <c r="CL285" i="13"/>
  <c r="CL284" i="13"/>
  <c r="CL283" i="13"/>
  <c r="CL282" i="13"/>
  <c r="CL280" i="13"/>
  <c r="CL279" i="13"/>
  <c r="CL278" i="13"/>
  <c r="CL277" i="13"/>
  <c r="CL276" i="13"/>
  <c r="CV274" i="13"/>
  <c r="AC274" i="13" s="1"/>
  <c r="CW274" i="13" s="1"/>
  <c r="CO274" i="13"/>
  <c r="AA274" i="13" s="1"/>
  <c r="CP274" i="13" s="1"/>
  <c r="CL274" i="13"/>
  <c r="CM274" i="13" s="1"/>
  <c r="Z274" i="13" s="1"/>
  <c r="CN274" i="13" s="1"/>
  <c r="CL273" i="13"/>
  <c r="CL272" i="13"/>
  <c r="CL271" i="13"/>
  <c r="CL270" i="13"/>
  <c r="CL269" i="13"/>
  <c r="CL267" i="13"/>
  <c r="CL266" i="13"/>
  <c r="CL265" i="13"/>
  <c r="CL264" i="13"/>
  <c r="CL263" i="13"/>
  <c r="CL262" i="13"/>
  <c r="CL261" i="13"/>
  <c r="CL260" i="13"/>
  <c r="CL259" i="13"/>
  <c r="CL258" i="13"/>
  <c r="CL257" i="13"/>
  <c r="CL256" i="13"/>
  <c r="CL255" i="13"/>
  <c r="CL254" i="13"/>
  <c r="CL253" i="13"/>
  <c r="CL252" i="13"/>
  <c r="CL251" i="13"/>
  <c r="CL250" i="13"/>
  <c r="CV249" i="13"/>
  <c r="AC249" i="13" s="1"/>
  <c r="CW249" i="13" s="1"/>
  <c r="CO249" i="13"/>
  <c r="AA249" i="13" s="1"/>
  <c r="CP249" i="13" s="1"/>
  <c r="CL249" i="13"/>
  <c r="CM249" i="13" s="1"/>
  <c r="Z249" i="13" s="1"/>
  <c r="CN249" i="13" s="1"/>
  <c r="CL248" i="13"/>
  <c r="CL247" i="13"/>
  <c r="CL246" i="13"/>
  <c r="CL245" i="13"/>
  <c r="CL244" i="13"/>
  <c r="CL242" i="13"/>
  <c r="CL241" i="13"/>
  <c r="CL240" i="13"/>
  <c r="CL239" i="13"/>
  <c r="CV238" i="13"/>
  <c r="AC238" i="13" s="1"/>
  <c r="CW238" i="13" s="1"/>
  <c r="CO238" i="13"/>
  <c r="CP238" i="13" s="1"/>
  <c r="CL238" i="13"/>
  <c r="CM238" i="13" s="1"/>
  <c r="CL237" i="13"/>
  <c r="CL236" i="13"/>
  <c r="CL235" i="13"/>
  <c r="CL234" i="13"/>
  <c r="CL233" i="13"/>
  <c r="CV231" i="13"/>
  <c r="AC231" i="13" s="1"/>
  <c r="CW231" i="13" s="1"/>
  <c r="CO231" i="13"/>
  <c r="CL231" i="13"/>
  <c r="CM231" i="13" s="1"/>
  <c r="Z231" i="13" s="1"/>
  <c r="CN231" i="13" s="1"/>
  <c r="CL230" i="13"/>
  <c r="CL229" i="13"/>
  <c r="CL228" i="13"/>
  <c r="CL227" i="13"/>
  <c r="CL226" i="13"/>
  <c r="CL224" i="13"/>
  <c r="CL223" i="13"/>
  <c r="CL222" i="13"/>
  <c r="CL221" i="13"/>
  <c r="CL220" i="13"/>
  <c r="CL219" i="13"/>
  <c r="CV218" i="13"/>
  <c r="AC218" i="13" s="1"/>
  <c r="CW218" i="13" s="1"/>
  <c r="CO218" i="13"/>
  <c r="AA218" i="13" s="1"/>
  <c r="CP218" i="13" s="1"/>
  <c r="CL218" i="13"/>
  <c r="CM218" i="13" s="1"/>
  <c r="Z218" i="13" s="1"/>
  <c r="CN218" i="13" s="1"/>
  <c r="CL217" i="13"/>
  <c r="CL216" i="13"/>
  <c r="CL215" i="13"/>
  <c r="CL214" i="13"/>
  <c r="CL213" i="13"/>
  <c r="CL211" i="13"/>
  <c r="CL210" i="13"/>
  <c r="CL209" i="13"/>
  <c r="CL208" i="13"/>
  <c r="CL207" i="13"/>
  <c r="CL206" i="13"/>
  <c r="CL205" i="13"/>
  <c r="CL204" i="13"/>
  <c r="CL203" i="13"/>
  <c r="CL202" i="13"/>
  <c r="CV201" i="13"/>
  <c r="AC201" i="13" s="1"/>
  <c r="CW201" i="13" s="1"/>
  <c r="CO201" i="13"/>
  <c r="AA201" i="13" s="1"/>
  <c r="CP201" i="13" s="1"/>
  <c r="CL201" i="13"/>
  <c r="CM201" i="13" s="1"/>
  <c r="Z201" i="13" s="1"/>
  <c r="CN201" i="13" s="1"/>
  <c r="CL200" i="13"/>
  <c r="CL199" i="13"/>
  <c r="CL198" i="13"/>
  <c r="CL197" i="13"/>
  <c r="CL196" i="13"/>
  <c r="CL194" i="13"/>
  <c r="CL193" i="13"/>
  <c r="CL192" i="13"/>
  <c r="CV191" i="13"/>
  <c r="AC191" i="13" s="1"/>
  <c r="CW191" i="13" s="1"/>
  <c r="CO191" i="13"/>
  <c r="CL191" i="13"/>
  <c r="CM191" i="13" s="1"/>
  <c r="Z191" i="13" s="1"/>
  <c r="CN191" i="13" s="1"/>
  <c r="CV190" i="13"/>
  <c r="CO190" i="13"/>
  <c r="AA190" i="13" s="1"/>
  <c r="CP190" i="13" s="1"/>
  <c r="CL190" i="13"/>
  <c r="CM190" i="13" s="1"/>
  <c r="Z190" i="13" s="1"/>
  <c r="CN190" i="13" s="1"/>
  <c r="CV189" i="13"/>
  <c r="AC189" i="13" s="1"/>
  <c r="CW189" i="13" s="1"/>
  <c r="CO189" i="13"/>
  <c r="CL189" i="13"/>
  <c r="CM189" i="13" s="1"/>
  <c r="Z189" i="13" s="1"/>
  <c r="CN189" i="13" s="1"/>
  <c r="CV188" i="13"/>
  <c r="CO188" i="13"/>
  <c r="AA188" i="13" s="1"/>
  <c r="CP188" i="13" s="1"/>
  <c r="CV187" i="13"/>
  <c r="AC187" i="13" s="1"/>
  <c r="CO187" i="13"/>
  <c r="AA187" i="13" s="1"/>
  <c r="CL187" i="13"/>
  <c r="CM187" i="13" s="1"/>
  <c r="Z187" i="13" s="1"/>
  <c r="CV186" i="13"/>
  <c r="AC186" i="13" s="1"/>
  <c r="CW186" i="13" s="1"/>
  <c r="CO186" i="13"/>
  <c r="AA186" i="13" s="1"/>
  <c r="CP186" i="13" s="1"/>
  <c r="CL186" i="13"/>
  <c r="CM186" i="13" s="1"/>
  <c r="Z186" i="13" s="1"/>
  <c r="CN186" i="13" s="1"/>
  <c r="CX181" i="13"/>
  <c r="CY181" i="13" s="1"/>
  <c r="CV181" i="13"/>
  <c r="CW181" i="13" s="1"/>
  <c r="CS181" i="13"/>
  <c r="CR181" i="13"/>
  <c r="CQ181" i="13"/>
  <c r="CO181" i="13"/>
  <c r="CP181" i="13" s="1"/>
  <c r="CL181" i="13"/>
  <c r="CK181" i="13"/>
  <c r="CJ181" i="13"/>
  <c r="CG181" i="13"/>
  <c r="CF181" i="13"/>
  <c r="CE181" i="13"/>
  <c r="CB181" i="13"/>
  <c r="CA181" i="13"/>
  <c r="BZ181" i="13"/>
  <c r="BW181" i="13"/>
  <c r="BV181" i="13"/>
  <c r="BU181" i="13"/>
  <c r="BX181" i="13" s="1"/>
  <c r="BY181" i="13" s="1"/>
  <c r="BR181" i="13"/>
  <c r="BQ181" i="13"/>
  <c r="BP181" i="13"/>
  <c r="BM181" i="13"/>
  <c r="BL181" i="13"/>
  <c r="BK181" i="13"/>
  <c r="BH181" i="13"/>
  <c r="BG181" i="13"/>
  <c r="BF181" i="13"/>
  <c r="BC181" i="13"/>
  <c r="BB181" i="13"/>
  <c r="BA181" i="13"/>
  <c r="AX181" i="13"/>
  <c r="AW181" i="13"/>
  <c r="AV181" i="13"/>
  <c r="AS181" i="13"/>
  <c r="AR181" i="13"/>
  <c r="AQ181" i="13"/>
  <c r="AN181" i="13"/>
  <c r="AM181" i="13"/>
  <c r="AL181" i="13"/>
  <c r="CX180" i="13"/>
  <c r="CY180" i="13" s="1"/>
  <c r="CV180" i="13"/>
  <c r="CW180" i="13" s="1"/>
  <c r="CS180" i="13"/>
  <c r="CR180" i="13"/>
  <c r="CQ180" i="13"/>
  <c r="CO180" i="13"/>
  <c r="CP180" i="13" s="1"/>
  <c r="CL180" i="13"/>
  <c r="CK180" i="13"/>
  <c r="CJ180" i="13"/>
  <c r="CG180" i="13"/>
  <c r="CF180" i="13"/>
  <c r="CE180" i="13"/>
  <c r="CB180" i="13"/>
  <c r="CA180" i="13"/>
  <c r="BZ180" i="13"/>
  <c r="BW180" i="13"/>
  <c r="BV180" i="13"/>
  <c r="BU180" i="13"/>
  <c r="BR180" i="13"/>
  <c r="BQ180" i="13"/>
  <c r="BP180" i="13"/>
  <c r="BM180" i="13"/>
  <c r="BL180" i="13"/>
  <c r="BK180" i="13"/>
  <c r="BH180" i="13"/>
  <c r="BG180" i="13"/>
  <c r="BF180" i="13"/>
  <c r="BC180" i="13"/>
  <c r="BB180" i="13"/>
  <c r="BA180" i="13"/>
  <c r="AX180" i="13"/>
  <c r="AW180" i="13"/>
  <c r="AV180" i="13"/>
  <c r="AS180" i="13"/>
  <c r="AR180" i="13"/>
  <c r="AQ180" i="13"/>
  <c r="AN180" i="13"/>
  <c r="AM180" i="13"/>
  <c r="AL180" i="13"/>
  <c r="CX179" i="13"/>
  <c r="CY179" i="13" s="1"/>
  <c r="CV179" i="13"/>
  <c r="CW179" i="13" s="1"/>
  <c r="CS179" i="13"/>
  <c r="CR179" i="13"/>
  <c r="CQ179" i="13"/>
  <c r="CO179" i="13"/>
  <c r="CP179" i="13" s="1"/>
  <c r="CL179" i="13"/>
  <c r="CK179" i="13"/>
  <c r="CJ179" i="13"/>
  <c r="CG179" i="13"/>
  <c r="CF179" i="13"/>
  <c r="CE179" i="13"/>
  <c r="CB179" i="13"/>
  <c r="CA179" i="13"/>
  <c r="BZ179" i="13"/>
  <c r="BW179" i="13"/>
  <c r="BV179" i="13"/>
  <c r="BU179" i="13"/>
  <c r="BR179" i="13"/>
  <c r="BQ179" i="13"/>
  <c r="BP179" i="13"/>
  <c r="BM179" i="13"/>
  <c r="BL179" i="13"/>
  <c r="BK179" i="13"/>
  <c r="BH179" i="13"/>
  <c r="BG179" i="13"/>
  <c r="BF179" i="13"/>
  <c r="BC179" i="13"/>
  <c r="BB179" i="13"/>
  <c r="BA179" i="13"/>
  <c r="AX179" i="13"/>
  <c r="AW179" i="13"/>
  <c r="AV179" i="13"/>
  <c r="AS179" i="13"/>
  <c r="AR179" i="13"/>
  <c r="AQ179" i="13"/>
  <c r="AN179" i="13"/>
  <c r="AM179" i="13"/>
  <c r="AL179" i="13"/>
  <c r="CV178" i="13"/>
  <c r="CS178" i="13"/>
  <c r="CQ178" i="13"/>
  <c r="CO178" i="13"/>
  <c r="CL178" i="13"/>
  <c r="CK178" i="13"/>
  <c r="CJ178" i="13"/>
  <c r="CG178" i="13"/>
  <c r="CF178" i="13"/>
  <c r="CE178" i="13"/>
  <c r="CB178" i="13"/>
  <c r="CA178" i="13"/>
  <c r="BZ178" i="13"/>
  <c r="BW178" i="13"/>
  <c r="BV178" i="13"/>
  <c r="BU178" i="13"/>
  <c r="BR178" i="13"/>
  <c r="BQ178" i="13"/>
  <c r="BP178" i="13"/>
  <c r="BM178" i="13"/>
  <c r="BL178" i="13"/>
  <c r="BK178" i="13"/>
  <c r="BH178" i="13"/>
  <c r="BG178" i="13"/>
  <c r="BF178" i="13"/>
  <c r="BI178" i="13" s="1"/>
  <c r="BJ178" i="13" s="1"/>
  <c r="BC178" i="13"/>
  <c r="BB178" i="13"/>
  <c r="BA178" i="13"/>
  <c r="AX178" i="13"/>
  <c r="AW178" i="13"/>
  <c r="AV178" i="13"/>
  <c r="AS178" i="13"/>
  <c r="AR178" i="13"/>
  <c r="AQ178" i="13"/>
  <c r="AN178" i="13"/>
  <c r="AM178" i="13"/>
  <c r="AL178" i="13"/>
  <c r="CV177" i="13"/>
  <c r="CS177" i="13"/>
  <c r="CQ177" i="13"/>
  <c r="CO177" i="13"/>
  <c r="CL177" i="13"/>
  <c r="CK177" i="13"/>
  <c r="CJ177" i="13"/>
  <c r="CG177" i="13"/>
  <c r="CF177" i="13"/>
  <c r="CE177" i="13"/>
  <c r="CB177" i="13"/>
  <c r="CA177" i="13"/>
  <c r="BZ177" i="13"/>
  <c r="BW177" i="13"/>
  <c r="BV177" i="13"/>
  <c r="BU177" i="13"/>
  <c r="BR177" i="13"/>
  <c r="BQ177" i="13"/>
  <c r="BP177" i="13"/>
  <c r="BM177" i="13"/>
  <c r="BL177" i="13"/>
  <c r="BK177" i="13"/>
  <c r="BH177" i="13"/>
  <c r="BG177" i="13"/>
  <c r="BF177" i="13"/>
  <c r="BC177" i="13"/>
  <c r="BB177" i="13"/>
  <c r="BA177" i="13"/>
  <c r="AX177" i="13"/>
  <c r="AW177" i="13"/>
  <c r="AV177" i="13"/>
  <c r="AY177" i="13" s="1"/>
  <c r="AZ177" i="13" s="1"/>
  <c r="AS177" i="13"/>
  <c r="AR177" i="13"/>
  <c r="AQ177" i="13"/>
  <c r="AN177" i="13"/>
  <c r="AM177" i="13"/>
  <c r="AL177" i="13"/>
  <c r="CV176" i="13"/>
  <c r="CS176" i="13"/>
  <c r="CQ176" i="13"/>
  <c r="CO176" i="13"/>
  <c r="CL176" i="13"/>
  <c r="CK176" i="13"/>
  <c r="CJ176" i="13"/>
  <c r="CG176" i="13"/>
  <c r="CF176" i="13"/>
  <c r="CE176" i="13"/>
  <c r="CB176" i="13"/>
  <c r="CA176" i="13"/>
  <c r="BZ176" i="13"/>
  <c r="CC176" i="13" s="1"/>
  <c r="CD176" i="13" s="1"/>
  <c r="BW176" i="13"/>
  <c r="BV176" i="13"/>
  <c r="BU176" i="13"/>
  <c r="BR176" i="13"/>
  <c r="BQ176" i="13"/>
  <c r="BP176" i="13"/>
  <c r="BM176" i="13"/>
  <c r="BL176" i="13"/>
  <c r="BK176" i="13"/>
  <c r="BH176" i="13"/>
  <c r="BG176" i="13"/>
  <c r="BF176" i="13"/>
  <c r="BI176" i="13" s="1"/>
  <c r="BJ176" i="13" s="1"/>
  <c r="BC176" i="13"/>
  <c r="BB176" i="13"/>
  <c r="BA176" i="13"/>
  <c r="AX176" i="13"/>
  <c r="AW176" i="13"/>
  <c r="AV176" i="13"/>
  <c r="AS176" i="13"/>
  <c r="AR176" i="13"/>
  <c r="AQ176" i="13"/>
  <c r="AN176" i="13"/>
  <c r="AM176" i="13"/>
  <c r="AL176" i="13"/>
  <c r="CV175" i="13"/>
  <c r="CS175" i="13"/>
  <c r="CQ175" i="13"/>
  <c r="CO175" i="13"/>
  <c r="CL175" i="13"/>
  <c r="CK175" i="13"/>
  <c r="CJ175" i="13"/>
  <c r="CG175" i="13"/>
  <c r="CF175" i="13"/>
  <c r="CE175" i="13"/>
  <c r="CB175" i="13"/>
  <c r="CA175" i="13"/>
  <c r="BZ175" i="13"/>
  <c r="BW175" i="13"/>
  <c r="BV175" i="13"/>
  <c r="BU175" i="13"/>
  <c r="BR175" i="13"/>
  <c r="BQ175" i="13"/>
  <c r="BP175" i="13"/>
  <c r="BM175" i="13"/>
  <c r="BL175" i="13"/>
  <c r="BK175" i="13"/>
  <c r="BH175" i="13"/>
  <c r="BG175" i="13"/>
  <c r="BF175" i="13"/>
  <c r="BC175" i="13"/>
  <c r="BB175" i="13"/>
  <c r="BA175" i="13"/>
  <c r="AX175" i="13"/>
  <c r="AW175" i="13"/>
  <c r="AV175" i="13"/>
  <c r="AY175" i="13" s="1"/>
  <c r="AZ175" i="13" s="1"/>
  <c r="AS175" i="13"/>
  <c r="AR175" i="13"/>
  <c r="AQ175" i="13"/>
  <c r="AN175" i="13"/>
  <c r="AM175" i="13"/>
  <c r="AL175" i="13"/>
  <c r="CV174" i="13"/>
  <c r="CS174" i="13"/>
  <c r="CQ174" i="13"/>
  <c r="CO174" i="13"/>
  <c r="CL174" i="13"/>
  <c r="CK174" i="13"/>
  <c r="CJ174" i="13"/>
  <c r="CG174" i="13"/>
  <c r="CF174" i="13"/>
  <c r="CE174" i="13"/>
  <c r="CB174" i="13"/>
  <c r="CA174" i="13"/>
  <c r="BZ174" i="13"/>
  <c r="CC174" i="13" s="1"/>
  <c r="CD174" i="13" s="1"/>
  <c r="BW174" i="13"/>
  <c r="BV174" i="13"/>
  <c r="BU174" i="13"/>
  <c r="BR174" i="13"/>
  <c r="BQ174" i="13"/>
  <c r="BP174" i="13"/>
  <c r="BM174" i="13"/>
  <c r="BL174" i="13"/>
  <c r="BK174" i="13"/>
  <c r="BH174" i="13"/>
  <c r="BG174" i="13"/>
  <c r="BF174" i="13"/>
  <c r="BI174" i="13" s="1"/>
  <c r="BJ174" i="13" s="1"/>
  <c r="BC174" i="13"/>
  <c r="BB174" i="13"/>
  <c r="BA174" i="13"/>
  <c r="AX174" i="13"/>
  <c r="AW174" i="13"/>
  <c r="AV174" i="13"/>
  <c r="AS174" i="13"/>
  <c r="AR174" i="13"/>
  <c r="AQ174" i="13"/>
  <c r="AN174" i="13"/>
  <c r="AM174" i="13"/>
  <c r="AL174" i="13"/>
  <c r="CV173" i="13"/>
  <c r="CS173" i="13"/>
  <c r="CQ173" i="13"/>
  <c r="CO173" i="13"/>
  <c r="CL173" i="13"/>
  <c r="CK173" i="13"/>
  <c r="CJ173" i="13"/>
  <c r="CG173" i="13"/>
  <c r="CF173" i="13"/>
  <c r="CE173" i="13"/>
  <c r="CB173" i="13"/>
  <c r="CA173" i="13"/>
  <c r="BZ173" i="13"/>
  <c r="BW173" i="13"/>
  <c r="BV173" i="13"/>
  <c r="BU173" i="13"/>
  <c r="BR173" i="13"/>
  <c r="BQ173" i="13"/>
  <c r="BP173" i="13"/>
  <c r="BM173" i="13"/>
  <c r="BL173" i="13"/>
  <c r="BK173" i="13"/>
  <c r="BH173" i="13"/>
  <c r="BG173" i="13"/>
  <c r="BF173" i="13"/>
  <c r="BC173" i="13"/>
  <c r="BB173" i="13"/>
  <c r="BA173" i="13"/>
  <c r="AX173" i="13"/>
  <c r="AW173" i="13"/>
  <c r="AV173" i="13"/>
  <c r="AY173" i="13" s="1"/>
  <c r="AZ173" i="13" s="1"/>
  <c r="AS173" i="13"/>
  <c r="AR173" i="13"/>
  <c r="AQ173" i="13"/>
  <c r="AN173" i="13"/>
  <c r="AM173" i="13"/>
  <c r="AL173" i="13"/>
  <c r="CV172" i="13"/>
  <c r="CS172" i="13"/>
  <c r="CQ172" i="13"/>
  <c r="CO172" i="13"/>
  <c r="CL172" i="13"/>
  <c r="CK172" i="13"/>
  <c r="CJ172" i="13"/>
  <c r="CG172" i="13"/>
  <c r="CF172" i="13"/>
  <c r="CE172" i="13"/>
  <c r="CB172" i="13"/>
  <c r="CA172" i="13"/>
  <c r="BZ172" i="13"/>
  <c r="CC172" i="13" s="1"/>
  <c r="CD172" i="13" s="1"/>
  <c r="BW172" i="13"/>
  <c r="BV172" i="13"/>
  <c r="BU172" i="13"/>
  <c r="BR172" i="13"/>
  <c r="BQ172" i="13"/>
  <c r="BP172" i="13"/>
  <c r="BM172" i="13"/>
  <c r="BL172" i="13"/>
  <c r="BK172" i="13"/>
  <c r="BH172" i="13"/>
  <c r="BG172" i="13"/>
  <c r="BF172" i="13"/>
  <c r="BI172" i="13" s="1"/>
  <c r="BJ172" i="13" s="1"/>
  <c r="BC172" i="13"/>
  <c r="BB172" i="13"/>
  <c r="BA172" i="13"/>
  <c r="AX172" i="13"/>
  <c r="AW172" i="13"/>
  <c r="AV172" i="13"/>
  <c r="AS172" i="13"/>
  <c r="AR172" i="13"/>
  <c r="AQ172" i="13"/>
  <c r="AN172" i="13"/>
  <c r="AM172" i="13"/>
  <c r="AL172" i="13"/>
  <c r="CV171" i="13"/>
  <c r="CS171" i="13"/>
  <c r="CQ171" i="13"/>
  <c r="CO171" i="13"/>
  <c r="CL171" i="13"/>
  <c r="CK171" i="13"/>
  <c r="CJ171" i="13"/>
  <c r="CG171" i="13"/>
  <c r="CF171" i="13"/>
  <c r="CE171" i="13"/>
  <c r="CB171" i="13"/>
  <c r="CA171" i="13"/>
  <c r="BZ171" i="13"/>
  <c r="BW171" i="13"/>
  <c r="BV171" i="13"/>
  <c r="BU171" i="13"/>
  <c r="BR171" i="13"/>
  <c r="BQ171" i="13"/>
  <c r="BP171" i="13"/>
  <c r="BM171" i="13"/>
  <c r="BL171" i="13"/>
  <c r="BK171" i="13"/>
  <c r="BH171" i="13"/>
  <c r="BG171" i="13"/>
  <c r="BF171" i="13"/>
  <c r="BC171" i="13"/>
  <c r="BB171" i="13"/>
  <c r="BA171" i="13"/>
  <c r="AX171" i="13"/>
  <c r="AW171" i="13"/>
  <c r="AV171" i="13"/>
  <c r="AY171" i="13" s="1"/>
  <c r="AZ171" i="13" s="1"/>
  <c r="AS171" i="13"/>
  <c r="AR171" i="13"/>
  <c r="AQ171" i="13"/>
  <c r="AN171" i="13"/>
  <c r="AM171" i="13"/>
  <c r="AL171" i="13"/>
  <c r="CV170" i="13"/>
  <c r="CS170" i="13"/>
  <c r="CQ170" i="13"/>
  <c r="CO170" i="13"/>
  <c r="CL170" i="13"/>
  <c r="CK170" i="13"/>
  <c r="CJ170" i="13"/>
  <c r="CG170" i="13"/>
  <c r="CF170" i="13"/>
  <c r="CE170" i="13"/>
  <c r="CB170" i="13"/>
  <c r="CA170" i="13"/>
  <c r="BZ170" i="13"/>
  <c r="BW170" i="13"/>
  <c r="BV170" i="13"/>
  <c r="BU170" i="13"/>
  <c r="BR170" i="13"/>
  <c r="BQ170" i="13"/>
  <c r="BP170" i="13"/>
  <c r="BM170" i="13"/>
  <c r="BL170" i="13"/>
  <c r="BK170" i="13"/>
  <c r="BH170" i="13"/>
  <c r="BG170" i="13"/>
  <c r="BF170" i="13"/>
  <c r="BC170" i="13"/>
  <c r="BB170" i="13"/>
  <c r="BA170" i="13"/>
  <c r="AX170" i="13"/>
  <c r="AW170" i="13"/>
  <c r="AV170" i="13"/>
  <c r="AS170" i="13"/>
  <c r="AR170" i="13"/>
  <c r="AQ170" i="13"/>
  <c r="AN170" i="13"/>
  <c r="AM170" i="13"/>
  <c r="AL170" i="13"/>
  <c r="CV169" i="13"/>
  <c r="CS169" i="13"/>
  <c r="CQ169" i="13"/>
  <c r="CO169" i="13"/>
  <c r="CL169" i="13"/>
  <c r="CK169" i="13"/>
  <c r="CJ169" i="13"/>
  <c r="CG169" i="13"/>
  <c r="CF169" i="13"/>
  <c r="CE169" i="13"/>
  <c r="CB169" i="13"/>
  <c r="CA169" i="13"/>
  <c r="BZ169" i="13"/>
  <c r="BW169" i="13"/>
  <c r="BV169" i="13"/>
  <c r="BU169" i="13"/>
  <c r="BR169" i="13"/>
  <c r="BQ169" i="13"/>
  <c r="BP169" i="13"/>
  <c r="BM169" i="13"/>
  <c r="BL169" i="13"/>
  <c r="BK169" i="13"/>
  <c r="BH169" i="13"/>
  <c r="BG169" i="13"/>
  <c r="BF169" i="13"/>
  <c r="BC169" i="13"/>
  <c r="BB169" i="13"/>
  <c r="BA169" i="13"/>
  <c r="AX169" i="13"/>
  <c r="AW169" i="13"/>
  <c r="AV169" i="13"/>
  <c r="AS169" i="13"/>
  <c r="AR169" i="13"/>
  <c r="AQ169" i="13"/>
  <c r="AN169" i="13"/>
  <c r="AM169" i="13"/>
  <c r="AL169" i="13"/>
  <c r="CV168" i="13"/>
  <c r="CS168" i="13"/>
  <c r="CQ168" i="13"/>
  <c r="CO168" i="13"/>
  <c r="CL168" i="13"/>
  <c r="CK168" i="13"/>
  <c r="CJ168" i="13"/>
  <c r="CG168" i="13"/>
  <c r="CF168" i="13"/>
  <c r="CE168" i="13"/>
  <c r="CB168" i="13"/>
  <c r="CA168" i="13"/>
  <c r="BZ168" i="13"/>
  <c r="BW168" i="13"/>
  <c r="BV168" i="13"/>
  <c r="BU168" i="13"/>
  <c r="BR168" i="13"/>
  <c r="BQ168" i="13"/>
  <c r="BP168" i="13"/>
  <c r="BM168" i="13"/>
  <c r="BL168" i="13"/>
  <c r="BK168" i="13"/>
  <c r="BH168" i="13"/>
  <c r="BG168" i="13"/>
  <c r="BF168" i="13"/>
  <c r="BC168" i="13"/>
  <c r="BB168" i="13"/>
  <c r="BA168" i="13"/>
  <c r="AX168" i="13"/>
  <c r="AW168" i="13"/>
  <c r="AV168" i="13"/>
  <c r="AS168" i="13"/>
  <c r="AR168" i="13"/>
  <c r="AQ168" i="13"/>
  <c r="AN168" i="13"/>
  <c r="AM168" i="13"/>
  <c r="AL168" i="13"/>
  <c r="CV167" i="13"/>
  <c r="CS167" i="13"/>
  <c r="CQ167" i="13"/>
  <c r="CO167" i="13"/>
  <c r="CL167" i="13"/>
  <c r="CK167" i="13"/>
  <c r="CJ167" i="13"/>
  <c r="CG167" i="13"/>
  <c r="CF167" i="13"/>
  <c r="CE167" i="13"/>
  <c r="CB167" i="13"/>
  <c r="CA167" i="13"/>
  <c r="BZ167" i="13"/>
  <c r="BW167" i="13"/>
  <c r="BV167" i="13"/>
  <c r="BU167" i="13"/>
  <c r="BR167" i="13"/>
  <c r="BQ167" i="13"/>
  <c r="BP167" i="13"/>
  <c r="BM167" i="13"/>
  <c r="BL167" i="13"/>
  <c r="BK167" i="13"/>
  <c r="BH167" i="13"/>
  <c r="BG167" i="13"/>
  <c r="BF167" i="13"/>
  <c r="BC167" i="13"/>
  <c r="BB167" i="13"/>
  <c r="BA167" i="13"/>
  <c r="AX167" i="13"/>
  <c r="AW167" i="13"/>
  <c r="AV167" i="13"/>
  <c r="AS167" i="13"/>
  <c r="AR167" i="13"/>
  <c r="AQ167" i="13"/>
  <c r="AN167" i="13"/>
  <c r="AM167" i="13"/>
  <c r="AL167" i="13"/>
  <c r="CV166" i="13"/>
  <c r="CS166" i="13"/>
  <c r="CQ166" i="13"/>
  <c r="CO166" i="13"/>
  <c r="CL166" i="13"/>
  <c r="CK166" i="13"/>
  <c r="CJ166" i="13"/>
  <c r="CG166" i="13"/>
  <c r="CF166" i="13"/>
  <c r="CE166" i="13"/>
  <c r="CB166" i="13"/>
  <c r="CA166" i="13"/>
  <c r="BZ166" i="13"/>
  <c r="BW166" i="13"/>
  <c r="BV166" i="13"/>
  <c r="BU166" i="13"/>
  <c r="BR166" i="13"/>
  <c r="BQ166" i="13"/>
  <c r="BP166" i="13"/>
  <c r="BM166" i="13"/>
  <c r="BL166" i="13"/>
  <c r="BK166" i="13"/>
  <c r="BH166" i="13"/>
  <c r="BG166" i="13"/>
  <c r="BF166" i="13"/>
  <c r="BC166" i="13"/>
  <c r="BB166" i="13"/>
  <c r="BA166" i="13"/>
  <c r="AX166" i="13"/>
  <c r="AW166" i="13"/>
  <c r="AV166" i="13"/>
  <c r="AS166" i="13"/>
  <c r="AR166" i="13"/>
  <c r="AQ166" i="13"/>
  <c r="AN166" i="13"/>
  <c r="AM166" i="13"/>
  <c r="AL166" i="13"/>
  <c r="CV165" i="13"/>
  <c r="CS165" i="13"/>
  <c r="CQ165" i="13"/>
  <c r="CO165" i="13"/>
  <c r="CL165" i="13"/>
  <c r="CK165" i="13"/>
  <c r="CJ165" i="13"/>
  <c r="CG165" i="13"/>
  <c r="CF165" i="13"/>
  <c r="CE165" i="13"/>
  <c r="CB165" i="13"/>
  <c r="CA165" i="13"/>
  <c r="BZ165" i="13"/>
  <c r="BW165" i="13"/>
  <c r="BV165" i="13"/>
  <c r="BU165" i="13"/>
  <c r="BR165" i="13"/>
  <c r="BQ165" i="13"/>
  <c r="BP165" i="13"/>
  <c r="BM165" i="13"/>
  <c r="BL165" i="13"/>
  <c r="BK165" i="13"/>
  <c r="BH165" i="13"/>
  <c r="BG165" i="13"/>
  <c r="BF165" i="13"/>
  <c r="BC165" i="13"/>
  <c r="BB165" i="13"/>
  <c r="BA165" i="13"/>
  <c r="AX165" i="13"/>
  <c r="AW165" i="13"/>
  <c r="AV165" i="13"/>
  <c r="AS165" i="13"/>
  <c r="AR165" i="13"/>
  <c r="AQ165" i="13"/>
  <c r="AN165" i="13"/>
  <c r="AM165" i="13"/>
  <c r="AL165" i="13"/>
  <c r="CV164" i="13"/>
  <c r="CS164" i="13"/>
  <c r="CQ164" i="13"/>
  <c r="CO164" i="13"/>
  <c r="CL164" i="13"/>
  <c r="CK164" i="13"/>
  <c r="CJ164" i="13"/>
  <c r="CG164" i="13"/>
  <c r="CF164" i="13"/>
  <c r="CE164" i="13"/>
  <c r="CB164" i="13"/>
  <c r="CA164" i="13"/>
  <c r="BZ164" i="13"/>
  <c r="BW164" i="13"/>
  <c r="BV164" i="13"/>
  <c r="BU164" i="13"/>
  <c r="BR164" i="13"/>
  <c r="BQ164" i="13"/>
  <c r="BP164" i="13"/>
  <c r="BM164" i="13"/>
  <c r="BL164" i="13"/>
  <c r="BK164" i="13"/>
  <c r="BH164" i="13"/>
  <c r="BG164" i="13"/>
  <c r="BF164" i="13"/>
  <c r="BC164" i="13"/>
  <c r="BB164" i="13"/>
  <c r="BA164" i="13"/>
  <c r="AX164" i="13"/>
  <c r="AW164" i="13"/>
  <c r="AV164" i="13"/>
  <c r="AS164" i="13"/>
  <c r="AR164" i="13"/>
  <c r="AQ164" i="13"/>
  <c r="AN164" i="13"/>
  <c r="AM164" i="13"/>
  <c r="AL164" i="13"/>
  <c r="CV163" i="13"/>
  <c r="CS163" i="13"/>
  <c r="CQ163" i="13"/>
  <c r="CO163" i="13"/>
  <c r="CL163" i="13"/>
  <c r="CK163" i="13"/>
  <c r="CJ163" i="13"/>
  <c r="CG163" i="13"/>
  <c r="CF163" i="13"/>
  <c r="CE163" i="13"/>
  <c r="CB163" i="13"/>
  <c r="CA163" i="13"/>
  <c r="BZ163" i="13"/>
  <c r="BW163" i="13"/>
  <c r="BV163" i="13"/>
  <c r="BU163" i="13"/>
  <c r="BR163" i="13"/>
  <c r="BQ163" i="13"/>
  <c r="BP163" i="13"/>
  <c r="BM163" i="13"/>
  <c r="BL163" i="13"/>
  <c r="BK163" i="13"/>
  <c r="BH163" i="13"/>
  <c r="BG163" i="13"/>
  <c r="BF163" i="13"/>
  <c r="BC163" i="13"/>
  <c r="BB163" i="13"/>
  <c r="BA163" i="13"/>
  <c r="AX163" i="13"/>
  <c r="AW163" i="13"/>
  <c r="AV163" i="13"/>
  <c r="AS163" i="13"/>
  <c r="AR163" i="13"/>
  <c r="AQ163" i="13"/>
  <c r="AN163" i="13"/>
  <c r="AM163" i="13"/>
  <c r="AL163" i="13"/>
  <c r="CV162" i="13"/>
  <c r="CS162" i="13"/>
  <c r="CQ162" i="13"/>
  <c r="CO162" i="13"/>
  <c r="CL162" i="13"/>
  <c r="CK162" i="13"/>
  <c r="CJ162" i="13"/>
  <c r="CG162" i="13"/>
  <c r="CF162" i="13"/>
  <c r="CE162" i="13"/>
  <c r="CB162" i="13"/>
  <c r="CA162" i="13"/>
  <c r="BZ162" i="13"/>
  <c r="BW162" i="13"/>
  <c r="BV162" i="13"/>
  <c r="BU162" i="13"/>
  <c r="BR162" i="13"/>
  <c r="BQ162" i="13"/>
  <c r="BP162" i="13"/>
  <c r="BM162" i="13"/>
  <c r="BL162" i="13"/>
  <c r="BK162" i="13"/>
  <c r="BH162" i="13"/>
  <c r="BG162" i="13"/>
  <c r="BF162" i="13"/>
  <c r="BC162" i="13"/>
  <c r="BB162" i="13"/>
  <c r="BA162" i="13"/>
  <c r="AX162" i="13"/>
  <c r="AW162" i="13"/>
  <c r="AV162" i="13"/>
  <c r="AS162" i="13"/>
  <c r="AR162" i="13"/>
  <c r="AQ162" i="13"/>
  <c r="AN162" i="13"/>
  <c r="AM162" i="13"/>
  <c r="AL162" i="13"/>
  <c r="CV161" i="13"/>
  <c r="CS161" i="13"/>
  <c r="CQ161" i="13"/>
  <c r="CO161" i="13"/>
  <c r="CL161" i="13"/>
  <c r="CK161" i="13"/>
  <c r="CJ161" i="13"/>
  <c r="CG161" i="13"/>
  <c r="CF161" i="13"/>
  <c r="CE161" i="13"/>
  <c r="CB161" i="13"/>
  <c r="CA161" i="13"/>
  <c r="BZ161" i="13"/>
  <c r="BW161" i="13"/>
  <c r="BV161" i="13"/>
  <c r="BU161" i="13"/>
  <c r="BR161" i="13"/>
  <c r="BQ161" i="13"/>
  <c r="BP161" i="13"/>
  <c r="BM161" i="13"/>
  <c r="BL161" i="13"/>
  <c r="BK161" i="13"/>
  <c r="BH161" i="13"/>
  <c r="BG161" i="13"/>
  <c r="BF161" i="13"/>
  <c r="BC161" i="13"/>
  <c r="BB161" i="13"/>
  <c r="BA161" i="13"/>
  <c r="AX161" i="13"/>
  <c r="AW161" i="13"/>
  <c r="AV161" i="13"/>
  <c r="AS161" i="13"/>
  <c r="AR161" i="13"/>
  <c r="AQ161" i="13"/>
  <c r="AN161" i="13"/>
  <c r="AM161" i="13"/>
  <c r="AL161" i="13"/>
  <c r="CV160" i="13"/>
  <c r="CS160" i="13"/>
  <c r="CQ160" i="13"/>
  <c r="CO160" i="13"/>
  <c r="CL160" i="13"/>
  <c r="CK160" i="13"/>
  <c r="CJ160" i="13"/>
  <c r="CG160" i="13"/>
  <c r="CF160" i="13"/>
  <c r="CE160" i="13"/>
  <c r="CB160" i="13"/>
  <c r="CA160" i="13"/>
  <c r="BZ160" i="13"/>
  <c r="BW160" i="13"/>
  <c r="BV160" i="13"/>
  <c r="BU160" i="13"/>
  <c r="BR160" i="13"/>
  <c r="BQ160" i="13"/>
  <c r="BP160" i="13"/>
  <c r="BM160" i="13"/>
  <c r="BL160" i="13"/>
  <c r="BK160" i="13"/>
  <c r="BH160" i="13"/>
  <c r="BG160" i="13"/>
  <c r="BF160" i="13"/>
  <c r="BC160" i="13"/>
  <c r="BB160" i="13"/>
  <c r="BA160" i="13"/>
  <c r="AX160" i="13"/>
  <c r="AW160" i="13"/>
  <c r="AV160" i="13"/>
  <c r="AS160" i="13"/>
  <c r="AR160" i="13"/>
  <c r="AQ160" i="13"/>
  <c r="AN160" i="13"/>
  <c r="AM160" i="13"/>
  <c r="AL160" i="13"/>
  <c r="CV159" i="13"/>
  <c r="CS159" i="13"/>
  <c r="CQ159" i="13"/>
  <c r="CO159" i="13"/>
  <c r="CL159" i="13"/>
  <c r="CK159" i="13"/>
  <c r="CJ159" i="13"/>
  <c r="CG159" i="13"/>
  <c r="CF159" i="13"/>
  <c r="CE159" i="13"/>
  <c r="CB159" i="13"/>
  <c r="CA159" i="13"/>
  <c r="BZ159" i="13"/>
  <c r="BW159" i="13"/>
  <c r="BV159" i="13"/>
  <c r="BU159" i="13"/>
  <c r="BR159" i="13"/>
  <c r="BQ159" i="13"/>
  <c r="BP159" i="13"/>
  <c r="BM159" i="13"/>
  <c r="BL159" i="13"/>
  <c r="BK159" i="13"/>
  <c r="BH159" i="13"/>
  <c r="BG159" i="13"/>
  <c r="BF159" i="13"/>
  <c r="BC159" i="13"/>
  <c r="BB159" i="13"/>
  <c r="BA159" i="13"/>
  <c r="AX159" i="13"/>
  <c r="AW159" i="13"/>
  <c r="AV159" i="13"/>
  <c r="AS159" i="13"/>
  <c r="AR159" i="13"/>
  <c r="AQ159" i="13"/>
  <c r="AN159" i="13"/>
  <c r="AM159" i="13"/>
  <c r="AL159" i="13"/>
  <c r="CV158" i="13"/>
  <c r="CS158" i="13"/>
  <c r="CQ158" i="13"/>
  <c r="CO158" i="13"/>
  <c r="CL158" i="13"/>
  <c r="CK158" i="13"/>
  <c r="CJ158" i="13"/>
  <c r="CG158" i="13"/>
  <c r="CF158" i="13"/>
  <c r="CE158" i="13"/>
  <c r="CH158" i="13" s="1"/>
  <c r="CB158" i="13"/>
  <c r="CA158" i="13"/>
  <c r="BZ158" i="13"/>
  <c r="BW158" i="13"/>
  <c r="BV158" i="13"/>
  <c r="BU158" i="13"/>
  <c r="BR158" i="13"/>
  <c r="BQ158" i="13"/>
  <c r="BP158" i="13"/>
  <c r="BM158" i="13"/>
  <c r="BL158" i="13"/>
  <c r="BK158" i="13"/>
  <c r="BH158" i="13"/>
  <c r="BG158" i="13"/>
  <c r="BF158" i="13"/>
  <c r="BC158" i="13"/>
  <c r="BB158" i="13"/>
  <c r="BA158" i="13"/>
  <c r="AX158" i="13"/>
  <c r="AW158" i="13"/>
  <c r="AV158" i="13"/>
  <c r="AS158" i="13"/>
  <c r="AR158" i="13"/>
  <c r="AQ158" i="13"/>
  <c r="AN158" i="13"/>
  <c r="AM158" i="13"/>
  <c r="AL158" i="13"/>
  <c r="CV157" i="13"/>
  <c r="CS157" i="13"/>
  <c r="CQ157" i="13"/>
  <c r="CO157" i="13"/>
  <c r="CL157" i="13"/>
  <c r="CK157" i="13"/>
  <c r="CJ157" i="13"/>
  <c r="CG157" i="13"/>
  <c r="CF157" i="13"/>
  <c r="CE157" i="13"/>
  <c r="CB157" i="13"/>
  <c r="CA157" i="13"/>
  <c r="BZ157" i="13"/>
  <c r="BW157" i="13"/>
  <c r="BV157" i="13"/>
  <c r="BU157" i="13"/>
  <c r="BX157" i="13" s="1"/>
  <c r="BY157" i="13" s="1"/>
  <c r="BR157" i="13"/>
  <c r="BQ157" i="13"/>
  <c r="BP157" i="13"/>
  <c r="BM157" i="13"/>
  <c r="BL157" i="13"/>
  <c r="BK157" i="13"/>
  <c r="BH157" i="13"/>
  <c r="BG157" i="13"/>
  <c r="BF157" i="13"/>
  <c r="BC157" i="13"/>
  <c r="BB157" i="13"/>
  <c r="BA157" i="13"/>
  <c r="AX157" i="13"/>
  <c r="AW157" i="13"/>
  <c r="AV157" i="13"/>
  <c r="AS157" i="13"/>
  <c r="AR157" i="13"/>
  <c r="AQ157" i="13"/>
  <c r="AN157" i="13"/>
  <c r="AM157" i="13"/>
  <c r="AL157" i="13"/>
  <c r="CV156" i="13"/>
  <c r="CS156" i="13"/>
  <c r="CQ156" i="13"/>
  <c r="CO156" i="13"/>
  <c r="CL156" i="13"/>
  <c r="CK156" i="13"/>
  <c r="CJ156" i="13"/>
  <c r="CG156" i="13"/>
  <c r="CF156" i="13"/>
  <c r="CE156" i="13"/>
  <c r="CB156" i="13"/>
  <c r="CA156" i="13"/>
  <c r="BZ156" i="13"/>
  <c r="BW156" i="13"/>
  <c r="BV156" i="13"/>
  <c r="BU156" i="13"/>
  <c r="BR156" i="13"/>
  <c r="BQ156" i="13"/>
  <c r="BP156" i="13"/>
  <c r="BM156" i="13"/>
  <c r="BL156" i="13"/>
  <c r="BK156" i="13"/>
  <c r="BH156" i="13"/>
  <c r="BG156" i="13"/>
  <c r="BF156" i="13"/>
  <c r="BC156" i="13"/>
  <c r="BB156" i="13"/>
  <c r="BA156" i="13"/>
  <c r="AX156" i="13"/>
  <c r="AW156" i="13"/>
  <c r="AV156" i="13"/>
  <c r="AS156" i="13"/>
  <c r="AR156" i="13"/>
  <c r="AQ156" i="13"/>
  <c r="AT156" i="13" s="1"/>
  <c r="AU156" i="13" s="1"/>
  <c r="AN156" i="13"/>
  <c r="AM156" i="13"/>
  <c r="AL156" i="13"/>
  <c r="CV155" i="13"/>
  <c r="CS155" i="13"/>
  <c r="CQ155" i="13"/>
  <c r="CO155" i="13"/>
  <c r="CL155" i="13"/>
  <c r="CK155" i="13"/>
  <c r="CJ155" i="13"/>
  <c r="CG155" i="13"/>
  <c r="CF155" i="13"/>
  <c r="CE155" i="13"/>
  <c r="CB155" i="13"/>
  <c r="CA155" i="13"/>
  <c r="BZ155" i="13"/>
  <c r="BW155" i="13"/>
  <c r="BV155" i="13"/>
  <c r="BU155" i="13"/>
  <c r="BR155" i="13"/>
  <c r="BQ155" i="13"/>
  <c r="BP155" i="13"/>
  <c r="BM155" i="13"/>
  <c r="BL155" i="13"/>
  <c r="BK155" i="13"/>
  <c r="BH155" i="13"/>
  <c r="BG155" i="13"/>
  <c r="BF155" i="13"/>
  <c r="BC155" i="13"/>
  <c r="BB155" i="13"/>
  <c r="BA155" i="13"/>
  <c r="AX155" i="13"/>
  <c r="AW155" i="13"/>
  <c r="AV155" i="13"/>
  <c r="AS155" i="13"/>
  <c r="AR155" i="13"/>
  <c r="AQ155" i="13"/>
  <c r="AN155" i="13"/>
  <c r="AM155" i="13"/>
  <c r="AL155" i="13"/>
  <c r="CV154" i="13"/>
  <c r="CS154" i="13"/>
  <c r="CQ154" i="13"/>
  <c r="CO154" i="13"/>
  <c r="CL154" i="13"/>
  <c r="CK154" i="13"/>
  <c r="CJ154" i="13"/>
  <c r="CG154" i="13"/>
  <c r="CF154" i="13"/>
  <c r="CE154" i="13"/>
  <c r="CH154" i="13" s="1"/>
  <c r="Y154" i="13" s="1"/>
  <c r="CB154" i="13"/>
  <c r="CA154" i="13"/>
  <c r="BZ154" i="13"/>
  <c r="BW154" i="13"/>
  <c r="BV154" i="13"/>
  <c r="BU154" i="13"/>
  <c r="BR154" i="13"/>
  <c r="BQ154" i="13"/>
  <c r="BP154" i="13"/>
  <c r="BM154" i="13"/>
  <c r="BL154" i="13"/>
  <c r="BK154" i="13"/>
  <c r="BN154" i="13" s="1"/>
  <c r="BO154" i="13" s="1"/>
  <c r="BH154" i="13"/>
  <c r="BG154" i="13"/>
  <c r="BF154" i="13"/>
  <c r="BC154" i="13"/>
  <c r="BB154" i="13"/>
  <c r="BA154" i="13"/>
  <c r="AX154" i="13"/>
  <c r="AW154" i="13"/>
  <c r="AV154" i="13"/>
  <c r="AS154" i="13"/>
  <c r="AR154" i="13"/>
  <c r="AQ154" i="13"/>
  <c r="AN154" i="13"/>
  <c r="AM154" i="13"/>
  <c r="AL154" i="13"/>
  <c r="CV153" i="13"/>
  <c r="CS153" i="13"/>
  <c r="CQ153" i="13"/>
  <c r="CO153" i="13"/>
  <c r="CL153" i="13"/>
  <c r="CK153" i="13"/>
  <c r="CJ153" i="13"/>
  <c r="CG153" i="13"/>
  <c r="CF153" i="13"/>
  <c r="CE153" i="13"/>
  <c r="CB153" i="13"/>
  <c r="CA153" i="13"/>
  <c r="BZ153" i="13"/>
  <c r="BW153" i="13"/>
  <c r="BV153" i="13"/>
  <c r="BU153" i="13"/>
  <c r="BX153" i="13" s="1"/>
  <c r="BY153" i="13" s="1"/>
  <c r="BR153" i="13"/>
  <c r="BQ153" i="13"/>
  <c r="BP153" i="13"/>
  <c r="BM153" i="13"/>
  <c r="BL153" i="13"/>
  <c r="BK153" i="13"/>
  <c r="BH153" i="13"/>
  <c r="BG153" i="13"/>
  <c r="BF153" i="13"/>
  <c r="BC153" i="13"/>
  <c r="BB153" i="13"/>
  <c r="BA153" i="13"/>
  <c r="BD153" i="13" s="1"/>
  <c r="BE153" i="13" s="1"/>
  <c r="AX153" i="13"/>
  <c r="AW153" i="13"/>
  <c r="AV153" i="13"/>
  <c r="AS153" i="13"/>
  <c r="AR153" i="13"/>
  <c r="AQ153" i="13"/>
  <c r="AN153" i="13"/>
  <c r="AM153" i="13"/>
  <c r="AL153" i="13"/>
  <c r="CV152" i="13"/>
  <c r="CS152" i="13"/>
  <c r="CQ152" i="13"/>
  <c r="CO152" i="13"/>
  <c r="CL152" i="13"/>
  <c r="CK152" i="13"/>
  <c r="CJ152" i="13"/>
  <c r="CG152" i="13"/>
  <c r="CF152" i="13"/>
  <c r="CE152" i="13"/>
  <c r="CH152" i="13" s="1"/>
  <c r="CB152" i="13"/>
  <c r="CA152" i="13"/>
  <c r="BZ152" i="13"/>
  <c r="BW152" i="13"/>
  <c r="BV152" i="13"/>
  <c r="BU152" i="13"/>
  <c r="BR152" i="13"/>
  <c r="BQ152" i="13"/>
  <c r="BP152" i="13"/>
  <c r="BM152" i="13"/>
  <c r="BL152" i="13"/>
  <c r="BK152" i="13"/>
  <c r="BH152" i="13"/>
  <c r="BG152" i="13"/>
  <c r="BF152" i="13"/>
  <c r="BC152" i="13"/>
  <c r="BB152" i="13"/>
  <c r="BA152" i="13"/>
  <c r="AX152" i="13"/>
  <c r="AW152" i="13"/>
  <c r="AV152" i="13"/>
  <c r="AS152" i="13"/>
  <c r="AR152" i="13"/>
  <c r="AQ152" i="13"/>
  <c r="AN152" i="13"/>
  <c r="AM152" i="13"/>
  <c r="AL152" i="13"/>
  <c r="CV151" i="13"/>
  <c r="CS151" i="13"/>
  <c r="CQ151" i="13"/>
  <c r="CO151" i="13"/>
  <c r="CL151" i="13"/>
  <c r="CK151" i="13"/>
  <c r="CJ151" i="13"/>
  <c r="CG151" i="13"/>
  <c r="CF151" i="13"/>
  <c r="CE151" i="13"/>
  <c r="CB151" i="13"/>
  <c r="CA151" i="13"/>
  <c r="BZ151" i="13"/>
  <c r="BW151" i="13"/>
  <c r="BV151" i="13"/>
  <c r="BU151" i="13"/>
  <c r="BX151" i="13" s="1"/>
  <c r="BY151" i="13" s="1"/>
  <c r="BR151" i="13"/>
  <c r="BQ151" i="13"/>
  <c r="BP151" i="13"/>
  <c r="BM151" i="13"/>
  <c r="BL151" i="13"/>
  <c r="BK151" i="13"/>
  <c r="BH151" i="13"/>
  <c r="BG151" i="13"/>
  <c r="BF151" i="13"/>
  <c r="BC151" i="13"/>
  <c r="BB151" i="13"/>
  <c r="BA151" i="13"/>
  <c r="AX151" i="13"/>
  <c r="AW151" i="13"/>
  <c r="AV151" i="13"/>
  <c r="AS151" i="13"/>
  <c r="AR151" i="13"/>
  <c r="AQ151" i="13"/>
  <c r="AN151" i="13"/>
  <c r="AM151" i="13"/>
  <c r="AL151" i="13"/>
  <c r="CV150" i="13"/>
  <c r="CS150" i="13"/>
  <c r="CQ150" i="13"/>
  <c r="CO150" i="13"/>
  <c r="CL150" i="13"/>
  <c r="CK150" i="13"/>
  <c r="CJ150" i="13"/>
  <c r="CG150" i="13"/>
  <c r="CF150" i="13"/>
  <c r="CE150" i="13"/>
  <c r="CH150" i="13" s="1"/>
  <c r="CB150" i="13"/>
  <c r="CA150" i="13"/>
  <c r="BZ150" i="13"/>
  <c r="BW150" i="13"/>
  <c r="BV150" i="13"/>
  <c r="BU150" i="13"/>
  <c r="BR150" i="13"/>
  <c r="BQ150" i="13"/>
  <c r="BP150" i="13"/>
  <c r="BM150" i="13"/>
  <c r="BL150" i="13"/>
  <c r="BK150" i="13"/>
  <c r="BN150" i="13" s="1"/>
  <c r="BO150" i="13" s="1"/>
  <c r="BH150" i="13"/>
  <c r="BG150" i="13"/>
  <c r="BF150" i="13"/>
  <c r="BC150" i="13"/>
  <c r="BB150" i="13"/>
  <c r="BA150" i="13"/>
  <c r="AX150" i="13"/>
  <c r="AW150" i="13"/>
  <c r="AV150" i="13"/>
  <c r="AS150" i="13"/>
  <c r="AR150" i="13"/>
  <c r="AQ150" i="13"/>
  <c r="AN150" i="13"/>
  <c r="AM150" i="13"/>
  <c r="AL150" i="13"/>
  <c r="CV149" i="13"/>
  <c r="CS149" i="13"/>
  <c r="CQ149" i="13"/>
  <c r="CO149" i="13"/>
  <c r="CL149" i="13"/>
  <c r="CK149" i="13"/>
  <c r="CJ149" i="13"/>
  <c r="CG149" i="13"/>
  <c r="CF149" i="13"/>
  <c r="CE149" i="13"/>
  <c r="CB149" i="13"/>
  <c r="CA149" i="13"/>
  <c r="BZ149" i="13"/>
  <c r="BW149" i="13"/>
  <c r="BV149" i="13"/>
  <c r="BU149" i="13"/>
  <c r="BR149" i="13"/>
  <c r="BQ149" i="13"/>
  <c r="BP149" i="13"/>
  <c r="BM149" i="13"/>
  <c r="BL149" i="13"/>
  <c r="BK149" i="13"/>
  <c r="BH149" i="13"/>
  <c r="BG149" i="13"/>
  <c r="BF149" i="13"/>
  <c r="BC149" i="13"/>
  <c r="BB149" i="13"/>
  <c r="BA149" i="13"/>
  <c r="AX149" i="13"/>
  <c r="AW149" i="13"/>
  <c r="AV149" i="13"/>
  <c r="AS149" i="13"/>
  <c r="AR149" i="13"/>
  <c r="AQ149" i="13"/>
  <c r="AN149" i="13"/>
  <c r="AM149" i="13"/>
  <c r="AL149" i="13"/>
  <c r="CV148" i="13"/>
  <c r="CS148" i="13"/>
  <c r="CQ148" i="13"/>
  <c r="CO148" i="13"/>
  <c r="CL148" i="13"/>
  <c r="CK148" i="13"/>
  <c r="CJ148" i="13"/>
  <c r="CG148" i="13"/>
  <c r="CF148" i="13"/>
  <c r="CE148" i="13"/>
  <c r="CB148" i="13"/>
  <c r="CA148" i="13"/>
  <c r="BZ148" i="13"/>
  <c r="BW148" i="13"/>
  <c r="BV148" i="13"/>
  <c r="BU148" i="13"/>
  <c r="BR148" i="13"/>
  <c r="BQ148" i="13"/>
  <c r="BP148" i="13"/>
  <c r="BM148" i="13"/>
  <c r="BL148" i="13"/>
  <c r="BK148" i="13"/>
  <c r="BH148" i="13"/>
  <c r="BG148" i="13"/>
  <c r="BF148" i="13"/>
  <c r="BC148" i="13"/>
  <c r="BB148" i="13"/>
  <c r="BA148" i="13"/>
  <c r="AX148" i="13"/>
  <c r="AW148" i="13"/>
  <c r="AV148" i="13"/>
  <c r="AS148" i="13"/>
  <c r="AR148" i="13"/>
  <c r="AQ148" i="13"/>
  <c r="AN148" i="13"/>
  <c r="AM148" i="13"/>
  <c r="AL148" i="13"/>
  <c r="CV147" i="13"/>
  <c r="CS147" i="13"/>
  <c r="CQ147" i="13"/>
  <c r="CO147" i="13"/>
  <c r="CL147" i="13"/>
  <c r="CK147" i="13"/>
  <c r="CJ147" i="13"/>
  <c r="CG147" i="13"/>
  <c r="CF147" i="13"/>
  <c r="CE147" i="13"/>
  <c r="CB147" i="13"/>
  <c r="CA147" i="13"/>
  <c r="BZ147" i="13"/>
  <c r="BW147" i="13"/>
  <c r="BV147" i="13"/>
  <c r="BU147" i="13"/>
  <c r="BR147" i="13"/>
  <c r="BQ147" i="13"/>
  <c r="BP147" i="13"/>
  <c r="BM147" i="13"/>
  <c r="BL147" i="13"/>
  <c r="BK147" i="13"/>
  <c r="BH147" i="13"/>
  <c r="BG147" i="13"/>
  <c r="BF147" i="13"/>
  <c r="BC147" i="13"/>
  <c r="BB147" i="13"/>
  <c r="BA147" i="13"/>
  <c r="AX147" i="13"/>
  <c r="AW147" i="13"/>
  <c r="AV147" i="13"/>
  <c r="AS147" i="13"/>
  <c r="AR147" i="13"/>
  <c r="AQ147" i="13"/>
  <c r="AN147" i="13"/>
  <c r="AM147" i="13"/>
  <c r="AL147" i="13"/>
  <c r="CV146" i="13"/>
  <c r="CS146" i="13"/>
  <c r="CQ146" i="13"/>
  <c r="CO146" i="13"/>
  <c r="CL146" i="13"/>
  <c r="CK146" i="13"/>
  <c r="CJ146" i="13"/>
  <c r="CG146" i="13"/>
  <c r="CF146" i="13"/>
  <c r="CE146" i="13"/>
  <c r="CB146" i="13"/>
  <c r="CA146" i="13"/>
  <c r="BZ146" i="13"/>
  <c r="BW146" i="13"/>
  <c r="BV146" i="13"/>
  <c r="BU146" i="13"/>
  <c r="BR146" i="13"/>
  <c r="BQ146" i="13"/>
  <c r="BP146" i="13"/>
  <c r="BM146" i="13"/>
  <c r="BL146" i="13"/>
  <c r="BK146" i="13"/>
  <c r="BH146" i="13"/>
  <c r="BG146" i="13"/>
  <c r="BF146" i="13"/>
  <c r="BC146" i="13"/>
  <c r="BB146" i="13"/>
  <c r="BA146" i="13"/>
  <c r="AX146" i="13"/>
  <c r="AW146" i="13"/>
  <c r="AV146" i="13"/>
  <c r="AS146" i="13"/>
  <c r="AR146" i="13"/>
  <c r="AQ146" i="13"/>
  <c r="AN146" i="13"/>
  <c r="AM146" i="13"/>
  <c r="AL146" i="13"/>
  <c r="CV145" i="13"/>
  <c r="CS145" i="13"/>
  <c r="CQ145" i="13"/>
  <c r="CO145" i="13"/>
  <c r="CL145" i="13"/>
  <c r="CK145" i="13"/>
  <c r="CJ145" i="13"/>
  <c r="CG145" i="13"/>
  <c r="CF145" i="13"/>
  <c r="CE145" i="13"/>
  <c r="CB145" i="13"/>
  <c r="CA145" i="13"/>
  <c r="BZ145" i="13"/>
  <c r="BW145" i="13"/>
  <c r="BV145" i="13"/>
  <c r="BU145" i="13"/>
  <c r="BR145" i="13"/>
  <c r="BQ145" i="13"/>
  <c r="BP145" i="13"/>
  <c r="BM145" i="13"/>
  <c r="BL145" i="13"/>
  <c r="BK145" i="13"/>
  <c r="BH145" i="13"/>
  <c r="BG145" i="13"/>
  <c r="BF145" i="13"/>
  <c r="BC145" i="13"/>
  <c r="BB145" i="13"/>
  <c r="BA145" i="13"/>
  <c r="AX145" i="13"/>
  <c r="AW145" i="13"/>
  <c r="AV145" i="13"/>
  <c r="AS145" i="13"/>
  <c r="AR145" i="13"/>
  <c r="AQ145" i="13"/>
  <c r="AN145" i="13"/>
  <c r="AM145" i="13"/>
  <c r="AL145" i="13"/>
  <c r="CV144" i="13"/>
  <c r="CS144" i="13"/>
  <c r="CQ144" i="13"/>
  <c r="CO144" i="13"/>
  <c r="CL144" i="13"/>
  <c r="CK144" i="13"/>
  <c r="CJ144" i="13"/>
  <c r="CG144" i="13"/>
  <c r="CF144" i="13"/>
  <c r="CE144" i="13"/>
  <c r="CB144" i="13"/>
  <c r="CA144" i="13"/>
  <c r="BZ144" i="13"/>
  <c r="BW144" i="13"/>
  <c r="BV144" i="13"/>
  <c r="BU144" i="13"/>
  <c r="BR144" i="13"/>
  <c r="BQ144" i="13"/>
  <c r="BP144" i="13"/>
  <c r="BM144" i="13"/>
  <c r="BL144" i="13"/>
  <c r="BK144" i="13"/>
  <c r="BH144" i="13"/>
  <c r="BG144" i="13"/>
  <c r="BF144" i="13"/>
  <c r="BI144" i="13" s="1"/>
  <c r="BJ144" i="13" s="1"/>
  <c r="BC144" i="13"/>
  <c r="BB144" i="13"/>
  <c r="BA144" i="13"/>
  <c r="AX144" i="13"/>
  <c r="AW144" i="13"/>
  <c r="AV144" i="13"/>
  <c r="AS144" i="13"/>
  <c r="AR144" i="13"/>
  <c r="AQ144" i="13"/>
  <c r="AN144" i="13"/>
  <c r="AM144" i="13"/>
  <c r="AL144" i="13"/>
  <c r="CV143" i="13"/>
  <c r="CS143" i="13"/>
  <c r="CQ143" i="13"/>
  <c r="CO143" i="13"/>
  <c r="CL143" i="13"/>
  <c r="CK143" i="13"/>
  <c r="CJ143" i="13"/>
  <c r="CM143" i="13" s="1"/>
  <c r="CG143" i="13"/>
  <c r="CF143" i="13"/>
  <c r="CE143" i="13"/>
  <c r="CB143" i="13"/>
  <c r="CA143" i="13"/>
  <c r="BZ143" i="13"/>
  <c r="BW143" i="13"/>
  <c r="BV143" i="13"/>
  <c r="BU143" i="13"/>
  <c r="BR143" i="13"/>
  <c r="BQ143" i="13"/>
  <c r="BP143" i="13"/>
  <c r="BM143" i="13"/>
  <c r="BL143" i="13"/>
  <c r="BK143" i="13"/>
  <c r="BH143" i="13"/>
  <c r="BG143" i="13"/>
  <c r="BF143" i="13"/>
  <c r="BC143" i="13"/>
  <c r="BB143" i="13"/>
  <c r="BA143" i="13"/>
  <c r="AX143" i="13"/>
  <c r="AW143" i="13"/>
  <c r="AV143" i="13"/>
  <c r="AS143" i="13"/>
  <c r="AR143" i="13"/>
  <c r="AQ143" i="13"/>
  <c r="AN143" i="13"/>
  <c r="AM143" i="13"/>
  <c r="AL143" i="13"/>
  <c r="CV142" i="13"/>
  <c r="CS142" i="13"/>
  <c r="CQ142" i="13"/>
  <c r="CO142" i="13"/>
  <c r="CL142" i="13"/>
  <c r="CK142" i="13"/>
  <c r="CJ142" i="13"/>
  <c r="CG142" i="13"/>
  <c r="CF142" i="13"/>
  <c r="CE142" i="13"/>
  <c r="CB142" i="13"/>
  <c r="CA142" i="13"/>
  <c r="BZ142" i="13"/>
  <c r="BW142" i="13"/>
  <c r="BV142" i="13"/>
  <c r="BU142" i="13"/>
  <c r="BR142" i="13"/>
  <c r="BQ142" i="13"/>
  <c r="BP142" i="13"/>
  <c r="BM142" i="13"/>
  <c r="BL142" i="13"/>
  <c r="BK142" i="13"/>
  <c r="BH142" i="13"/>
  <c r="BG142" i="13"/>
  <c r="BF142" i="13"/>
  <c r="BC142" i="13"/>
  <c r="BB142" i="13"/>
  <c r="BA142" i="13"/>
  <c r="AX142" i="13"/>
  <c r="AW142" i="13"/>
  <c r="AV142" i="13"/>
  <c r="AS142" i="13"/>
  <c r="AR142" i="13"/>
  <c r="AQ142" i="13"/>
  <c r="AN142" i="13"/>
  <c r="AM142" i="13"/>
  <c r="AL142" i="13"/>
  <c r="CV141" i="13"/>
  <c r="CS141" i="13"/>
  <c r="CQ141" i="13"/>
  <c r="CO141" i="13"/>
  <c r="CL141" i="13"/>
  <c r="CK141" i="13"/>
  <c r="CJ141" i="13"/>
  <c r="CG141" i="13"/>
  <c r="CF141" i="13"/>
  <c r="CE141" i="13"/>
  <c r="CB141" i="13"/>
  <c r="CA141" i="13"/>
  <c r="BZ141" i="13"/>
  <c r="BW141" i="13"/>
  <c r="BV141" i="13"/>
  <c r="BU141" i="13"/>
  <c r="BR141" i="13"/>
  <c r="BQ141" i="13"/>
  <c r="BP141" i="13"/>
  <c r="BM141" i="13"/>
  <c r="BL141" i="13"/>
  <c r="BK141" i="13"/>
  <c r="BH141" i="13"/>
  <c r="BG141" i="13"/>
  <c r="BF141" i="13"/>
  <c r="BC141" i="13"/>
  <c r="BB141" i="13"/>
  <c r="BA141" i="13"/>
  <c r="AX141" i="13"/>
  <c r="AW141" i="13"/>
  <c r="AV141" i="13"/>
  <c r="AS141" i="13"/>
  <c r="AR141" i="13"/>
  <c r="AQ141" i="13"/>
  <c r="AN141" i="13"/>
  <c r="AM141" i="13"/>
  <c r="AL141" i="13"/>
  <c r="CV140" i="13"/>
  <c r="CS140" i="13"/>
  <c r="CQ140" i="13"/>
  <c r="CO140" i="13"/>
  <c r="CL140" i="13"/>
  <c r="CK140" i="13"/>
  <c r="CJ140" i="13"/>
  <c r="CG140" i="13"/>
  <c r="CF140" i="13"/>
  <c r="CE140" i="13"/>
  <c r="CB140" i="13"/>
  <c r="CA140" i="13"/>
  <c r="BZ140" i="13"/>
  <c r="BW140" i="13"/>
  <c r="BV140" i="13"/>
  <c r="BU140" i="13"/>
  <c r="BR140" i="13"/>
  <c r="BQ140" i="13"/>
  <c r="BP140" i="13"/>
  <c r="BM140" i="13"/>
  <c r="BL140" i="13"/>
  <c r="BK140" i="13"/>
  <c r="BH140" i="13"/>
  <c r="BG140" i="13"/>
  <c r="BF140" i="13"/>
  <c r="BC140" i="13"/>
  <c r="BB140" i="13"/>
  <c r="BA140" i="13"/>
  <c r="AX140" i="13"/>
  <c r="AW140" i="13"/>
  <c r="AV140" i="13"/>
  <c r="AS140" i="13"/>
  <c r="AR140" i="13"/>
  <c r="AQ140" i="13"/>
  <c r="AN140" i="13"/>
  <c r="AM140" i="13"/>
  <c r="AL140" i="13"/>
  <c r="CV139" i="13"/>
  <c r="CS139" i="13"/>
  <c r="CQ139" i="13"/>
  <c r="CO139" i="13"/>
  <c r="CL139" i="13"/>
  <c r="CK139" i="13"/>
  <c r="CJ139" i="13"/>
  <c r="CG139" i="13"/>
  <c r="CF139" i="13"/>
  <c r="CE139" i="13"/>
  <c r="CH139" i="13" s="1"/>
  <c r="CB139" i="13"/>
  <c r="CA139" i="13"/>
  <c r="BZ139" i="13"/>
  <c r="BW139" i="13"/>
  <c r="BV139" i="13"/>
  <c r="BU139" i="13"/>
  <c r="BR139" i="13"/>
  <c r="BQ139" i="13"/>
  <c r="BP139" i="13"/>
  <c r="BM139" i="13"/>
  <c r="BL139" i="13"/>
  <c r="BK139" i="13"/>
  <c r="BH139" i="13"/>
  <c r="BG139" i="13"/>
  <c r="BF139" i="13"/>
  <c r="BC139" i="13"/>
  <c r="BB139" i="13"/>
  <c r="BA139" i="13"/>
  <c r="AX139" i="13"/>
  <c r="AW139" i="13"/>
  <c r="AV139" i="13"/>
  <c r="AS139" i="13"/>
  <c r="AR139" i="13"/>
  <c r="AQ139" i="13"/>
  <c r="AN139" i="13"/>
  <c r="AM139" i="13"/>
  <c r="AL139" i="13"/>
  <c r="CV138" i="13"/>
  <c r="CS138" i="13"/>
  <c r="CQ138" i="13"/>
  <c r="CO138" i="13"/>
  <c r="CL138" i="13"/>
  <c r="CK138" i="13"/>
  <c r="CJ138" i="13"/>
  <c r="CG138" i="13"/>
  <c r="CF138" i="13"/>
  <c r="CE138" i="13"/>
  <c r="CB138" i="13"/>
  <c r="CA138" i="13"/>
  <c r="BZ138" i="13"/>
  <c r="BW138" i="13"/>
  <c r="BV138" i="13"/>
  <c r="BU138" i="13"/>
  <c r="BR138" i="13"/>
  <c r="BQ138" i="13"/>
  <c r="BP138" i="13"/>
  <c r="BM138" i="13"/>
  <c r="BL138" i="13"/>
  <c r="BK138" i="13"/>
  <c r="BH138" i="13"/>
  <c r="BG138" i="13"/>
  <c r="BF138" i="13"/>
  <c r="BC138" i="13"/>
  <c r="BB138" i="13"/>
  <c r="BA138" i="13"/>
  <c r="BD138" i="13" s="1"/>
  <c r="BE138" i="13" s="1"/>
  <c r="AX138" i="13"/>
  <c r="AW138" i="13"/>
  <c r="AV138" i="13"/>
  <c r="AS138" i="13"/>
  <c r="AR138" i="13"/>
  <c r="AQ138" i="13"/>
  <c r="AN138" i="13"/>
  <c r="AM138" i="13"/>
  <c r="AL138" i="13"/>
  <c r="CV137" i="13"/>
  <c r="CS137" i="13"/>
  <c r="CQ137" i="13"/>
  <c r="CO137" i="13"/>
  <c r="CL137" i="13"/>
  <c r="CK137" i="13"/>
  <c r="CJ137" i="13"/>
  <c r="CG137" i="13"/>
  <c r="CF137" i="13"/>
  <c r="CE137" i="13"/>
  <c r="CB137" i="13"/>
  <c r="CA137" i="13"/>
  <c r="BZ137" i="13"/>
  <c r="BW137" i="13"/>
  <c r="BV137" i="13"/>
  <c r="BU137" i="13"/>
  <c r="BR137" i="13"/>
  <c r="BQ137" i="13"/>
  <c r="BP137" i="13"/>
  <c r="BM137" i="13"/>
  <c r="BL137" i="13"/>
  <c r="BK137" i="13"/>
  <c r="BH137" i="13"/>
  <c r="BG137" i="13"/>
  <c r="BF137" i="13"/>
  <c r="BC137" i="13"/>
  <c r="BB137" i="13"/>
  <c r="BA137" i="13"/>
  <c r="AX137" i="13"/>
  <c r="AW137" i="13"/>
  <c r="AV137" i="13"/>
  <c r="AS137" i="13"/>
  <c r="AR137" i="13"/>
  <c r="AQ137" i="13"/>
  <c r="AN137" i="13"/>
  <c r="AM137" i="13"/>
  <c r="AL137" i="13"/>
  <c r="CV136" i="13"/>
  <c r="CS136" i="13"/>
  <c r="CQ136" i="13"/>
  <c r="CO136" i="13"/>
  <c r="CL136" i="13"/>
  <c r="CK136" i="13"/>
  <c r="CJ136" i="13"/>
  <c r="CG136" i="13"/>
  <c r="CF136" i="13"/>
  <c r="CE136" i="13"/>
  <c r="CB136" i="13"/>
  <c r="CA136" i="13"/>
  <c r="BZ136" i="13"/>
  <c r="BW136" i="13"/>
  <c r="BV136" i="13"/>
  <c r="BU136" i="13"/>
  <c r="BR136" i="13"/>
  <c r="BQ136" i="13"/>
  <c r="BP136" i="13"/>
  <c r="BM136" i="13"/>
  <c r="BL136" i="13"/>
  <c r="BK136" i="13"/>
  <c r="BH136" i="13"/>
  <c r="BG136" i="13"/>
  <c r="BF136" i="13"/>
  <c r="BC136" i="13"/>
  <c r="BB136" i="13"/>
  <c r="BA136" i="13"/>
  <c r="BD136" i="13" s="1"/>
  <c r="BE136" i="13" s="1"/>
  <c r="AX136" i="13"/>
  <c r="AW136" i="13"/>
  <c r="AV136" i="13"/>
  <c r="AS136" i="13"/>
  <c r="AR136" i="13"/>
  <c r="AQ136" i="13"/>
  <c r="AN136" i="13"/>
  <c r="AM136" i="13"/>
  <c r="AL136" i="13"/>
  <c r="CV135" i="13"/>
  <c r="CS135" i="13"/>
  <c r="CQ135" i="13"/>
  <c r="CO135" i="13"/>
  <c r="CL135" i="13"/>
  <c r="CK135" i="13"/>
  <c r="CJ135" i="13"/>
  <c r="CG135" i="13"/>
  <c r="CF135" i="13"/>
  <c r="CE135" i="13"/>
  <c r="CB135" i="13"/>
  <c r="CA135" i="13"/>
  <c r="BZ135" i="13"/>
  <c r="BW135" i="13"/>
  <c r="BV135" i="13"/>
  <c r="BU135" i="13"/>
  <c r="BR135" i="13"/>
  <c r="BQ135" i="13"/>
  <c r="BP135" i="13"/>
  <c r="BM135" i="13"/>
  <c r="BL135" i="13"/>
  <c r="BK135" i="13"/>
  <c r="BH135" i="13"/>
  <c r="BG135" i="13"/>
  <c r="BF135" i="13"/>
  <c r="BC135" i="13"/>
  <c r="BB135" i="13"/>
  <c r="BA135" i="13"/>
  <c r="AX135" i="13"/>
  <c r="AW135" i="13"/>
  <c r="AV135" i="13"/>
  <c r="AS135" i="13"/>
  <c r="AR135" i="13"/>
  <c r="AQ135" i="13"/>
  <c r="AN135" i="13"/>
  <c r="AM135" i="13"/>
  <c r="AL135" i="13"/>
  <c r="CV134" i="13"/>
  <c r="CS134" i="13"/>
  <c r="CQ134" i="13"/>
  <c r="CO134" i="13"/>
  <c r="CL134" i="13"/>
  <c r="CK134" i="13"/>
  <c r="CJ134" i="13"/>
  <c r="CG134" i="13"/>
  <c r="CF134" i="13"/>
  <c r="CE134" i="13"/>
  <c r="CB134" i="13"/>
  <c r="CA134" i="13"/>
  <c r="BZ134" i="13"/>
  <c r="BW134" i="13"/>
  <c r="BV134" i="13"/>
  <c r="BU134" i="13"/>
  <c r="BR134" i="13"/>
  <c r="BQ134" i="13"/>
  <c r="BP134" i="13"/>
  <c r="BM134" i="13"/>
  <c r="BL134" i="13"/>
  <c r="BK134" i="13"/>
  <c r="BH134" i="13"/>
  <c r="BG134" i="13"/>
  <c r="BF134" i="13"/>
  <c r="BC134" i="13"/>
  <c r="BB134" i="13"/>
  <c r="BA134" i="13"/>
  <c r="AX134" i="13"/>
  <c r="AW134" i="13"/>
  <c r="AV134" i="13"/>
  <c r="AS134" i="13"/>
  <c r="AR134" i="13"/>
  <c r="AQ134" i="13"/>
  <c r="AN134" i="13"/>
  <c r="AM134" i="13"/>
  <c r="AL134" i="13"/>
  <c r="CV133" i="13"/>
  <c r="CS133" i="13"/>
  <c r="CQ133" i="13"/>
  <c r="CO133" i="13"/>
  <c r="CL133" i="13"/>
  <c r="CK133" i="13"/>
  <c r="CJ133" i="13"/>
  <c r="CG133" i="13"/>
  <c r="CF133" i="13"/>
  <c r="CE133" i="13"/>
  <c r="CB133" i="13"/>
  <c r="CA133" i="13"/>
  <c r="BZ133" i="13"/>
  <c r="BW133" i="13"/>
  <c r="BV133" i="13"/>
  <c r="BU133" i="13"/>
  <c r="BR133" i="13"/>
  <c r="BQ133" i="13"/>
  <c r="BP133" i="13"/>
  <c r="BM133" i="13"/>
  <c r="BL133" i="13"/>
  <c r="BK133" i="13"/>
  <c r="BH133" i="13"/>
  <c r="BG133" i="13"/>
  <c r="BF133" i="13"/>
  <c r="BC133" i="13"/>
  <c r="BB133" i="13"/>
  <c r="BA133" i="13"/>
  <c r="AX133" i="13"/>
  <c r="AW133" i="13"/>
  <c r="AV133" i="13"/>
  <c r="AS133" i="13"/>
  <c r="AR133" i="13"/>
  <c r="AQ133" i="13"/>
  <c r="AN133" i="13"/>
  <c r="AM133" i="13"/>
  <c r="AL133" i="13"/>
  <c r="CV132" i="13"/>
  <c r="CS132" i="13"/>
  <c r="CQ132" i="13"/>
  <c r="CO132" i="13"/>
  <c r="CL132" i="13"/>
  <c r="CK132" i="13"/>
  <c r="CJ132" i="13"/>
  <c r="CG132" i="13"/>
  <c r="CF132" i="13"/>
  <c r="CE132" i="13"/>
  <c r="CB132" i="13"/>
  <c r="CA132" i="13"/>
  <c r="BZ132" i="13"/>
  <c r="BW132" i="13"/>
  <c r="BV132" i="13"/>
  <c r="BU132" i="13"/>
  <c r="BR132" i="13"/>
  <c r="BQ132" i="13"/>
  <c r="BP132" i="13"/>
  <c r="BS132" i="13" s="1"/>
  <c r="BT132" i="13" s="1"/>
  <c r="BM132" i="13"/>
  <c r="BL132" i="13"/>
  <c r="BK132" i="13"/>
  <c r="BH132" i="13"/>
  <c r="BG132" i="13"/>
  <c r="BF132" i="13"/>
  <c r="BC132" i="13"/>
  <c r="BB132" i="13"/>
  <c r="BA132" i="13"/>
  <c r="AX132" i="13"/>
  <c r="AW132" i="13"/>
  <c r="AV132" i="13"/>
  <c r="AS132" i="13"/>
  <c r="AR132" i="13"/>
  <c r="AQ132" i="13"/>
  <c r="AN132" i="13"/>
  <c r="AM132" i="13"/>
  <c r="AL132" i="13"/>
  <c r="CV131" i="13"/>
  <c r="CS131" i="13"/>
  <c r="CQ131" i="13"/>
  <c r="CO131" i="13"/>
  <c r="CL131" i="13"/>
  <c r="CK131" i="13"/>
  <c r="CJ131" i="13"/>
  <c r="CG131" i="13"/>
  <c r="CF131" i="13"/>
  <c r="CE131" i="13"/>
  <c r="CB131" i="13"/>
  <c r="CA131" i="13"/>
  <c r="BZ131" i="13"/>
  <c r="CC131" i="13" s="1"/>
  <c r="CD131" i="13" s="1"/>
  <c r="BW131" i="13"/>
  <c r="BV131" i="13"/>
  <c r="BU131" i="13"/>
  <c r="BR131" i="13"/>
  <c r="BQ131" i="13"/>
  <c r="BP131" i="13"/>
  <c r="BM131" i="13"/>
  <c r="BL131" i="13"/>
  <c r="BK131" i="13"/>
  <c r="BH131" i="13"/>
  <c r="BG131" i="13"/>
  <c r="BF131" i="13"/>
  <c r="BC131" i="13"/>
  <c r="BB131" i="13"/>
  <c r="BA131" i="13"/>
  <c r="AX131" i="13"/>
  <c r="AW131" i="13"/>
  <c r="AV131" i="13"/>
  <c r="AS131" i="13"/>
  <c r="AR131" i="13"/>
  <c r="AQ131" i="13"/>
  <c r="AN131" i="13"/>
  <c r="AM131" i="13"/>
  <c r="AL131" i="13"/>
  <c r="CV130" i="13"/>
  <c r="CS130" i="13"/>
  <c r="CQ130" i="13"/>
  <c r="CO130" i="13"/>
  <c r="CL130" i="13"/>
  <c r="CK130" i="13"/>
  <c r="CJ130" i="13"/>
  <c r="CG130" i="13"/>
  <c r="CF130" i="13"/>
  <c r="CE130" i="13"/>
  <c r="CB130" i="13"/>
  <c r="CA130" i="13"/>
  <c r="BZ130" i="13"/>
  <c r="BW130" i="13"/>
  <c r="BV130" i="13"/>
  <c r="BU130" i="13"/>
  <c r="BR130" i="13"/>
  <c r="BQ130" i="13"/>
  <c r="BP130" i="13"/>
  <c r="BM130" i="13"/>
  <c r="BL130" i="13"/>
  <c r="BK130" i="13"/>
  <c r="BH130" i="13"/>
  <c r="BG130" i="13"/>
  <c r="BF130" i="13"/>
  <c r="BC130" i="13"/>
  <c r="BB130" i="13"/>
  <c r="BA130" i="13"/>
  <c r="AX130" i="13"/>
  <c r="AW130" i="13"/>
  <c r="AV130" i="13"/>
  <c r="AY130" i="13" s="1"/>
  <c r="AZ130" i="13" s="1"/>
  <c r="AS130" i="13"/>
  <c r="AR130" i="13"/>
  <c r="AQ130" i="13"/>
  <c r="AN130" i="13"/>
  <c r="AM130" i="13"/>
  <c r="AL130" i="13"/>
  <c r="CV129" i="13"/>
  <c r="CS129" i="13"/>
  <c r="CQ129" i="13"/>
  <c r="CO129" i="13"/>
  <c r="CL129" i="13"/>
  <c r="CK129" i="13"/>
  <c r="CJ129" i="13"/>
  <c r="CG129" i="13"/>
  <c r="CF129" i="13"/>
  <c r="CE129" i="13"/>
  <c r="CB129" i="13"/>
  <c r="CA129" i="13"/>
  <c r="BZ129" i="13"/>
  <c r="BW129" i="13"/>
  <c r="BV129" i="13"/>
  <c r="BU129" i="13"/>
  <c r="BR129" i="13"/>
  <c r="BQ129" i="13"/>
  <c r="BP129" i="13"/>
  <c r="BM129" i="13"/>
  <c r="BL129" i="13"/>
  <c r="BK129" i="13"/>
  <c r="BH129" i="13"/>
  <c r="BG129" i="13"/>
  <c r="BF129" i="13"/>
  <c r="BC129" i="13"/>
  <c r="BB129" i="13"/>
  <c r="BA129" i="13"/>
  <c r="AX129" i="13"/>
  <c r="AW129" i="13"/>
  <c r="AV129" i="13"/>
  <c r="AS129" i="13"/>
  <c r="AR129" i="13"/>
  <c r="AQ129" i="13"/>
  <c r="AN129" i="13"/>
  <c r="AM129" i="13"/>
  <c r="AL129" i="13"/>
  <c r="CV128" i="13"/>
  <c r="CS128" i="13"/>
  <c r="CQ128" i="13"/>
  <c r="CO128" i="13"/>
  <c r="CL128" i="13"/>
  <c r="CK128" i="13"/>
  <c r="CJ128" i="13"/>
  <c r="CG128" i="13"/>
  <c r="CF128" i="13"/>
  <c r="CE128" i="13"/>
  <c r="CB128" i="13"/>
  <c r="CA128" i="13"/>
  <c r="BZ128" i="13"/>
  <c r="BW128" i="13"/>
  <c r="BV128" i="13"/>
  <c r="BU128" i="13"/>
  <c r="BR128" i="13"/>
  <c r="BQ128" i="13"/>
  <c r="BP128" i="13"/>
  <c r="BM128" i="13"/>
  <c r="BL128" i="13"/>
  <c r="BK128" i="13"/>
  <c r="BH128" i="13"/>
  <c r="BG128" i="13"/>
  <c r="BF128" i="13"/>
  <c r="BC128" i="13"/>
  <c r="BB128" i="13"/>
  <c r="BA128" i="13"/>
  <c r="AX128" i="13"/>
  <c r="AW128" i="13"/>
  <c r="AV128" i="13"/>
  <c r="AS128" i="13"/>
  <c r="AR128" i="13"/>
  <c r="AQ128" i="13"/>
  <c r="AN128" i="13"/>
  <c r="AM128" i="13"/>
  <c r="AL128" i="13"/>
  <c r="CV127" i="13"/>
  <c r="CS127" i="13"/>
  <c r="CQ127" i="13"/>
  <c r="CO127" i="13"/>
  <c r="CL127" i="13"/>
  <c r="CK127" i="13"/>
  <c r="CJ127" i="13"/>
  <c r="CG127" i="13"/>
  <c r="CF127" i="13"/>
  <c r="CE127" i="13"/>
  <c r="CB127" i="13"/>
  <c r="CA127" i="13"/>
  <c r="BZ127" i="13"/>
  <c r="CC127" i="13" s="1"/>
  <c r="CD127" i="13" s="1"/>
  <c r="BW127" i="13"/>
  <c r="BV127" i="13"/>
  <c r="BU127" i="13"/>
  <c r="BR127" i="13"/>
  <c r="BQ127" i="13"/>
  <c r="BP127" i="13"/>
  <c r="BM127" i="13"/>
  <c r="BL127" i="13"/>
  <c r="BK127" i="13"/>
  <c r="BH127" i="13"/>
  <c r="BG127" i="13"/>
  <c r="BF127" i="13"/>
  <c r="BC127" i="13"/>
  <c r="BB127" i="13"/>
  <c r="BA127" i="13"/>
  <c r="AX127" i="13"/>
  <c r="AW127" i="13"/>
  <c r="AV127" i="13"/>
  <c r="AS127" i="13"/>
  <c r="AR127" i="13"/>
  <c r="AQ127" i="13"/>
  <c r="AN127" i="13"/>
  <c r="AM127" i="13"/>
  <c r="AL127" i="13"/>
  <c r="CV126" i="13"/>
  <c r="CS126" i="13"/>
  <c r="CQ126" i="13"/>
  <c r="CO126" i="13"/>
  <c r="CL126" i="13"/>
  <c r="CK126" i="13"/>
  <c r="CJ126" i="13"/>
  <c r="CG126" i="13"/>
  <c r="CF126" i="13"/>
  <c r="CE126" i="13"/>
  <c r="CB126" i="13"/>
  <c r="CA126" i="13"/>
  <c r="BZ126" i="13"/>
  <c r="BW126" i="13"/>
  <c r="BV126" i="13"/>
  <c r="BU126" i="13"/>
  <c r="BR126" i="13"/>
  <c r="BQ126" i="13"/>
  <c r="BP126" i="13"/>
  <c r="BM126" i="13"/>
  <c r="BL126" i="13"/>
  <c r="BK126" i="13"/>
  <c r="BH126" i="13"/>
  <c r="BG126" i="13"/>
  <c r="BF126" i="13"/>
  <c r="BC126" i="13"/>
  <c r="BB126" i="13"/>
  <c r="BA126" i="13"/>
  <c r="AX126" i="13"/>
  <c r="AW126" i="13"/>
  <c r="AV126" i="13"/>
  <c r="AS126" i="13"/>
  <c r="AR126" i="13"/>
  <c r="AQ126" i="13"/>
  <c r="AN126" i="13"/>
  <c r="AM126" i="13"/>
  <c r="AL126" i="13"/>
  <c r="CV125" i="13"/>
  <c r="CS125" i="13"/>
  <c r="CQ125" i="13"/>
  <c r="CO125" i="13"/>
  <c r="CL125" i="13"/>
  <c r="CK125" i="13"/>
  <c r="CJ125" i="13"/>
  <c r="CG125" i="13"/>
  <c r="CF125" i="13"/>
  <c r="CE125" i="13"/>
  <c r="CB125" i="13"/>
  <c r="CA125" i="13"/>
  <c r="BZ125" i="13"/>
  <c r="BW125" i="13"/>
  <c r="BV125" i="13"/>
  <c r="BU125" i="13"/>
  <c r="BR125" i="13"/>
  <c r="BQ125" i="13"/>
  <c r="BP125" i="13"/>
  <c r="BM125" i="13"/>
  <c r="BL125" i="13"/>
  <c r="BK125" i="13"/>
  <c r="BH125" i="13"/>
  <c r="BG125" i="13"/>
  <c r="BF125" i="13"/>
  <c r="BC125" i="13"/>
  <c r="BB125" i="13"/>
  <c r="BA125" i="13"/>
  <c r="AX125" i="13"/>
  <c r="AW125" i="13"/>
  <c r="AV125" i="13"/>
  <c r="AS125" i="13"/>
  <c r="AR125" i="13"/>
  <c r="AQ125" i="13"/>
  <c r="AN125" i="13"/>
  <c r="AM125" i="13"/>
  <c r="AL125" i="13"/>
  <c r="CV124" i="13"/>
  <c r="CS124" i="13"/>
  <c r="CQ124" i="13"/>
  <c r="CO124" i="13"/>
  <c r="CL124" i="13"/>
  <c r="CK124" i="13"/>
  <c r="CJ124" i="13"/>
  <c r="CG124" i="13"/>
  <c r="CF124" i="13"/>
  <c r="CE124" i="13"/>
  <c r="CB124" i="13"/>
  <c r="CA124" i="13"/>
  <c r="BZ124" i="13"/>
  <c r="BW124" i="13"/>
  <c r="BV124" i="13"/>
  <c r="BU124" i="13"/>
  <c r="BR124" i="13"/>
  <c r="BQ124" i="13"/>
  <c r="BP124" i="13"/>
  <c r="BM124" i="13"/>
  <c r="BL124" i="13"/>
  <c r="BK124" i="13"/>
  <c r="BH124" i="13"/>
  <c r="BG124" i="13"/>
  <c r="BF124" i="13"/>
  <c r="BC124" i="13"/>
  <c r="BB124" i="13"/>
  <c r="BA124" i="13"/>
  <c r="AX124" i="13"/>
  <c r="AW124" i="13"/>
  <c r="AV124" i="13"/>
  <c r="AS124" i="13"/>
  <c r="AR124" i="13"/>
  <c r="AQ124" i="13"/>
  <c r="AN124" i="13"/>
  <c r="AM124" i="13"/>
  <c r="AL124" i="13"/>
  <c r="CV123" i="13"/>
  <c r="CS123" i="13"/>
  <c r="CQ123" i="13"/>
  <c r="CO123" i="13"/>
  <c r="CL123" i="13"/>
  <c r="CK123" i="13"/>
  <c r="CJ123" i="13"/>
  <c r="CG123" i="13"/>
  <c r="CF123" i="13"/>
  <c r="CE123" i="13"/>
  <c r="CB123" i="13"/>
  <c r="CA123" i="13"/>
  <c r="BZ123" i="13"/>
  <c r="BW123" i="13"/>
  <c r="BV123" i="13"/>
  <c r="BU123" i="13"/>
  <c r="BR123" i="13"/>
  <c r="BQ123" i="13"/>
  <c r="BP123" i="13"/>
  <c r="BM123" i="13"/>
  <c r="BL123" i="13"/>
  <c r="BK123" i="13"/>
  <c r="BH123" i="13"/>
  <c r="BG123" i="13"/>
  <c r="BF123" i="13"/>
  <c r="BC123" i="13"/>
  <c r="BB123" i="13"/>
  <c r="BA123" i="13"/>
  <c r="AX123" i="13"/>
  <c r="AW123" i="13"/>
  <c r="AV123" i="13"/>
  <c r="AS123" i="13"/>
  <c r="AR123" i="13"/>
  <c r="AQ123" i="13"/>
  <c r="AN123" i="13"/>
  <c r="AM123" i="13"/>
  <c r="AL123" i="13"/>
  <c r="CV122" i="13"/>
  <c r="CS122" i="13"/>
  <c r="CQ122" i="13"/>
  <c r="CO122" i="13"/>
  <c r="CL122" i="13"/>
  <c r="CK122" i="13"/>
  <c r="CJ122" i="13"/>
  <c r="CG122" i="13"/>
  <c r="CF122" i="13"/>
  <c r="CE122" i="13"/>
  <c r="CB122" i="13"/>
  <c r="CA122" i="13"/>
  <c r="BZ122" i="13"/>
  <c r="BW122" i="13"/>
  <c r="BV122" i="13"/>
  <c r="BU122" i="13"/>
  <c r="BR122" i="13"/>
  <c r="BQ122" i="13"/>
  <c r="BP122" i="13"/>
  <c r="BM122" i="13"/>
  <c r="BL122" i="13"/>
  <c r="BK122" i="13"/>
  <c r="BH122" i="13"/>
  <c r="BG122" i="13"/>
  <c r="BF122" i="13"/>
  <c r="BC122" i="13"/>
  <c r="BB122" i="13"/>
  <c r="BA122" i="13"/>
  <c r="AX122" i="13"/>
  <c r="AW122" i="13"/>
  <c r="AV122" i="13"/>
  <c r="AS122" i="13"/>
  <c r="AR122" i="13"/>
  <c r="AQ122" i="13"/>
  <c r="AN122" i="13"/>
  <c r="AM122" i="13"/>
  <c r="AL122" i="13"/>
  <c r="CV121" i="13"/>
  <c r="CS121" i="13"/>
  <c r="CQ121" i="13"/>
  <c r="CO121" i="13"/>
  <c r="CL121" i="13"/>
  <c r="CK121" i="13"/>
  <c r="CJ121" i="13"/>
  <c r="CG121" i="13"/>
  <c r="CF121" i="13"/>
  <c r="CE121" i="13"/>
  <c r="CB121" i="13"/>
  <c r="CA121" i="13"/>
  <c r="BZ121" i="13"/>
  <c r="BW121" i="13"/>
  <c r="BV121" i="13"/>
  <c r="BU121" i="13"/>
  <c r="BR121" i="13"/>
  <c r="BQ121" i="13"/>
  <c r="BP121" i="13"/>
  <c r="BM121" i="13"/>
  <c r="BL121" i="13"/>
  <c r="BK121" i="13"/>
  <c r="BH121" i="13"/>
  <c r="BG121" i="13"/>
  <c r="BF121" i="13"/>
  <c r="BC121" i="13"/>
  <c r="BB121" i="13"/>
  <c r="BA121" i="13"/>
  <c r="AX121" i="13"/>
  <c r="AW121" i="13"/>
  <c r="AV121" i="13"/>
  <c r="AS121" i="13"/>
  <c r="AR121" i="13"/>
  <c r="AQ121" i="13"/>
  <c r="AN121" i="13"/>
  <c r="AM121" i="13"/>
  <c r="AL121" i="13"/>
  <c r="CV120" i="13"/>
  <c r="CS120" i="13"/>
  <c r="CQ120" i="13"/>
  <c r="CO120" i="13"/>
  <c r="CL120" i="13"/>
  <c r="CK120" i="13"/>
  <c r="CJ120" i="13"/>
  <c r="CG120" i="13"/>
  <c r="CF120" i="13"/>
  <c r="CE120" i="13"/>
  <c r="CB120" i="13"/>
  <c r="CA120" i="13"/>
  <c r="BZ120" i="13"/>
  <c r="BW120" i="13"/>
  <c r="BV120" i="13"/>
  <c r="BU120" i="13"/>
  <c r="BR120" i="13"/>
  <c r="BQ120" i="13"/>
  <c r="BP120" i="13"/>
  <c r="BM120" i="13"/>
  <c r="BL120" i="13"/>
  <c r="BK120" i="13"/>
  <c r="BH120" i="13"/>
  <c r="BG120" i="13"/>
  <c r="BF120" i="13"/>
  <c r="BC120" i="13"/>
  <c r="BB120" i="13"/>
  <c r="BA120" i="13"/>
  <c r="AX120" i="13"/>
  <c r="AW120" i="13"/>
  <c r="AV120" i="13"/>
  <c r="AS120" i="13"/>
  <c r="AR120" i="13"/>
  <c r="AQ120" i="13"/>
  <c r="AN120" i="13"/>
  <c r="AM120" i="13"/>
  <c r="AL120" i="13"/>
  <c r="CV119" i="13"/>
  <c r="CS119" i="13"/>
  <c r="CQ119" i="13"/>
  <c r="CO119" i="13"/>
  <c r="CL119" i="13"/>
  <c r="CK119" i="13"/>
  <c r="CJ119" i="13"/>
  <c r="CG119" i="13"/>
  <c r="CF119" i="13"/>
  <c r="CE119" i="13"/>
  <c r="CB119" i="13"/>
  <c r="CA119" i="13"/>
  <c r="BZ119" i="13"/>
  <c r="BW119" i="13"/>
  <c r="BV119" i="13"/>
  <c r="BU119" i="13"/>
  <c r="BR119" i="13"/>
  <c r="BQ119" i="13"/>
  <c r="BP119" i="13"/>
  <c r="BM119" i="13"/>
  <c r="BL119" i="13"/>
  <c r="BK119" i="13"/>
  <c r="BH119" i="13"/>
  <c r="BG119" i="13"/>
  <c r="BF119" i="13"/>
  <c r="BC119" i="13"/>
  <c r="BB119" i="13"/>
  <c r="BA119" i="13"/>
  <c r="AX119" i="13"/>
  <c r="AW119" i="13"/>
  <c r="AV119" i="13"/>
  <c r="AS119" i="13"/>
  <c r="AR119" i="13"/>
  <c r="AQ119" i="13"/>
  <c r="AN119" i="13"/>
  <c r="AM119" i="13"/>
  <c r="AL119" i="13"/>
  <c r="CV118" i="13"/>
  <c r="CS118" i="13"/>
  <c r="CQ118" i="13"/>
  <c r="CO118" i="13"/>
  <c r="CL118" i="13"/>
  <c r="CK118" i="13"/>
  <c r="CJ118" i="13"/>
  <c r="CG118" i="13"/>
  <c r="CF118" i="13"/>
  <c r="CE118" i="13"/>
  <c r="CB118" i="13"/>
  <c r="CA118" i="13"/>
  <c r="BZ118" i="13"/>
  <c r="BW118" i="13"/>
  <c r="BV118" i="13"/>
  <c r="BU118" i="13"/>
  <c r="BR118" i="13"/>
  <c r="BQ118" i="13"/>
  <c r="BP118" i="13"/>
  <c r="BS118" i="13" s="1"/>
  <c r="BT118" i="13" s="1"/>
  <c r="BM118" i="13"/>
  <c r="BL118" i="13"/>
  <c r="BK118" i="13"/>
  <c r="BH118" i="13"/>
  <c r="BG118" i="13"/>
  <c r="BF118" i="13"/>
  <c r="BC118" i="13"/>
  <c r="BB118" i="13"/>
  <c r="BA118" i="13"/>
  <c r="AX118" i="13"/>
  <c r="AW118" i="13"/>
  <c r="AV118" i="13"/>
  <c r="AS118" i="13"/>
  <c r="AR118" i="13"/>
  <c r="AQ118" i="13"/>
  <c r="AN118" i="13"/>
  <c r="AM118" i="13"/>
  <c r="AL118" i="13"/>
  <c r="CV117" i="13"/>
  <c r="CS117" i="13"/>
  <c r="CQ117" i="13"/>
  <c r="CO117" i="13"/>
  <c r="CL117" i="13"/>
  <c r="CK117" i="13"/>
  <c r="CJ117" i="13"/>
  <c r="CG117" i="13"/>
  <c r="CF117" i="13"/>
  <c r="CE117" i="13"/>
  <c r="CB117" i="13"/>
  <c r="CA117" i="13"/>
  <c r="BZ117" i="13"/>
  <c r="CC117" i="13" s="1"/>
  <c r="CD117" i="13" s="1"/>
  <c r="BW117" i="13"/>
  <c r="BV117" i="13"/>
  <c r="BU117" i="13"/>
  <c r="BR117" i="13"/>
  <c r="BQ117" i="13"/>
  <c r="BP117" i="13"/>
  <c r="BM117" i="13"/>
  <c r="BL117" i="13"/>
  <c r="BK117" i="13"/>
  <c r="BH117" i="13"/>
  <c r="BG117" i="13"/>
  <c r="BF117" i="13"/>
  <c r="BI117" i="13" s="1"/>
  <c r="BJ117" i="13" s="1"/>
  <c r="BC117" i="13"/>
  <c r="BB117" i="13"/>
  <c r="BA117" i="13"/>
  <c r="AX117" i="13"/>
  <c r="AW117" i="13"/>
  <c r="AV117" i="13"/>
  <c r="AS117" i="13"/>
  <c r="AR117" i="13"/>
  <c r="AQ117" i="13"/>
  <c r="AN117" i="13"/>
  <c r="AM117" i="13"/>
  <c r="AL117" i="13"/>
  <c r="CV116" i="13"/>
  <c r="CS116" i="13"/>
  <c r="CQ116" i="13"/>
  <c r="CO116" i="13"/>
  <c r="CL116" i="13"/>
  <c r="CK116" i="13"/>
  <c r="CJ116" i="13"/>
  <c r="CM116" i="13" s="1"/>
  <c r="Z116" i="13" s="1"/>
  <c r="CG116" i="13"/>
  <c r="CF116" i="13"/>
  <c r="CE116" i="13"/>
  <c r="CB116" i="13"/>
  <c r="CA116" i="13"/>
  <c r="BZ116" i="13"/>
  <c r="BW116" i="13"/>
  <c r="BV116" i="13"/>
  <c r="BU116" i="13"/>
  <c r="BR116" i="13"/>
  <c r="BQ116" i="13"/>
  <c r="BP116" i="13"/>
  <c r="BM116" i="13"/>
  <c r="BL116" i="13"/>
  <c r="BK116" i="13"/>
  <c r="BH116" i="13"/>
  <c r="BG116" i="13"/>
  <c r="BF116" i="13"/>
  <c r="BC116" i="13"/>
  <c r="BB116" i="13"/>
  <c r="BA116" i="13"/>
  <c r="AX116" i="13"/>
  <c r="AW116" i="13"/>
  <c r="AV116" i="13"/>
  <c r="AS116" i="13"/>
  <c r="AR116" i="13"/>
  <c r="AQ116" i="13"/>
  <c r="AN116" i="13"/>
  <c r="AM116" i="13"/>
  <c r="AL116" i="13"/>
  <c r="CV115" i="13"/>
  <c r="CS115" i="13"/>
  <c r="CQ115" i="13"/>
  <c r="CO115" i="13"/>
  <c r="CL115" i="13"/>
  <c r="CK115" i="13"/>
  <c r="CJ115" i="13"/>
  <c r="CG115" i="13"/>
  <c r="CF115" i="13"/>
  <c r="CE115" i="13"/>
  <c r="CB115" i="13"/>
  <c r="CA115" i="13"/>
  <c r="BZ115" i="13"/>
  <c r="BW115" i="13"/>
  <c r="BV115" i="13"/>
  <c r="BU115" i="13"/>
  <c r="BR115" i="13"/>
  <c r="BQ115" i="13"/>
  <c r="BP115" i="13"/>
  <c r="BM115" i="13"/>
  <c r="BL115" i="13"/>
  <c r="BK115" i="13"/>
  <c r="BH115" i="13"/>
  <c r="BG115" i="13"/>
  <c r="BF115" i="13"/>
  <c r="BI115" i="13" s="1"/>
  <c r="BJ115" i="13" s="1"/>
  <c r="BC115" i="13"/>
  <c r="BB115" i="13"/>
  <c r="BA115" i="13"/>
  <c r="AX115" i="13"/>
  <c r="AW115" i="13"/>
  <c r="AV115" i="13"/>
  <c r="AS115" i="13"/>
  <c r="AR115" i="13"/>
  <c r="AQ115" i="13"/>
  <c r="AN115" i="13"/>
  <c r="AM115" i="13"/>
  <c r="AL115" i="13"/>
  <c r="CV114" i="13"/>
  <c r="CS114" i="13"/>
  <c r="CQ114" i="13"/>
  <c r="CO114" i="13"/>
  <c r="CL114" i="13"/>
  <c r="CK114" i="13"/>
  <c r="CJ114" i="13"/>
  <c r="CG114" i="13"/>
  <c r="CF114" i="13"/>
  <c r="CE114" i="13"/>
  <c r="CB114" i="13"/>
  <c r="CA114" i="13"/>
  <c r="BZ114" i="13"/>
  <c r="BW114" i="13"/>
  <c r="BV114" i="13"/>
  <c r="BU114" i="13"/>
  <c r="BR114" i="13"/>
  <c r="BQ114" i="13"/>
  <c r="BP114" i="13"/>
  <c r="BS114" i="13" s="1"/>
  <c r="BT114" i="13" s="1"/>
  <c r="BM114" i="13"/>
  <c r="BL114" i="13"/>
  <c r="BK114" i="13"/>
  <c r="BH114" i="13"/>
  <c r="BG114" i="13"/>
  <c r="BF114" i="13"/>
  <c r="BC114" i="13"/>
  <c r="BB114" i="13"/>
  <c r="BA114" i="13"/>
  <c r="AX114" i="13"/>
  <c r="AW114" i="13"/>
  <c r="AV114" i="13"/>
  <c r="AY114" i="13" s="1"/>
  <c r="AZ114" i="13" s="1"/>
  <c r="AS114" i="13"/>
  <c r="AR114" i="13"/>
  <c r="AQ114" i="13"/>
  <c r="AN114" i="13"/>
  <c r="AM114" i="13"/>
  <c r="AL114" i="13"/>
  <c r="CV113" i="13"/>
  <c r="CS113" i="13"/>
  <c r="CQ113" i="13"/>
  <c r="CO113" i="13"/>
  <c r="CL113" i="13"/>
  <c r="CK113" i="13"/>
  <c r="CJ113" i="13"/>
  <c r="CG113" i="13"/>
  <c r="CF113" i="13"/>
  <c r="CE113" i="13"/>
  <c r="CB113" i="13"/>
  <c r="CA113" i="13"/>
  <c r="BZ113" i="13"/>
  <c r="BW113" i="13"/>
  <c r="BV113" i="13"/>
  <c r="BU113" i="13"/>
  <c r="BR113" i="13"/>
  <c r="BQ113" i="13"/>
  <c r="BP113" i="13"/>
  <c r="BM113" i="13"/>
  <c r="BL113" i="13"/>
  <c r="BK113" i="13"/>
  <c r="BH113" i="13"/>
  <c r="BG113" i="13"/>
  <c r="BF113" i="13"/>
  <c r="BC113" i="13"/>
  <c r="BB113" i="13"/>
  <c r="BA113" i="13"/>
  <c r="AX113" i="13"/>
  <c r="AW113" i="13"/>
  <c r="AV113" i="13"/>
  <c r="AS113" i="13"/>
  <c r="AR113" i="13"/>
  <c r="AQ113" i="13"/>
  <c r="AN113" i="13"/>
  <c r="AM113" i="13"/>
  <c r="AL113" i="13"/>
  <c r="CV112" i="13"/>
  <c r="CS112" i="13"/>
  <c r="CQ112" i="13"/>
  <c r="CO112" i="13"/>
  <c r="CL112" i="13"/>
  <c r="CK112" i="13"/>
  <c r="CJ112" i="13"/>
  <c r="CG112" i="13"/>
  <c r="CF112" i="13"/>
  <c r="CE112" i="13"/>
  <c r="CB112" i="13"/>
  <c r="CA112" i="13"/>
  <c r="BZ112" i="13"/>
  <c r="BW112" i="13"/>
  <c r="BV112" i="13"/>
  <c r="BU112" i="13"/>
  <c r="BR112" i="13"/>
  <c r="BQ112" i="13"/>
  <c r="BP112" i="13"/>
  <c r="BM112" i="13"/>
  <c r="BL112" i="13"/>
  <c r="BK112" i="13"/>
  <c r="BH112" i="13"/>
  <c r="BG112" i="13"/>
  <c r="BF112" i="13"/>
  <c r="BC112" i="13"/>
  <c r="BB112" i="13"/>
  <c r="BA112" i="13"/>
  <c r="AX112" i="13"/>
  <c r="AW112" i="13"/>
  <c r="AV112" i="13"/>
  <c r="AS112" i="13"/>
  <c r="AR112" i="13"/>
  <c r="AQ112" i="13"/>
  <c r="AN112" i="13"/>
  <c r="AM112" i="13"/>
  <c r="AL112" i="13"/>
  <c r="CV111" i="13"/>
  <c r="CS111" i="13"/>
  <c r="CQ111" i="13"/>
  <c r="CO111" i="13"/>
  <c r="CL111" i="13"/>
  <c r="CK111" i="13"/>
  <c r="CJ111" i="13"/>
  <c r="CG111" i="13"/>
  <c r="CF111" i="13"/>
  <c r="CE111" i="13"/>
  <c r="CB111" i="13"/>
  <c r="CA111" i="13"/>
  <c r="BZ111" i="13"/>
  <c r="BW111" i="13"/>
  <c r="BV111" i="13"/>
  <c r="BU111" i="13"/>
  <c r="BR111" i="13"/>
  <c r="BQ111" i="13"/>
  <c r="BP111" i="13"/>
  <c r="BM111" i="13"/>
  <c r="BL111" i="13"/>
  <c r="BK111" i="13"/>
  <c r="BH111" i="13"/>
  <c r="BG111" i="13"/>
  <c r="BF111" i="13"/>
  <c r="BC111" i="13"/>
  <c r="BB111" i="13"/>
  <c r="BA111" i="13"/>
  <c r="AX111" i="13"/>
  <c r="AW111" i="13"/>
  <c r="AV111" i="13"/>
  <c r="AS111" i="13"/>
  <c r="AR111" i="13"/>
  <c r="AQ111" i="13"/>
  <c r="AN111" i="13"/>
  <c r="AM111" i="13"/>
  <c r="AL111" i="13"/>
  <c r="CV110" i="13"/>
  <c r="CS110" i="13"/>
  <c r="CQ110" i="13"/>
  <c r="CO110" i="13"/>
  <c r="CL110" i="13"/>
  <c r="CK110" i="13"/>
  <c r="CJ110" i="13"/>
  <c r="CG110" i="13"/>
  <c r="CF110" i="13"/>
  <c r="CE110" i="13"/>
  <c r="CB110" i="13"/>
  <c r="CA110" i="13"/>
  <c r="BZ110" i="13"/>
  <c r="BW110" i="13"/>
  <c r="BV110" i="13"/>
  <c r="BU110" i="13"/>
  <c r="BR110" i="13"/>
  <c r="BQ110" i="13"/>
  <c r="BP110" i="13"/>
  <c r="BM110" i="13"/>
  <c r="BL110" i="13"/>
  <c r="BK110" i="13"/>
  <c r="BH110" i="13"/>
  <c r="BG110" i="13"/>
  <c r="BF110" i="13"/>
  <c r="BC110" i="13"/>
  <c r="BB110" i="13"/>
  <c r="BA110" i="13"/>
  <c r="AX110" i="13"/>
  <c r="AW110" i="13"/>
  <c r="AV110" i="13"/>
  <c r="AS110" i="13"/>
  <c r="AR110" i="13"/>
  <c r="AQ110" i="13"/>
  <c r="AN110" i="13"/>
  <c r="AM110" i="13"/>
  <c r="AL110" i="13"/>
  <c r="CV109" i="13"/>
  <c r="CS109" i="13"/>
  <c r="CQ109" i="13"/>
  <c r="CO109" i="13"/>
  <c r="CL109" i="13"/>
  <c r="CK109" i="13"/>
  <c r="CJ109" i="13"/>
  <c r="CG109" i="13"/>
  <c r="CF109" i="13"/>
  <c r="CE109" i="13"/>
  <c r="CB109" i="13"/>
  <c r="CA109" i="13"/>
  <c r="BZ109" i="13"/>
  <c r="CC109" i="13" s="1"/>
  <c r="CD109" i="13" s="1"/>
  <c r="BW109" i="13"/>
  <c r="BV109" i="13"/>
  <c r="BU109" i="13"/>
  <c r="BR109" i="13"/>
  <c r="BQ109" i="13"/>
  <c r="BP109" i="13"/>
  <c r="BM109" i="13"/>
  <c r="BL109" i="13"/>
  <c r="BK109" i="13"/>
  <c r="BH109" i="13"/>
  <c r="BG109" i="13"/>
  <c r="BF109" i="13"/>
  <c r="BC109" i="13"/>
  <c r="BB109" i="13"/>
  <c r="BA109" i="13"/>
  <c r="AX109" i="13"/>
  <c r="AW109" i="13"/>
  <c r="AV109" i="13"/>
  <c r="AS109" i="13"/>
  <c r="AR109" i="13"/>
  <c r="AQ109" i="13"/>
  <c r="AN109" i="13"/>
  <c r="AM109" i="13"/>
  <c r="AL109" i="13"/>
  <c r="CV108" i="13"/>
  <c r="CS108" i="13"/>
  <c r="CQ108" i="13"/>
  <c r="CO108" i="13"/>
  <c r="CL108" i="13"/>
  <c r="CK108" i="13"/>
  <c r="CJ108" i="13"/>
  <c r="CG108" i="13"/>
  <c r="CF108" i="13"/>
  <c r="CE108" i="13"/>
  <c r="CB108" i="13"/>
  <c r="CA108" i="13"/>
  <c r="BZ108" i="13"/>
  <c r="BW108" i="13"/>
  <c r="BV108" i="13"/>
  <c r="BU108" i="13"/>
  <c r="BR108" i="13"/>
  <c r="BQ108" i="13"/>
  <c r="BP108" i="13"/>
  <c r="BM108" i="13"/>
  <c r="BL108" i="13"/>
  <c r="BK108" i="13"/>
  <c r="BH108" i="13"/>
  <c r="BG108" i="13"/>
  <c r="BF108" i="13"/>
  <c r="BC108" i="13"/>
  <c r="BB108" i="13"/>
  <c r="BA108" i="13"/>
  <c r="AX108" i="13"/>
  <c r="AW108" i="13"/>
  <c r="AV108" i="13"/>
  <c r="AY108" i="13" s="1"/>
  <c r="AZ108" i="13" s="1"/>
  <c r="AS108" i="13"/>
  <c r="AR108" i="13"/>
  <c r="AQ108" i="13"/>
  <c r="AN108" i="13"/>
  <c r="AM108" i="13"/>
  <c r="AL108" i="13"/>
  <c r="CV107" i="13"/>
  <c r="CS107" i="13"/>
  <c r="CQ107" i="13"/>
  <c r="CO107" i="13"/>
  <c r="CL107" i="13"/>
  <c r="CK107" i="13"/>
  <c r="CJ107" i="13"/>
  <c r="CG107" i="13"/>
  <c r="CF107" i="13"/>
  <c r="CE107" i="13"/>
  <c r="CB107" i="13"/>
  <c r="CA107" i="13"/>
  <c r="BZ107" i="13"/>
  <c r="BW107" i="13"/>
  <c r="BV107" i="13"/>
  <c r="BU107" i="13"/>
  <c r="BR107" i="13"/>
  <c r="BQ107" i="13"/>
  <c r="BP107" i="13"/>
  <c r="BM107" i="13"/>
  <c r="BL107" i="13"/>
  <c r="BK107" i="13"/>
  <c r="BH107" i="13"/>
  <c r="BG107" i="13"/>
  <c r="BF107" i="13"/>
  <c r="BI107" i="13" s="1"/>
  <c r="BJ107" i="13" s="1"/>
  <c r="BC107" i="13"/>
  <c r="BB107" i="13"/>
  <c r="BA107" i="13"/>
  <c r="AX107" i="13"/>
  <c r="AW107" i="13"/>
  <c r="AV107" i="13"/>
  <c r="AS107" i="13"/>
  <c r="AR107" i="13"/>
  <c r="AQ107" i="13"/>
  <c r="AN107" i="13"/>
  <c r="AM107" i="13"/>
  <c r="AL107" i="13"/>
  <c r="CV106" i="13"/>
  <c r="CS106" i="13"/>
  <c r="CQ106" i="13"/>
  <c r="CO106" i="13"/>
  <c r="CL106" i="13"/>
  <c r="CK106" i="13"/>
  <c r="CJ106" i="13"/>
  <c r="CG106" i="13"/>
  <c r="CF106" i="13"/>
  <c r="CE106" i="13"/>
  <c r="CB106" i="13"/>
  <c r="CA106" i="13"/>
  <c r="BZ106" i="13"/>
  <c r="BW106" i="13"/>
  <c r="BV106" i="13"/>
  <c r="BU106" i="13"/>
  <c r="BR106" i="13"/>
  <c r="BQ106" i="13"/>
  <c r="BP106" i="13"/>
  <c r="BS106" i="13" s="1"/>
  <c r="BT106" i="13" s="1"/>
  <c r="BM106" i="13"/>
  <c r="BL106" i="13"/>
  <c r="BK106" i="13"/>
  <c r="BH106" i="13"/>
  <c r="BG106" i="13"/>
  <c r="BF106" i="13"/>
  <c r="BC106" i="13"/>
  <c r="BB106" i="13"/>
  <c r="BA106" i="13"/>
  <c r="AX106" i="13"/>
  <c r="AW106" i="13"/>
  <c r="AV106" i="13"/>
  <c r="AS106" i="13"/>
  <c r="AR106" i="13"/>
  <c r="AQ106" i="13"/>
  <c r="AN106" i="13"/>
  <c r="AM106" i="13"/>
  <c r="AL106" i="13"/>
  <c r="CV105" i="13"/>
  <c r="CS105" i="13"/>
  <c r="CQ105" i="13"/>
  <c r="CO105" i="13"/>
  <c r="CL105" i="13"/>
  <c r="CK105" i="13"/>
  <c r="CJ105" i="13"/>
  <c r="CG105" i="13"/>
  <c r="CF105" i="13"/>
  <c r="CE105" i="13"/>
  <c r="CB105" i="13"/>
  <c r="CA105" i="13"/>
  <c r="BZ105" i="13"/>
  <c r="CC105" i="13" s="1"/>
  <c r="CD105" i="13" s="1"/>
  <c r="BW105" i="13"/>
  <c r="BV105" i="13"/>
  <c r="BU105" i="13"/>
  <c r="BR105" i="13"/>
  <c r="BQ105" i="13"/>
  <c r="BP105" i="13"/>
  <c r="BM105" i="13"/>
  <c r="BL105" i="13"/>
  <c r="BK105" i="13"/>
  <c r="BH105" i="13"/>
  <c r="BG105" i="13"/>
  <c r="BF105" i="13"/>
  <c r="BC105" i="13"/>
  <c r="BB105" i="13"/>
  <c r="BA105" i="13"/>
  <c r="AX105" i="13"/>
  <c r="AW105" i="13"/>
  <c r="AV105" i="13"/>
  <c r="AS105" i="13"/>
  <c r="AR105" i="13"/>
  <c r="AQ105" i="13"/>
  <c r="AN105" i="13"/>
  <c r="AM105" i="13"/>
  <c r="AL105" i="13"/>
  <c r="CV104" i="13"/>
  <c r="CS104" i="13"/>
  <c r="CQ104" i="13"/>
  <c r="CO104" i="13"/>
  <c r="CL104" i="13"/>
  <c r="CK104" i="13"/>
  <c r="CJ104" i="13"/>
  <c r="CM104" i="13" s="1"/>
  <c r="Z104" i="13" s="1"/>
  <c r="CG104" i="13"/>
  <c r="CF104" i="13"/>
  <c r="CE104" i="13"/>
  <c r="CB104" i="13"/>
  <c r="CA104" i="13"/>
  <c r="BZ104" i="13"/>
  <c r="BW104" i="13"/>
  <c r="BV104" i="13"/>
  <c r="BU104" i="13"/>
  <c r="BR104" i="13"/>
  <c r="BQ104" i="13"/>
  <c r="BP104" i="13"/>
  <c r="BM104" i="13"/>
  <c r="BL104" i="13"/>
  <c r="BK104" i="13"/>
  <c r="BH104" i="13"/>
  <c r="BG104" i="13"/>
  <c r="BF104" i="13"/>
  <c r="BC104" i="13"/>
  <c r="BB104" i="13"/>
  <c r="BA104" i="13"/>
  <c r="AX104" i="13"/>
  <c r="AW104" i="13"/>
  <c r="AV104" i="13"/>
  <c r="AY104" i="13" s="1"/>
  <c r="AZ104" i="13" s="1"/>
  <c r="AS104" i="13"/>
  <c r="AR104" i="13"/>
  <c r="AQ104" i="13"/>
  <c r="AN104" i="13"/>
  <c r="AM104" i="13"/>
  <c r="AL104" i="13"/>
  <c r="CV103" i="13"/>
  <c r="CS103" i="13"/>
  <c r="CQ103" i="13"/>
  <c r="CO103" i="13"/>
  <c r="CL103" i="13"/>
  <c r="CK103" i="13"/>
  <c r="CJ103" i="13"/>
  <c r="CG103" i="13"/>
  <c r="CF103" i="13"/>
  <c r="CE103" i="13"/>
  <c r="CB103" i="13"/>
  <c r="CA103" i="13"/>
  <c r="BZ103" i="13"/>
  <c r="BW103" i="13"/>
  <c r="BV103" i="13"/>
  <c r="BU103" i="13"/>
  <c r="BR103" i="13"/>
  <c r="BQ103" i="13"/>
  <c r="BP103" i="13"/>
  <c r="BM103" i="13"/>
  <c r="BL103" i="13"/>
  <c r="BK103" i="13"/>
  <c r="BH103" i="13"/>
  <c r="BG103" i="13"/>
  <c r="BF103" i="13"/>
  <c r="BI103" i="13" s="1"/>
  <c r="BJ103" i="13" s="1"/>
  <c r="BC103" i="13"/>
  <c r="BB103" i="13"/>
  <c r="BA103" i="13"/>
  <c r="AX103" i="13"/>
  <c r="AW103" i="13"/>
  <c r="AV103" i="13"/>
  <c r="AS103" i="13"/>
  <c r="AR103" i="13"/>
  <c r="AQ103" i="13"/>
  <c r="AN103" i="13"/>
  <c r="AM103" i="13"/>
  <c r="AL103" i="13"/>
  <c r="CV102" i="13"/>
  <c r="AC102" i="13" s="1"/>
  <c r="CS102" i="13"/>
  <c r="CQ102" i="13"/>
  <c r="CO102" i="13"/>
  <c r="CL102" i="13"/>
  <c r="CK102" i="13"/>
  <c r="CJ102" i="13"/>
  <c r="CG102" i="13"/>
  <c r="CF102" i="13"/>
  <c r="CE102" i="13"/>
  <c r="CB102" i="13"/>
  <c r="CA102" i="13"/>
  <c r="BZ102" i="13"/>
  <c r="BW102" i="13"/>
  <c r="BV102" i="13"/>
  <c r="BU102" i="13"/>
  <c r="BR102" i="13"/>
  <c r="BQ102" i="13"/>
  <c r="BP102" i="13"/>
  <c r="BM102" i="13"/>
  <c r="BL102" i="13"/>
  <c r="BK102" i="13"/>
  <c r="BH102" i="13"/>
  <c r="BG102" i="13"/>
  <c r="BF102" i="13"/>
  <c r="BC102" i="13"/>
  <c r="BB102" i="13"/>
  <c r="BA102" i="13"/>
  <c r="AX102" i="13"/>
  <c r="AW102" i="13"/>
  <c r="AV102" i="13"/>
  <c r="AY102" i="13" s="1"/>
  <c r="AZ102" i="13" s="1"/>
  <c r="AS102" i="13"/>
  <c r="AR102" i="13"/>
  <c r="AQ102" i="13"/>
  <c r="AN102" i="13"/>
  <c r="AM102" i="13"/>
  <c r="AL102" i="13"/>
  <c r="CV101" i="13"/>
  <c r="CS101" i="13"/>
  <c r="CQ101" i="13"/>
  <c r="CO101" i="13"/>
  <c r="CL101" i="13"/>
  <c r="CK101" i="13"/>
  <c r="CJ101" i="13"/>
  <c r="CG101" i="13"/>
  <c r="CF101" i="13"/>
  <c r="CE101" i="13"/>
  <c r="CB101" i="13"/>
  <c r="CA101" i="13"/>
  <c r="BZ101" i="13"/>
  <c r="BW101" i="13"/>
  <c r="BV101" i="13"/>
  <c r="BU101" i="13"/>
  <c r="BR101" i="13"/>
  <c r="BQ101" i="13"/>
  <c r="BP101" i="13"/>
  <c r="BM101" i="13"/>
  <c r="BL101" i="13"/>
  <c r="BK101" i="13"/>
  <c r="BH101" i="13"/>
  <c r="BG101" i="13"/>
  <c r="BF101" i="13"/>
  <c r="BC101" i="13"/>
  <c r="BB101" i="13"/>
  <c r="BA101" i="13"/>
  <c r="AX101" i="13"/>
  <c r="AW101" i="13"/>
  <c r="AV101" i="13"/>
  <c r="AS101" i="13"/>
  <c r="AR101" i="13"/>
  <c r="AQ101" i="13"/>
  <c r="AN101" i="13"/>
  <c r="AM101" i="13"/>
  <c r="AL101" i="13"/>
  <c r="CV100" i="13"/>
  <c r="CS100" i="13"/>
  <c r="CQ100" i="13"/>
  <c r="CO100" i="13"/>
  <c r="CL100" i="13"/>
  <c r="CK100" i="13"/>
  <c r="CJ100" i="13"/>
  <c r="CG100" i="13"/>
  <c r="CF100" i="13"/>
  <c r="CE100" i="13"/>
  <c r="CB100" i="13"/>
  <c r="CA100" i="13"/>
  <c r="BZ100" i="13"/>
  <c r="BW100" i="13"/>
  <c r="BV100" i="13"/>
  <c r="BU100" i="13"/>
  <c r="BR100" i="13"/>
  <c r="BQ100" i="13"/>
  <c r="BP100" i="13"/>
  <c r="BM100" i="13"/>
  <c r="BL100" i="13"/>
  <c r="BK100" i="13"/>
  <c r="BH100" i="13"/>
  <c r="BG100" i="13"/>
  <c r="BF100" i="13"/>
  <c r="BC100" i="13"/>
  <c r="BB100" i="13"/>
  <c r="BA100" i="13"/>
  <c r="AX100" i="13"/>
  <c r="AW100" i="13"/>
  <c r="AV100" i="13"/>
  <c r="AS100" i="13"/>
  <c r="AR100" i="13"/>
  <c r="AQ100" i="13"/>
  <c r="AN100" i="13"/>
  <c r="AM100" i="13"/>
  <c r="AL100" i="13"/>
  <c r="CV99" i="13"/>
  <c r="CS99" i="13"/>
  <c r="CQ99" i="13"/>
  <c r="CO99" i="13"/>
  <c r="CL99" i="13"/>
  <c r="CK99" i="13"/>
  <c r="CJ99" i="13"/>
  <c r="CG99" i="13"/>
  <c r="CF99" i="13"/>
  <c r="CE99" i="13"/>
  <c r="CB99" i="13"/>
  <c r="CA99" i="13"/>
  <c r="BZ99" i="13"/>
  <c r="BW99" i="13"/>
  <c r="BV99" i="13"/>
  <c r="BU99" i="13"/>
  <c r="BR99" i="13"/>
  <c r="BQ99" i="13"/>
  <c r="BP99" i="13"/>
  <c r="BM99" i="13"/>
  <c r="BL99" i="13"/>
  <c r="BK99" i="13"/>
  <c r="BH99" i="13"/>
  <c r="BG99" i="13"/>
  <c r="BF99" i="13"/>
  <c r="BC99" i="13"/>
  <c r="BB99" i="13"/>
  <c r="BA99" i="13"/>
  <c r="AX99" i="13"/>
  <c r="AW99" i="13"/>
  <c r="AV99" i="13"/>
  <c r="AS99" i="13"/>
  <c r="AR99" i="13"/>
  <c r="AQ99" i="13"/>
  <c r="AN99" i="13"/>
  <c r="AM99" i="13"/>
  <c r="AL99" i="13"/>
  <c r="CV98" i="13"/>
  <c r="CS98" i="13"/>
  <c r="CQ98" i="13"/>
  <c r="CO98" i="13"/>
  <c r="CL98" i="13"/>
  <c r="CK98" i="13"/>
  <c r="CJ98" i="13"/>
  <c r="CG98" i="13"/>
  <c r="CF98" i="13"/>
  <c r="CE98" i="13"/>
  <c r="CB98" i="13"/>
  <c r="CA98" i="13"/>
  <c r="BZ98" i="13"/>
  <c r="BW98" i="13"/>
  <c r="BV98" i="13"/>
  <c r="BU98" i="13"/>
  <c r="BR98" i="13"/>
  <c r="BQ98" i="13"/>
  <c r="BP98" i="13"/>
  <c r="BM98" i="13"/>
  <c r="BL98" i="13"/>
  <c r="BK98" i="13"/>
  <c r="BH98" i="13"/>
  <c r="BG98" i="13"/>
  <c r="BF98" i="13"/>
  <c r="BC98" i="13"/>
  <c r="BB98" i="13"/>
  <c r="BA98" i="13"/>
  <c r="AX98" i="13"/>
  <c r="AW98" i="13"/>
  <c r="AV98" i="13"/>
  <c r="AS98" i="13"/>
  <c r="AR98" i="13"/>
  <c r="AQ98" i="13"/>
  <c r="AN98" i="13"/>
  <c r="AM98" i="13"/>
  <c r="AL98" i="13"/>
  <c r="CV97" i="13"/>
  <c r="CS97" i="13"/>
  <c r="CQ97" i="13"/>
  <c r="CO97" i="13"/>
  <c r="CL97" i="13"/>
  <c r="CK97" i="13"/>
  <c r="CJ97" i="13"/>
  <c r="CG97" i="13"/>
  <c r="CF97" i="13"/>
  <c r="CE97" i="13"/>
  <c r="CB97" i="13"/>
  <c r="CA97" i="13"/>
  <c r="BZ97" i="13"/>
  <c r="BW97" i="13"/>
  <c r="BV97" i="13"/>
  <c r="BU97" i="13"/>
  <c r="BR97" i="13"/>
  <c r="BQ97" i="13"/>
  <c r="BP97" i="13"/>
  <c r="BM97" i="13"/>
  <c r="BL97" i="13"/>
  <c r="BK97" i="13"/>
  <c r="BH97" i="13"/>
  <c r="BG97" i="13"/>
  <c r="BF97" i="13"/>
  <c r="BC97" i="13"/>
  <c r="BB97" i="13"/>
  <c r="BA97" i="13"/>
  <c r="AX97" i="13"/>
  <c r="AW97" i="13"/>
  <c r="AV97" i="13"/>
  <c r="AS97" i="13"/>
  <c r="AR97" i="13"/>
  <c r="AQ97" i="13"/>
  <c r="AN97" i="13"/>
  <c r="AM97" i="13"/>
  <c r="AL97" i="13"/>
  <c r="CV96" i="13"/>
  <c r="CS96" i="13"/>
  <c r="CQ96" i="13"/>
  <c r="CO96" i="13"/>
  <c r="CL96" i="13"/>
  <c r="CK96" i="13"/>
  <c r="CJ96" i="13"/>
  <c r="CG96" i="13"/>
  <c r="CF96" i="13"/>
  <c r="CE96" i="13"/>
  <c r="CB96" i="13"/>
  <c r="CA96" i="13"/>
  <c r="BZ96" i="13"/>
  <c r="BW96" i="13"/>
  <c r="BV96" i="13"/>
  <c r="BU96" i="13"/>
  <c r="BR96" i="13"/>
  <c r="BQ96" i="13"/>
  <c r="BP96" i="13"/>
  <c r="BM96" i="13"/>
  <c r="BL96" i="13"/>
  <c r="BK96" i="13"/>
  <c r="BH96" i="13"/>
  <c r="BG96" i="13"/>
  <c r="BF96" i="13"/>
  <c r="BC96" i="13"/>
  <c r="BB96" i="13"/>
  <c r="BA96" i="13"/>
  <c r="AX96" i="13"/>
  <c r="AW96" i="13"/>
  <c r="AV96" i="13"/>
  <c r="AY96" i="13" s="1"/>
  <c r="AZ96" i="13" s="1"/>
  <c r="AS96" i="13"/>
  <c r="AR96" i="13"/>
  <c r="AQ96" i="13"/>
  <c r="AN96" i="13"/>
  <c r="AM96" i="13"/>
  <c r="AL96" i="13"/>
  <c r="CV95" i="13"/>
  <c r="CS95" i="13"/>
  <c r="CQ95" i="13"/>
  <c r="CO95" i="13"/>
  <c r="CL95" i="13"/>
  <c r="CK95" i="13"/>
  <c r="CJ95" i="13"/>
  <c r="CG95" i="13"/>
  <c r="CF95" i="13"/>
  <c r="CE95" i="13"/>
  <c r="CB95" i="13"/>
  <c r="CA95" i="13"/>
  <c r="BZ95" i="13"/>
  <c r="BW95" i="13"/>
  <c r="BV95" i="13"/>
  <c r="BU95" i="13"/>
  <c r="BR95" i="13"/>
  <c r="BQ95" i="13"/>
  <c r="BP95" i="13"/>
  <c r="BM95" i="13"/>
  <c r="BL95" i="13"/>
  <c r="BK95" i="13"/>
  <c r="BH95" i="13"/>
  <c r="BG95" i="13"/>
  <c r="BF95" i="13"/>
  <c r="BC95" i="13"/>
  <c r="BB95" i="13"/>
  <c r="BA95" i="13"/>
  <c r="AX95" i="13"/>
  <c r="AW95" i="13"/>
  <c r="AV95" i="13"/>
  <c r="AS95" i="13"/>
  <c r="AR95" i="13"/>
  <c r="AQ95" i="13"/>
  <c r="AN95" i="13"/>
  <c r="AM95" i="13"/>
  <c r="AL95" i="13"/>
  <c r="CV94" i="13"/>
  <c r="CS94" i="13"/>
  <c r="CQ94" i="13"/>
  <c r="CO94" i="13"/>
  <c r="CL94" i="13"/>
  <c r="CK94" i="13"/>
  <c r="CJ94" i="13"/>
  <c r="CG94" i="13"/>
  <c r="CF94" i="13"/>
  <c r="CE94" i="13"/>
  <c r="CB94" i="13"/>
  <c r="CA94" i="13"/>
  <c r="BZ94" i="13"/>
  <c r="BW94" i="13"/>
  <c r="BV94" i="13"/>
  <c r="BU94" i="13"/>
  <c r="BR94" i="13"/>
  <c r="BQ94" i="13"/>
  <c r="BP94" i="13"/>
  <c r="BM94" i="13"/>
  <c r="BL94" i="13"/>
  <c r="BK94" i="13"/>
  <c r="BH94" i="13"/>
  <c r="BG94" i="13"/>
  <c r="BF94" i="13"/>
  <c r="BC94" i="13"/>
  <c r="BB94" i="13"/>
  <c r="BA94" i="13"/>
  <c r="AX94" i="13"/>
  <c r="AW94" i="13"/>
  <c r="AV94" i="13"/>
  <c r="AS94" i="13"/>
  <c r="AR94" i="13"/>
  <c r="AQ94" i="13"/>
  <c r="AN94" i="13"/>
  <c r="AM94" i="13"/>
  <c r="AL94" i="13"/>
  <c r="CV93" i="13"/>
  <c r="CS93" i="13"/>
  <c r="CQ93" i="13"/>
  <c r="CO93" i="13"/>
  <c r="CL93" i="13"/>
  <c r="CK93" i="13"/>
  <c r="CJ93" i="13"/>
  <c r="CG93" i="13"/>
  <c r="CF93" i="13"/>
  <c r="CE93" i="13"/>
  <c r="CB93" i="13"/>
  <c r="CA93" i="13"/>
  <c r="BZ93" i="13"/>
  <c r="BW93" i="13"/>
  <c r="BV93" i="13"/>
  <c r="BU93" i="13"/>
  <c r="BR93" i="13"/>
  <c r="BQ93" i="13"/>
  <c r="BP93" i="13"/>
  <c r="BM93" i="13"/>
  <c r="BL93" i="13"/>
  <c r="BK93" i="13"/>
  <c r="BH93" i="13"/>
  <c r="BG93" i="13"/>
  <c r="BF93" i="13"/>
  <c r="BC93" i="13"/>
  <c r="BB93" i="13"/>
  <c r="BA93" i="13"/>
  <c r="AX93" i="13"/>
  <c r="AW93" i="13"/>
  <c r="AV93" i="13"/>
  <c r="AS93" i="13"/>
  <c r="AR93" i="13"/>
  <c r="AQ93" i="13"/>
  <c r="AN93" i="13"/>
  <c r="AM93" i="13"/>
  <c r="AL93" i="13"/>
  <c r="CV92" i="13"/>
  <c r="CS92" i="13"/>
  <c r="CQ92" i="13"/>
  <c r="CO92" i="13"/>
  <c r="CL92" i="13"/>
  <c r="CK92" i="13"/>
  <c r="CJ92" i="13"/>
  <c r="CG92" i="13"/>
  <c r="CF92" i="13"/>
  <c r="CE92" i="13"/>
  <c r="CB92" i="13"/>
  <c r="CA92" i="13"/>
  <c r="BZ92" i="13"/>
  <c r="BW92" i="13"/>
  <c r="BV92" i="13"/>
  <c r="BU92" i="13"/>
  <c r="BR92" i="13"/>
  <c r="BQ92" i="13"/>
  <c r="BP92" i="13"/>
  <c r="BM92" i="13"/>
  <c r="BL92" i="13"/>
  <c r="BK92" i="13"/>
  <c r="BH92" i="13"/>
  <c r="BG92" i="13"/>
  <c r="BF92" i="13"/>
  <c r="BC92" i="13"/>
  <c r="BB92" i="13"/>
  <c r="BA92" i="13"/>
  <c r="AX92" i="13"/>
  <c r="AW92" i="13"/>
  <c r="AV92" i="13"/>
  <c r="AS92" i="13"/>
  <c r="AR92" i="13"/>
  <c r="AQ92" i="13"/>
  <c r="AN92" i="13"/>
  <c r="AM92" i="13"/>
  <c r="AL92" i="13"/>
  <c r="CV91" i="13"/>
  <c r="CS91" i="13"/>
  <c r="CQ91" i="13"/>
  <c r="CO91" i="13"/>
  <c r="CL91" i="13"/>
  <c r="CK91" i="13"/>
  <c r="CJ91" i="13"/>
  <c r="CG91" i="13"/>
  <c r="CF91" i="13"/>
  <c r="CE91" i="13"/>
  <c r="CB91" i="13"/>
  <c r="CA91" i="13"/>
  <c r="BZ91" i="13"/>
  <c r="BW91" i="13"/>
  <c r="BV91" i="13"/>
  <c r="BU91" i="13"/>
  <c r="BR91" i="13"/>
  <c r="BQ91" i="13"/>
  <c r="BP91" i="13"/>
  <c r="BM91" i="13"/>
  <c r="BL91" i="13"/>
  <c r="BK91" i="13"/>
  <c r="BH91" i="13"/>
  <c r="BG91" i="13"/>
  <c r="BF91" i="13"/>
  <c r="BC91" i="13"/>
  <c r="BB91" i="13"/>
  <c r="BA91" i="13"/>
  <c r="AX91" i="13"/>
  <c r="AW91" i="13"/>
  <c r="AV91" i="13"/>
  <c r="AS91" i="13"/>
  <c r="AR91" i="13"/>
  <c r="AQ91" i="13"/>
  <c r="AN91" i="13"/>
  <c r="AM91" i="13"/>
  <c r="AL91" i="13"/>
  <c r="CV90" i="13"/>
  <c r="CS90" i="13"/>
  <c r="CQ90" i="13"/>
  <c r="CO90" i="13"/>
  <c r="CL90" i="13"/>
  <c r="CK90" i="13"/>
  <c r="CJ90" i="13"/>
  <c r="CG90" i="13"/>
  <c r="CF90" i="13"/>
  <c r="CE90" i="13"/>
  <c r="CB90" i="13"/>
  <c r="CA90" i="13"/>
  <c r="BZ90" i="13"/>
  <c r="BW90" i="13"/>
  <c r="BV90" i="13"/>
  <c r="BU90" i="13"/>
  <c r="BR90" i="13"/>
  <c r="BQ90" i="13"/>
  <c r="BP90" i="13"/>
  <c r="BM90" i="13"/>
  <c r="BL90" i="13"/>
  <c r="BK90" i="13"/>
  <c r="BH90" i="13"/>
  <c r="BG90" i="13"/>
  <c r="BF90" i="13"/>
  <c r="BC90" i="13"/>
  <c r="BB90" i="13"/>
  <c r="BA90" i="13"/>
  <c r="AX90" i="13"/>
  <c r="AW90" i="13"/>
  <c r="AV90" i="13"/>
  <c r="AS90" i="13"/>
  <c r="AR90" i="13"/>
  <c r="AQ90" i="13"/>
  <c r="AN90" i="13"/>
  <c r="AM90" i="13"/>
  <c r="AL90" i="13"/>
  <c r="CV89" i="13"/>
  <c r="CS89" i="13"/>
  <c r="CQ89" i="13"/>
  <c r="CO89" i="13"/>
  <c r="CL89" i="13"/>
  <c r="CK89" i="13"/>
  <c r="CJ89" i="13"/>
  <c r="CG89" i="13"/>
  <c r="CF89" i="13"/>
  <c r="CE89" i="13"/>
  <c r="CB89" i="13"/>
  <c r="CA89" i="13"/>
  <c r="BZ89" i="13"/>
  <c r="BW89" i="13"/>
  <c r="BV89" i="13"/>
  <c r="BU89" i="13"/>
  <c r="BR89" i="13"/>
  <c r="BQ89" i="13"/>
  <c r="BP89" i="13"/>
  <c r="BM89" i="13"/>
  <c r="BL89" i="13"/>
  <c r="BK89" i="13"/>
  <c r="BH89" i="13"/>
  <c r="BG89" i="13"/>
  <c r="BF89" i="13"/>
  <c r="BC89" i="13"/>
  <c r="BB89" i="13"/>
  <c r="BA89" i="13"/>
  <c r="AX89" i="13"/>
  <c r="AW89" i="13"/>
  <c r="AV89" i="13"/>
  <c r="AS89" i="13"/>
  <c r="AR89" i="13"/>
  <c r="AQ89" i="13"/>
  <c r="AN89" i="13"/>
  <c r="AM89" i="13"/>
  <c r="AL89" i="13"/>
  <c r="CV88" i="13"/>
  <c r="CS88" i="13"/>
  <c r="CQ88" i="13"/>
  <c r="CO88" i="13"/>
  <c r="CL88" i="13"/>
  <c r="CK88" i="13"/>
  <c r="CJ88" i="13"/>
  <c r="CG88" i="13"/>
  <c r="CF88" i="13"/>
  <c r="CE88" i="13"/>
  <c r="CB88" i="13"/>
  <c r="CA88" i="13"/>
  <c r="BZ88" i="13"/>
  <c r="BW88" i="13"/>
  <c r="BV88" i="13"/>
  <c r="BU88" i="13"/>
  <c r="BR88" i="13"/>
  <c r="BQ88" i="13"/>
  <c r="BP88" i="13"/>
  <c r="BM88" i="13"/>
  <c r="BL88" i="13"/>
  <c r="BK88" i="13"/>
  <c r="BH88" i="13"/>
  <c r="BG88" i="13"/>
  <c r="BF88" i="13"/>
  <c r="BC88" i="13"/>
  <c r="BB88" i="13"/>
  <c r="BA88" i="13"/>
  <c r="AX88" i="13"/>
  <c r="AW88" i="13"/>
  <c r="AV88" i="13"/>
  <c r="AS88" i="13"/>
  <c r="AR88" i="13"/>
  <c r="AQ88" i="13"/>
  <c r="AN88" i="13"/>
  <c r="AM88" i="13"/>
  <c r="AL88" i="13"/>
  <c r="CV87" i="13"/>
  <c r="CS87" i="13"/>
  <c r="CQ87" i="13"/>
  <c r="CO87" i="13"/>
  <c r="CL87" i="13"/>
  <c r="CK87" i="13"/>
  <c r="CJ87" i="13"/>
  <c r="CG87" i="13"/>
  <c r="CF87" i="13"/>
  <c r="CE87" i="13"/>
  <c r="CB87" i="13"/>
  <c r="CA87" i="13"/>
  <c r="BZ87" i="13"/>
  <c r="BW87" i="13"/>
  <c r="BV87" i="13"/>
  <c r="BU87" i="13"/>
  <c r="BR87" i="13"/>
  <c r="BQ87" i="13"/>
  <c r="BP87" i="13"/>
  <c r="BM87" i="13"/>
  <c r="BL87" i="13"/>
  <c r="BK87" i="13"/>
  <c r="BH87" i="13"/>
  <c r="BG87" i="13"/>
  <c r="BF87" i="13"/>
  <c r="BC87" i="13"/>
  <c r="BB87" i="13"/>
  <c r="BA87" i="13"/>
  <c r="AX87" i="13"/>
  <c r="AW87" i="13"/>
  <c r="AV87" i="13"/>
  <c r="AS87" i="13"/>
  <c r="AR87" i="13"/>
  <c r="AQ87" i="13"/>
  <c r="AN87" i="13"/>
  <c r="AM87" i="13"/>
  <c r="AL87" i="13"/>
  <c r="CV86" i="13"/>
  <c r="CS86" i="13"/>
  <c r="CQ86" i="13"/>
  <c r="CO86" i="13"/>
  <c r="CL86" i="13"/>
  <c r="CK86" i="13"/>
  <c r="CJ86" i="13"/>
  <c r="CG86" i="13"/>
  <c r="CF86" i="13"/>
  <c r="CE86" i="13"/>
  <c r="CB86" i="13"/>
  <c r="CA86" i="13"/>
  <c r="BZ86" i="13"/>
  <c r="BW86" i="13"/>
  <c r="BV86" i="13"/>
  <c r="BU86" i="13"/>
  <c r="BR86" i="13"/>
  <c r="BQ86" i="13"/>
  <c r="BP86" i="13"/>
  <c r="BM86" i="13"/>
  <c r="BL86" i="13"/>
  <c r="BK86" i="13"/>
  <c r="BH86" i="13"/>
  <c r="BG86" i="13"/>
  <c r="BF86" i="13"/>
  <c r="BC86" i="13"/>
  <c r="BB86" i="13"/>
  <c r="BA86" i="13"/>
  <c r="AX86" i="13"/>
  <c r="AW86" i="13"/>
  <c r="AV86" i="13"/>
  <c r="AS86" i="13"/>
  <c r="AR86" i="13"/>
  <c r="AQ86" i="13"/>
  <c r="AN86" i="13"/>
  <c r="AM86" i="13"/>
  <c r="AL86" i="13"/>
  <c r="CV85" i="13"/>
  <c r="CS85" i="13"/>
  <c r="CQ85" i="13"/>
  <c r="CO85" i="13"/>
  <c r="CL85" i="13"/>
  <c r="CK85" i="13"/>
  <c r="CJ85" i="13"/>
  <c r="CG85" i="13"/>
  <c r="CF85" i="13"/>
  <c r="CE85" i="13"/>
  <c r="CB85" i="13"/>
  <c r="CA85" i="13"/>
  <c r="BZ85" i="13"/>
  <c r="BW85" i="13"/>
  <c r="BV85" i="13"/>
  <c r="BU85" i="13"/>
  <c r="BR85" i="13"/>
  <c r="BQ85" i="13"/>
  <c r="BP85" i="13"/>
  <c r="BM85" i="13"/>
  <c r="BL85" i="13"/>
  <c r="BK85" i="13"/>
  <c r="BH85" i="13"/>
  <c r="BG85" i="13"/>
  <c r="BF85" i="13"/>
  <c r="BC85" i="13"/>
  <c r="BB85" i="13"/>
  <c r="BA85" i="13"/>
  <c r="AX85" i="13"/>
  <c r="AW85" i="13"/>
  <c r="AV85" i="13"/>
  <c r="AS85" i="13"/>
  <c r="AR85" i="13"/>
  <c r="AQ85" i="13"/>
  <c r="AN85" i="13"/>
  <c r="AM85" i="13"/>
  <c r="AL85" i="13"/>
  <c r="CV84" i="13"/>
  <c r="CS84" i="13"/>
  <c r="CQ84" i="13"/>
  <c r="CO84" i="13"/>
  <c r="CL84" i="13"/>
  <c r="CK84" i="13"/>
  <c r="CJ84" i="13"/>
  <c r="CG84" i="13"/>
  <c r="CF84" i="13"/>
  <c r="CE84" i="13"/>
  <c r="CB84" i="13"/>
  <c r="CA84" i="13"/>
  <c r="BZ84" i="13"/>
  <c r="BW84" i="13"/>
  <c r="BV84" i="13"/>
  <c r="BU84" i="13"/>
  <c r="BR84" i="13"/>
  <c r="BQ84" i="13"/>
  <c r="BP84" i="13"/>
  <c r="BM84" i="13"/>
  <c r="BL84" i="13"/>
  <c r="BK84" i="13"/>
  <c r="BH84" i="13"/>
  <c r="BG84" i="13"/>
  <c r="BF84" i="13"/>
  <c r="BC84" i="13"/>
  <c r="BB84" i="13"/>
  <c r="BA84" i="13"/>
  <c r="AX84" i="13"/>
  <c r="AW84" i="13"/>
  <c r="AV84" i="13"/>
  <c r="AS84" i="13"/>
  <c r="AR84" i="13"/>
  <c r="AQ84" i="13"/>
  <c r="AN84" i="13"/>
  <c r="AM84" i="13"/>
  <c r="AL84" i="13"/>
  <c r="CV83" i="13"/>
  <c r="CS83" i="13"/>
  <c r="CQ83" i="13"/>
  <c r="CO83" i="13"/>
  <c r="CL83" i="13"/>
  <c r="CK83" i="13"/>
  <c r="CJ83" i="13"/>
  <c r="CG83" i="13"/>
  <c r="CF83" i="13"/>
  <c r="CE83" i="13"/>
  <c r="CB83" i="13"/>
  <c r="CA83" i="13"/>
  <c r="BZ83" i="13"/>
  <c r="BW83" i="13"/>
  <c r="BV83" i="13"/>
  <c r="BU83" i="13"/>
  <c r="BR83" i="13"/>
  <c r="BQ83" i="13"/>
  <c r="BP83" i="13"/>
  <c r="BM83" i="13"/>
  <c r="BL83" i="13"/>
  <c r="BK83" i="13"/>
  <c r="BH83" i="13"/>
  <c r="BG83" i="13"/>
  <c r="BF83" i="13"/>
  <c r="BC83" i="13"/>
  <c r="BB83" i="13"/>
  <c r="BA83" i="13"/>
  <c r="AX83" i="13"/>
  <c r="AW83" i="13"/>
  <c r="AV83" i="13"/>
  <c r="AS83" i="13"/>
  <c r="AR83" i="13"/>
  <c r="AQ83" i="13"/>
  <c r="AN83" i="13"/>
  <c r="AM83" i="13"/>
  <c r="AL83" i="13"/>
  <c r="CV82" i="13"/>
  <c r="CS82" i="13"/>
  <c r="CQ82" i="13"/>
  <c r="CO82" i="13"/>
  <c r="CL82" i="13"/>
  <c r="CK82" i="13"/>
  <c r="CJ82" i="13"/>
  <c r="CG82" i="13"/>
  <c r="CF82" i="13"/>
  <c r="CE82" i="13"/>
  <c r="CB82" i="13"/>
  <c r="CA82" i="13"/>
  <c r="BZ82" i="13"/>
  <c r="BW82" i="13"/>
  <c r="BV82" i="13"/>
  <c r="BU82" i="13"/>
  <c r="BR82" i="13"/>
  <c r="BQ82" i="13"/>
  <c r="BP82" i="13"/>
  <c r="BS82" i="13" s="1"/>
  <c r="BT82" i="13" s="1"/>
  <c r="BM82" i="13"/>
  <c r="BL82" i="13"/>
  <c r="BK82" i="13"/>
  <c r="BH82" i="13"/>
  <c r="BG82" i="13"/>
  <c r="BF82" i="13"/>
  <c r="BC82" i="13"/>
  <c r="BB82" i="13"/>
  <c r="BA82" i="13"/>
  <c r="AX82" i="13"/>
  <c r="AW82" i="13"/>
  <c r="AV82" i="13"/>
  <c r="AS82" i="13"/>
  <c r="AR82" i="13"/>
  <c r="AQ82" i="13"/>
  <c r="AN82" i="13"/>
  <c r="AM82" i="13"/>
  <c r="AL82" i="13"/>
  <c r="CV81" i="13"/>
  <c r="CS81" i="13"/>
  <c r="CQ81" i="13"/>
  <c r="CO81" i="13"/>
  <c r="CL81" i="13"/>
  <c r="CK81" i="13"/>
  <c r="CJ81" i="13"/>
  <c r="CG81" i="13"/>
  <c r="CF81" i="13"/>
  <c r="CE81" i="13"/>
  <c r="CB81" i="13"/>
  <c r="CA81" i="13"/>
  <c r="BZ81" i="13"/>
  <c r="BW81" i="13"/>
  <c r="BV81" i="13"/>
  <c r="BU81" i="13"/>
  <c r="BR81" i="13"/>
  <c r="BQ81" i="13"/>
  <c r="BP81" i="13"/>
  <c r="BM81" i="13"/>
  <c r="BL81" i="13"/>
  <c r="BK81" i="13"/>
  <c r="BH81" i="13"/>
  <c r="BG81" i="13"/>
  <c r="BF81" i="13"/>
  <c r="BI81" i="13" s="1"/>
  <c r="BJ81" i="13" s="1"/>
  <c r="BC81" i="13"/>
  <c r="BB81" i="13"/>
  <c r="BA81" i="13"/>
  <c r="AX81" i="13"/>
  <c r="AW81" i="13"/>
  <c r="AV81" i="13"/>
  <c r="AS81" i="13"/>
  <c r="AR81" i="13"/>
  <c r="AQ81" i="13"/>
  <c r="AN81" i="13"/>
  <c r="AM81" i="13"/>
  <c r="AL81" i="13"/>
  <c r="CV80" i="13"/>
  <c r="CS80" i="13"/>
  <c r="CQ80" i="13"/>
  <c r="CO80" i="13"/>
  <c r="CL80" i="13"/>
  <c r="CK80" i="13"/>
  <c r="CJ80" i="13"/>
  <c r="CG80" i="13"/>
  <c r="CF80" i="13"/>
  <c r="CE80" i="13"/>
  <c r="CB80" i="13"/>
  <c r="CA80" i="13"/>
  <c r="BZ80" i="13"/>
  <c r="BW80" i="13"/>
  <c r="BV80" i="13"/>
  <c r="BU80" i="13"/>
  <c r="BR80" i="13"/>
  <c r="BQ80" i="13"/>
  <c r="BP80" i="13"/>
  <c r="BM80" i="13"/>
  <c r="BL80" i="13"/>
  <c r="BK80" i="13"/>
  <c r="BH80" i="13"/>
  <c r="BG80" i="13"/>
  <c r="BF80" i="13"/>
  <c r="BC80" i="13"/>
  <c r="BB80" i="13"/>
  <c r="BA80" i="13"/>
  <c r="AX80" i="13"/>
  <c r="AW80" i="13"/>
  <c r="AV80" i="13"/>
  <c r="AS80" i="13"/>
  <c r="AR80" i="13"/>
  <c r="AQ80" i="13"/>
  <c r="AN80" i="13"/>
  <c r="AM80" i="13"/>
  <c r="AL80" i="13"/>
  <c r="CV79" i="13"/>
  <c r="CS79" i="13"/>
  <c r="CQ79" i="13"/>
  <c r="CO79" i="13"/>
  <c r="CL79" i="13"/>
  <c r="CK79" i="13"/>
  <c r="CJ79" i="13"/>
  <c r="CG79" i="13"/>
  <c r="CF79" i="13"/>
  <c r="CE79" i="13"/>
  <c r="CB79" i="13"/>
  <c r="CA79" i="13"/>
  <c r="BZ79" i="13"/>
  <c r="CC79" i="13" s="1"/>
  <c r="CD79" i="13" s="1"/>
  <c r="BW79" i="13"/>
  <c r="BV79" i="13"/>
  <c r="BU79" i="13"/>
  <c r="BR79" i="13"/>
  <c r="BQ79" i="13"/>
  <c r="BP79" i="13"/>
  <c r="BM79" i="13"/>
  <c r="BL79" i="13"/>
  <c r="BK79" i="13"/>
  <c r="BH79" i="13"/>
  <c r="BG79" i="13"/>
  <c r="BF79" i="13"/>
  <c r="BC79" i="13"/>
  <c r="BB79" i="13"/>
  <c r="BA79" i="13"/>
  <c r="AX79" i="13"/>
  <c r="AW79" i="13"/>
  <c r="AV79" i="13"/>
  <c r="AS79" i="13"/>
  <c r="AR79" i="13"/>
  <c r="AQ79" i="13"/>
  <c r="AN79" i="13"/>
  <c r="AM79" i="13"/>
  <c r="AL79" i="13"/>
  <c r="CV78" i="13"/>
  <c r="CS78" i="13"/>
  <c r="CQ78" i="13"/>
  <c r="CO78" i="13"/>
  <c r="CL78" i="13"/>
  <c r="CK78" i="13"/>
  <c r="CJ78" i="13"/>
  <c r="CG78" i="13"/>
  <c r="CF78" i="13"/>
  <c r="CE78" i="13"/>
  <c r="CB78" i="13"/>
  <c r="CA78" i="13"/>
  <c r="BZ78" i="13"/>
  <c r="BW78" i="13"/>
  <c r="BV78" i="13"/>
  <c r="BU78" i="13"/>
  <c r="BR78" i="13"/>
  <c r="BQ78" i="13"/>
  <c r="BP78" i="13"/>
  <c r="BM78" i="13"/>
  <c r="BL78" i="13"/>
  <c r="BK78" i="13"/>
  <c r="BH78" i="13"/>
  <c r="BG78" i="13"/>
  <c r="BF78" i="13"/>
  <c r="BC78" i="13"/>
  <c r="BB78" i="13"/>
  <c r="BA78" i="13"/>
  <c r="AX78" i="13"/>
  <c r="AW78" i="13"/>
  <c r="AV78" i="13"/>
  <c r="AS78" i="13"/>
  <c r="AR78" i="13"/>
  <c r="AQ78" i="13"/>
  <c r="AN78" i="13"/>
  <c r="AM78" i="13"/>
  <c r="AL78" i="13"/>
  <c r="CV77" i="13"/>
  <c r="CS77" i="13"/>
  <c r="CQ77" i="13"/>
  <c r="CO77" i="13"/>
  <c r="CL77" i="13"/>
  <c r="CK77" i="13"/>
  <c r="CJ77" i="13"/>
  <c r="CG77" i="13"/>
  <c r="CF77" i="13"/>
  <c r="CE77" i="13"/>
  <c r="CB77" i="13"/>
  <c r="CA77" i="13"/>
  <c r="BZ77" i="13"/>
  <c r="BW77" i="13"/>
  <c r="BV77" i="13"/>
  <c r="BU77" i="13"/>
  <c r="BR77" i="13"/>
  <c r="BQ77" i="13"/>
  <c r="BP77" i="13"/>
  <c r="BM77" i="13"/>
  <c r="BL77" i="13"/>
  <c r="BK77" i="13"/>
  <c r="BH77" i="13"/>
  <c r="BG77" i="13"/>
  <c r="BF77" i="13"/>
  <c r="BC77" i="13"/>
  <c r="BB77" i="13"/>
  <c r="BA77" i="13"/>
  <c r="AX77" i="13"/>
  <c r="AW77" i="13"/>
  <c r="AV77" i="13"/>
  <c r="AS77" i="13"/>
  <c r="AR77" i="13"/>
  <c r="AQ77" i="13"/>
  <c r="AN77" i="13"/>
  <c r="AM77" i="13"/>
  <c r="AL77" i="13"/>
  <c r="CV76" i="13"/>
  <c r="CS76" i="13"/>
  <c r="CQ76" i="13"/>
  <c r="CO76" i="13"/>
  <c r="CL76" i="13"/>
  <c r="CK76" i="13"/>
  <c r="CJ76" i="13"/>
  <c r="CG76" i="13"/>
  <c r="CF76" i="13"/>
  <c r="CE76" i="13"/>
  <c r="CB76" i="13"/>
  <c r="CA76" i="13"/>
  <c r="BZ76" i="13"/>
  <c r="BW76" i="13"/>
  <c r="BV76" i="13"/>
  <c r="BU76" i="13"/>
  <c r="BR76" i="13"/>
  <c r="BQ76" i="13"/>
  <c r="BP76" i="13"/>
  <c r="BM76" i="13"/>
  <c r="BL76" i="13"/>
  <c r="BK76" i="13"/>
  <c r="BH76" i="13"/>
  <c r="BG76" i="13"/>
  <c r="BF76" i="13"/>
  <c r="BC76" i="13"/>
  <c r="BB76" i="13"/>
  <c r="BA76" i="13"/>
  <c r="AX76" i="13"/>
  <c r="AW76" i="13"/>
  <c r="AV76" i="13"/>
  <c r="AS76" i="13"/>
  <c r="AR76" i="13"/>
  <c r="AQ76" i="13"/>
  <c r="AN76" i="13"/>
  <c r="AM76" i="13"/>
  <c r="AL76" i="13"/>
  <c r="CV75" i="13"/>
  <c r="CS75" i="13"/>
  <c r="CQ75" i="13"/>
  <c r="CO75" i="13"/>
  <c r="CL75" i="13"/>
  <c r="CK75" i="13"/>
  <c r="CJ75" i="13"/>
  <c r="CG75" i="13"/>
  <c r="CF75" i="13"/>
  <c r="CE75" i="13"/>
  <c r="CB75" i="13"/>
  <c r="CA75" i="13"/>
  <c r="BZ75" i="13"/>
  <c r="BW75" i="13"/>
  <c r="BV75" i="13"/>
  <c r="BU75" i="13"/>
  <c r="BR75" i="13"/>
  <c r="BQ75" i="13"/>
  <c r="BP75" i="13"/>
  <c r="BM75" i="13"/>
  <c r="BL75" i="13"/>
  <c r="BK75" i="13"/>
  <c r="BH75" i="13"/>
  <c r="BG75" i="13"/>
  <c r="BF75" i="13"/>
  <c r="BC75" i="13"/>
  <c r="BB75" i="13"/>
  <c r="BA75" i="13"/>
  <c r="AX75" i="13"/>
  <c r="AW75" i="13"/>
  <c r="AV75" i="13"/>
  <c r="AS75" i="13"/>
  <c r="AR75" i="13"/>
  <c r="AQ75" i="13"/>
  <c r="AN75" i="13"/>
  <c r="AM75" i="13"/>
  <c r="AL75" i="13"/>
  <c r="CV74" i="13"/>
  <c r="CS74" i="13"/>
  <c r="CQ74" i="13"/>
  <c r="CO74" i="13"/>
  <c r="CL74" i="13"/>
  <c r="CK74" i="13"/>
  <c r="CJ74" i="13"/>
  <c r="CG74" i="13"/>
  <c r="CF74" i="13"/>
  <c r="CE74" i="13"/>
  <c r="CB74" i="13"/>
  <c r="CA74" i="13"/>
  <c r="BZ74" i="13"/>
  <c r="BW74" i="13"/>
  <c r="BV74" i="13"/>
  <c r="BU74" i="13"/>
  <c r="BR74" i="13"/>
  <c r="BQ74" i="13"/>
  <c r="BP74" i="13"/>
  <c r="BS74" i="13" s="1"/>
  <c r="BT74" i="13" s="1"/>
  <c r="BM74" i="13"/>
  <c r="BL74" i="13"/>
  <c r="BK74" i="13"/>
  <c r="BH74" i="13"/>
  <c r="BG74" i="13"/>
  <c r="BF74" i="13"/>
  <c r="BC74" i="13"/>
  <c r="BB74" i="13"/>
  <c r="BA74" i="13"/>
  <c r="AX74" i="13"/>
  <c r="AW74" i="13"/>
  <c r="AV74" i="13"/>
  <c r="AS74" i="13"/>
  <c r="AR74" i="13"/>
  <c r="AQ74" i="13"/>
  <c r="AN74" i="13"/>
  <c r="AM74" i="13"/>
  <c r="AL74" i="13"/>
  <c r="CV73" i="13"/>
  <c r="CS73" i="13"/>
  <c r="CQ73" i="13"/>
  <c r="CO73" i="13"/>
  <c r="CL73" i="13"/>
  <c r="CK73" i="13"/>
  <c r="CJ73" i="13"/>
  <c r="CG73" i="13"/>
  <c r="CF73" i="13"/>
  <c r="CE73" i="13"/>
  <c r="CB73" i="13"/>
  <c r="CA73" i="13"/>
  <c r="BZ73" i="13"/>
  <c r="BW73" i="13"/>
  <c r="BV73" i="13"/>
  <c r="BU73" i="13"/>
  <c r="BR73" i="13"/>
  <c r="BQ73" i="13"/>
  <c r="BP73" i="13"/>
  <c r="BM73" i="13"/>
  <c r="BL73" i="13"/>
  <c r="BK73" i="13"/>
  <c r="BH73" i="13"/>
  <c r="BG73" i="13"/>
  <c r="BF73" i="13"/>
  <c r="BI73" i="13" s="1"/>
  <c r="BJ73" i="13" s="1"/>
  <c r="BC73" i="13"/>
  <c r="BB73" i="13"/>
  <c r="BA73" i="13"/>
  <c r="AX73" i="13"/>
  <c r="AW73" i="13"/>
  <c r="AV73" i="13"/>
  <c r="AS73" i="13"/>
  <c r="AR73" i="13"/>
  <c r="AQ73" i="13"/>
  <c r="AN73" i="13"/>
  <c r="AM73" i="13"/>
  <c r="AL73" i="13"/>
  <c r="CV72" i="13"/>
  <c r="CS72" i="13"/>
  <c r="CQ72" i="13"/>
  <c r="CO72" i="13"/>
  <c r="CL72" i="13"/>
  <c r="CK72" i="13"/>
  <c r="CJ72" i="13"/>
  <c r="CG72" i="13"/>
  <c r="CF72" i="13"/>
  <c r="CE72" i="13"/>
  <c r="CB72" i="13"/>
  <c r="CA72" i="13"/>
  <c r="BZ72" i="13"/>
  <c r="BW72" i="13"/>
  <c r="BV72" i="13"/>
  <c r="BU72" i="13"/>
  <c r="BR72" i="13"/>
  <c r="BQ72" i="13"/>
  <c r="BP72" i="13"/>
  <c r="BM72" i="13"/>
  <c r="BL72" i="13"/>
  <c r="BK72" i="13"/>
  <c r="BH72" i="13"/>
  <c r="BG72" i="13"/>
  <c r="BF72" i="13"/>
  <c r="BC72" i="13"/>
  <c r="BB72" i="13"/>
  <c r="BA72" i="13"/>
  <c r="AX72" i="13"/>
  <c r="AW72" i="13"/>
  <c r="AV72" i="13"/>
  <c r="AS72" i="13"/>
  <c r="AR72" i="13"/>
  <c r="AQ72" i="13"/>
  <c r="AN72" i="13"/>
  <c r="AM72" i="13"/>
  <c r="AL72" i="13"/>
  <c r="CV71" i="13"/>
  <c r="CS71" i="13"/>
  <c r="CQ71" i="13"/>
  <c r="CO71" i="13"/>
  <c r="CL71" i="13"/>
  <c r="CK71" i="13"/>
  <c r="CJ71" i="13"/>
  <c r="CG71" i="13"/>
  <c r="CF71" i="13"/>
  <c r="CE71" i="13"/>
  <c r="CB71" i="13"/>
  <c r="CA71" i="13"/>
  <c r="BZ71" i="13"/>
  <c r="BW71" i="13"/>
  <c r="BV71" i="13"/>
  <c r="BU71" i="13"/>
  <c r="BR71" i="13"/>
  <c r="BQ71" i="13"/>
  <c r="BP71" i="13"/>
  <c r="BM71" i="13"/>
  <c r="BL71" i="13"/>
  <c r="BK71" i="13"/>
  <c r="BH71" i="13"/>
  <c r="BG71" i="13"/>
  <c r="BF71" i="13"/>
  <c r="BC71" i="13"/>
  <c r="BB71" i="13"/>
  <c r="BA71" i="13"/>
  <c r="AX71" i="13"/>
  <c r="AW71" i="13"/>
  <c r="AV71" i="13"/>
  <c r="AS71" i="13"/>
  <c r="AR71" i="13"/>
  <c r="AQ71" i="13"/>
  <c r="AN71" i="13"/>
  <c r="AM71" i="13"/>
  <c r="AL71" i="13"/>
  <c r="CV70" i="13"/>
  <c r="CS70" i="13"/>
  <c r="CQ70" i="13"/>
  <c r="CO70" i="13"/>
  <c r="CL70" i="13"/>
  <c r="CK70" i="13"/>
  <c r="CJ70" i="13"/>
  <c r="CG70" i="13"/>
  <c r="CF70" i="13"/>
  <c r="CE70" i="13"/>
  <c r="CB70" i="13"/>
  <c r="CA70" i="13"/>
  <c r="BZ70" i="13"/>
  <c r="BW70" i="13"/>
  <c r="BV70" i="13"/>
  <c r="BU70" i="13"/>
  <c r="BR70" i="13"/>
  <c r="BQ70" i="13"/>
  <c r="BP70" i="13"/>
  <c r="BM70" i="13"/>
  <c r="BL70" i="13"/>
  <c r="BK70" i="13"/>
  <c r="BH70" i="13"/>
  <c r="BG70" i="13"/>
  <c r="BF70" i="13"/>
  <c r="BC70" i="13"/>
  <c r="BB70" i="13"/>
  <c r="BA70" i="13"/>
  <c r="AX70" i="13"/>
  <c r="AW70" i="13"/>
  <c r="AV70" i="13"/>
  <c r="AS70" i="13"/>
  <c r="AR70" i="13"/>
  <c r="AQ70" i="13"/>
  <c r="AN70" i="13"/>
  <c r="AM70" i="13"/>
  <c r="AL70" i="13"/>
  <c r="CV69" i="13"/>
  <c r="CS69" i="13"/>
  <c r="CQ69" i="13"/>
  <c r="CO69" i="13"/>
  <c r="CL69" i="13"/>
  <c r="CK69" i="13"/>
  <c r="CJ69" i="13"/>
  <c r="CG69" i="13"/>
  <c r="CF69" i="13"/>
  <c r="CE69" i="13"/>
  <c r="CB69" i="13"/>
  <c r="CA69" i="13"/>
  <c r="BZ69" i="13"/>
  <c r="BW69" i="13"/>
  <c r="BV69" i="13"/>
  <c r="BU69" i="13"/>
  <c r="BR69" i="13"/>
  <c r="BQ69" i="13"/>
  <c r="BP69" i="13"/>
  <c r="BM69" i="13"/>
  <c r="BL69" i="13"/>
  <c r="BK69" i="13"/>
  <c r="BH69" i="13"/>
  <c r="BG69" i="13"/>
  <c r="BF69" i="13"/>
  <c r="BC69" i="13"/>
  <c r="BB69" i="13"/>
  <c r="BA69" i="13"/>
  <c r="AX69" i="13"/>
  <c r="AW69" i="13"/>
  <c r="AV69" i="13"/>
  <c r="AS69" i="13"/>
  <c r="AR69" i="13"/>
  <c r="AQ69" i="13"/>
  <c r="AN69" i="13"/>
  <c r="AM69" i="13"/>
  <c r="AL69" i="13"/>
  <c r="CV68" i="13"/>
  <c r="CS68" i="13"/>
  <c r="CQ68" i="13"/>
  <c r="CO68" i="13"/>
  <c r="CL68" i="13"/>
  <c r="CK68" i="13"/>
  <c r="CJ68" i="13"/>
  <c r="CG68" i="13"/>
  <c r="CF68" i="13"/>
  <c r="CE68" i="13"/>
  <c r="CB68" i="13"/>
  <c r="CA68" i="13"/>
  <c r="BZ68" i="13"/>
  <c r="BW68" i="13"/>
  <c r="BV68" i="13"/>
  <c r="BU68" i="13"/>
  <c r="BR68" i="13"/>
  <c r="BQ68" i="13"/>
  <c r="BP68" i="13"/>
  <c r="BM68" i="13"/>
  <c r="BL68" i="13"/>
  <c r="BK68" i="13"/>
  <c r="BH68" i="13"/>
  <c r="BG68" i="13"/>
  <c r="BF68" i="13"/>
  <c r="BC68" i="13"/>
  <c r="BB68" i="13"/>
  <c r="BA68" i="13"/>
  <c r="AX68" i="13"/>
  <c r="AW68" i="13"/>
  <c r="AV68" i="13"/>
  <c r="AS68" i="13"/>
  <c r="AR68" i="13"/>
  <c r="AQ68" i="13"/>
  <c r="AN68" i="13"/>
  <c r="AM68" i="13"/>
  <c r="AL68" i="13"/>
  <c r="CV67" i="13"/>
  <c r="CS67" i="13"/>
  <c r="CQ67" i="13"/>
  <c r="CO67" i="13"/>
  <c r="CL67" i="13"/>
  <c r="CK67" i="13"/>
  <c r="CJ67" i="13"/>
  <c r="CG67" i="13"/>
  <c r="CF67" i="13"/>
  <c r="CE67" i="13"/>
  <c r="CB67" i="13"/>
  <c r="CA67" i="13"/>
  <c r="BZ67" i="13"/>
  <c r="BW67" i="13"/>
  <c r="BV67" i="13"/>
  <c r="BU67" i="13"/>
  <c r="BR67" i="13"/>
  <c r="BQ67" i="13"/>
  <c r="BP67" i="13"/>
  <c r="BM67" i="13"/>
  <c r="BL67" i="13"/>
  <c r="BK67" i="13"/>
  <c r="BH67" i="13"/>
  <c r="BG67" i="13"/>
  <c r="BF67" i="13"/>
  <c r="BC67" i="13"/>
  <c r="BB67" i="13"/>
  <c r="BA67" i="13"/>
  <c r="AX67" i="13"/>
  <c r="AW67" i="13"/>
  <c r="AV67" i="13"/>
  <c r="AS67" i="13"/>
  <c r="AR67" i="13"/>
  <c r="AQ67" i="13"/>
  <c r="AN67" i="13"/>
  <c r="AM67" i="13"/>
  <c r="AL67" i="13"/>
  <c r="CV66" i="13"/>
  <c r="CS66" i="13"/>
  <c r="CQ66" i="13"/>
  <c r="CO66" i="13"/>
  <c r="CL66" i="13"/>
  <c r="CK66" i="13"/>
  <c r="CJ66" i="13"/>
  <c r="CG66" i="13"/>
  <c r="CF66" i="13"/>
  <c r="CE66" i="13"/>
  <c r="CB66" i="13"/>
  <c r="CA66" i="13"/>
  <c r="BZ66" i="13"/>
  <c r="BW66" i="13"/>
  <c r="BV66" i="13"/>
  <c r="BU66" i="13"/>
  <c r="BR66" i="13"/>
  <c r="BQ66" i="13"/>
  <c r="BP66" i="13"/>
  <c r="BM66" i="13"/>
  <c r="BL66" i="13"/>
  <c r="BK66" i="13"/>
  <c r="BH66" i="13"/>
  <c r="BG66" i="13"/>
  <c r="BF66" i="13"/>
  <c r="BC66" i="13"/>
  <c r="BB66" i="13"/>
  <c r="BA66" i="13"/>
  <c r="AX66" i="13"/>
  <c r="AW66" i="13"/>
  <c r="AV66" i="13"/>
  <c r="AS66" i="13"/>
  <c r="AR66" i="13"/>
  <c r="AQ66" i="13"/>
  <c r="AN66" i="13"/>
  <c r="AM66" i="13"/>
  <c r="AL66" i="13"/>
  <c r="CV65" i="13"/>
  <c r="CS65" i="13"/>
  <c r="CQ65" i="13"/>
  <c r="CO65" i="13"/>
  <c r="CL65" i="13"/>
  <c r="CK65" i="13"/>
  <c r="CJ65" i="13"/>
  <c r="CG65" i="13"/>
  <c r="CF65" i="13"/>
  <c r="CE65" i="13"/>
  <c r="CB65" i="13"/>
  <c r="CA65" i="13"/>
  <c r="BZ65" i="13"/>
  <c r="BW65" i="13"/>
  <c r="BV65" i="13"/>
  <c r="BU65" i="13"/>
  <c r="BR65" i="13"/>
  <c r="BQ65" i="13"/>
  <c r="BP65" i="13"/>
  <c r="BM65" i="13"/>
  <c r="BL65" i="13"/>
  <c r="BK65" i="13"/>
  <c r="BH65" i="13"/>
  <c r="BG65" i="13"/>
  <c r="BF65" i="13"/>
  <c r="BC65" i="13"/>
  <c r="BB65" i="13"/>
  <c r="BA65" i="13"/>
  <c r="AX65" i="13"/>
  <c r="AW65" i="13"/>
  <c r="AV65" i="13"/>
  <c r="AS65" i="13"/>
  <c r="AR65" i="13"/>
  <c r="AQ65" i="13"/>
  <c r="AN65" i="13"/>
  <c r="AM65" i="13"/>
  <c r="AL65" i="13"/>
  <c r="CV64" i="13"/>
  <c r="CS64" i="13"/>
  <c r="CQ64" i="13"/>
  <c r="CO64" i="13"/>
  <c r="CL64" i="13"/>
  <c r="CK64" i="13"/>
  <c r="CJ64" i="13"/>
  <c r="CG64" i="13"/>
  <c r="CF64" i="13"/>
  <c r="CE64" i="13"/>
  <c r="CB64" i="13"/>
  <c r="CA64" i="13"/>
  <c r="BZ64" i="13"/>
  <c r="BW64" i="13"/>
  <c r="BV64" i="13"/>
  <c r="BU64" i="13"/>
  <c r="BR64" i="13"/>
  <c r="BQ64" i="13"/>
  <c r="BP64" i="13"/>
  <c r="BM64" i="13"/>
  <c r="BL64" i="13"/>
  <c r="BK64" i="13"/>
  <c r="BH64" i="13"/>
  <c r="BG64" i="13"/>
  <c r="BF64" i="13"/>
  <c r="BC64" i="13"/>
  <c r="BB64" i="13"/>
  <c r="BA64" i="13"/>
  <c r="AX64" i="13"/>
  <c r="AW64" i="13"/>
  <c r="AV64" i="13"/>
  <c r="AS64" i="13"/>
  <c r="AR64" i="13"/>
  <c r="AQ64" i="13"/>
  <c r="AN64" i="13"/>
  <c r="AM64" i="13"/>
  <c r="AL64" i="13"/>
  <c r="CV63" i="13"/>
  <c r="CS63" i="13"/>
  <c r="CQ63" i="13"/>
  <c r="CO63" i="13"/>
  <c r="CL63" i="13"/>
  <c r="CK63" i="13"/>
  <c r="CJ63" i="13"/>
  <c r="CG63" i="13"/>
  <c r="CF63" i="13"/>
  <c r="CE63" i="13"/>
  <c r="CB63" i="13"/>
  <c r="CA63" i="13"/>
  <c r="BZ63" i="13"/>
  <c r="BW63" i="13"/>
  <c r="BV63" i="13"/>
  <c r="BU63" i="13"/>
  <c r="BR63" i="13"/>
  <c r="BQ63" i="13"/>
  <c r="BP63" i="13"/>
  <c r="BM63" i="13"/>
  <c r="BL63" i="13"/>
  <c r="BK63" i="13"/>
  <c r="BH63" i="13"/>
  <c r="BG63" i="13"/>
  <c r="BF63" i="13"/>
  <c r="BC63" i="13"/>
  <c r="BB63" i="13"/>
  <c r="BA63" i="13"/>
  <c r="AX63" i="13"/>
  <c r="AW63" i="13"/>
  <c r="AV63" i="13"/>
  <c r="AS63" i="13"/>
  <c r="AR63" i="13"/>
  <c r="AQ63" i="13"/>
  <c r="AN63" i="13"/>
  <c r="AM63" i="13"/>
  <c r="AL63" i="13"/>
  <c r="CV62" i="13"/>
  <c r="CS62" i="13"/>
  <c r="CQ62" i="13"/>
  <c r="CO62" i="13"/>
  <c r="CL62" i="13"/>
  <c r="CK62" i="13"/>
  <c r="CJ62" i="13"/>
  <c r="CG62" i="13"/>
  <c r="CF62" i="13"/>
  <c r="CE62" i="13"/>
  <c r="CB62" i="13"/>
  <c r="CA62" i="13"/>
  <c r="BZ62" i="13"/>
  <c r="BW62" i="13"/>
  <c r="BV62" i="13"/>
  <c r="BU62" i="13"/>
  <c r="BR62" i="13"/>
  <c r="BQ62" i="13"/>
  <c r="BP62" i="13"/>
  <c r="BM62" i="13"/>
  <c r="BL62" i="13"/>
  <c r="BK62" i="13"/>
  <c r="BH62" i="13"/>
  <c r="BG62" i="13"/>
  <c r="BF62" i="13"/>
  <c r="BC62" i="13"/>
  <c r="BB62" i="13"/>
  <c r="BA62" i="13"/>
  <c r="AX62" i="13"/>
  <c r="AW62" i="13"/>
  <c r="AV62" i="13"/>
  <c r="AS62" i="13"/>
  <c r="AR62" i="13"/>
  <c r="AQ62" i="13"/>
  <c r="AN62" i="13"/>
  <c r="AM62" i="13"/>
  <c r="AL62" i="13"/>
  <c r="CV61" i="13"/>
  <c r="CS61" i="13"/>
  <c r="CQ61" i="13"/>
  <c r="CO61" i="13"/>
  <c r="CL61" i="13"/>
  <c r="CK61" i="13"/>
  <c r="CJ61" i="13"/>
  <c r="CG61" i="13"/>
  <c r="CF61" i="13"/>
  <c r="CE61" i="13"/>
  <c r="CB61" i="13"/>
  <c r="CA61" i="13"/>
  <c r="BZ61" i="13"/>
  <c r="BW61" i="13"/>
  <c r="BV61" i="13"/>
  <c r="BU61" i="13"/>
  <c r="BR61" i="13"/>
  <c r="BQ61" i="13"/>
  <c r="BP61" i="13"/>
  <c r="BM61" i="13"/>
  <c r="BL61" i="13"/>
  <c r="BK61" i="13"/>
  <c r="BH61" i="13"/>
  <c r="BG61" i="13"/>
  <c r="BF61" i="13"/>
  <c r="BC61" i="13"/>
  <c r="BB61" i="13"/>
  <c r="BA61" i="13"/>
  <c r="AX61" i="13"/>
  <c r="AW61" i="13"/>
  <c r="AV61" i="13"/>
  <c r="AS61" i="13"/>
  <c r="AR61" i="13"/>
  <c r="AQ61" i="13"/>
  <c r="AN61" i="13"/>
  <c r="AM61" i="13"/>
  <c r="AL61" i="13"/>
  <c r="CV60" i="13"/>
  <c r="CS60" i="13"/>
  <c r="CQ60" i="13"/>
  <c r="CO60" i="13"/>
  <c r="CL60" i="13"/>
  <c r="CK60" i="13"/>
  <c r="CJ60" i="13"/>
  <c r="CG60" i="13"/>
  <c r="CF60" i="13"/>
  <c r="CE60" i="13"/>
  <c r="CB60" i="13"/>
  <c r="CA60" i="13"/>
  <c r="BZ60" i="13"/>
  <c r="BW60" i="13"/>
  <c r="BV60" i="13"/>
  <c r="BU60" i="13"/>
  <c r="BR60" i="13"/>
  <c r="BQ60" i="13"/>
  <c r="BP60" i="13"/>
  <c r="BM60" i="13"/>
  <c r="BL60" i="13"/>
  <c r="BK60" i="13"/>
  <c r="BH60" i="13"/>
  <c r="BG60" i="13"/>
  <c r="BF60" i="13"/>
  <c r="BC60" i="13"/>
  <c r="BB60" i="13"/>
  <c r="BA60" i="13"/>
  <c r="AX60" i="13"/>
  <c r="AW60" i="13"/>
  <c r="AV60" i="13"/>
  <c r="AS60" i="13"/>
  <c r="AR60" i="13"/>
  <c r="AQ60" i="13"/>
  <c r="AN60" i="13"/>
  <c r="AM60" i="13"/>
  <c r="AL60" i="13"/>
  <c r="CV59" i="13"/>
  <c r="CS59" i="13"/>
  <c r="CQ59" i="13"/>
  <c r="CO59" i="13"/>
  <c r="CL59" i="13"/>
  <c r="CK59" i="13"/>
  <c r="CJ59" i="13"/>
  <c r="CG59" i="13"/>
  <c r="CF59" i="13"/>
  <c r="CE59" i="13"/>
  <c r="CB59" i="13"/>
  <c r="CA59" i="13"/>
  <c r="BZ59" i="13"/>
  <c r="BW59" i="13"/>
  <c r="BV59" i="13"/>
  <c r="BU59" i="13"/>
  <c r="BR59" i="13"/>
  <c r="BQ59" i="13"/>
  <c r="BP59" i="13"/>
  <c r="BM59" i="13"/>
  <c r="BL59" i="13"/>
  <c r="BK59" i="13"/>
  <c r="BH59" i="13"/>
  <c r="BG59" i="13"/>
  <c r="BF59" i="13"/>
  <c r="BC59" i="13"/>
  <c r="BB59" i="13"/>
  <c r="BA59" i="13"/>
  <c r="AX59" i="13"/>
  <c r="AW59" i="13"/>
  <c r="AV59" i="13"/>
  <c r="AS59" i="13"/>
  <c r="AR59" i="13"/>
  <c r="AQ59" i="13"/>
  <c r="AN59" i="13"/>
  <c r="AM59" i="13"/>
  <c r="AL59" i="13"/>
  <c r="CV58" i="13"/>
  <c r="CS58" i="13"/>
  <c r="CQ58" i="13"/>
  <c r="CO58" i="13"/>
  <c r="CL58" i="13"/>
  <c r="CK58" i="13"/>
  <c r="CJ58" i="13"/>
  <c r="CG58" i="13"/>
  <c r="CF58" i="13"/>
  <c r="CE58" i="13"/>
  <c r="CB58" i="13"/>
  <c r="CA58" i="13"/>
  <c r="BZ58" i="13"/>
  <c r="BW58" i="13"/>
  <c r="BV58" i="13"/>
  <c r="BU58" i="13"/>
  <c r="BR58" i="13"/>
  <c r="BQ58" i="13"/>
  <c r="BP58" i="13"/>
  <c r="BM58" i="13"/>
  <c r="BL58" i="13"/>
  <c r="BK58" i="13"/>
  <c r="BH58" i="13"/>
  <c r="BG58" i="13"/>
  <c r="BF58" i="13"/>
  <c r="BC58" i="13"/>
  <c r="BB58" i="13"/>
  <c r="BA58" i="13"/>
  <c r="AX58" i="13"/>
  <c r="AW58" i="13"/>
  <c r="AV58" i="13"/>
  <c r="AS58" i="13"/>
  <c r="AR58" i="13"/>
  <c r="AQ58" i="13"/>
  <c r="AN58" i="13"/>
  <c r="AM58" i="13"/>
  <c r="AL58" i="13"/>
  <c r="CV57" i="13"/>
  <c r="CS57" i="13"/>
  <c r="CQ57" i="13"/>
  <c r="CO57" i="13"/>
  <c r="CL57" i="13"/>
  <c r="CK57" i="13"/>
  <c r="CJ57" i="13"/>
  <c r="CG57" i="13"/>
  <c r="CF57" i="13"/>
  <c r="CE57" i="13"/>
  <c r="CB57" i="13"/>
  <c r="CA57" i="13"/>
  <c r="BZ57" i="13"/>
  <c r="BW57" i="13"/>
  <c r="BV57" i="13"/>
  <c r="BU57" i="13"/>
  <c r="BR57" i="13"/>
  <c r="BQ57" i="13"/>
  <c r="BP57" i="13"/>
  <c r="BM57" i="13"/>
  <c r="BL57" i="13"/>
  <c r="BK57" i="13"/>
  <c r="BH57" i="13"/>
  <c r="BG57" i="13"/>
  <c r="BF57" i="13"/>
  <c r="BC57" i="13"/>
  <c r="BB57" i="13"/>
  <c r="BA57" i="13"/>
  <c r="AX57" i="13"/>
  <c r="AW57" i="13"/>
  <c r="AV57" i="13"/>
  <c r="AS57" i="13"/>
  <c r="AR57" i="13"/>
  <c r="AQ57" i="13"/>
  <c r="AN57" i="13"/>
  <c r="AM57" i="13"/>
  <c r="AL57" i="13"/>
  <c r="CV56" i="13"/>
  <c r="CS56" i="13"/>
  <c r="CQ56" i="13"/>
  <c r="CO56" i="13"/>
  <c r="CL56" i="13"/>
  <c r="CK56" i="13"/>
  <c r="CJ56" i="13"/>
  <c r="CG56" i="13"/>
  <c r="CF56" i="13"/>
  <c r="CE56" i="13"/>
  <c r="CB56" i="13"/>
  <c r="CA56" i="13"/>
  <c r="BZ56" i="13"/>
  <c r="BW56" i="13"/>
  <c r="BV56" i="13"/>
  <c r="BU56" i="13"/>
  <c r="BR56" i="13"/>
  <c r="BQ56" i="13"/>
  <c r="BP56" i="13"/>
  <c r="BM56" i="13"/>
  <c r="BL56" i="13"/>
  <c r="BK56" i="13"/>
  <c r="BH56" i="13"/>
  <c r="BG56" i="13"/>
  <c r="BF56" i="13"/>
  <c r="BC56" i="13"/>
  <c r="BB56" i="13"/>
  <c r="BA56" i="13"/>
  <c r="AX56" i="13"/>
  <c r="AW56" i="13"/>
  <c r="AV56" i="13"/>
  <c r="AS56" i="13"/>
  <c r="AR56" i="13"/>
  <c r="AQ56" i="13"/>
  <c r="AN56" i="13"/>
  <c r="AM56" i="13"/>
  <c r="AL56" i="13"/>
  <c r="CV55" i="13"/>
  <c r="CS55" i="13"/>
  <c r="CQ55" i="13"/>
  <c r="CO55" i="13"/>
  <c r="CL55" i="13"/>
  <c r="CK55" i="13"/>
  <c r="CJ55" i="13"/>
  <c r="CG55" i="13"/>
  <c r="CF55" i="13"/>
  <c r="CE55" i="13"/>
  <c r="CB55" i="13"/>
  <c r="CA55" i="13"/>
  <c r="BZ55" i="13"/>
  <c r="BW55" i="13"/>
  <c r="BV55" i="13"/>
  <c r="BU55" i="13"/>
  <c r="BR55" i="13"/>
  <c r="BQ55" i="13"/>
  <c r="BP55" i="13"/>
  <c r="BM55" i="13"/>
  <c r="BL55" i="13"/>
  <c r="BK55" i="13"/>
  <c r="BH55" i="13"/>
  <c r="BG55" i="13"/>
  <c r="BF55" i="13"/>
  <c r="BC55" i="13"/>
  <c r="BB55" i="13"/>
  <c r="BA55" i="13"/>
  <c r="AX55" i="13"/>
  <c r="AW55" i="13"/>
  <c r="AV55" i="13"/>
  <c r="AS55" i="13"/>
  <c r="AR55" i="13"/>
  <c r="AQ55" i="13"/>
  <c r="AN55" i="13"/>
  <c r="AM55" i="13"/>
  <c r="AL55" i="13"/>
  <c r="CV54" i="13"/>
  <c r="CS54" i="13"/>
  <c r="CQ54" i="13"/>
  <c r="CO54" i="13"/>
  <c r="CL54" i="13"/>
  <c r="CK54" i="13"/>
  <c r="CJ54" i="13"/>
  <c r="CG54" i="13"/>
  <c r="CF54" i="13"/>
  <c r="CE54" i="13"/>
  <c r="CB54" i="13"/>
  <c r="CA54" i="13"/>
  <c r="BZ54" i="13"/>
  <c r="BW54" i="13"/>
  <c r="BV54" i="13"/>
  <c r="BU54" i="13"/>
  <c r="BR54" i="13"/>
  <c r="BQ54" i="13"/>
  <c r="BP54" i="13"/>
  <c r="BM54" i="13"/>
  <c r="BL54" i="13"/>
  <c r="BK54" i="13"/>
  <c r="BH54" i="13"/>
  <c r="BG54" i="13"/>
  <c r="BF54" i="13"/>
  <c r="BC54" i="13"/>
  <c r="BB54" i="13"/>
  <c r="BA54" i="13"/>
  <c r="AX54" i="13"/>
  <c r="AW54" i="13"/>
  <c r="AV54" i="13"/>
  <c r="AS54" i="13"/>
  <c r="AR54" i="13"/>
  <c r="AQ54" i="13"/>
  <c r="AN54" i="13"/>
  <c r="AM54" i="13"/>
  <c r="AL54" i="13"/>
  <c r="CV53" i="13"/>
  <c r="AC53" i="13" s="1"/>
  <c r="CS53" i="13"/>
  <c r="CQ53" i="13"/>
  <c r="CO53" i="13"/>
  <c r="CL53" i="13"/>
  <c r="CK53" i="13"/>
  <c r="CJ53" i="13"/>
  <c r="CG53" i="13"/>
  <c r="CF53" i="13"/>
  <c r="CE53" i="13"/>
  <c r="CB53" i="13"/>
  <c r="CA53" i="13"/>
  <c r="BZ53" i="13"/>
  <c r="BW53" i="13"/>
  <c r="BV53" i="13"/>
  <c r="BU53" i="13"/>
  <c r="BR53" i="13"/>
  <c r="BQ53" i="13"/>
  <c r="BP53" i="13"/>
  <c r="BM53" i="13"/>
  <c r="BL53" i="13"/>
  <c r="BK53" i="13"/>
  <c r="BH53" i="13"/>
  <c r="BG53" i="13"/>
  <c r="BF53" i="13"/>
  <c r="BC53" i="13"/>
  <c r="BB53" i="13"/>
  <c r="BA53" i="13"/>
  <c r="AX53" i="13"/>
  <c r="AW53" i="13"/>
  <c r="AV53" i="13"/>
  <c r="AS53" i="13"/>
  <c r="AR53" i="13"/>
  <c r="AQ53" i="13"/>
  <c r="AN53" i="13"/>
  <c r="AM53" i="13"/>
  <c r="AL53" i="13"/>
  <c r="CV52" i="13"/>
  <c r="CS52" i="13"/>
  <c r="CQ52" i="13"/>
  <c r="CO52" i="13"/>
  <c r="CL52" i="13"/>
  <c r="CK52" i="13"/>
  <c r="CJ52" i="13"/>
  <c r="CG52" i="13"/>
  <c r="CF52" i="13"/>
  <c r="CE52" i="13"/>
  <c r="CB52" i="13"/>
  <c r="CA52" i="13"/>
  <c r="BZ52" i="13"/>
  <c r="BW52" i="13"/>
  <c r="BV52" i="13"/>
  <c r="BU52" i="13"/>
  <c r="BR52" i="13"/>
  <c r="BQ52" i="13"/>
  <c r="BP52" i="13"/>
  <c r="BM52" i="13"/>
  <c r="BL52" i="13"/>
  <c r="BK52" i="13"/>
  <c r="BH52" i="13"/>
  <c r="BG52" i="13"/>
  <c r="BF52" i="13"/>
  <c r="BC52" i="13"/>
  <c r="BB52" i="13"/>
  <c r="BA52" i="13"/>
  <c r="AX52" i="13"/>
  <c r="AW52" i="13"/>
  <c r="AV52" i="13"/>
  <c r="AS52" i="13"/>
  <c r="AR52" i="13"/>
  <c r="AQ52" i="13"/>
  <c r="AN52" i="13"/>
  <c r="AM52" i="13"/>
  <c r="AL52" i="13"/>
  <c r="CV51" i="13"/>
  <c r="CS51" i="13"/>
  <c r="CQ51" i="13"/>
  <c r="CO51" i="13"/>
  <c r="CL51" i="13"/>
  <c r="CK51" i="13"/>
  <c r="CJ51" i="13"/>
  <c r="CG51" i="13"/>
  <c r="CF51" i="13"/>
  <c r="CE51" i="13"/>
  <c r="CB51" i="13"/>
  <c r="CA51" i="13"/>
  <c r="BZ51" i="13"/>
  <c r="BW51" i="13"/>
  <c r="BV51" i="13"/>
  <c r="BU51" i="13"/>
  <c r="BR51" i="13"/>
  <c r="BQ51" i="13"/>
  <c r="BP51" i="13"/>
  <c r="BM51" i="13"/>
  <c r="BL51" i="13"/>
  <c r="BK51" i="13"/>
  <c r="BH51" i="13"/>
  <c r="BG51" i="13"/>
  <c r="BF51" i="13"/>
  <c r="BC51" i="13"/>
  <c r="BB51" i="13"/>
  <c r="BA51" i="13"/>
  <c r="AX51" i="13"/>
  <c r="AW51" i="13"/>
  <c r="AV51" i="13"/>
  <c r="AS51" i="13"/>
  <c r="AR51" i="13"/>
  <c r="AQ51" i="13"/>
  <c r="AN51" i="13"/>
  <c r="AM51" i="13"/>
  <c r="AL51" i="13"/>
  <c r="CV50" i="13"/>
  <c r="CS50" i="13"/>
  <c r="CQ50" i="13"/>
  <c r="CO50" i="13"/>
  <c r="CL50" i="13"/>
  <c r="CK50" i="13"/>
  <c r="CJ50" i="13"/>
  <c r="CG50" i="13"/>
  <c r="CF50" i="13"/>
  <c r="CE50" i="13"/>
  <c r="CB50" i="13"/>
  <c r="CA50" i="13"/>
  <c r="BZ50" i="13"/>
  <c r="BW50" i="13"/>
  <c r="BV50" i="13"/>
  <c r="BU50" i="13"/>
  <c r="BR50" i="13"/>
  <c r="BQ50" i="13"/>
  <c r="BP50" i="13"/>
  <c r="BM50" i="13"/>
  <c r="BL50" i="13"/>
  <c r="BK50" i="13"/>
  <c r="BH50" i="13"/>
  <c r="BG50" i="13"/>
  <c r="BF50" i="13"/>
  <c r="BC50" i="13"/>
  <c r="BB50" i="13"/>
  <c r="BA50" i="13"/>
  <c r="AX50" i="13"/>
  <c r="AW50" i="13"/>
  <c r="AV50" i="13"/>
  <c r="AS50" i="13"/>
  <c r="AR50" i="13"/>
  <c r="AQ50" i="13"/>
  <c r="AN50" i="13"/>
  <c r="AM50" i="13"/>
  <c r="AL50" i="13"/>
  <c r="CV49" i="13"/>
  <c r="CS49" i="13"/>
  <c r="CQ49" i="13"/>
  <c r="CO49" i="13"/>
  <c r="CL49" i="13"/>
  <c r="CK49" i="13"/>
  <c r="CJ49" i="13"/>
  <c r="CG49" i="13"/>
  <c r="CF49" i="13"/>
  <c r="CE49" i="13"/>
  <c r="CB49" i="13"/>
  <c r="CA49" i="13"/>
  <c r="BZ49" i="13"/>
  <c r="BW49" i="13"/>
  <c r="BV49" i="13"/>
  <c r="BU49" i="13"/>
  <c r="BR49" i="13"/>
  <c r="BQ49" i="13"/>
  <c r="BP49" i="13"/>
  <c r="BM49" i="13"/>
  <c r="BL49" i="13"/>
  <c r="BK49" i="13"/>
  <c r="BH49" i="13"/>
  <c r="BG49" i="13"/>
  <c r="BF49" i="13"/>
  <c r="BC49" i="13"/>
  <c r="BB49" i="13"/>
  <c r="BA49" i="13"/>
  <c r="AX49" i="13"/>
  <c r="AW49" i="13"/>
  <c r="AV49" i="13"/>
  <c r="AS49" i="13"/>
  <c r="AR49" i="13"/>
  <c r="AQ49" i="13"/>
  <c r="AN49" i="13"/>
  <c r="AM49" i="13"/>
  <c r="AL49" i="13"/>
  <c r="CV48" i="13"/>
  <c r="CS48" i="13"/>
  <c r="CQ48" i="13"/>
  <c r="CO48" i="13"/>
  <c r="CL48" i="13"/>
  <c r="CK48" i="13"/>
  <c r="CJ48" i="13"/>
  <c r="CG48" i="13"/>
  <c r="CF48" i="13"/>
  <c r="CE48" i="13"/>
  <c r="CB48" i="13"/>
  <c r="CA48" i="13"/>
  <c r="BZ48" i="13"/>
  <c r="BW48" i="13"/>
  <c r="BV48" i="13"/>
  <c r="BU48" i="13"/>
  <c r="BR48" i="13"/>
  <c r="BQ48" i="13"/>
  <c r="BP48" i="13"/>
  <c r="BM48" i="13"/>
  <c r="BL48" i="13"/>
  <c r="BK48" i="13"/>
  <c r="BH48" i="13"/>
  <c r="BG48" i="13"/>
  <c r="BF48" i="13"/>
  <c r="BC48" i="13"/>
  <c r="BB48" i="13"/>
  <c r="BA48" i="13"/>
  <c r="AX48" i="13"/>
  <c r="AW48" i="13"/>
  <c r="AV48" i="13"/>
  <c r="AS48" i="13"/>
  <c r="AR48" i="13"/>
  <c r="AQ48" i="13"/>
  <c r="AN48" i="13"/>
  <c r="AM48" i="13"/>
  <c r="AL48" i="13"/>
  <c r="CV47" i="13"/>
  <c r="CS47" i="13"/>
  <c r="CQ47" i="13"/>
  <c r="CO47" i="13"/>
  <c r="CL47" i="13"/>
  <c r="CK47" i="13"/>
  <c r="CJ47" i="13"/>
  <c r="CG47" i="13"/>
  <c r="CF47" i="13"/>
  <c r="CE47" i="13"/>
  <c r="CB47" i="13"/>
  <c r="CA47" i="13"/>
  <c r="BZ47" i="13"/>
  <c r="BW47" i="13"/>
  <c r="BV47" i="13"/>
  <c r="BU47" i="13"/>
  <c r="BR47" i="13"/>
  <c r="BQ47" i="13"/>
  <c r="BP47" i="13"/>
  <c r="BM47" i="13"/>
  <c r="BL47" i="13"/>
  <c r="BK47" i="13"/>
  <c r="BH47" i="13"/>
  <c r="BG47" i="13"/>
  <c r="BF47" i="13"/>
  <c r="BC47" i="13"/>
  <c r="BB47" i="13"/>
  <c r="BA47" i="13"/>
  <c r="AX47" i="13"/>
  <c r="AW47" i="13"/>
  <c r="AV47" i="13"/>
  <c r="AS47" i="13"/>
  <c r="AR47" i="13"/>
  <c r="AQ47" i="13"/>
  <c r="AN47" i="13"/>
  <c r="AM47" i="13"/>
  <c r="AL47" i="13"/>
  <c r="CV46" i="13"/>
  <c r="CS46" i="13"/>
  <c r="CQ46" i="13"/>
  <c r="CO46" i="13"/>
  <c r="CL46" i="13"/>
  <c r="CK46" i="13"/>
  <c r="CJ46" i="13"/>
  <c r="CG46" i="13"/>
  <c r="CF46" i="13"/>
  <c r="CE46" i="13"/>
  <c r="CB46" i="13"/>
  <c r="CA46" i="13"/>
  <c r="BZ46" i="13"/>
  <c r="BW46" i="13"/>
  <c r="BV46" i="13"/>
  <c r="BU46" i="13"/>
  <c r="BR46" i="13"/>
  <c r="BQ46" i="13"/>
  <c r="BP46" i="13"/>
  <c r="BM46" i="13"/>
  <c r="BL46" i="13"/>
  <c r="BK46" i="13"/>
  <c r="BH46" i="13"/>
  <c r="BG46" i="13"/>
  <c r="BF46" i="13"/>
  <c r="BC46" i="13"/>
  <c r="BB46" i="13"/>
  <c r="BA46" i="13"/>
  <c r="AX46" i="13"/>
  <c r="AW46" i="13"/>
  <c r="AV46" i="13"/>
  <c r="AS46" i="13"/>
  <c r="AR46" i="13"/>
  <c r="AQ46" i="13"/>
  <c r="AN46" i="13"/>
  <c r="AM46" i="13"/>
  <c r="AL46" i="13"/>
  <c r="CV45" i="13"/>
  <c r="AC45" i="13" s="1"/>
  <c r="CS45" i="13"/>
  <c r="CQ45" i="13"/>
  <c r="CO45" i="13"/>
  <c r="CL45" i="13"/>
  <c r="CK45" i="13"/>
  <c r="CJ45" i="13"/>
  <c r="CG45" i="13"/>
  <c r="CF45" i="13"/>
  <c r="CE45" i="13"/>
  <c r="CB45" i="13"/>
  <c r="CA45" i="13"/>
  <c r="BZ45" i="13"/>
  <c r="BW45" i="13"/>
  <c r="BV45" i="13"/>
  <c r="BU45" i="13"/>
  <c r="BR45" i="13"/>
  <c r="BQ45" i="13"/>
  <c r="BP45" i="13"/>
  <c r="BM45" i="13"/>
  <c r="BL45" i="13"/>
  <c r="BK45" i="13"/>
  <c r="BH45" i="13"/>
  <c r="BG45" i="13"/>
  <c r="BF45" i="13"/>
  <c r="BC45" i="13"/>
  <c r="BB45" i="13"/>
  <c r="BA45" i="13"/>
  <c r="AX45" i="13"/>
  <c r="AW45" i="13"/>
  <c r="AV45" i="13"/>
  <c r="AS45" i="13"/>
  <c r="AR45" i="13"/>
  <c r="AQ45" i="13"/>
  <c r="AN45" i="13"/>
  <c r="AM45" i="13"/>
  <c r="AL45" i="13"/>
  <c r="CV44" i="13"/>
  <c r="CS44" i="13"/>
  <c r="CQ44" i="13"/>
  <c r="CO44" i="13"/>
  <c r="CL44" i="13"/>
  <c r="CK44" i="13"/>
  <c r="CJ44" i="13"/>
  <c r="CG44" i="13"/>
  <c r="CF44" i="13"/>
  <c r="CE44" i="13"/>
  <c r="CB44" i="13"/>
  <c r="CA44" i="13"/>
  <c r="BZ44" i="13"/>
  <c r="BW44" i="13"/>
  <c r="BV44" i="13"/>
  <c r="BU44" i="13"/>
  <c r="BR44" i="13"/>
  <c r="BQ44" i="13"/>
  <c r="BP44" i="13"/>
  <c r="BM44" i="13"/>
  <c r="BL44" i="13"/>
  <c r="BK44" i="13"/>
  <c r="BH44" i="13"/>
  <c r="BG44" i="13"/>
  <c r="BF44" i="13"/>
  <c r="BC44" i="13"/>
  <c r="BB44" i="13"/>
  <c r="BA44" i="13"/>
  <c r="AX44" i="13"/>
  <c r="AW44" i="13"/>
  <c r="AV44" i="13"/>
  <c r="AS44" i="13"/>
  <c r="AR44" i="13"/>
  <c r="AQ44" i="13"/>
  <c r="AN44" i="13"/>
  <c r="AM44" i="13"/>
  <c r="AL44" i="13"/>
  <c r="CV43" i="13"/>
  <c r="CS43" i="13"/>
  <c r="CQ43" i="13"/>
  <c r="CO43" i="13"/>
  <c r="CL43" i="13"/>
  <c r="CK43" i="13"/>
  <c r="CJ43" i="13"/>
  <c r="CG43" i="13"/>
  <c r="CF43" i="13"/>
  <c r="CE43" i="13"/>
  <c r="CB43" i="13"/>
  <c r="CA43" i="13"/>
  <c r="BZ43" i="13"/>
  <c r="BW43" i="13"/>
  <c r="BV43" i="13"/>
  <c r="BU43" i="13"/>
  <c r="BR43" i="13"/>
  <c r="BQ43" i="13"/>
  <c r="BP43" i="13"/>
  <c r="BM43" i="13"/>
  <c r="BL43" i="13"/>
  <c r="BK43" i="13"/>
  <c r="BH43" i="13"/>
  <c r="BG43" i="13"/>
  <c r="BF43" i="13"/>
  <c r="BC43" i="13"/>
  <c r="BB43" i="13"/>
  <c r="BA43" i="13"/>
  <c r="AX43" i="13"/>
  <c r="AW43" i="13"/>
  <c r="AV43" i="13"/>
  <c r="AS43" i="13"/>
  <c r="AR43" i="13"/>
  <c r="AQ43" i="13"/>
  <c r="AN43" i="13"/>
  <c r="AM43" i="13"/>
  <c r="AL43" i="13"/>
  <c r="CV42" i="13"/>
  <c r="CS42" i="13"/>
  <c r="CQ42" i="13"/>
  <c r="CO42" i="13"/>
  <c r="CL42" i="13"/>
  <c r="CK42" i="13"/>
  <c r="CJ42" i="13"/>
  <c r="CG42" i="13"/>
  <c r="CF42" i="13"/>
  <c r="CE42" i="13"/>
  <c r="CB42" i="13"/>
  <c r="CA42" i="13"/>
  <c r="BZ42" i="13"/>
  <c r="BW42" i="13"/>
  <c r="BV42" i="13"/>
  <c r="BU42" i="13"/>
  <c r="BR42" i="13"/>
  <c r="BQ42" i="13"/>
  <c r="BP42" i="13"/>
  <c r="BM42" i="13"/>
  <c r="BL42" i="13"/>
  <c r="BK42" i="13"/>
  <c r="BH42" i="13"/>
  <c r="BG42" i="13"/>
  <c r="BF42" i="13"/>
  <c r="BC42" i="13"/>
  <c r="BB42" i="13"/>
  <c r="BA42" i="13"/>
  <c r="AX42" i="13"/>
  <c r="AW42" i="13"/>
  <c r="AV42" i="13"/>
  <c r="AS42" i="13"/>
  <c r="AR42" i="13"/>
  <c r="AQ42" i="13"/>
  <c r="AN42" i="13"/>
  <c r="AM42" i="13"/>
  <c r="AL42" i="13"/>
  <c r="CV41" i="13"/>
  <c r="CS41" i="13"/>
  <c r="CQ41" i="13"/>
  <c r="CO41" i="13"/>
  <c r="CL41" i="13"/>
  <c r="CK41" i="13"/>
  <c r="CJ41" i="13"/>
  <c r="CG41" i="13"/>
  <c r="CF41" i="13"/>
  <c r="CE41" i="13"/>
  <c r="CB41" i="13"/>
  <c r="CA41" i="13"/>
  <c r="BZ41" i="13"/>
  <c r="BW41" i="13"/>
  <c r="BV41" i="13"/>
  <c r="BU41" i="13"/>
  <c r="BR41" i="13"/>
  <c r="BQ41" i="13"/>
  <c r="BP41" i="13"/>
  <c r="BM41" i="13"/>
  <c r="BL41" i="13"/>
  <c r="BK41" i="13"/>
  <c r="BH41" i="13"/>
  <c r="BG41" i="13"/>
  <c r="BF41" i="13"/>
  <c r="BC41" i="13"/>
  <c r="BB41" i="13"/>
  <c r="BA41" i="13"/>
  <c r="AX41" i="13"/>
  <c r="AW41" i="13"/>
  <c r="AV41" i="13"/>
  <c r="AS41" i="13"/>
  <c r="AR41" i="13"/>
  <c r="AQ41" i="13"/>
  <c r="AN41" i="13"/>
  <c r="AM41" i="13"/>
  <c r="AL41" i="13"/>
  <c r="CV40" i="13"/>
  <c r="CS40" i="13"/>
  <c r="CQ40" i="13"/>
  <c r="CO40" i="13"/>
  <c r="CL40" i="13"/>
  <c r="CK40" i="13"/>
  <c r="CJ40" i="13"/>
  <c r="CG40" i="13"/>
  <c r="CF40" i="13"/>
  <c r="CE40" i="13"/>
  <c r="CB40" i="13"/>
  <c r="CA40" i="13"/>
  <c r="BZ40" i="13"/>
  <c r="BW40" i="13"/>
  <c r="BV40" i="13"/>
  <c r="BU40" i="13"/>
  <c r="BR40" i="13"/>
  <c r="BQ40" i="13"/>
  <c r="BP40" i="13"/>
  <c r="BM40" i="13"/>
  <c r="BL40" i="13"/>
  <c r="BK40" i="13"/>
  <c r="BH40" i="13"/>
  <c r="BG40" i="13"/>
  <c r="BF40" i="13"/>
  <c r="BC40" i="13"/>
  <c r="BB40" i="13"/>
  <c r="BA40" i="13"/>
  <c r="AX40" i="13"/>
  <c r="AW40" i="13"/>
  <c r="AV40" i="13"/>
  <c r="AS40" i="13"/>
  <c r="AR40" i="13"/>
  <c r="AQ40" i="13"/>
  <c r="AN40" i="13"/>
  <c r="AM40" i="13"/>
  <c r="AL40" i="13"/>
  <c r="CV39" i="13"/>
  <c r="CS39" i="13"/>
  <c r="CQ39" i="13"/>
  <c r="CO39" i="13"/>
  <c r="CL39" i="13"/>
  <c r="CK39" i="13"/>
  <c r="CJ39" i="13"/>
  <c r="CG39" i="13"/>
  <c r="CF39" i="13"/>
  <c r="CE39" i="13"/>
  <c r="CB39" i="13"/>
  <c r="CA39" i="13"/>
  <c r="BZ39" i="13"/>
  <c r="BW39" i="13"/>
  <c r="BV39" i="13"/>
  <c r="BU39" i="13"/>
  <c r="BR39" i="13"/>
  <c r="BQ39" i="13"/>
  <c r="BP39" i="13"/>
  <c r="BM39" i="13"/>
  <c r="BL39" i="13"/>
  <c r="BK39" i="13"/>
  <c r="BH39" i="13"/>
  <c r="BG39" i="13"/>
  <c r="BF39" i="13"/>
  <c r="BC39" i="13"/>
  <c r="BB39" i="13"/>
  <c r="BA39" i="13"/>
  <c r="AX39" i="13"/>
  <c r="AW39" i="13"/>
  <c r="AV39" i="13"/>
  <c r="AS39" i="13"/>
  <c r="AR39" i="13"/>
  <c r="AQ39" i="13"/>
  <c r="AN39" i="13"/>
  <c r="AM39" i="13"/>
  <c r="AL39" i="13"/>
  <c r="CV38" i="13"/>
  <c r="CS38" i="13"/>
  <c r="CQ38" i="13"/>
  <c r="CO38" i="13"/>
  <c r="CL38" i="13"/>
  <c r="CK38" i="13"/>
  <c r="CJ38" i="13"/>
  <c r="CG38" i="13"/>
  <c r="CF38" i="13"/>
  <c r="CE38" i="13"/>
  <c r="CB38" i="13"/>
  <c r="CA38" i="13"/>
  <c r="BZ38" i="13"/>
  <c r="BW38" i="13"/>
  <c r="BV38" i="13"/>
  <c r="BU38" i="13"/>
  <c r="BR38" i="13"/>
  <c r="BQ38" i="13"/>
  <c r="BP38" i="13"/>
  <c r="BM38" i="13"/>
  <c r="BL38" i="13"/>
  <c r="BK38" i="13"/>
  <c r="BH38" i="13"/>
  <c r="BG38" i="13"/>
  <c r="BF38" i="13"/>
  <c r="BC38" i="13"/>
  <c r="BB38" i="13"/>
  <c r="BA38" i="13"/>
  <c r="AX38" i="13"/>
  <c r="AW38" i="13"/>
  <c r="AV38" i="13"/>
  <c r="AS38" i="13"/>
  <c r="AR38" i="13"/>
  <c r="AQ38" i="13"/>
  <c r="AN38" i="13"/>
  <c r="AM38" i="13"/>
  <c r="AL38" i="13"/>
  <c r="CV37" i="13"/>
  <c r="AC37" i="13" s="1"/>
  <c r="CS37" i="13"/>
  <c r="CQ37" i="13"/>
  <c r="CO37" i="13"/>
  <c r="CL37" i="13"/>
  <c r="CK37" i="13"/>
  <c r="CJ37" i="13"/>
  <c r="CG37" i="13"/>
  <c r="CF37" i="13"/>
  <c r="CE37" i="13"/>
  <c r="CB37" i="13"/>
  <c r="CA37" i="13"/>
  <c r="BZ37" i="13"/>
  <c r="BW37" i="13"/>
  <c r="BV37" i="13"/>
  <c r="BU37" i="13"/>
  <c r="BR37" i="13"/>
  <c r="BQ37" i="13"/>
  <c r="BP37" i="13"/>
  <c r="BM37" i="13"/>
  <c r="BL37" i="13"/>
  <c r="BK37" i="13"/>
  <c r="BH37" i="13"/>
  <c r="BG37" i="13"/>
  <c r="BF37" i="13"/>
  <c r="BC37" i="13"/>
  <c r="BB37" i="13"/>
  <c r="BA37" i="13"/>
  <c r="AX37" i="13"/>
  <c r="AW37" i="13"/>
  <c r="AV37" i="13"/>
  <c r="AS37" i="13"/>
  <c r="AR37" i="13"/>
  <c r="AQ37" i="13"/>
  <c r="AN37" i="13"/>
  <c r="AM37" i="13"/>
  <c r="AL37" i="13"/>
  <c r="CV36" i="13"/>
  <c r="CS36" i="13"/>
  <c r="CQ36" i="13"/>
  <c r="CO36" i="13"/>
  <c r="CL36" i="13"/>
  <c r="CK36" i="13"/>
  <c r="CJ36" i="13"/>
  <c r="CG36" i="13"/>
  <c r="CF36" i="13"/>
  <c r="CE36" i="13"/>
  <c r="CB36" i="13"/>
  <c r="CA36" i="13"/>
  <c r="BZ36" i="13"/>
  <c r="BW36" i="13"/>
  <c r="BV36" i="13"/>
  <c r="BU36" i="13"/>
  <c r="BR36" i="13"/>
  <c r="BQ36" i="13"/>
  <c r="BP36" i="13"/>
  <c r="BM36" i="13"/>
  <c r="BL36" i="13"/>
  <c r="BK36" i="13"/>
  <c r="BH36" i="13"/>
  <c r="BG36" i="13"/>
  <c r="BF36" i="13"/>
  <c r="BC36" i="13"/>
  <c r="BB36" i="13"/>
  <c r="BA36" i="13"/>
  <c r="AX36" i="13"/>
  <c r="AW36" i="13"/>
  <c r="AV36" i="13"/>
  <c r="AS36" i="13"/>
  <c r="AR36" i="13"/>
  <c r="AQ36" i="13"/>
  <c r="AN36" i="13"/>
  <c r="AM36" i="13"/>
  <c r="AL36" i="13"/>
  <c r="CV35" i="13"/>
  <c r="CS35" i="13"/>
  <c r="CQ35" i="13"/>
  <c r="CO35" i="13"/>
  <c r="CL35" i="13"/>
  <c r="CK35" i="13"/>
  <c r="CJ35" i="13"/>
  <c r="CG35" i="13"/>
  <c r="CF35" i="13"/>
  <c r="CE35" i="13"/>
  <c r="CB35" i="13"/>
  <c r="CA35" i="13"/>
  <c r="BZ35" i="13"/>
  <c r="BW35" i="13"/>
  <c r="BV35" i="13"/>
  <c r="BU35" i="13"/>
  <c r="BR35" i="13"/>
  <c r="BQ35" i="13"/>
  <c r="BP35" i="13"/>
  <c r="BM35" i="13"/>
  <c r="BL35" i="13"/>
  <c r="BK35" i="13"/>
  <c r="BH35" i="13"/>
  <c r="BG35" i="13"/>
  <c r="BF35" i="13"/>
  <c r="BC35" i="13"/>
  <c r="BB35" i="13"/>
  <c r="BA35" i="13"/>
  <c r="AX35" i="13"/>
  <c r="AW35" i="13"/>
  <c r="AV35" i="13"/>
  <c r="AS35" i="13"/>
  <c r="AR35" i="13"/>
  <c r="AQ35" i="13"/>
  <c r="AN35" i="13"/>
  <c r="AM35" i="13"/>
  <c r="AL35" i="13"/>
  <c r="CV34" i="13"/>
  <c r="CS34" i="13"/>
  <c r="CQ34" i="13"/>
  <c r="CO34" i="13"/>
  <c r="CL34" i="13"/>
  <c r="CK34" i="13"/>
  <c r="CJ34" i="13"/>
  <c r="CG34" i="13"/>
  <c r="CF34" i="13"/>
  <c r="CE34" i="13"/>
  <c r="CB34" i="13"/>
  <c r="CA34" i="13"/>
  <c r="BZ34" i="13"/>
  <c r="BW34" i="13"/>
  <c r="BV34" i="13"/>
  <c r="BU34" i="13"/>
  <c r="BR34" i="13"/>
  <c r="BQ34" i="13"/>
  <c r="BP34" i="13"/>
  <c r="BM34" i="13"/>
  <c r="BL34" i="13"/>
  <c r="BK34" i="13"/>
  <c r="BH34" i="13"/>
  <c r="BG34" i="13"/>
  <c r="BF34" i="13"/>
  <c r="BC34" i="13"/>
  <c r="BB34" i="13"/>
  <c r="BA34" i="13"/>
  <c r="AX34" i="13"/>
  <c r="AW34" i="13"/>
  <c r="AV34" i="13"/>
  <c r="AS34" i="13"/>
  <c r="AR34" i="13"/>
  <c r="AQ34" i="13"/>
  <c r="AN34" i="13"/>
  <c r="AM34" i="13"/>
  <c r="AL34" i="13"/>
  <c r="CV33" i="13"/>
  <c r="CS33" i="13"/>
  <c r="CQ33" i="13"/>
  <c r="CO33" i="13"/>
  <c r="CL33" i="13"/>
  <c r="CK33" i="13"/>
  <c r="CJ33" i="13"/>
  <c r="CG33" i="13"/>
  <c r="CF33" i="13"/>
  <c r="CE33" i="13"/>
  <c r="CB33" i="13"/>
  <c r="CA33" i="13"/>
  <c r="BZ33" i="13"/>
  <c r="BW33" i="13"/>
  <c r="BV33" i="13"/>
  <c r="BU33" i="13"/>
  <c r="BR33" i="13"/>
  <c r="BQ33" i="13"/>
  <c r="BP33" i="13"/>
  <c r="BM33" i="13"/>
  <c r="BL33" i="13"/>
  <c r="BK33" i="13"/>
  <c r="BH33" i="13"/>
  <c r="BG33" i="13"/>
  <c r="BF33" i="13"/>
  <c r="BC33" i="13"/>
  <c r="BB33" i="13"/>
  <c r="BA33" i="13"/>
  <c r="AX33" i="13"/>
  <c r="AW33" i="13"/>
  <c r="AV33" i="13"/>
  <c r="AS33" i="13"/>
  <c r="AR33" i="13"/>
  <c r="AQ33" i="13"/>
  <c r="AN33" i="13"/>
  <c r="AM33" i="13"/>
  <c r="AL33" i="13"/>
  <c r="CV32" i="13"/>
  <c r="CS32" i="13"/>
  <c r="CQ32" i="13"/>
  <c r="CO32" i="13"/>
  <c r="CL32" i="13"/>
  <c r="CK32" i="13"/>
  <c r="CJ32" i="13"/>
  <c r="CG32" i="13"/>
  <c r="CF32" i="13"/>
  <c r="CE32" i="13"/>
  <c r="CB32" i="13"/>
  <c r="CA32" i="13"/>
  <c r="BZ32" i="13"/>
  <c r="BW32" i="13"/>
  <c r="BV32" i="13"/>
  <c r="BU32" i="13"/>
  <c r="BR32" i="13"/>
  <c r="BQ32" i="13"/>
  <c r="BP32" i="13"/>
  <c r="BM32" i="13"/>
  <c r="BL32" i="13"/>
  <c r="BK32" i="13"/>
  <c r="BH32" i="13"/>
  <c r="BG32" i="13"/>
  <c r="BF32" i="13"/>
  <c r="BC32" i="13"/>
  <c r="BB32" i="13"/>
  <c r="BA32" i="13"/>
  <c r="AX32" i="13"/>
  <c r="AW32" i="13"/>
  <c r="AV32" i="13"/>
  <c r="AS32" i="13"/>
  <c r="AR32" i="13"/>
  <c r="AQ32" i="13"/>
  <c r="AN32" i="13"/>
  <c r="AM32" i="13"/>
  <c r="AL32" i="13"/>
  <c r="CV31" i="13"/>
  <c r="CS31" i="13"/>
  <c r="CQ31" i="13"/>
  <c r="CO31" i="13"/>
  <c r="CL31" i="13"/>
  <c r="CK31" i="13"/>
  <c r="CJ31" i="13"/>
  <c r="CG31" i="13"/>
  <c r="CF31" i="13"/>
  <c r="CE31" i="13"/>
  <c r="CB31" i="13"/>
  <c r="CA31" i="13"/>
  <c r="BZ31" i="13"/>
  <c r="BW31" i="13"/>
  <c r="BV31" i="13"/>
  <c r="BU31" i="13"/>
  <c r="BR31" i="13"/>
  <c r="BQ31" i="13"/>
  <c r="BP31" i="13"/>
  <c r="BM31" i="13"/>
  <c r="BL31" i="13"/>
  <c r="BK31" i="13"/>
  <c r="BH31" i="13"/>
  <c r="BG31" i="13"/>
  <c r="BF31" i="13"/>
  <c r="BC31" i="13"/>
  <c r="BB31" i="13"/>
  <c r="BA31" i="13"/>
  <c r="AX31" i="13"/>
  <c r="AW31" i="13"/>
  <c r="AV31" i="13"/>
  <c r="AS31" i="13"/>
  <c r="AR31" i="13"/>
  <c r="AQ31" i="13"/>
  <c r="AN31" i="13"/>
  <c r="AM31" i="13"/>
  <c r="AL31" i="13"/>
  <c r="CV30" i="13"/>
  <c r="CS30" i="13"/>
  <c r="CQ30" i="13"/>
  <c r="CO30" i="13"/>
  <c r="CL30" i="13"/>
  <c r="CK30" i="13"/>
  <c r="CJ30" i="13"/>
  <c r="CG30" i="13"/>
  <c r="CF30" i="13"/>
  <c r="CE30" i="13"/>
  <c r="CB30" i="13"/>
  <c r="CA30" i="13"/>
  <c r="BZ30" i="13"/>
  <c r="BW30" i="13"/>
  <c r="BV30" i="13"/>
  <c r="BU30" i="13"/>
  <c r="BR30" i="13"/>
  <c r="BQ30" i="13"/>
  <c r="BP30" i="13"/>
  <c r="BM30" i="13"/>
  <c r="BL30" i="13"/>
  <c r="BK30" i="13"/>
  <c r="BH30" i="13"/>
  <c r="BG30" i="13"/>
  <c r="BF30" i="13"/>
  <c r="BC30" i="13"/>
  <c r="BB30" i="13"/>
  <c r="BA30" i="13"/>
  <c r="AX30" i="13"/>
  <c r="AW30" i="13"/>
  <c r="AV30" i="13"/>
  <c r="AS30" i="13"/>
  <c r="AR30" i="13"/>
  <c r="AQ30" i="13"/>
  <c r="AN30" i="13"/>
  <c r="AM30" i="13"/>
  <c r="AL30" i="13"/>
  <c r="CV29" i="13"/>
  <c r="CS29" i="13"/>
  <c r="CQ29" i="13"/>
  <c r="CO29" i="13"/>
  <c r="CL29" i="13"/>
  <c r="CK29" i="13"/>
  <c r="CJ29" i="13"/>
  <c r="CG29" i="13"/>
  <c r="CF29" i="13"/>
  <c r="CE29" i="13"/>
  <c r="CB29" i="13"/>
  <c r="CA29" i="13"/>
  <c r="BZ29" i="13"/>
  <c r="BW29" i="13"/>
  <c r="BV29" i="13"/>
  <c r="BU29" i="13"/>
  <c r="BR29" i="13"/>
  <c r="BQ29" i="13"/>
  <c r="BP29" i="13"/>
  <c r="BM29" i="13"/>
  <c r="BL29" i="13"/>
  <c r="BK29" i="13"/>
  <c r="BH29" i="13"/>
  <c r="BG29" i="13"/>
  <c r="BF29" i="13"/>
  <c r="BC29" i="13"/>
  <c r="BB29" i="13"/>
  <c r="BA29" i="13"/>
  <c r="AX29" i="13"/>
  <c r="AW29" i="13"/>
  <c r="AV29" i="13"/>
  <c r="AS29" i="13"/>
  <c r="AR29" i="13"/>
  <c r="AQ29" i="13"/>
  <c r="AN29" i="13"/>
  <c r="AM29" i="13"/>
  <c r="AL29" i="13"/>
  <c r="CV28" i="13"/>
  <c r="CS28" i="13"/>
  <c r="CQ28" i="13"/>
  <c r="CO28" i="13"/>
  <c r="CL28" i="13"/>
  <c r="CK28" i="13"/>
  <c r="CJ28" i="13"/>
  <c r="CG28" i="13"/>
  <c r="CF28" i="13"/>
  <c r="CE28" i="13"/>
  <c r="CB28" i="13"/>
  <c r="CA28" i="13"/>
  <c r="BZ28" i="13"/>
  <c r="BW28" i="13"/>
  <c r="BV28" i="13"/>
  <c r="BU28" i="13"/>
  <c r="BR28" i="13"/>
  <c r="BQ28" i="13"/>
  <c r="BP28" i="13"/>
  <c r="BM28" i="13"/>
  <c r="BL28" i="13"/>
  <c r="BK28" i="13"/>
  <c r="BH28" i="13"/>
  <c r="BG28" i="13"/>
  <c r="BF28" i="13"/>
  <c r="BC28" i="13"/>
  <c r="BB28" i="13"/>
  <c r="BA28" i="13"/>
  <c r="AX28" i="13"/>
  <c r="AW28" i="13"/>
  <c r="AV28" i="13"/>
  <c r="AS28" i="13"/>
  <c r="AR28" i="13"/>
  <c r="AQ28" i="13"/>
  <c r="AN28" i="13"/>
  <c r="AM28" i="13"/>
  <c r="AL28" i="13"/>
  <c r="CV27" i="13"/>
  <c r="CS27" i="13"/>
  <c r="CQ27" i="13"/>
  <c r="CO27" i="13"/>
  <c r="CL27" i="13"/>
  <c r="CK27" i="13"/>
  <c r="CJ27" i="13"/>
  <c r="CG27" i="13"/>
  <c r="CF27" i="13"/>
  <c r="CE27" i="13"/>
  <c r="CB27" i="13"/>
  <c r="CA27" i="13"/>
  <c r="BZ27" i="13"/>
  <c r="BW27" i="13"/>
  <c r="BV27" i="13"/>
  <c r="BU27" i="13"/>
  <c r="BR27" i="13"/>
  <c r="BQ27" i="13"/>
  <c r="BP27" i="13"/>
  <c r="BM27" i="13"/>
  <c r="BL27" i="13"/>
  <c r="BK27" i="13"/>
  <c r="BH27" i="13"/>
  <c r="BG27" i="13"/>
  <c r="BF27" i="13"/>
  <c r="BC27" i="13"/>
  <c r="BB27" i="13"/>
  <c r="BA27" i="13"/>
  <c r="AX27" i="13"/>
  <c r="AW27" i="13"/>
  <c r="AV27" i="13"/>
  <c r="AS27" i="13"/>
  <c r="AR27" i="13"/>
  <c r="AQ27" i="13"/>
  <c r="AN27" i="13"/>
  <c r="AM27" i="13"/>
  <c r="AL27" i="13"/>
  <c r="CV26" i="13"/>
  <c r="CS26" i="13"/>
  <c r="CQ26" i="13"/>
  <c r="CO26" i="13"/>
  <c r="CL26" i="13"/>
  <c r="CK26" i="13"/>
  <c r="CJ26" i="13"/>
  <c r="CG26" i="13"/>
  <c r="CF26" i="13"/>
  <c r="CE26" i="13"/>
  <c r="CB26" i="13"/>
  <c r="CA26" i="13"/>
  <c r="BZ26" i="13"/>
  <c r="BW26" i="13"/>
  <c r="BV26" i="13"/>
  <c r="BU26" i="13"/>
  <c r="BR26" i="13"/>
  <c r="BQ26" i="13"/>
  <c r="BP26" i="13"/>
  <c r="BM26" i="13"/>
  <c r="BL26" i="13"/>
  <c r="BK26" i="13"/>
  <c r="BH26" i="13"/>
  <c r="BG26" i="13"/>
  <c r="BF26" i="13"/>
  <c r="BC26" i="13"/>
  <c r="BB26" i="13"/>
  <c r="BA26" i="13"/>
  <c r="AX26" i="13"/>
  <c r="AW26" i="13"/>
  <c r="AV26" i="13"/>
  <c r="AS26" i="13"/>
  <c r="AR26" i="13"/>
  <c r="AQ26" i="13"/>
  <c r="AN26" i="13"/>
  <c r="AM26" i="13"/>
  <c r="AL26" i="13"/>
  <c r="CV25" i="13"/>
  <c r="CS25" i="13"/>
  <c r="CQ25" i="13"/>
  <c r="CO25" i="13"/>
  <c r="CL25" i="13"/>
  <c r="CK25" i="13"/>
  <c r="CJ25" i="13"/>
  <c r="CG25" i="13"/>
  <c r="CF25" i="13"/>
  <c r="CE25" i="13"/>
  <c r="CB25" i="13"/>
  <c r="CA25" i="13"/>
  <c r="BZ25" i="13"/>
  <c r="BW25" i="13"/>
  <c r="BV25" i="13"/>
  <c r="BU25" i="13"/>
  <c r="BR25" i="13"/>
  <c r="BQ25" i="13"/>
  <c r="BP25" i="13"/>
  <c r="BM25" i="13"/>
  <c r="BL25" i="13"/>
  <c r="BK25" i="13"/>
  <c r="BH25" i="13"/>
  <c r="BG25" i="13"/>
  <c r="BF25" i="13"/>
  <c r="BC25" i="13"/>
  <c r="BB25" i="13"/>
  <c r="BA25" i="13"/>
  <c r="AX25" i="13"/>
  <c r="AW25" i="13"/>
  <c r="AV25" i="13"/>
  <c r="AS25" i="13"/>
  <c r="AR25" i="13"/>
  <c r="AQ25" i="13"/>
  <c r="AN25" i="13"/>
  <c r="AM25" i="13"/>
  <c r="AL25" i="13"/>
  <c r="CV24" i="13"/>
  <c r="CS24" i="13"/>
  <c r="CQ24" i="13"/>
  <c r="CO24" i="13"/>
  <c r="CL24" i="13"/>
  <c r="CK24" i="13"/>
  <c r="CJ24" i="13"/>
  <c r="CG24" i="13"/>
  <c r="CF24" i="13"/>
  <c r="CE24" i="13"/>
  <c r="CB24" i="13"/>
  <c r="CA24" i="13"/>
  <c r="BZ24" i="13"/>
  <c r="BW24" i="13"/>
  <c r="BV24" i="13"/>
  <c r="BU24" i="13"/>
  <c r="BR24" i="13"/>
  <c r="BQ24" i="13"/>
  <c r="BP24" i="13"/>
  <c r="BM24" i="13"/>
  <c r="BL24" i="13"/>
  <c r="BK24" i="13"/>
  <c r="BH24" i="13"/>
  <c r="BG24" i="13"/>
  <c r="BF24" i="13"/>
  <c r="BC24" i="13"/>
  <c r="BB24" i="13"/>
  <c r="BA24" i="13"/>
  <c r="AX24" i="13"/>
  <c r="AW24" i="13"/>
  <c r="AV24" i="13"/>
  <c r="AS24" i="13"/>
  <c r="AR24" i="13"/>
  <c r="AQ24" i="13"/>
  <c r="AN24" i="13"/>
  <c r="AM24" i="13"/>
  <c r="AL24" i="13"/>
  <c r="CV23" i="13"/>
  <c r="CS23" i="13"/>
  <c r="CQ23" i="13"/>
  <c r="CO23" i="13"/>
  <c r="CL23" i="13"/>
  <c r="CK23" i="13"/>
  <c r="CJ23" i="13"/>
  <c r="CG23" i="13"/>
  <c r="CF23" i="13"/>
  <c r="CE23" i="13"/>
  <c r="CB23" i="13"/>
  <c r="CA23" i="13"/>
  <c r="BZ23" i="13"/>
  <c r="BW23" i="13"/>
  <c r="BV23" i="13"/>
  <c r="BU23" i="13"/>
  <c r="BR23" i="13"/>
  <c r="BQ23" i="13"/>
  <c r="BP23" i="13"/>
  <c r="BM23" i="13"/>
  <c r="BL23" i="13"/>
  <c r="BK23" i="13"/>
  <c r="BH23" i="13"/>
  <c r="BG23" i="13"/>
  <c r="BF23" i="13"/>
  <c r="BC23" i="13"/>
  <c r="BB23" i="13"/>
  <c r="BA23" i="13"/>
  <c r="AX23" i="13"/>
  <c r="AW23" i="13"/>
  <c r="AV23" i="13"/>
  <c r="AS23" i="13"/>
  <c r="AR23" i="13"/>
  <c r="AQ23" i="13"/>
  <c r="AN23" i="13"/>
  <c r="AM23" i="13"/>
  <c r="AL23" i="13"/>
  <c r="CV22" i="13"/>
  <c r="CS22" i="13"/>
  <c r="CQ22" i="13"/>
  <c r="CO22" i="13"/>
  <c r="CL22" i="13"/>
  <c r="CK22" i="13"/>
  <c r="CJ22" i="13"/>
  <c r="CG22" i="13"/>
  <c r="CF22" i="13"/>
  <c r="CE22" i="13"/>
  <c r="CB22" i="13"/>
  <c r="CA22" i="13"/>
  <c r="BZ22" i="13"/>
  <c r="BW22" i="13"/>
  <c r="BV22" i="13"/>
  <c r="BU22" i="13"/>
  <c r="BR22" i="13"/>
  <c r="BQ22" i="13"/>
  <c r="BP22" i="13"/>
  <c r="BS22" i="13" s="1"/>
  <c r="BT22" i="13" s="1"/>
  <c r="BM22" i="13"/>
  <c r="BL22" i="13"/>
  <c r="BK22" i="13"/>
  <c r="BH22" i="13"/>
  <c r="BG22" i="13"/>
  <c r="BF22" i="13"/>
  <c r="BC22" i="13"/>
  <c r="BB22" i="13"/>
  <c r="BA22" i="13"/>
  <c r="AX22" i="13"/>
  <c r="AW22" i="13"/>
  <c r="AV22" i="13"/>
  <c r="AS22" i="13"/>
  <c r="AR22" i="13"/>
  <c r="AQ22" i="13"/>
  <c r="AN22" i="13"/>
  <c r="AM22" i="13"/>
  <c r="AL22" i="13"/>
  <c r="CV21" i="13"/>
  <c r="CS21" i="13"/>
  <c r="CQ21" i="13"/>
  <c r="CO21" i="13"/>
  <c r="CL21" i="13"/>
  <c r="CK21" i="13"/>
  <c r="CJ21" i="13"/>
  <c r="CG21" i="13"/>
  <c r="CF21" i="13"/>
  <c r="CE21" i="13"/>
  <c r="CB21" i="13"/>
  <c r="CA21" i="13"/>
  <c r="BZ21" i="13"/>
  <c r="BW21" i="13"/>
  <c r="BV21" i="13"/>
  <c r="BU21" i="13"/>
  <c r="BR21" i="13"/>
  <c r="BQ21" i="13"/>
  <c r="BP21" i="13"/>
  <c r="BM21" i="13"/>
  <c r="BL21" i="13"/>
  <c r="BK21" i="13"/>
  <c r="BH21" i="13"/>
  <c r="BG21" i="13"/>
  <c r="BF21" i="13"/>
  <c r="BC21" i="13"/>
  <c r="BB21" i="13"/>
  <c r="BA21" i="13"/>
  <c r="AX21" i="13"/>
  <c r="AW21" i="13"/>
  <c r="AV21" i="13"/>
  <c r="AS21" i="13"/>
  <c r="AR21" i="13"/>
  <c r="AQ21" i="13"/>
  <c r="AN21" i="13"/>
  <c r="AM21" i="13"/>
  <c r="AL21" i="13"/>
  <c r="CV20" i="13"/>
  <c r="CS20" i="13"/>
  <c r="CQ20" i="13"/>
  <c r="CO20" i="13"/>
  <c r="CL20" i="13"/>
  <c r="CK20" i="13"/>
  <c r="CJ20" i="13"/>
  <c r="CG20" i="13"/>
  <c r="CF20" i="13"/>
  <c r="CE20" i="13"/>
  <c r="CB20" i="13"/>
  <c r="CA20" i="13"/>
  <c r="BZ20" i="13"/>
  <c r="BW20" i="13"/>
  <c r="BV20" i="13"/>
  <c r="BU20" i="13"/>
  <c r="BR20" i="13"/>
  <c r="BQ20" i="13"/>
  <c r="BP20" i="13"/>
  <c r="BM20" i="13"/>
  <c r="BL20" i="13"/>
  <c r="BK20" i="13"/>
  <c r="BH20" i="13"/>
  <c r="BG20" i="13"/>
  <c r="BF20" i="13"/>
  <c r="BC20" i="13"/>
  <c r="BB20" i="13"/>
  <c r="BA20" i="13"/>
  <c r="AX20" i="13"/>
  <c r="AW20" i="13"/>
  <c r="AV20" i="13"/>
  <c r="AS20" i="13"/>
  <c r="AR20" i="13"/>
  <c r="AQ20" i="13"/>
  <c r="AN20" i="13"/>
  <c r="AM20" i="13"/>
  <c r="AL20" i="13"/>
  <c r="CV19" i="13"/>
  <c r="CS19" i="13"/>
  <c r="CQ19" i="13"/>
  <c r="CO19" i="13"/>
  <c r="AA19" i="13" s="1"/>
  <c r="CP19" i="13" s="1"/>
  <c r="CL19" i="13"/>
  <c r="CK19" i="13"/>
  <c r="CJ19" i="13"/>
  <c r="CG19" i="13"/>
  <c r="CF19" i="13"/>
  <c r="CE19" i="13"/>
  <c r="CB19" i="13"/>
  <c r="CA19" i="13"/>
  <c r="BZ19" i="13"/>
  <c r="BW19" i="13"/>
  <c r="BV19" i="13"/>
  <c r="BU19" i="13"/>
  <c r="BR19" i="13"/>
  <c r="BQ19" i="13"/>
  <c r="BP19" i="13"/>
  <c r="BM19" i="13"/>
  <c r="BL19" i="13"/>
  <c r="BK19" i="13"/>
  <c r="BH19" i="13"/>
  <c r="BG19" i="13"/>
  <c r="BF19" i="13"/>
  <c r="BC19" i="13"/>
  <c r="BB19" i="13"/>
  <c r="BA19" i="13"/>
  <c r="AX19" i="13"/>
  <c r="AW19" i="13"/>
  <c r="AV19" i="13"/>
  <c r="AS19" i="13"/>
  <c r="AR19" i="13"/>
  <c r="AQ19" i="13"/>
  <c r="AN19" i="13"/>
  <c r="AM19" i="13"/>
  <c r="AL19" i="13"/>
  <c r="CV18" i="13"/>
  <c r="CS18" i="13"/>
  <c r="CQ18" i="13"/>
  <c r="CO18" i="13"/>
  <c r="CL18" i="13"/>
  <c r="CK18" i="13"/>
  <c r="CJ18" i="13"/>
  <c r="CG18" i="13"/>
  <c r="CF18" i="13"/>
  <c r="CE18" i="13"/>
  <c r="CB18" i="13"/>
  <c r="CA18" i="13"/>
  <c r="BZ18" i="13"/>
  <c r="BW18" i="13"/>
  <c r="BV18" i="13"/>
  <c r="BU18" i="13"/>
  <c r="BR18" i="13"/>
  <c r="BQ18" i="13"/>
  <c r="BP18" i="13"/>
  <c r="BM18" i="13"/>
  <c r="BL18" i="13"/>
  <c r="BK18" i="13"/>
  <c r="BH18" i="13"/>
  <c r="BG18" i="13"/>
  <c r="BF18" i="13"/>
  <c r="BC18" i="13"/>
  <c r="BB18" i="13"/>
  <c r="BA18" i="13"/>
  <c r="AX18" i="13"/>
  <c r="AW18" i="13"/>
  <c r="AV18" i="13"/>
  <c r="AS18" i="13"/>
  <c r="AR18" i="13"/>
  <c r="AQ18" i="13"/>
  <c r="AN18" i="13"/>
  <c r="AM18" i="13"/>
  <c r="AL18" i="13"/>
  <c r="CV17" i="13"/>
  <c r="CS17" i="13"/>
  <c r="CQ17" i="13"/>
  <c r="CO17" i="13"/>
  <c r="CL17" i="13"/>
  <c r="CK17" i="13"/>
  <c r="CJ17" i="13"/>
  <c r="CG17" i="13"/>
  <c r="CF17" i="13"/>
  <c r="CE17" i="13"/>
  <c r="CB17" i="13"/>
  <c r="CA17" i="13"/>
  <c r="BZ17" i="13"/>
  <c r="BW17" i="13"/>
  <c r="BV17" i="13"/>
  <c r="BU17" i="13"/>
  <c r="BR17" i="13"/>
  <c r="BQ17" i="13"/>
  <c r="BP17" i="13"/>
  <c r="BM17" i="13"/>
  <c r="BL17" i="13"/>
  <c r="BK17" i="13"/>
  <c r="BH17" i="13"/>
  <c r="BG17" i="13"/>
  <c r="BF17" i="13"/>
  <c r="BC17" i="13"/>
  <c r="BB17" i="13"/>
  <c r="BA17" i="13"/>
  <c r="AX17" i="13"/>
  <c r="AW17" i="13"/>
  <c r="AV17" i="13"/>
  <c r="AS17" i="13"/>
  <c r="AR17" i="13"/>
  <c r="AQ17" i="13"/>
  <c r="AN17" i="13"/>
  <c r="AM17" i="13"/>
  <c r="AL17" i="13"/>
  <c r="CV16" i="13"/>
  <c r="CS16" i="13"/>
  <c r="CQ16" i="13"/>
  <c r="CO16" i="13"/>
  <c r="CL16" i="13"/>
  <c r="CK16" i="13"/>
  <c r="CJ16" i="13"/>
  <c r="CG16" i="13"/>
  <c r="CF16" i="13"/>
  <c r="CE16" i="13"/>
  <c r="CB16" i="13"/>
  <c r="CA16" i="13"/>
  <c r="BZ16" i="13"/>
  <c r="BW16" i="13"/>
  <c r="BV16" i="13"/>
  <c r="BU16" i="13"/>
  <c r="BR16" i="13"/>
  <c r="BQ16" i="13"/>
  <c r="BP16" i="13"/>
  <c r="BM16" i="13"/>
  <c r="BL16" i="13"/>
  <c r="BK16" i="13"/>
  <c r="BH16" i="13"/>
  <c r="BG16" i="13"/>
  <c r="BF16" i="13"/>
  <c r="BC16" i="13"/>
  <c r="BB16" i="13"/>
  <c r="BA16" i="13"/>
  <c r="AX16" i="13"/>
  <c r="AW16" i="13"/>
  <c r="AV16" i="13"/>
  <c r="AS16" i="13"/>
  <c r="AR16" i="13"/>
  <c r="AQ16" i="13"/>
  <c r="AN16" i="13"/>
  <c r="AM16" i="13"/>
  <c r="AL16" i="13"/>
  <c r="CV15" i="13"/>
  <c r="CS15" i="13"/>
  <c r="CQ15" i="13"/>
  <c r="CO15" i="13"/>
  <c r="CL15" i="13"/>
  <c r="CK15" i="13"/>
  <c r="CJ15" i="13"/>
  <c r="CG15" i="13"/>
  <c r="CF15" i="13"/>
  <c r="CE15" i="13"/>
  <c r="CB15" i="13"/>
  <c r="CA15" i="13"/>
  <c r="BZ15" i="13"/>
  <c r="BW15" i="13"/>
  <c r="BV15" i="13"/>
  <c r="BU15" i="13"/>
  <c r="BR15" i="13"/>
  <c r="BQ15" i="13"/>
  <c r="BP15" i="13"/>
  <c r="BM15" i="13"/>
  <c r="BL15" i="13"/>
  <c r="BK15" i="13"/>
  <c r="BH15" i="13"/>
  <c r="BG15" i="13"/>
  <c r="BF15" i="13"/>
  <c r="BC15" i="13"/>
  <c r="BB15" i="13"/>
  <c r="BA15" i="13"/>
  <c r="AX15" i="13"/>
  <c r="AW15" i="13"/>
  <c r="AV15" i="13"/>
  <c r="AS15" i="13"/>
  <c r="AR15" i="13"/>
  <c r="AQ15" i="13"/>
  <c r="AN15" i="13"/>
  <c r="AM15" i="13"/>
  <c r="AL15" i="13"/>
  <c r="CV14" i="13"/>
  <c r="AC14" i="13" s="1"/>
  <c r="CS14" i="13"/>
  <c r="CQ14" i="13"/>
  <c r="CO14" i="13"/>
  <c r="AA14" i="13" s="1"/>
  <c r="CP14" i="13" s="1"/>
  <c r="CL14" i="13"/>
  <c r="CK14" i="13"/>
  <c r="CJ14" i="13"/>
  <c r="CG14" i="13"/>
  <c r="CF14" i="13"/>
  <c r="CE14" i="13"/>
  <c r="CB14" i="13"/>
  <c r="CA14" i="13"/>
  <c r="BZ14" i="13"/>
  <c r="BW14" i="13"/>
  <c r="BV14" i="13"/>
  <c r="BU14" i="13"/>
  <c r="BR14" i="13"/>
  <c r="BQ14" i="13"/>
  <c r="BP14" i="13"/>
  <c r="BM14" i="13"/>
  <c r="BL14" i="13"/>
  <c r="BK14" i="13"/>
  <c r="BH14" i="13"/>
  <c r="BG14" i="13"/>
  <c r="BF14" i="13"/>
  <c r="BC14" i="13"/>
  <c r="BB14" i="13"/>
  <c r="BA14" i="13"/>
  <c r="AX14" i="13"/>
  <c r="AW14" i="13"/>
  <c r="AV14" i="13"/>
  <c r="AS14" i="13"/>
  <c r="AR14" i="13"/>
  <c r="AQ14" i="13"/>
  <c r="AN14" i="13"/>
  <c r="AM14" i="13"/>
  <c r="AL14" i="13"/>
  <c r="CV13" i="13"/>
  <c r="CS13" i="13"/>
  <c r="CQ13" i="13"/>
  <c r="CO13" i="13"/>
  <c r="CL13" i="13"/>
  <c r="CK13" i="13"/>
  <c r="CJ13" i="13"/>
  <c r="CG13" i="13"/>
  <c r="CF13" i="13"/>
  <c r="CE13" i="13"/>
  <c r="CB13" i="13"/>
  <c r="CA13" i="13"/>
  <c r="BZ13" i="13"/>
  <c r="BW13" i="13"/>
  <c r="BV13" i="13"/>
  <c r="BU13" i="13"/>
  <c r="BR13" i="13"/>
  <c r="BQ13" i="13"/>
  <c r="BP13" i="13"/>
  <c r="BM13" i="13"/>
  <c r="BL13" i="13"/>
  <c r="BK13" i="13"/>
  <c r="BH13" i="13"/>
  <c r="BG13" i="13"/>
  <c r="BF13" i="13"/>
  <c r="BC13" i="13"/>
  <c r="BB13" i="13"/>
  <c r="BA13" i="13"/>
  <c r="AX13" i="13"/>
  <c r="AW13" i="13"/>
  <c r="AV13" i="13"/>
  <c r="AS13" i="13"/>
  <c r="AR13" i="13"/>
  <c r="AQ13" i="13"/>
  <c r="AN13" i="13"/>
  <c r="AM13" i="13"/>
  <c r="AL13" i="13"/>
  <c r="AC178" i="13"/>
  <c r="AA178" i="13"/>
  <c r="CP178" i="13" s="1"/>
  <c r="AC177" i="13"/>
  <c r="AA177" i="13"/>
  <c r="AC176" i="13"/>
  <c r="AA176" i="13"/>
  <c r="CP176" i="13" s="1"/>
  <c r="AC175" i="13"/>
  <c r="AA175" i="13"/>
  <c r="AC174" i="13"/>
  <c r="AA174" i="13"/>
  <c r="CP174" i="13" s="1"/>
  <c r="AC173" i="13"/>
  <c r="AA173" i="13"/>
  <c r="AC172" i="13"/>
  <c r="AA172" i="13"/>
  <c r="CP172" i="13" s="1"/>
  <c r="AC171" i="13"/>
  <c r="AA171" i="13"/>
  <c r="AC170" i="13"/>
  <c r="AA170" i="13"/>
  <c r="CP170" i="13" s="1"/>
  <c r="AC169" i="13"/>
  <c r="AA169" i="13"/>
  <c r="AC168" i="13"/>
  <c r="AA168" i="13"/>
  <c r="CP168" i="13" s="1"/>
  <c r="AC167" i="13"/>
  <c r="AA167" i="13"/>
  <c r="AC166" i="13"/>
  <c r="AA166" i="13"/>
  <c r="CP166" i="13" s="1"/>
  <c r="AC165" i="13"/>
  <c r="AA165" i="13"/>
  <c r="AC164" i="13"/>
  <c r="AA164" i="13"/>
  <c r="CP164" i="13" s="1"/>
  <c r="AC163" i="13"/>
  <c r="AA163" i="13"/>
  <c r="AC162" i="13"/>
  <c r="AA162" i="13"/>
  <c r="CP162" i="13" s="1"/>
  <c r="AC161" i="13"/>
  <c r="AA161" i="13"/>
  <c r="AC160" i="13"/>
  <c r="AA160" i="13"/>
  <c r="CP160" i="13" s="1"/>
  <c r="AC159" i="13"/>
  <c r="AA159" i="13"/>
  <c r="AC158" i="13"/>
  <c r="AA158" i="13"/>
  <c r="CP158" i="13" s="1"/>
  <c r="Y158" i="13"/>
  <c r="AC157" i="13"/>
  <c r="AA157" i="13"/>
  <c r="AC156" i="13"/>
  <c r="AA156" i="13"/>
  <c r="CP156" i="13" s="1"/>
  <c r="AC155" i="13"/>
  <c r="AA155" i="13"/>
  <c r="AC154" i="13"/>
  <c r="AA154" i="13"/>
  <c r="CP154" i="13" s="1"/>
  <c r="AC153" i="13"/>
  <c r="CW153" i="13" s="1"/>
  <c r="AA153" i="13"/>
  <c r="AC152" i="13"/>
  <c r="AA152" i="13"/>
  <c r="CP152" i="13" s="1"/>
  <c r="Y152" i="13"/>
  <c r="AC151" i="13"/>
  <c r="CW151" i="13" s="1"/>
  <c r="AA151" i="13"/>
  <c r="AC150" i="13"/>
  <c r="AA150" i="13"/>
  <c r="CP150" i="13" s="1"/>
  <c r="Y150" i="13"/>
  <c r="AC149" i="13"/>
  <c r="AA149" i="13"/>
  <c r="AC148" i="13"/>
  <c r="AA148" i="13"/>
  <c r="CP148" i="13" s="1"/>
  <c r="AC147" i="13"/>
  <c r="CW147" i="13" s="1"/>
  <c r="AA147" i="13"/>
  <c r="CP147" i="13" s="1"/>
  <c r="AC146" i="13"/>
  <c r="CW146" i="13" s="1"/>
  <c r="AA146" i="13"/>
  <c r="CP146" i="13" s="1"/>
  <c r="AC145" i="13"/>
  <c r="CW145" i="13" s="1"/>
  <c r="AA145" i="13"/>
  <c r="AC144" i="13"/>
  <c r="CW144" i="13" s="1"/>
  <c r="AA144" i="13"/>
  <c r="CP144" i="13" s="1"/>
  <c r="AC143" i="13"/>
  <c r="CW143" i="13" s="1"/>
  <c r="AA143" i="13"/>
  <c r="Z143" i="13"/>
  <c r="AC142" i="13"/>
  <c r="AA142" i="13"/>
  <c r="CP142" i="13" s="1"/>
  <c r="AC141" i="13"/>
  <c r="CW141" i="13" s="1"/>
  <c r="AA141" i="13"/>
  <c r="AC140" i="13"/>
  <c r="AA140" i="13"/>
  <c r="CP140" i="13" s="1"/>
  <c r="AC139" i="13"/>
  <c r="CW139" i="13" s="1"/>
  <c r="AA139" i="13"/>
  <c r="Y139" i="13"/>
  <c r="AC138" i="13"/>
  <c r="AA138" i="13"/>
  <c r="CP138" i="13" s="1"/>
  <c r="AC137" i="13"/>
  <c r="AA137" i="13"/>
  <c r="AC136" i="13"/>
  <c r="AA136" i="13"/>
  <c r="CP136" i="13" s="1"/>
  <c r="AC135" i="13"/>
  <c r="AA135" i="13"/>
  <c r="AC134" i="13"/>
  <c r="AA134" i="13"/>
  <c r="CP134" i="13" s="1"/>
  <c r="AC133" i="13"/>
  <c r="AA133" i="13"/>
  <c r="AC132" i="13"/>
  <c r="AA132" i="13"/>
  <c r="CP132" i="13" s="1"/>
  <c r="AC131" i="13"/>
  <c r="CW131" i="13" s="1"/>
  <c r="AA131" i="13"/>
  <c r="AC130" i="13"/>
  <c r="AA130" i="13"/>
  <c r="CP130" i="13" s="1"/>
  <c r="AC129" i="13"/>
  <c r="CW129" i="13" s="1"/>
  <c r="AA129" i="13"/>
  <c r="AC128" i="13"/>
  <c r="AA128" i="13"/>
  <c r="CP128" i="13" s="1"/>
  <c r="AC127" i="13"/>
  <c r="CW127" i="13" s="1"/>
  <c r="AA127" i="13"/>
  <c r="AC126" i="13"/>
  <c r="AA126" i="13"/>
  <c r="CP126" i="13" s="1"/>
  <c r="AC125" i="13"/>
  <c r="CW125" i="13" s="1"/>
  <c r="AA125" i="13"/>
  <c r="AC124" i="13"/>
  <c r="AA124" i="13"/>
  <c r="CP124" i="13" s="1"/>
  <c r="AC123" i="13"/>
  <c r="AA123" i="13"/>
  <c r="AC122" i="13"/>
  <c r="AA122" i="13"/>
  <c r="CP122" i="13" s="1"/>
  <c r="AC121" i="13"/>
  <c r="CW121" i="13" s="1"/>
  <c r="AA121" i="13"/>
  <c r="AC120" i="13"/>
  <c r="AA120" i="13"/>
  <c r="CP120" i="13" s="1"/>
  <c r="AC119" i="13"/>
  <c r="CW119" i="13" s="1"/>
  <c r="AA119" i="13"/>
  <c r="AC118" i="13"/>
  <c r="AA118" i="13"/>
  <c r="CP118" i="13" s="1"/>
  <c r="AC117" i="13"/>
  <c r="CW117" i="13" s="1"/>
  <c r="AA117" i="13"/>
  <c r="AC116" i="13"/>
  <c r="AA116" i="13"/>
  <c r="CP116" i="13" s="1"/>
  <c r="AC115" i="13"/>
  <c r="CW115" i="13" s="1"/>
  <c r="AA115" i="13"/>
  <c r="CP115" i="13" s="1"/>
  <c r="AC114" i="13"/>
  <c r="AA114" i="13"/>
  <c r="CP114" i="13" s="1"/>
  <c r="AC113" i="13"/>
  <c r="CW113" i="13" s="1"/>
  <c r="AA113" i="13"/>
  <c r="AC112" i="13"/>
  <c r="AA112" i="13"/>
  <c r="CP112" i="13" s="1"/>
  <c r="AC111" i="13"/>
  <c r="CW111" i="13" s="1"/>
  <c r="AA111" i="13"/>
  <c r="CP111" i="13" s="1"/>
  <c r="AC110" i="13"/>
  <c r="AA110" i="13"/>
  <c r="CP110" i="13" s="1"/>
  <c r="AC109" i="13"/>
  <c r="CW109" i="13" s="1"/>
  <c r="AA109" i="13"/>
  <c r="AC108" i="13"/>
  <c r="AA108" i="13"/>
  <c r="CP108" i="13" s="1"/>
  <c r="AC107" i="13"/>
  <c r="CW107" i="13" s="1"/>
  <c r="AA107" i="13"/>
  <c r="CP107" i="13" s="1"/>
  <c r="AC106" i="13"/>
  <c r="AA106" i="13"/>
  <c r="CP106" i="13" s="1"/>
  <c r="AC105" i="13"/>
  <c r="CW105" i="13" s="1"/>
  <c r="AA105" i="13"/>
  <c r="AC104" i="13"/>
  <c r="AA104" i="13"/>
  <c r="CP104" i="13" s="1"/>
  <c r="AC103" i="13"/>
  <c r="CW103" i="13" s="1"/>
  <c r="AA103" i="13"/>
  <c r="CP103" i="13" s="1"/>
  <c r="AA102" i="13"/>
  <c r="CP102" i="13" s="1"/>
  <c r="AC101" i="13"/>
  <c r="CW101" i="13" s="1"/>
  <c r="AA101" i="13"/>
  <c r="AC100" i="13"/>
  <c r="AA100" i="13"/>
  <c r="CP100" i="13" s="1"/>
  <c r="AC99" i="13"/>
  <c r="CW99" i="13" s="1"/>
  <c r="AA99" i="13"/>
  <c r="CP99" i="13" s="1"/>
  <c r="AC98" i="13"/>
  <c r="AA98" i="13"/>
  <c r="CP98" i="13" s="1"/>
  <c r="AC97" i="13"/>
  <c r="CW97" i="13" s="1"/>
  <c r="AA97" i="13"/>
  <c r="CP97" i="13" s="1"/>
  <c r="AC96" i="13"/>
  <c r="AA96" i="13"/>
  <c r="CP96" i="13" s="1"/>
  <c r="AC95" i="13"/>
  <c r="CW95" i="13" s="1"/>
  <c r="AA95" i="13"/>
  <c r="CP95" i="13" s="1"/>
  <c r="AC94" i="13"/>
  <c r="AA94" i="13"/>
  <c r="CP94" i="13" s="1"/>
  <c r="AC93" i="13"/>
  <c r="AA93" i="13"/>
  <c r="CP93" i="13" s="1"/>
  <c r="AC92" i="13"/>
  <c r="AA92" i="13"/>
  <c r="CP92" i="13" s="1"/>
  <c r="AC91" i="13"/>
  <c r="AA91" i="13"/>
  <c r="CP91" i="13" s="1"/>
  <c r="AC90" i="13"/>
  <c r="AA90" i="13"/>
  <c r="CP90" i="13" s="1"/>
  <c r="AC89" i="13"/>
  <c r="AA89" i="13"/>
  <c r="CP89" i="13" s="1"/>
  <c r="AC88" i="13"/>
  <c r="AA88" i="13"/>
  <c r="CP88" i="13" s="1"/>
  <c r="AC87" i="13"/>
  <c r="AA87" i="13"/>
  <c r="CP87" i="13" s="1"/>
  <c r="AC86" i="13"/>
  <c r="AA86" i="13"/>
  <c r="CP86" i="13" s="1"/>
  <c r="AC85" i="13"/>
  <c r="AA85" i="13"/>
  <c r="CP85" i="13" s="1"/>
  <c r="AC84" i="13"/>
  <c r="AA84" i="13"/>
  <c r="CP84" i="13" s="1"/>
  <c r="AA83" i="13"/>
  <c r="AC82" i="13"/>
  <c r="AA82" i="13"/>
  <c r="CP82" i="13" s="1"/>
  <c r="AC81" i="13"/>
  <c r="AA81" i="13"/>
  <c r="CP81" i="13" s="1"/>
  <c r="AC80" i="13"/>
  <c r="AA80" i="13"/>
  <c r="CP80" i="13" s="1"/>
  <c r="AC79" i="13"/>
  <c r="AA79" i="13"/>
  <c r="CP79" i="13" s="1"/>
  <c r="AC78" i="13"/>
  <c r="AA78" i="13"/>
  <c r="CP78" i="13" s="1"/>
  <c r="AC77" i="13"/>
  <c r="AA77" i="13"/>
  <c r="CP77" i="13" s="1"/>
  <c r="AC76" i="13"/>
  <c r="AA76" i="13"/>
  <c r="CP76" i="13" s="1"/>
  <c r="AC75" i="13"/>
  <c r="AA75" i="13"/>
  <c r="CP75" i="13" s="1"/>
  <c r="AC74" i="13"/>
  <c r="AA74" i="13"/>
  <c r="CP74" i="13" s="1"/>
  <c r="AC73" i="13"/>
  <c r="AA73" i="13"/>
  <c r="CP73" i="13" s="1"/>
  <c r="AC72" i="13"/>
  <c r="AA72" i="13"/>
  <c r="AC71" i="13"/>
  <c r="AA71" i="13"/>
  <c r="CP71" i="13" s="1"/>
  <c r="AC70" i="13"/>
  <c r="AA70" i="13"/>
  <c r="AC69" i="13"/>
  <c r="AA68" i="13"/>
  <c r="CP68" i="13" s="1"/>
  <c r="AC67" i="13"/>
  <c r="AA67" i="13"/>
  <c r="AC66" i="13"/>
  <c r="AA66" i="13"/>
  <c r="CP66" i="13" s="1"/>
  <c r="AC65" i="13"/>
  <c r="AA65" i="13"/>
  <c r="AC64" i="13"/>
  <c r="AA64" i="13"/>
  <c r="CP64" i="13" s="1"/>
  <c r="AC63" i="13"/>
  <c r="AA63" i="13"/>
  <c r="AC62" i="13"/>
  <c r="AA62" i="13"/>
  <c r="CP62" i="13" s="1"/>
  <c r="AC61" i="13"/>
  <c r="AA61" i="13"/>
  <c r="AA60" i="13"/>
  <c r="CP60" i="13" s="1"/>
  <c r="AC59" i="13"/>
  <c r="AA59" i="13"/>
  <c r="AC58" i="13"/>
  <c r="AA58" i="13"/>
  <c r="CP58" i="13" s="1"/>
  <c r="AC57" i="13"/>
  <c r="AA57" i="13"/>
  <c r="AC56" i="13"/>
  <c r="AA56" i="13"/>
  <c r="CP56" i="13" s="1"/>
  <c r="AC55" i="13"/>
  <c r="AA55" i="13"/>
  <c r="AC54" i="13"/>
  <c r="AA54" i="13"/>
  <c r="CP54" i="13" s="1"/>
  <c r="AA53" i="13"/>
  <c r="AC52" i="13"/>
  <c r="AA52" i="13"/>
  <c r="CP52" i="13" s="1"/>
  <c r="AC51" i="13"/>
  <c r="AA51" i="13"/>
  <c r="AC50" i="13"/>
  <c r="AA50" i="13"/>
  <c r="CP50" i="13" s="1"/>
  <c r="AC49" i="13"/>
  <c r="AA49" i="13"/>
  <c r="AC48" i="13"/>
  <c r="AA48" i="13"/>
  <c r="CP48" i="13" s="1"/>
  <c r="AC47" i="13"/>
  <c r="AA47" i="13"/>
  <c r="AC46" i="13"/>
  <c r="AA46" i="13"/>
  <c r="CP46" i="13" s="1"/>
  <c r="AA45" i="13"/>
  <c r="AC44" i="13"/>
  <c r="AA44" i="13"/>
  <c r="CP44" i="13" s="1"/>
  <c r="AC43" i="13"/>
  <c r="AA43" i="13"/>
  <c r="AC42" i="13"/>
  <c r="AA42" i="13"/>
  <c r="CP42" i="13" s="1"/>
  <c r="AC41" i="13"/>
  <c r="AA41" i="13"/>
  <c r="AC40" i="13"/>
  <c r="AA40" i="13"/>
  <c r="CP40" i="13" s="1"/>
  <c r="AC39" i="13"/>
  <c r="AA39" i="13"/>
  <c r="AC38" i="13"/>
  <c r="AA38" i="13"/>
  <c r="CP38" i="13" s="1"/>
  <c r="AA37" i="13"/>
  <c r="AC36" i="13"/>
  <c r="AA36" i="13"/>
  <c r="CP36" i="13" s="1"/>
  <c r="AC35" i="13"/>
  <c r="AA35" i="13"/>
  <c r="AC34" i="13"/>
  <c r="AA34" i="13"/>
  <c r="CP34" i="13" s="1"/>
  <c r="AC33" i="13"/>
  <c r="AA33" i="13"/>
  <c r="AC32" i="13"/>
  <c r="AA32" i="13"/>
  <c r="CP32" i="13" s="1"/>
  <c r="AC31" i="13"/>
  <c r="AA31" i="13"/>
  <c r="AC30" i="13"/>
  <c r="AA30" i="13"/>
  <c r="CP30" i="13" s="1"/>
  <c r="AA29" i="13"/>
  <c r="CP29" i="13" s="1"/>
  <c r="AC28" i="13"/>
  <c r="AA28" i="13"/>
  <c r="CP28" i="13" s="1"/>
  <c r="AC27" i="13"/>
  <c r="AA27" i="13"/>
  <c r="CP27" i="13" s="1"/>
  <c r="AC26" i="13"/>
  <c r="AA26" i="13"/>
  <c r="AC25" i="13"/>
  <c r="AA25" i="13"/>
  <c r="CP25" i="13" s="1"/>
  <c r="AC24" i="13"/>
  <c r="AA24" i="13"/>
  <c r="CP24" i="13" s="1"/>
  <c r="AC23" i="13"/>
  <c r="AA23" i="13"/>
  <c r="CP23" i="13" s="1"/>
  <c r="AC22" i="13"/>
  <c r="AA22" i="13"/>
  <c r="CP22" i="13" s="1"/>
  <c r="AA21" i="13"/>
  <c r="CP21" i="13" s="1"/>
  <c r="AC20" i="13"/>
  <c r="AA20" i="13"/>
  <c r="CP20" i="13" s="1"/>
  <c r="AC19" i="13"/>
  <c r="AC18" i="13"/>
  <c r="AA18" i="13"/>
  <c r="CP18" i="13" s="1"/>
  <c r="AC17" i="13"/>
  <c r="AA17" i="13"/>
  <c r="CP17" i="13" s="1"/>
  <c r="AC16" i="13"/>
  <c r="AA16" i="13"/>
  <c r="CP16" i="13" s="1"/>
  <c r="AC15" i="13"/>
  <c r="AA15" i="13"/>
  <c r="AA13" i="13"/>
  <c r="CP13" i="13" s="1"/>
  <c r="A13" i="13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CV343" i="13"/>
  <c r="CW343" i="13" s="1"/>
  <c r="CV342" i="13"/>
  <c r="CV341" i="13"/>
  <c r="AC341" i="13" s="1"/>
  <c r="CW341" i="13" s="1"/>
  <c r="CV340" i="13"/>
  <c r="AC340" i="13" s="1"/>
  <c r="CW340" i="13" s="1"/>
  <c r="CV339" i="13"/>
  <c r="AC339" i="13" s="1"/>
  <c r="CW339" i="13" s="1"/>
  <c r="CV338" i="13"/>
  <c r="AC338" i="13" s="1"/>
  <c r="CW338" i="13" s="1"/>
  <c r="A10" i="12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G167" i="20"/>
  <c r="G166" i="20"/>
  <c r="G165" i="20"/>
  <c r="G164" i="20"/>
  <c r="G163" i="20"/>
  <c r="G162" i="20"/>
  <c r="G161" i="20"/>
  <c r="G160" i="20"/>
  <c r="G159" i="20"/>
  <c r="G158" i="20"/>
  <c r="G157" i="20"/>
  <c r="A10" i="19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B323" i="4"/>
  <c r="AB287" i="4"/>
  <c r="AB279" i="4"/>
  <c r="AB273" i="4"/>
  <c r="AB266" i="4"/>
  <c r="AB241" i="4"/>
  <c r="AB230" i="4"/>
  <c r="AB223" i="4"/>
  <c r="AB210" i="4"/>
  <c r="AB193" i="4"/>
  <c r="CR333" i="13" l="1"/>
  <c r="Z331" i="4"/>
  <c r="Z332" i="4"/>
  <c r="CR334" i="13"/>
  <c r="Z333" i="4"/>
  <c r="CR335" i="13"/>
  <c r="Z334" i="4"/>
  <c r="CR336" i="13"/>
  <c r="CR337" i="13"/>
  <c r="Z335" i="4"/>
  <c r="Z336" i="4"/>
  <c r="CR338" i="13"/>
  <c r="CT338" i="13" s="1"/>
  <c r="CU338" i="13" s="1"/>
  <c r="Z337" i="4"/>
  <c r="CR339" i="13"/>
  <c r="CT339" i="13" s="1"/>
  <c r="CU339" i="13" s="1"/>
  <c r="CG336" i="13"/>
  <c r="CG337" i="13"/>
  <c r="CG338" i="13"/>
  <c r="CH338" i="13" s="1"/>
  <c r="CG339" i="13"/>
  <c r="CH339" i="13" s="1"/>
  <c r="Y339" i="13" s="1"/>
  <c r="CI339" i="13" s="1"/>
  <c r="CG340" i="13"/>
  <c r="CH340" i="13" s="1"/>
  <c r="Y340" i="13" s="1"/>
  <c r="CI340" i="13" s="1"/>
  <c r="CG341" i="13"/>
  <c r="CH341" i="13" s="1"/>
  <c r="Y341" i="13" s="1"/>
  <c r="CI341" i="13" s="1"/>
  <c r="CG342" i="13"/>
  <c r="CH342" i="13" s="1"/>
  <c r="AC342" i="13"/>
  <c r="CW342" i="13"/>
  <c r="Z340" i="12"/>
  <c r="CG343" i="13"/>
  <c r="CH343" i="13" s="1"/>
  <c r="CI343" i="13" s="1"/>
  <c r="CH168" i="13"/>
  <c r="Y168" i="13" s="1"/>
  <c r="CM170" i="13"/>
  <c r="Z170" i="13" s="1"/>
  <c r="AO171" i="13"/>
  <c r="AP171" i="13" s="1"/>
  <c r="BI171" i="13"/>
  <c r="BJ171" i="13" s="1"/>
  <c r="CC171" i="13"/>
  <c r="CD171" i="13" s="1"/>
  <c r="AY172" i="13"/>
  <c r="AZ172" i="13" s="1"/>
  <c r="BS172" i="13"/>
  <c r="BT172" i="13" s="1"/>
  <c r="CM172" i="13"/>
  <c r="Z172" i="13" s="1"/>
  <c r="AO173" i="13"/>
  <c r="AP173" i="13" s="1"/>
  <c r="BI173" i="13"/>
  <c r="BJ173" i="13" s="1"/>
  <c r="CC173" i="13"/>
  <c r="CD173" i="13" s="1"/>
  <c r="AY174" i="13"/>
  <c r="AZ174" i="13" s="1"/>
  <c r="BS174" i="13"/>
  <c r="BT174" i="13" s="1"/>
  <c r="Z183" i="12"/>
  <c r="CG186" i="13"/>
  <c r="CH186" i="13" s="1"/>
  <c r="Y186" i="13" s="1"/>
  <c r="CI186" i="13" s="1"/>
  <c r="Z184" i="12"/>
  <c r="CG187" i="13"/>
  <c r="CH187" i="13" s="1"/>
  <c r="Y187" i="13" s="1"/>
  <c r="Z185" i="12"/>
  <c r="CG188" i="13"/>
  <c r="CH188" i="13" s="1"/>
  <c r="Y188" i="13" s="1"/>
  <c r="CI188" i="13" s="1"/>
  <c r="AC188" i="13"/>
  <c r="CW188" i="13"/>
  <c r="Z186" i="12"/>
  <c r="CG189" i="13"/>
  <c r="CH189" i="13" s="1"/>
  <c r="Y189" i="13" s="1"/>
  <c r="CI189" i="13" s="1"/>
  <c r="AA189" i="13"/>
  <c r="CP189" i="13"/>
  <c r="Z187" i="12"/>
  <c r="CG190" i="13"/>
  <c r="CH190" i="13" s="1"/>
  <c r="Y190" i="13" s="1"/>
  <c r="CI190" i="13" s="1"/>
  <c r="AC190" i="13"/>
  <c r="CW190" i="13"/>
  <c r="Z188" i="12"/>
  <c r="CG191" i="13"/>
  <c r="CH191" i="13" s="1"/>
  <c r="Y191" i="13" s="1"/>
  <c r="CI191" i="13" s="1"/>
  <c r="AA191" i="13"/>
  <c r="CP191" i="13"/>
  <c r="Z189" i="12"/>
  <c r="CG192" i="13"/>
  <c r="Z190" i="12"/>
  <c r="CG193" i="13"/>
  <c r="Z191" i="12"/>
  <c r="CG194" i="13"/>
  <c r="Z193" i="12"/>
  <c r="CG196" i="13"/>
  <c r="Z194" i="12"/>
  <c r="CG197" i="13"/>
  <c r="Z195" i="12"/>
  <c r="CG198" i="13"/>
  <c r="Z196" i="12"/>
  <c r="CG199" i="13"/>
  <c r="Z197" i="12"/>
  <c r="CG200" i="13"/>
  <c r="Z198" i="12"/>
  <c r="CG201" i="13"/>
  <c r="CH201" i="13" s="1"/>
  <c r="Y201" i="13" s="1"/>
  <c r="CI201" i="13" s="1"/>
  <c r="Z199" i="12"/>
  <c r="CG202" i="13"/>
  <c r="Z200" i="12"/>
  <c r="CG203" i="13"/>
  <c r="Z201" i="12"/>
  <c r="CG204" i="13"/>
  <c r="Z202" i="12"/>
  <c r="CG205" i="13"/>
  <c r="Z203" i="12"/>
  <c r="CG206" i="13"/>
  <c r="Z204" i="12"/>
  <c r="CG207" i="13"/>
  <c r="Z205" i="12"/>
  <c r="CG208" i="13"/>
  <c r="Z206" i="12"/>
  <c r="CG209" i="13"/>
  <c r="Z207" i="12"/>
  <c r="CG210" i="13"/>
  <c r="CG211" i="13"/>
  <c r="Z210" i="12"/>
  <c r="CG213" i="13"/>
  <c r="Z211" i="12"/>
  <c r="CG214" i="13"/>
  <c r="Z212" i="12"/>
  <c r="CG215" i="13"/>
  <c r="Z213" i="12"/>
  <c r="CG216" i="13"/>
  <c r="Z214" i="12"/>
  <c r="CG217" i="13"/>
  <c r="Z215" i="12"/>
  <c r="CG218" i="13"/>
  <c r="CH218" i="13" s="1"/>
  <c r="Y218" i="13" s="1"/>
  <c r="CI218" i="13" s="1"/>
  <c r="Z216" i="12"/>
  <c r="CG219" i="13"/>
  <c r="Z217" i="12"/>
  <c r="CG220" i="13"/>
  <c r="Z218" i="12"/>
  <c r="CG221" i="13"/>
  <c r="Z219" i="12"/>
  <c r="CG222" i="13"/>
  <c r="Z220" i="12"/>
  <c r="CG223" i="13"/>
  <c r="Z221" i="12"/>
  <c r="CG224" i="13"/>
  <c r="Z223" i="12"/>
  <c r="CG226" i="13"/>
  <c r="Z224" i="12"/>
  <c r="CG227" i="13"/>
  <c r="Z225" i="12"/>
  <c r="CG228" i="13"/>
  <c r="Z226" i="12"/>
  <c r="CG229" i="13"/>
  <c r="Z227" i="12"/>
  <c r="CG230" i="13"/>
  <c r="Z228" i="12"/>
  <c r="CG231" i="13"/>
  <c r="CH231" i="13" s="1"/>
  <c r="Y231" i="13" s="1"/>
  <c r="CI231" i="13" s="1"/>
  <c r="AA231" i="13"/>
  <c r="CP231" i="13"/>
  <c r="Z230" i="12"/>
  <c r="CG233" i="13"/>
  <c r="Z231" i="12"/>
  <c r="CG234" i="13"/>
  <c r="Z232" i="12"/>
  <c r="CG235" i="13"/>
  <c r="Z233" i="12"/>
  <c r="CG236" i="13"/>
  <c r="Z234" i="12"/>
  <c r="CG237" i="13"/>
  <c r="Z235" i="12"/>
  <c r="CG238" i="13"/>
  <c r="CH238" i="13" s="1"/>
  <c r="Y238" i="13" s="1"/>
  <c r="CI238" i="13" s="1"/>
  <c r="Z238" i="13"/>
  <c r="CN238" i="13"/>
  <c r="Z236" i="12"/>
  <c r="CG239" i="13"/>
  <c r="Z237" i="12"/>
  <c r="CG240" i="13"/>
  <c r="CG241" i="13"/>
  <c r="CG242" i="13"/>
  <c r="Z241" i="12"/>
  <c r="CG244" i="13"/>
  <c r="Z242" i="12"/>
  <c r="CG245" i="13"/>
  <c r="Z243" i="12"/>
  <c r="CG246" i="13"/>
  <c r="Z244" i="12"/>
  <c r="CG247" i="13"/>
  <c r="Z245" i="12"/>
  <c r="CG248" i="13"/>
  <c r="Z246" i="12"/>
  <c r="CG249" i="13"/>
  <c r="CH249" i="13" s="1"/>
  <c r="Y249" i="13" s="1"/>
  <c r="CI249" i="13" s="1"/>
  <c r="Z247" i="12"/>
  <c r="CG250" i="13"/>
  <c r="Z248" i="12"/>
  <c r="CG251" i="13"/>
  <c r="Z249" i="12"/>
  <c r="CG252" i="13"/>
  <c r="Z250" i="12"/>
  <c r="CG253" i="13"/>
  <c r="Z251" i="12"/>
  <c r="CG254" i="13"/>
  <c r="Z252" i="12"/>
  <c r="CG255" i="13"/>
  <c r="Z253" i="12"/>
  <c r="CG256" i="13"/>
  <c r="Z254" i="12"/>
  <c r="CG257" i="13"/>
  <c r="Z255" i="12"/>
  <c r="CG258" i="13"/>
  <c r="Z256" i="12"/>
  <c r="CG259" i="13"/>
  <c r="Z257" i="12"/>
  <c r="CG260" i="13"/>
  <c r="Z258" i="12"/>
  <c r="CG261" i="13"/>
  <c r="Z259" i="12"/>
  <c r="CG262" i="13"/>
  <c r="CG263" i="13"/>
  <c r="CG264" i="13"/>
  <c r="CG265" i="13"/>
  <c r="CG266" i="13"/>
  <c r="CG267" i="13"/>
  <c r="Z266" i="12"/>
  <c r="CG269" i="13"/>
  <c r="Z267" i="12"/>
  <c r="CG270" i="13"/>
  <c r="Z268" i="12"/>
  <c r="CG271" i="13"/>
  <c r="CG272" i="13"/>
  <c r="CG273" i="13"/>
  <c r="CG274" i="13"/>
  <c r="CH274" i="13" s="1"/>
  <c r="Y274" i="13" s="1"/>
  <c r="CI274" i="13" s="1"/>
  <c r="Z273" i="12"/>
  <c r="CG276" i="13"/>
  <c r="Z274" i="12"/>
  <c r="CG277" i="13"/>
  <c r="CG278" i="13"/>
  <c r="CG279" i="13"/>
  <c r="CG280" i="13"/>
  <c r="Z279" i="12"/>
  <c r="CG282" i="13"/>
  <c r="Z280" i="12"/>
  <c r="CG283" i="13"/>
  <c r="Z281" i="12"/>
  <c r="CG284" i="13"/>
  <c r="Z282" i="12"/>
  <c r="CG285" i="13"/>
  <c r="CG286" i="13"/>
  <c r="CG287" i="13"/>
  <c r="CH287" i="13" s="1"/>
  <c r="Y287" i="13" s="1"/>
  <c r="CI287" i="13" s="1"/>
  <c r="AA287" i="13"/>
  <c r="CP287" i="13"/>
  <c r="CG288" i="13"/>
  <c r="Z287" i="12"/>
  <c r="CG290" i="13"/>
  <c r="Z288" i="12"/>
  <c r="CG291" i="13"/>
  <c r="Z289" i="12"/>
  <c r="CG292" i="13"/>
  <c r="Z290" i="12"/>
  <c r="CG293" i="13"/>
  <c r="Z291" i="12"/>
  <c r="CG294" i="13"/>
  <c r="Z292" i="12"/>
  <c r="CG295" i="13"/>
  <c r="CH295" i="13" s="1"/>
  <c r="Y295" i="13" s="1"/>
  <c r="CI295" i="13" s="1"/>
  <c r="AA295" i="13"/>
  <c r="CP295" i="13"/>
  <c r="Z293" i="12"/>
  <c r="CG296" i="13"/>
  <c r="Z294" i="12"/>
  <c r="CG297" i="13"/>
  <c r="Z295" i="12"/>
  <c r="CG298" i="13"/>
  <c r="Z296" i="12"/>
  <c r="CG299" i="13"/>
  <c r="Z297" i="12"/>
  <c r="CG300" i="13"/>
  <c r="Z298" i="12"/>
  <c r="CG301" i="13"/>
  <c r="Z299" i="12"/>
  <c r="CG302" i="13"/>
  <c r="Z300" i="12"/>
  <c r="CG303" i="13"/>
  <c r="Z301" i="12"/>
  <c r="CG304" i="13"/>
  <c r="Z302" i="12"/>
  <c r="CG305" i="13"/>
  <c r="Z303" i="12"/>
  <c r="CG306" i="13"/>
  <c r="Z304" i="12"/>
  <c r="CG307" i="13"/>
  <c r="Z305" i="12"/>
  <c r="CG308" i="13"/>
  <c r="Z306" i="12"/>
  <c r="CG309" i="13"/>
  <c r="Z307" i="12"/>
  <c r="CG310" i="13"/>
  <c r="Z308" i="12"/>
  <c r="CG311" i="13"/>
  <c r="Z309" i="12"/>
  <c r="CG312" i="13"/>
  <c r="Z310" i="12"/>
  <c r="CG313" i="13"/>
  <c r="Z311" i="12"/>
  <c r="CG314" i="13"/>
  <c r="Z312" i="12"/>
  <c r="CG315" i="13"/>
  <c r="Z313" i="12"/>
  <c r="CG316" i="13"/>
  <c r="Z314" i="12"/>
  <c r="CG317" i="13"/>
  <c r="Z315" i="12"/>
  <c r="CG318" i="13"/>
  <c r="Z316" i="12"/>
  <c r="CG319" i="13"/>
  <c r="Z317" i="12"/>
  <c r="CG320" i="13"/>
  <c r="CG321" i="13"/>
  <c r="CG322" i="13"/>
  <c r="CG323" i="13"/>
  <c r="CG324" i="13"/>
  <c r="AO79" i="13"/>
  <c r="AP79" i="13" s="1"/>
  <c r="AO103" i="13"/>
  <c r="AP103" i="13" s="1"/>
  <c r="AO105" i="13"/>
  <c r="AP105" i="13" s="1"/>
  <c r="AO129" i="13"/>
  <c r="AP129" i="13" s="1"/>
  <c r="AO133" i="13"/>
  <c r="AP133" i="13" s="1"/>
  <c r="AO135" i="13"/>
  <c r="AP135" i="13" s="1"/>
  <c r="G186" i="13"/>
  <c r="G15" i="7"/>
  <c r="G187" i="13"/>
  <c r="G16" i="7"/>
  <c r="G189" i="13"/>
  <c r="G18" i="7"/>
  <c r="G19" i="7"/>
  <c r="G190" i="13"/>
  <c r="G20" i="7"/>
  <c r="G191" i="13"/>
  <c r="G192" i="13"/>
  <c r="G21" i="7"/>
  <c r="G193" i="13"/>
  <c r="G22" i="7"/>
  <c r="G23" i="7"/>
  <c r="G194" i="13"/>
  <c r="G25" i="7"/>
  <c r="G196" i="13"/>
  <c r="G197" i="13"/>
  <c r="G26" i="7"/>
  <c r="G198" i="13"/>
  <c r="G27" i="7"/>
  <c r="G28" i="7"/>
  <c r="G199" i="13"/>
  <c r="G29" i="7"/>
  <c r="G200" i="13"/>
  <c r="G201" i="13"/>
  <c r="G30" i="7"/>
  <c r="G202" i="13"/>
  <c r="G31" i="7"/>
  <c r="G32" i="7"/>
  <c r="G203" i="13"/>
  <c r="G33" i="7"/>
  <c r="G204" i="13"/>
  <c r="G205" i="13"/>
  <c r="G34" i="7"/>
  <c r="G206" i="13"/>
  <c r="G35" i="7"/>
  <c r="G36" i="7"/>
  <c r="G207" i="13"/>
  <c r="G37" i="7"/>
  <c r="G208" i="13"/>
  <c r="G209" i="13"/>
  <c r="G38" i="7"/>
  <c r="G210" i="13"/>
  <c r="G39" i="7"/>
  <c r="G42" i="7"/>
  <c r="G213" i="13"/>
  <c r="G43" i="7"/>
  <c r="G214" i="13"/>
  <c r="G215" i="13"/>
  <c r="G44" i="7"/>
  <c r="G45" i="7"/>
  <c r="G216" i="13"/>
  <c r="G46" i="7"/>
  <c r="G217" i="13"/>
  <c r="G47" i="7"/>
  <c r="G218" i="13"/>
  <c r="G219" i="13"/>
  <c r="G48" i="7"/>
  <c r="G49" i="7"/>
  <c r="G220" i="13"/>
  <c r="G50" i="7"/>
  <c r="G221" i="13"/>
  <c r="G51" i="7"/>
  <c r="G222" i="13"/>
  <c r="G223" i="13"/>
  <c r="G52" i="7"/>
  <c r="G53" i="7"/>
  <c r="G224" i="13"/>
  <c r="G55" i="7"/>
  <c r="G226" i="13"/>
  <c r="G56" i="7"/>
  <c r="G227" i="13"/>
  <c r="G228" i="13"/>
  <c r="G57" i="7"/>
  <c r="G58" i="7"/>
  <c r="G229" i="13"/>
  <c r="G59" i="7"/>
  <c r="G230" i="13"/>
  <c r="G60" i="7"/>
  <c r="G231" i="13"/>
  <c r="G233" i="13"/>
  <c r="G62" i="7"/>
  <c r="G63" i="7"/>
  <c r="G234" i="13"/>
  <c r="G64" i="7"/>
  <c r="G235" i="13"/>
  <c r="G65" i="7"/>
  <c r="G236" i="13"/>
  <c r="G237" i="13"/>
  <c r="G66" i="7"/>
  <c r="G67" i="7"/>
  <c r="G238" i="13"/>
  <c r="G68" i="7"/>
  <c r="G239" i="13"/>
  <c r="G69" i="7"/>
  <c r="G240" i="13"/>
  <c r="G73" i="7"/>
  <c r="G244" i="13"/>
  <c r="G245" i="13"/>
  <c r="G74" i="7"/>
  <c r="G75" i="7"/>
  <c r="G246" i="13"/>
  <c r="G76" i="7"/>
  <c r="G247" i="13"/>
  <c r="G77" i="7"/>
  <c r="G248" i="13"/>
  <c r="G249" i="13"/>
  <c r="G78" i="7"/>
  <c r="G79" i="7"/>
  <c r="G250" i="13"/>
  <c r="G80" i="7"/>
  <c r="G251" i="13"/>
  <c r="G81" i="7"/>
  <c r="G252" i="13"/>
  <c r="G253" i="13"/>
  <c r="G82" i="7"/>
  <c r="G83" i="7"/>
  <c r="G254" i="13"/>
  <c r="G84" i="7"/>
  <c r="G255" i="13"/>
  <c r="G85" i="7"/>
  <c r="G256" i="13"/>
  <c r="G257" i="13"/>
  <c r="G86" i="7"/>
  <c r="G87" i="7"/>
  <c r="G258" i="13"/>
  <c r="G88" i="7"/>
  <c r="G259" i="13"/>
  <c r="G89" i="7"/>
  <c r="G260" i="13"/>
  <c r="G261" i="13"/>
  <c r="G90" i="7"/>
  <c r="G91" i="7"/>
  <c r="G262" i="13"/>
  <c r="G105" i="7"/>
  <c r="G276" i="13"/>
  <c r="G106" i="7"/>
  <c r="G277" i="13"/>
  <c r="G111" i="7"/>
  <c r="G282" i="13"/>
  <c r="G283" i="13"/>
  <c r="G112" i="7"/>
  <c r="G284" i="13"/>
  <c r="G113" i="7"/>
  <c r="G114" i="7"/>
  <c r="G285" i="13"/>
  <c r="G119" i="7"/>
  <c r="G290" i="13"/>
  <c r="G120" i="7"/>
  <c r="G291" i="13"/>
  <c r="G292" i="13"/>
  <c r="G121" i="7"/>
  <c r="G122" i="7"/>
  <c r="G293" i="13"/>
  <c r="G123" i="7"/>
  <c r="G294" i="13"/>
  <c r="G124" i="7"/>
  <c r="G295" i="13"/>
  <c r="G296" i="13"/>
  <c r="G125" i="7"/>
  <c r="G126" i="7"/>
  <c r="G297" i="13"/>
  <c r="G127" i="7"/>
  <c r="G298" i="13"/>
  <c r="G128" i="7"/>
  <c r="G299" i="13"/>
  <c r="G300" i="13"/>
  <c r="G129" i="7"/>
  <c r="G130" i="7"/>
  <c r="G301" i="13"/>
  <c r="G131" i="7"/>
  <c r="G302" i="13"/>
  <c r="G132" i="7"/>
  <c r="G303" i="13"/>
  <c r="G304" i="13"/>
  <c r="G133" i="7"/>
  <c r="G134" i="7"/>
  <c r="G305" i="13"/>
  <c r="G135" i="7"/>
  <c r="G306" i="13"/>
  <c r="G136" i="7"/>
  <c r="G307" i="13"/>
  <c r="G308" i="13"/>
  <c r="G137" i="7"/>
  <c r="G138" i="7"/>
  <c r="G309" i="13"/>
  <c r="G139" i="7"/>
  <c r="G310" i="13"/>
  <c r="G140" i="7"/>
  <c r="G311" i="13"/>
  <c r="G312" i="13"/>
  <c r="G141" i="7"/>
  <c r="G142" i="7"/>
  <c r="G313" i="13"/>
  <c r="CC178" i="13"/>
  <c r="CD178" i="13" s="1"/>
  <c r="BX136" i="13"/>
  <c r="BY136" i="13" s="1"/>
  <c r="BS84" i="13"/>
  <c r="BT84" i="13" s="1"/>
  <c r="BS143" i="13"/>
  <c r="BT143" i="13" s="1"/>
  <c r="BS171" i="13"/>
  <c r="BT171" i="13" s="1"/>
  <c r="BS173" i="13"/>
  <c r="BT173" i="13" s="1"/>
  <c r="BS175" i="13"/>
  <c r="BT175" i="13" s="1"/>
  <c r="BS177" i="13"/>
  <c r="BT177" i="13" s="1"/>
  <c r="G17" i="7"/>
  <c r="G188" i="13"/>
  <c r="G99" i="7"/>
  <c r="G270" i="13"/>
  <c r="G100" i="7"/>
  <c r="G271" i="13"/>
  <c r="G269" i="13"/>
  <c r="G98" i="7"/>
  <c r="BI140" i="13"/>
  <c r="BJ140" i="13" s="1"/>
  <c r="CM141" i="13"/>
  <c r="Z141" i="13" s="1"/>
  <c r="AO142" i="13"/>
  <c r="AP142" i="13" s="1"/>
  <c r="CM178" i="13"/>
  <c r="Z178" i="13" s="1"/>
  <c r="AY179" i="13"/>
  <c r="AZ179" i="13" s="1"/>
  <c r="CM118" i="13"/>
  <c r="Z118" i="13" s="1"/>
  <c r="CC144" i="13"/>
  <c r="CD144" i="13" s="1"/>
  <c r="AY145" i="13"/>
  <c r="AZ145" i="13" s="1"/>
  <c r="BS179" i="13"/>
  <c r="BT179" i="13" s="1"/>
  <c r="BD13" i="13"/>
  <c r="BE13" i="13" s="1"/>
  <c r="BD15" i="13"/>
  <c r="BE15" i="13" s="1"/>
  <c r="BD17" i="13"/>
  <c r="BE17" i="13" s="1"/>
  <c r="AT18" i="13"/>
  <c r="AU18" i="13" s="1"/>
  <c r="BD19" i="13"/>
  <c r="BE19" i="13" s="1"/>
  <c r="AT160" i="13"/>
  <c r="AU160" i="13" s="1"/>
  <c r="BN160" i="13"/>
  <c r="BO160" i="13" s="1"/>
  <c r="CH160" i="13"/>
  <c r="Y160" i="13" s="1"/>
  <c r="AO28" i="13"/>
  <c r="AP28" i="13" s="1"/>
  <c r="CC28" i="13"/>
  <c r="CD28" i="13" s="1"/>
  <c r="AY29" i="13"/>
  <c r="AZ29" i="13" s="1"/>
  <c r="BS29" i="13"/>
  <c r="BT29" i="13" s="1"/>
  <c r="AO146" i="13"/>
  <c r="AP146" i="13" s="1"/>
  <c r="BD21" i="13"/>
  <c r="BE21" i="13" s="1"/>
  <c r="BN26" i="13"/>
  <c r="BO26" i="13" s="1"/>
  <c r="BX31" i="13"/>
  <c r="BY31" i="13" s="1"/>
  <c r="BX33" i="13"/>
  <c r="BY33" i="13" s="1"/>
  <c r="BX35" i="13"/>
  <c r="BY35" i="13" s="1"/>
  <c r="BX37" i="13"/>
  <c r="BY37" i="13" s="1"/>
  <c r="BN38" i="13"/>
  <c r="BO38" i="13" s="1"/>
  <c r="BX39" i="13"/>
  <c r="BY39" i="13" s="1"/>
  <c r="BX41" i="13"/>
  <c r="BY41" i="13" s="1"/>
  <c r="BX43" i="13"/>
  <c r="BY43" i="13" s="1"/>
  <c r="BX45" i="13"/>
  <c r="BY45" i="13" s="1"/>
  <c r="BN46" i="13"/>
  <c r="BO46" i="13" s="1"/>
  <c r="BX47" i="13"/>
  <c r="BY47" i="13" s="1"/>
  <c r="BN48" i="13"/>
  <c r="BO48" i="13" s="1"/>
  <c r="BX49" i="13"/>
  <c r="BY49" i="13" s="1"/>
  <c r="BN50" i="13"/>
  <c r="BO50" i="13" s="1"/>
  <c r="BX51" i="13"/>
  <c r="BY51" i="13" s="1"/>
  <c r="CH52" i="13"/>
  <c r="Y52" i="13" s="1"/>
  <c r="BD53" i="13"/>
  <c r="BE53" i="13" s="1"/>
  <c r="AT56" i="13"/>
  <c r="AU56" i="13" s="1"/>
  <c r="BD57" i="13"/>
  <c r="BE57" i="13" s="1"/>
  <c r="BX61" i="13"/>
  <c r="BY61" i="13" s="1"/>
  <c r="AT62" i="13"/>
  <c r="AU62" i="13" s="1"/>
  <c r="BD63" i="13"/>
  <c r="BE63" i="13" s="1"/>
  <c r="BD65" i="13"/>
  <c r="BE65" i="13" s="1"/>
  <c r="AT66" i="13"/>
  <c r="AU66" i="13" s="1"/>
  <c r="CH66" i="13"/>
  <c r="BX69" i="13"/>
  <c r="BY69" i="13" s="1"/>
  <c r="BD71" i="13"/>
  <c r="BE71" i="13" s="1"/>
  <c r="BD77" i="13"/>
  <c r="BE77" i="13" s="1"/>
  <c r="CH92" i="13"/>
  <c r="Y92" i="13" s="1"/>
  <c r="BD93" i="13"/>
  <c r="BE93" i="13" s="1"/>
  <c r="BX93" i="13"/>
  <c r="BY93" i="13" s="1"/>
  <c r="BN94" i="13"/>
  <c r="BO94" i="13" s="1"/>
  <c r="AT98" i="13"/>
  <c r="AU98" i="13" s="1"/>
  <c r="BN98" i="13"/>
  <c r="BO98" i="13" s="1"/>
  <c r="AT100" i="13"/>
  <c r="AU100" i="13" s="1"/>
  <c r="BX101" i="13"/>
  <c r="BY101" i="13" s="1"/>
  <c r="BX125" i="13"/>
  <c r="BY125" i="13" s="1"/>
  <c r="AT126" i="13"/>
  <c r="AU126" i="13" s="1"/>
  <c r="CH126" i="13"/>
  <c r="Y126" i="13" s="1"/>
  <c r="BD127" i="13"/>
  <c r="BE127" i="13" s="1"/>
  <c r="BI161" i="13"/>
  <c r="BJ161" i="13" s="1"/>
  <c r="BS162" i="13"/>
  <c r="BT162" i="13" s="1"/>
  <c r="BI163" i="13"/>
  <c r="BJ163" i="13" s="1"/>
  <c r="AY164" i="13"/>
  <c r="AZ164" i="13" s="1"/>
  <c r="BI165" i="13"/>
  <c r="BJ165" i="13" s="1"/>
  <c r="CC165" i="13"/>
  <c r="CD165" i="13" s="1"/>
  <c r="AO17" i="13"/>
  <c r="AP17" i="13" s="1"/>
  <c r="CH20" i="13"/>
  <c r="Y20" i="13" s="1"/>
  <c r="CH24" i="13"/>
  <c r="BD25" i="13"/>
  <c r="BE25" i="13" s="1"/>
  <c r="BN95" i="13"/>
  <c r="BO95" i="13" s="1"/>
  <c r="AT101" i="13"/>
  <c r="AU101" i="13" s="1"/>
  <c r="CH101" i="13"/>
  <c r="Y101" i="13" s="1"/>
  <c r="CH113" i="13"/>
  <c r="Y113" i="13" s="1"/>
  <c r="BI18" i="13"/>
  <c r="BJ18" i="13" s="1"/>
  <c r="AO30" i="13"/>
  <c r="AP30" i="13" s="1"/>
  <c r="BS59" i="13"/>
  <c r="BT59" i="13" s="1"/>
  <c r="CM71" i="13"/>
  <c r="Z71" i="13" s="1"/>
  <c r="AO72" i="13"/>
  <c r="AP72" i="13" s="1"/>
  <c r="CC72" i="13"/>
  <c r="CD72" i="13" s="1"/>
  <c r="CM75" i="13"/>
  <c r="Z75" i="13" s="1"/>
  <c r="BI76" i="13"/>
  <c r="BJ76" i="13" s="1"/>
  <c r="CC76" i="13"/>
  <c r="CD76" i="13" s="1"/>
  <c r="BS77" i="13"/>
  <c r="BT77" i="13" s="1"/>
  <c r="CM77" i="13"/>
  <c r="Z77" i="13" s="1"/>
  <c r="CN77" i="13" s="1"/>
  <c r="BI78" i="13"/>
  <c r="BJ78" i="13" s="1"/>
  <c r="BI80" i="13"/>
  <c r="BJ80" i="13" s="1"/>
  <c r="AY81" i="13"/>
  <c r="AZ81" i="13" s="1"/>
  <c r="CM81" i="13"/>
  <c r="Z81" i="13" s="1"/>
  <c r="CN81" i="13" s="1"/>
  <c r="BS83" i="13"/>
  <c r="BT83" i="13" s="1"/>
  <c r="BI86" i="13"/>
  <c r="BJ86" i="13" s="1"/>
  <c r="BS87" i="13"/>
  <c r="BT87" i="13" s="1"/>
  <c r="CC88" i="13"/>
  <c r="CD88" i="13" s="1"/>
  <c r="CM89" i="13"/>
  <c r="Z89" i="13" s="1"/>
  <c r="BS103" i="13"/>
  <c r="BT103" i="13" s="1"/>
  <c r="AO104" i="13"/>
  <c r="AP104" i="13" s="1"/>
  <c r="BI104" i="13"/>
  <c r="BJ104" i="13" s="1"/>
  <c r="AY105" i="13"/>
  <c r="AZ105" i="13" s="1"/>
  <c r="AY111" i="13"/>
  <c r="AZ111" i="13" s="1"/>
  <c r="AO112" i="13"/>
  <c r="AP112" i="13" s="1"/>
  <c r="AY113" i="13"/>
  <c r="AZ113" i="13" s="1"/>
  <c r="AY121" i="13"/>
  <c r="AZ121" i="13" s="1"/>
  <c r="CM121" i="13"/>
  <c r="Z121" i="13" s="1"/>
  <c r="BS123" i="13"/>
  <c r="BT123" i="13" s="1"/>
  <c r="BI124" i="13"/>
  <c r="BJ124" i="13" s="1"/>
  <c r="BS140" i="13"/>
  <c r="BT140" i="13" s="1"/>
  <c r="BS147" i="13"/>
  <c r="BT147" i="13" s="1"/>
  <c r="AY149" i="13"/>
  <c r="AZ149" i="13" s="1"/>
  <c r="CH170" i="13"/>
  <c r="Y170" i="13" s="1"/>
  <c r="BD180" i="13"/>
  <c r="BE180" i="13" s="1"/>
  <c r="AO59" i="13"/>
  <c r="AP59" i="13" s="1"/>
  <c r="CC63" i="13"/>
  <c r="CD63" i="13" s="1"/>
  <c r="AO77" i="13"/>
  <c r="AP77" i="13" s="1"/>
  <c r="AO85" i="13"/>
  <c r="AP85" i="13" s="1"/>
  <c r="CC85" i="13"/>
  <c r="CD85" i="13" s="1"/>
  <c r="CM88" i="13"/>
  <c r="Z88" i="13" s="1"/>
  <c r="BI89" i="13"/>
  <c r="BJ89" i="13" s="1"/>
  <c r="BS90" i="13"/>
  <c r="BT90" i="13" s="1"/>
  <c r="AO97" i="13"/>
  <c r="AP97" i="13" s="1"/>
  <c r="BN97" i="13"/>
  <c r="BO97" i="13" s="1"/>
  <c r="CC97" i="13"/>
  <c r="CD97" i="13" s="1"/>
  <c r="BS98" i="13"/>
  <c r="BT98" i="13" s="1"/>
  <c r="BS108" i="13"/>
  <c r="BT108" i="13" s="1"/>
  <c r="CM124" i="13"/>
  <c r="Z124" i="13" s="1"/>
  <c r="AY140" i="13"/>
  <c r="AZ140" i="13" s="1"/>
  <c r="AY150" i="13"/>
  <c r="AZ150" i="13" s="1"/>
  <c r="BD170" i="13"/>
  <c r="BE170" i="13" s="1"/>
  <c r="CH97" i="13"/>
  <c r="Y97" i="13" s="1"/>
  <c r="CH27" i="13"/>
  <c r="Y27" i="13" s="1"/>
  <c r="BD28" i="13"/>
  <c r="BE28" i="13" s="1"/>
  <c r="BX28" i="13"/>
  <c r="BY28" i="13" s="1"/>
  <c r="AT29" i="13"/>
  <c r="AU29" i="13" s="1"/>
  <c r="CH29" i="13"/>
  <c r="Y29" i="13" s="1"/>
  <c r="BX17" i="13"/>
  <c r="BY17" i="13" s="1"/>
  <c r="BX25" i="13"/>
  <c r="BY25" i="13" s="1"/>
  <c r="AT26" i="13"/>
  <c r="AU26" i="13" s="1"/>
  <c r="CH18" i="13"/>
  <c r="Y18" i="13" s="1"/>
  <c r="CH22" i="13"/>
  <c r="Y22" i="13" s="1"/>
  <c r="BN30" i="13"/>
  <c r="BO30" i="13" s="1"/>
  <c r="BN89" i="13"/>
  <c r="BO89" i="13" s="1"/>
  <c r="AT54" i="13"/>
  <c r="AU54" i="13" s="1"/>
  <c r="BI127" i="13"/>
  <c r="BJ127" i="13" s="1"/>
  <c r="BD169" i="13"/>
  <c r="BE169" i="13" s="1"/>
  <c r="BX169" i="13"/>
  <c r="BY169" i="13" s="1"/>
  <c r="AT170" i="13"/>
  <c r="AU170" i="13" s="1"/>
  <c r="BD60" i="13"/>
  <c r="BE60" i="13" s="1"/>
  <c r="AT91" i="13"/>
  <c r="AU91" i="13" s="1"/>
  <c r="BN60" i="13"/>
  <c r="BO60" i="13" s="1"/>
  <c r="BD91" i="13"/>
  <c r="BE91" i="13" s="1"/>
  <c r="BN141" i="13"/>
  <c r="BO141" i="13" s="1"/>
  <c r="CH163" i="13"/>
  <c r="Y163" i="13" s="1"/>
  <c r="CH167" i="13"/>
  <c r="Y167" i="13" s="1"/>
  <c r="BN170" i="13"/>
  <c r="BO170" i="13" s="1"/>
  <c r="BI13" i="13"/>
  <c r="BJ13" i="13" s="1"/>
  <c r="BN13" i="13"/>
  <c r="BO13" i="13" s="1"/>
  <c r="BD14" i="13"/>
  <c r="BE14" i="13" s="1"/>
  <c r="BX15" i="13"/>
  <c r="BY15" i="13" s="1"/>
  <c r="BS17" i="13"/>
  <c r="BT17" i="13" s="1"/>
  <c r="CM17" i="13"/>
  <c r="Z17" i="13" s="1"/>
  <c r="CM18" i="13"/>
  <c r="BN19" i="13"/>
  <c r="BO19" i="13" s="1"/>
  <c r="BS20" i="13"/>
  <c r="BT20" i="13" s="1"/>
  <c r="BX20" i="13"/>
  <c r="BY20" i="13" s="1"/>
  <c r="AT21" i="13"/>
  <c r="AU21" i="13" s="1"/>
  <c r="BX21" i="13"/>
  <c r="BY21" i="13" s="1"/>
  <c r="AT22" i="13"/>
  <c r="AU22" i="13" s="1"/>
  <c r="BN22" i="13"/>
  <c r="BO22" i="13" s="1"/>
  <c r="BS23" i="13"/>
  <c r="BT23" i="13" s="1"/>
  <c r="BI24" i="13"/>
  <c r="BJ24" i="13" s="1"/>
  <c r="BS25" i="13"/>
  <c r="BT25" i="13" s="1"/>
  <c r="AO26" i="13"/>
  <c r="AP26" i="13" s="1"/>
  <c r="BI26" i="13"/>
  <c r="BJ26" i="13" s="1"/>
  <c r="BX27" i="13"/>
  <c r="BY27" i="13" s="1"/>
  <c r="BX29" i="13"/>
  <c r="BY29" i="13" s="1"/>
  <c r="BS30" i="13"/>
  <c r="BT30" i="13" s="1"/>
  <c r="AO31" i="13"/>
  <c r="AP31" i="13" s="1"/>
  <c r="CH31" i="13"/>
  <c r="Y31" i="13" s="1"/>
  <c r="CH39" i="13"/>
  <c r="Y39" i="13" s="1"/>
  <c r="BD40" i="13"/>
  <c r="BE40" i="13" s="1"/>
  <c r="BX40" i="13"/>
  <c r="BY40" i="13" s="1"/>
  <c r="AT41" i="13"/>
  <c r="AU41" i="13" s="1"/>
  <c r="CH41" i="13"/>
  <c r="BD42" i="13"/>
  <c r="BE42" i="13" s="1"/>
  <c r="BX42" i="13"/>
  <c r="BY42" i="13" s="1"/>
  <c r="AT43" i="13"/>
  <c r="AU43" i="13" s="1"/>
  <c r="CH43" i="13"/>
  <c r="Y43" i="13" s="1"/>
  <c r="BD44" i="13"/>
  <c r="BE44" i="13" s="1"/>
  <c r="BX44" i="13"/>
  <c r="BY44" i="13" s="1"/>
  <c r="AT45" i="13"/>
  <c r="AU45" i="13" s="1"/>
  <c r="CH45" i="13"/>
  <c r="Y45" i="13" s="1"/>
  <c r="BX48" i="13"/>
  <c r="BY48" i="13" s="1"/>
  <c r="AT49" i="13"/>
  <c r="AU49" i="13" s="1"/>
  <c r="CH49" i="13"/>
  <c r="BN53" i="13"/>
  <c r="BO53" i="13" s="1"/>
  <c r="AY54" i="13"/>
  <c r="AZ54" i="13" s="1"/>
  <c r="BS54" i="13"/>
  <c r="BT54" i="13" s="1"/>
  <c r="CC54" i="13"/>
  <c r="CD54" i="13" s="1"/>
  <c r="CM54" i="13"/>
  <c r="Z54" i="13" s="1"/>
  <c r="AO55" i="13"/>
  <c r="AP55" i="13" s="1"/>
  <c r="AY55" i="13"/>
  <c r="AZ55" i="13" s="1"/>
  <c r="BI55" i="13"/>
  <c r="BJ55" i="13" s="1"/>
  <c r="CC55" i="13"/>
  <c r="CD55" i="13" s="1"/>
  <c r="CM55" i="13"/>
  <c r="Z55" i="13" s="1"/>
  <c r="CN55" i="13" s="1"/>
  <c r="AO56" i="13"/>
  <c r="AP56" i="13" s="1"/>
  <c r="AY56" i="13"/>
  <c r="AZ56" i="13" s="1"/>
  <c r="CM57" i="13"/>
  <c r="Z57" i="13" s="1"/>
  <c r="BX59" i="13"/>
  <c r="BY59" i="13" s="1"/>
  <c r="AY61" i="13"/>
  <c r="AZ61" i="13" s="1"/>
  <c r="AO62" i="13"/>
  <c r="AP62" i="13" s="1"/>
  <c r="BS66" i="13"/>
  <c r="BT66" i="13" s="1"/>
  <c r="AY68" i="13"/>
  <c r="AZ68" i="13" s="1"/>
  <c r="CM68" i="13"/>
  <c r="Z68" i="13" s="1"/>
  <c r="BX77" i="13"/>
  <c r="BY77" i="13" s="1"/>
  <c r="BN78" i="13"/>
  <c r="BO78" i="13" s="1"/>
  <c r="CH80" i="13"/>
  <c r="Y80" i="13" s="1"/>
  <c r="BD81" i="13"/>
  <c r="BE81" i="13" s="1"/>
  <c r="BX81" i="13"/>
  <c r="BY81" i="13" s="1"/>
  <c r="BN82" i="13"/>
  <c r="BO82" i="13" s="1"/>
  <c r="BD83" i="13"/>
  <c r="BE83" i="13" s="1"/>
  <c r="CH84" i="13"/>
  <c r="Y84" i="13" s="1"/>
  <c r="BD85" i="13"/>
  <c r="BE85" i="13" s="1"/>
  <c r="BX85" i="13"/>
  <c r="BY85" i="13" s="1"/>
  <c r="BN86" i="13"/>
  <c r="BO86" i="13" s="1"/>
  <c r="BD87" i="13"/>
  <c r="BE87" i="13" s="1"/>
  <c r="AT88" i="13"/>
  <c r="AU88" i="13" s="1"/>
  <c r="CH88" i="13"/>
  <c r="Y88" i="13" s="1"/>
  <c r="BD89" i="13"/>
  <c r="BE89" i="13" s="1"/>
  <c r="BN90" i="13"/>
  <c r="BO90" i="13" s="1"/>
  <c r="BS92" i="13"/>
  <c r="BT92" i="13" s="1"/>
  <c r="AO93" i="13"/>
  <c r="AP93" i="13" s="1"/>
  <c r="CC93" i="13"/>
  <c r="CD93" i="13" s="1"/>
  <c r="AO95" i="13"/>
  <c r="AP95" i="13" s="1"/>
  <c r="BI95" i="13"/>
  <c r="BJ95" i="13" s="1"/>
  <c r="AT97" i="13"/>
  <c r="AU97" i="13" s="1"/>
  <c r="AO99" i="13"/>
  <c r="AP99" i="13" s="1"/>
  <c r="BI99" i="13"/>
  <c r="BJ99" i="13" s="1"/>
  <c r="BS100" i="13"/>
  <c r="BT100" i="13" s="1"/>
  <c r="CM100" i="13"/>
  <c r="Z100" i="13" s="1"/>
  <c r="AO101" i="13"/>
  <c r="AP101" i="13" s="1"/>
  <c r="BX102" i="13"/>
  <c r="BY102" i="13" s="1"/>
  <c r="AT105" i="13"/>
  <c r="AU105" i="13" s="1"/>
  <c r="BN105" i="13"/>
  <c r="BO105" i="13" s="1"/>
  <c r="CH105" i="13"/>
  <c r="Y105" i="13" s="1"/>
  <c r="AT109" i="13"/>
  <c r="AU109" i="13" s="1"/>
  <c r="BN109" i="13"/>
  <c r="BO109" i="13" s="1"/>
  <c r="BD110" i="13"/>
  <c r="BE110" i="13" s="1"/>
  <c r="BX110" i="13"/>
  <c r="BY110" i="13" s="1"/>
  <c r="AT113" i="13"/>
  <c r="AU113" i="13" s="1"/>
  <c r="AT114" i="13"/>
  <c r="AU114" i="13" s="1"/>
  <c r="BD114" i="13"/>
  <c r="BE114" i="13" s="1"/>
  <c r="BX114" i="13"/>
  <c r="BY114" i="13" s="1"/>
  <c r="AT115" i="13"/>
  <c r="AU115" i="13" s="1"/>
  <c r="BD117" i="13"/>
  <c r="BE117" i="13" s="1"/>
  <c r="AT118" i="13"/>
  <c r="AU118" i="13" s="1"/>
  <c r="BN118" i="13"/>
  <c r="BO118" i="13" s="1"/>
  <c r="BX119" i="13"/>
  <c r="BY119" i="13" s="1"/>
  <c r="BN120" i="13"/>
  <c r="BO120" i="13" s="1"/>
  <c r="CH120" i="13"/>
  <c r="Y120" i="13" s="1"/>
  <c r="BX121" i="13"/>
  <c r="BY121" i="13" s="1"/>
  <c r="AT122" i="13"/>
  <c r="AU122" i="13" s="1"/>
  <c r="BN122" i="13"/>
  <c r="BO122" i="13" s="1"/>
  <c r="BD123" i="13"/>
  <c r="BE123" i="13" s="1"/>
  <c r="BN124" i="13"/>
  <c r="BO124" i="13" s="1"/>
  <c r="BX132" i="13"/>
  <c r="BY132" i="13" s="1"/>
  <c r="AY135" i="13"/>
  <c r="AZ135" i="13" s="1"/>
  <c r="BS135" i="13"/>
  <c r="BT135" i="13" s="1"/>
  <c r="CM135" i="13"/>
  <c r="Z135" i="13" s="1"/>
  <c r="CC136" i="13"/>
  <c r="CD136" i="13" s="1"/>
  <c r="AY137" i="13"/>
  <c r="AZ137" i="13" s="1"/>
  <c r="BS137" i="13"/>
  <c r="BT137" i="13" s="1"/>
  <c r="BI138" i="13"/>
  <c r="BJ138" i="13" s="1"/>
  <c r="CC138" i="13"/>
  <c r="CD138" i="13" s="1"/>
  <c r="AY139" i="13"/>
  <c r="AZ139" i="13" s="1"/>
  <c r="AO140" i="13"/>
  <c r="AP140" i="13" s="1"/>
  <c r="BN140" i="13"/>
  <c r="BO140" i="13" s="1"/>
  <c r="CH140" i="13"/>
  <c r="Y140" i="13" s="1"/>
  <c r="BD141" i="13"/>
  <c r="BE141" i="13" s="1"/>
  <c r="AT142" i="13"/>
  <c r="AU142" i="13" s="1"/>
  <c r="BN142" i="13"/>
  <c r="BO142" i="13" s="1"/>
  <c r="CH144" i="13"/>
  <c r="Y144" i="13" s="1"/>
  <c r="BD145" i="13"/>
  <c r="BE145" i="13" s="1"/>
  <c r="BX145" i="13"/>
  <c r="BY145" i="13" s="1"/>
  <c r="AT146" i="13"/>
  <c r="AU146" i="13" s="1"/>
  <c r="BN146" i="13"/>
  <c r="BO146" i="13" s="1"/>
  <c r="AT148" i="13"/>
  <c r="AU148" i="13" s="1"/>
  <c r="BD149" i="13"/>
  <c r="BE149" i="13" s="1"/>
  <c r="BX149" i="13"/>
  <c r="BY149" i="13" s="1"/>
  <c r="CM150" i="13"/>
  <c r="Z150" i="13" s="1"/>
  <c r="AY152" i="13"/>
  <c r="AZ152" i="13" s="1"/>
  <c r="CC153" i="13"/>
  <c r="CD153" i="13" s="1"/>
  <c r="AO155" i="13"/>
  <c r="AP155" i="13" s="1"/>
  <c r="BI155" i="13"/>
  <c r="BJ155" i="13" s="1"/>
  <c r="AY156" i="13"/>
  <c r="AZ156" i="13" s="1"/>
  <c r="BS156" i="13"/>
  <c r="BT156" i="13" s="1"/>
  <c r="CM156" i="13"/>
  <c r="Z156" i="13" s="1"/>
  <c r="AO157" i="13"/>
  <c r="AP157" i="13" s="1"/>
  <c r="BI157" i="13"/>
  <c r="BJ157" i="13" s="1"/>
  <c r="AY158" i="13"/>
  <c r="AZ158" i="13" s="1"/>
  <c r="BS158" i="13"/>
  <c r="BT158" i="13" s="1"/>
  <c r="AO159" i="13"/>
  <c r="AP159" i="13" s="1"/>
  <c r="BI159" i="13"/>
  <c r="BJ159" i="13" s="1"/>
  <c r="AO161" i="13"/>
  <c r="AP161" i="13" s="1"/>
  <c r="AT167" i="13"/>
  <c r="AU167" i="13" s="1"/>
  <c r="BN167" i="13"/>
  <c r="BO167" i="13" s="1"/>
  <c r="BD168" i="13"/>
  <c r="BE168" i="13" s="1"/>
  <c r="AY169" i="13"/>
  <c r="AZ169" i="13" s="1"/>
  <c r="BS169" i="13"/>
  <c r="BT169" i="13" s="1"/>
  <c r="BI170" i="13"/>
  <c r="BJ170" i="13" s="1"/>
  <c r="CC170" i="13"/>
  <c r="CD170" i="13" s="1"/>
  <c r="CH172" i="13"/>
  <c r="Y172" i="13" s="1"/>
  <c r="CH174" i="13"/>
  <c r="Y174" i="13" s="1"/>
  <c r="AT178" i="13"/>
  <c r="AU178" i="13" s="1"/>
  <c r="CH178" i="13"/>
  <c r="Y178" i="13" s="1"/>
  <c r="CT180" i="13"/>
  <c r="CU180" i="13" s="1"/>
  <c r="BD181" i="13"/>
  <c r="BE181" i="13" s="1"/>
  <c r="CC181" i="13"/>
  <c r="CD181" i="13" s="1"/>
  <c r="CM15" i="13"/>
  <c r="Z15" i="13" s="1"/>
  <c r="CN15" i="13" s="1"/>
  <c r="BI16" i="13"/>
  <c r="BJ16" i="13" s="1"/>
  <c r="BS21" i="13"/>
  <c r="BT21" i="13" s="1"/>
  <c r="BI22" i="13"/>
  <c r="BJ22" i="13" s="1"/>
  <c r="BD23" i="13"/>
  <c r="BE23" i="13" s="1"/>
  <c r="BN24" i="13"/>
  <c r="BO24" i="13" s="1"/>
  <c r="CH30" i="13"/>
  <c r="Y30" i="13" s="1"/>
  <c r="BD31" i="13"/>
  <c r="BE31" i="13" s="1"/>
  <c r="BX63" i="13"/>
  <c r="BY63" i="13" s="1"/>
  <c r="BX66" i="13"/>
  <c r="BY66" i="13" s="1"/>
  <c r="AY73" i="13"/>
  <c r="AZ73" i="13" s="1"/>
  <c r="CM73" i="13"/>
  <c r="Z73" i="13" s="1"/>
  <c r="BI74" i="13"/>
  <c r="BJ74" i="13" s="1"/>
  <c r="AY77" i="13"/>
  <c r="AZ77" i="13" s="1"/>
  <c r="CM80" i="13"/>
  <c r="AO87" i="13"/>
  <c r="AP87" i="13" s="1"/>
  <c r="AY88" i="13"/>
  <c r="AZ88" i="13" s="1"/>
  <c r="BX91" i="13"/>
  <c r="BY91" i="13" s="1"/>
  <c r="AT92" i="13"/>
  <c r="AU92" i="13" s="1"/>
  <c r="BN92" i="13"/>
  <c r="BO92" i="13" s="1"/>
  <c r="CC96" i="13"/>
  <c r="CD96" i="13" s="1"/>
  <c r="BN101" i="13"/>
  <c r="BO101" i="13" s="1"/>
  <c r="AY103" i="13"/>
  <c r="AZ103" i="13" s="1"/>
  <c r="AO121" i="13"/>
  <c r="AP121" i="13" s="1"/>
  <c r="CC121" i="13"/>
  <c r="CD121" i="13" s="1"/>
  <c r="CM122" i="13"/>
  <c r="Z122" i="13" s="1"/>
  <c r="AY124" i="13"/>
  <c r="AZ124" i="13" s="1"/>
  <c r="BD125" i="13"/>
  <c r="BE125" i="13" s="1"/>
  <c r="AY131" i="13"/>
  <c r="AZ131" i="13" s="1"/>
  <c r="CM131" i="13"/>
  <c r="Z131" i="13" s="1"/>
  <c r="AY133" i="13"/>
  <c r="AZ133" i="13" s="1"/>
  <c r="AO134" i="13"/>
  <c r="AP134" i="13" s="1"/>
  <c r="AT136" i="13"/>
  <c r="AU136" i="13" s="1"/>
  <c r="BX137" i="13"/>
  <c r="BY137" i="13" s="1"/>
  <c r="CH138" i="13"/>
  <c r="Y138" i="13" s="1"/>
  <c r="BD139" i="13"/>
  <c r="BE139" i="13" s="1"/>
  <c r="BX139" i="13"/>
  <c r="BY139" i="13" s="1"/>
  <c r="CM140" i="13"/>
  <c r="Z140" i="13" s="1"/>
  <c r="BI141" i="13"/>
  <c r="BJ141" i="13" s="1"/>
  <c r="CC141" i="13"/>
  <c r="CD141" i="13" s="1"/>
  <c r="BS142" i="13"/>
  <c r="BT142" i="13" s="1"/>
  <c r="CM142" i="13"/>
  <c r="Z142" i="13" s="1"/>
  <c r="AO143" i="13"/>
  <c r="AP143" i="13" s="1"/>
  <c r="BI143" i="13"/>
  <c r="BJ143" i="13" s="1"/>
  <c r="AY144" i="13"/>
  <c r="AZ144" i="13" s="1"/>
  <c r="BS144" i="13"/>
  <c r="BT144" i="13" s="1"/>
  <c r="AO145" i="13"/>
  <c r="AP145" i="13" s="1"/>
  <c r="CM146" i="13"/>
  <c r="Z146" i="13" s="1"/>
  <c r="BI147" i="13"/>
  <c r="BJ147" i="13" s="1"/>
  <c r="BS148" i="13"/>
  <c r="BT148" i="13" s="1"/>
  <c r="CM148" i="13"/>
  <c r="Z148" i="13" s="1"/>
  <c r="AO149" i="13"/>
  <c r="AP149" i="13" s="1"/>
  <c r="AT155" i="13"/>
  <c r="AU155" i="13" s="1"/>
  <c r="BD158" i="13"/>
  <c r="BE158" i="13" s="1"/>
  <c r="AT161" i="13"/>
  <c r="AU161" i="13" s="1"/>
  <c r="BS161" i="13"/>
  <c r="BT161" i="13" s="1"/>
  <c r="CC161" i="13"/>
  <c r="CD161" i="13" s="1"/>
  <c r="CM161" i="13"/>
  <c r="Z161" i="13" s="1"/>
  <c r="CC162" i="13"/>
  <c r="CD162" i="13" s="1"/>
  <c r="AO164" i="13"/>
  <c r="AP164" i="13" s="1"/>
  <c r="BI164" i="13"/>
  <c r="BJ164" i="13" s="1"/>
  <c r="CC164" i="13"/>
  <c r="CD164" i="13" s="1"/>
  <c r="CM165" i="13"/>
  <c r="Z165" i="13" s="1"/>
  <c r="AO166" i="13"/>
  <c r="AP166" i="13" s="1"/>
  <c r="BI166" i="13"/>
  <c r="BJ166" i="13" s="1"/>
  <c r="CC166" i="13"/>
  <c r="CD166" i="13" s="1"/>
  <c r="AO168" i="13"/>
  <c r="AP168" i="13" s="1"/>
  <c r="BI168" i="13"/>
  <c r="BJ168" i="13" s="1"/>
  <c r="CC168" i="13"/>
  <c r="CD168" i="13" s="1"/>
  <c r="AY181" i="13"/>
  <c r="AZ181" i="13" s="1"/>
  <c r="CM13" i="13"/>
  <c r="Z13" i="13" s="1"/>
  <c r="BI14" i="13"/>
  <c r="BJ14" i="13" s="1"/>
  <c r="CC14" i="13"/>
  <c r="CD14" i="13" s="1"/>
  <c r="AY15" i="13"/>
  <c r="AZ15" i="13" s="1"/>
  <c r="AT16" i="13"/>
  <c r="AU16" i="13" s="1"/>
  <c r="CH16" i="13"/>
  <c r="BN17" i="13"/>
  <c r="BO17" i="13" s="1"/>
  <c r="BN18" i="13"/>
  <c r="BO18" i="13" s="1"/>
  <c r="BS19" i="13"/>
  <c r="BT19" i="13" s="1"/>
  <c r="BI20" i="13"/>
  <c r="BJ20" i="13" s="1"/>
  <c r="AO23" i="13"/>
  <c r="AP23" i="13" s="1"/>
  <c r="CC23" i="13"/>
  <c r="CD23" i="13" s="1"/>
  <c r="BX24" i="13"/>
  <c r="BY24" i="13" s="1"/>
  <c r="AO25" i="13"/>
  <c r="AP25" i="13" s="1"/>
  <c r="AT25" i="13"/>
  <c r="AU25" i="13" s="1"/>
  <c r="CC25" i="13"/>
  <c r="CD25" i="13" s="1"/>
  <c r="CH25" i="13"/>
  <c r="CH26" i="13"/>
  <c r="Y26" i="13" s="1"/>
  <c r="BD27" i="13"/>
  <c r="BE27" i="13" s="1"/>
  <c r="AT30" i="13"/>
  <c r="AU30" i="13" s="1"/>
  <c r="BS31" i="13"/>
  <c r="BT31" i="13" s="1"/>
  <c r="AO32" i="13"/>
  <c r="AP32" i="13" s="1"/>
  <c r="CC32" i="13"/>
  <c r="CD32" i="13" s="1"/>
  <c r="AY33" i="13"/>
  <c r="AZ33" i="13" s="1"/>
  <c r="AO34" i="13"/>
  <c r="AP34" i="13" s="1"/>
  <c r="CC34" i="13"/>
  <c r="CD34" i="13" s="1"/>
  <c r="BS35" i="13"/>
  <c r="BT35" i="13" s="1"/>
  <c r="CC35" i="13"/>
  <c r="CD35" i="13" s="1"/>
  <c r="AO36" i="13"/>
  <c r="AP36" i="13" s="1"/>
  <c r="AY36" i="13"/>
  <c r="AZ36" i="13" s="1"/>
  <c r="BS36" i="13"/>
  <c r="BT36" i="13" s="1"/>
  <c r="CC36" i="13"/>
  <c r="CD36" i="13" s="1"/>
  <c r="CM36" i="13"/>
  <c r="Z36" i="13" s="1"/>
  <c r="AO37" i="13"/>
  <c r="AP37" i="13" s="1"/>
  <c r="AY37" i="13"/>
  <c r="AZ37" i="13" s="1"/>
  <c r="BI37" i="13"/>
  <c r="BJ37" i="13" s="1"/>
  <c r="BS37" i="13"/>
  <c r="BT37" i="13" s="1"/>
  <c r="AO38" i="13"/>
  <c r="AP38" i="13" s="1"/>
  <c r="BS39" i="13"/>
  <c r="BT39" i="13" s="1"/>
  <c r="AO40" i="13"/>
  <c r="AP40" i="13" s="1"/>
  <c r="CC40" i="13"/>
  <c r="CD40" i="13" s="1"/>
  <c r="AY41" i="13"/>
  <c r="AZ41" i="13" s="1"/>
  <c r="AO42" i="13"/>
  <c r="AP42" i="13" s="1"/>
  <c r="CC42" i="13"/>
  <c r="CD42" i="13" s="1"/>
  <c r="BS43" i="13"/>
  <c r="BT43" i="13" s="1"/>
  <c r="AO44" i="13"/>
  <c r="AP44" i="13" s="1"/>
  <c r="CC44" i="13"/>
  <c r="CD44" i="13" s="1"/>
  <c r="AY45" i="13"/>
  <c r="AZ45" i="13" s="1"/>
  <c r="BS45" i="13"/>
  <c r="BT45" i="13" s="1"/>
  <c r="AO46" i="13"/>
  <c r="AP46" i="13" s="1"/>
  <c r="BS47" i="13"/>
  <c r="BT47" i="13" s="1"/>
  <c r="AO48" i="13"/>
  <c r="AP48" i="13" s="1"/>
  <c r="CC48" i="13"/>
  <c r="CD48" i="13" s="1"/>
  <c r="AY49" i="13"/>
  <c r="AZ49" i="13" s="1"/>
  <c r="AO50" i="13"/>
  <c r="AP50" i="13" s="1"/>
  <c r="CC50" i="13"/>
  <c r="CD50" i="13" s="1"/>
  <c r="BS51" i="13"/>
  <c r="BT51" i="13" s="1"/>
  <c r="CM51" i="13"/>
  <c r="Z51" i="13" s="1"/>
  <c r="AO52" i="13"/>
  <c r="AP52" i="13" s="1"/>
  <c r="AY53" i="13"/>
  <c r="AZ53" i="13" s="1"/>
  <c r="CM53" i="13"/>
  <c r="Z53" i="13" s="1"/>
  <c r="AO54" i="13"/>
  <c r="AP54" i="13" s="1"/>
  <c r="BI57" i="13"/>
  <c r="BJ57" i="13" s="1"/>
  <c r="BI60" i="13"/>
  <c r="BJ60" i="13" s="1"/>
  <c r="CM60" i="13"/>
  <c r="Z60" i="13" s="1"/>
  <c r="BS62" i="13"/>
  <c r="BT62" i="13" s="1"/>
  <c r="BN63" i="13"/>
  <c r="BO63" i="13" s="1"/>
  <c r="AT64" i="13"/>
  <c r="AU64" i="13" s="1"/>
  <c r="BS64" i="13"/>
  <c r="BT64" i="13" s="1"/>
  <c r="AO65" i="13"/>
  <c r="AP65" i="13" s="1"/>
  <c r="BI65" i="13"/>
  <c r="BJ65" i="13" s="1"/>
  <c r="CC65" i="13"/>
  <c r="CD65" i="13" s="1"/>
  <c r="CM65" i="13"/>
  <c r="AO66" i="13"/>
  <c r="AP66" i="13" s="1"/>
  <c r="CC66" i="13"/>
  <c r="CD66" i="13" s="1"/>
  <c r="BS67" i="13"/>
  <c r="BT67" i="13" s="1"/>
  <c r="BI68" i="13"/>
  <c r="BJ68" i="13" s="1"/>
  <c r="AY69" i="13"/>
  <c r="AZ69" i="13" s="1"/>
  <c r="BD75" i="13"/>
  <c r="BE75" i="13" s="1"/>
  <c r="CH76" i="13"/>
  <c r="Y76" i="13" s="1"/>
  <c r="BX87" i="13"/>
  <c r="BY87" i="13" s="1"/>
  <c r="BS91" i="13"/>
  <c r="BT91" i="13" s="1"/>
  <c r="BI92" i="13"/>
  <c r="BJ92" i="13" s="1"/>
  <c r="BS93" i="13"/>
  <c r="BT93" i="13" s="1"/>
  <c r="BI94" i="13"/>
  <c r="BJ94" i="13" s="1"/>
  <c r="BD96" i="13"/>
  <c r="BE96" i="13" s="1"/>
  <c r="CH96" i="13"/>
  <c r="Y96" i="13" s="1"/>
  <c r="CI96" i="13" s="1"/>
  <c r="BD97" i="13"/>
  <c r="BE97" i="13" s="1"/>
  <c r="BD98" i="13"/>
  <c r="BE98" i="13" s="1"/>
  <c r="CM98" i="13"/>
  <c r="Z98" i="13" s="1"/>
  <c r="AY100" i="13"/>
  <c r="AZ100" i="13" s="1"/>
  <c r="CH102" i="13"/>
  <c r="Y102" i="13" s="1"/>
  <c r="BX105" i="13"/>
  <c r="BY105" i="13" s="1"/>
  <c r="AT106" i="13"/>
  <c r="AU106" i="13" s="1"/>
  <c r="BD109" i="13"/>
  <c r="BE109" i="13" s="1"/>
  <c r="BX109" i="13"/>
  <c r="BY109" i="13" s="1"/>
  <c r="BN110" i="13"/>
  <c r="BO110" i="13" s="1"/>
  <c r="CH110" i="13"/>
  <c r="Y110" i="13" s="1"/>
  <c r="BD113" i="13"/>
  <c r="BE113" i="13" s="1"/>
  <c r="AT117" i="13"/>
  <c r="AU117" i="13" s="1"/>
  <c r="CH117" i="13"/>
  <c r="Y117" i="13" s="1"/>
  <c r="BD118" i="13"/>
  <c r="BE118" i="13" s="1"/>
  <c r="BX124" i="13"/>
  <c r="BY124" i="13" s="1"/>
  <c r="AO125" i="13"/>
  <c r="AP125" i="13" s="1"/>
  <c r="BI125" i="13"/>
  <c r="BJ125" i="13" s="1"/>
  <c r="CC125" i="13"/>
  <c r="CD125" i="13" s="1"/>
  <c r="AO126" i="13"/>
  <c r="AP126" i="13" s="1"/>
  <c r="CC126" i="13"/>
  <c r="CD126" i="13" s="1"/>
  <c r="BN128" i="13"/>
  <c r="BO128" i="13" s="1"/>
  <c r="BX129" i="13"/>
  <c r="BY129" i="13" s="1"/>
  <c r="CH130" i="13"/>
  <c r="Y130" i="13" s="1"/>
  <c r="BD131" i="13"/>
  <c r="BE131" i="13" s="1"/>
  <c r="BX131" i="13"/>
  <c r="BY131" i="13" s="1"/>
  <c r="AT132" i="13"/>
  <c r="AU132" i="13" s="1"/>
  <c r="BX133" i="13"/>
  <c r="BY133" i="13" s="1"/>
  <c r="AT134" i="13"/>
  <c r="AU134" i="13" s="1"/>
  <c r="BN134" i="13"/>
  <c r="BO134" i="13" s="1"/>
  <c r="CH134" i="13"/>
  <c r="Y134" i="13" s="1"/>
  <c r="AO137" i="13"/>
  <c r="AP137" i="13" s="1"/>
  <c r="BI137" i="13"/>
  <c r="BJ137" i="13" s="1"/>
  <c r="AY138" i="13"/>
  <c r="AZ138" i="13" s="1"/>
  <c r="BS138" i="13"/>
  <c r="BT138" i="13" s="1"/>
  <c r="AO139" i="13"/>
  <c r="AP139" i="13" s="1"/>
  <c r="BX142" i="13"/>
  <c r="BY142" i="13" s="1"/>
  <c r="AT143" i="13"/>
  <c r="AU143" i="13" s="1"/>
  <c r="BN143" i="13"/>
  <c r="BO143" i="13" s="1"/>
  <c r="BD144" i="13"/>
  <c r="BE144" i="13" s="1"/>
  <c r="CH145" i="13"/>
  <c r="Y145" i="13" s="1"/>
  <c r="BX146" i="13"/>
  <c r="BY146" i="13" s="1"/>
  <c r="AT147" i="13"/>
  <c r="AU147" i="13" s="1"/>
  <c r="BN147" i="13"/>
  <c r="BO147" i="13" s="1"/>
  <c r="BS150" i="13"/>
  <c r="BT150" i="13" s="1"/>
  <c r="BI152" i="13"/>
  <c r="BJ152" i="13" s="1"/>
  <c r="CC152" i="13"/>
  <c r="CD152" i="13" s="1"/>
  <c r="BS155" i="13"/>
  <c r="BT155" i="13" s="1"/>
  <c r="CC155" i="13"/>
  <c r="CD155" i="13" s="1"/>
  <c r="CM155" i="13"/>
  <c r="Z155" i="13" s="1"/>
  <c r="AY157" i="13"/>
  <c r="AZ157" i="13" s="1"/>
  <c r="BS157" i="13"/>
  <c r="BT157" i="13" s="1"/>
  <c r="BI158" i="13"/>
  <c r="BJ158" i="13" s="1"/>
  <c r="BS159" i="13"/>
  <c r="BT159" i="13" s="1"/>
  <c r="CC159" i="13"/>
  <c r="CD159" i="13" s="1"/>
  <c r="CM159" i="13"/>
  <c r="Z159" i="13" s="1"/>
  <c r="AO160" i="13"/>
  <c r="AP160" i="13" s="1"/>
  <c r="AY160" i="13"/>
  <c r="AZ160" i="13" s="1"/>
  <c r="BI160" i="13"/>
  <c r="BJ160" i="13" s="1"/>
  <c r="BS160" i="13"/>
  <c r="BT160" i="13" s="1"/>
  <c r="CC160" i="13"/>
  <c r="CD160" i="13" s="1"/>
  <c r="AY161" i="13"/>
  <c r="AZ161" i="13" s="1"/>
  <c r="BX161" i="13"/>
  <c r="BY161" i="13" s="1"/>
  <c r="AT162" i="13"/>
  <c r="AU162" i="13" s="1"/>
  <c r="BD163" i="13"/>
  <c r="BE163" i="13" s="1"/>
  <c r="BN164" i="13"/>
  <c r="BO164" i="13" s="1"/>
  <c r="CH164" i="13"/>
  <c r="Y164" i="13" s="1"/>
  <c r="BD165" i="13"/>
  <c r="BE165" i="13" s="1"/>
  <c r="AT166" i="13"/>
  <c r="AU166" i="13" s="1"/>
  <c r="BN166" i="13"/>
  <c r="BO166" i="13" s="1"/>
  <c r="CH166" i="13"/>
  <c r="Y166" i="13" s="1"/>
  <c r="BD176" i="13"/>
  <c r="BE176" i="13" s="1"/>
  <c r="BD178" i="13"/>
  <c r="BE178" i="13" s="1"/>
  <c r="BI180" i="13"/>
  <c r="BJ180" i="13" s="1"/>
  <c r="CC180" i="13"/>
  <c r="CD180" i="13" s="1"/>
  <c r="CH14" i="13"/>
  <c r="Y14" i="13" s="1"/>
  <c r="BN20" i="13"/>
  <c r="BO20" i="13" s="1"/>
  <c r="BS27" i="13"/>
  <c r="BT27" i="13" s="1"/>
  <c r="AY72" i="13"/>
  <c r="AZ72" i="13" s="1"/>
  <c r="BI75" i="13"/>
  <c r="BJ75" i="13" s="1"/>
  <c r="BS79" i="13"/>
  <c r="BT79" i="13" s="1"/>
  <c r="BI82" i="13"/>
  <c r="BJ82" i="13" s="1"/>
  <c r="BI84" i="13"/>
  <c r="BJ84" i="13" s="1"/>
  <c r="BS85" i="13"/>
  <c r="BT85" i="13" s="1"/>
  <c r="CM87" i="13"/>
  <c r="Z87" i="13" s="1"/>
  <c r="AY89" i="13"/>
  <c r="AZ89" i="13" s="1"/>
  <c r="BI90" i="13"/>
  <c r="BJ90" i="13" s="1"/>
  <c r="BX100" i="13"/>
  <c r="BY100" i="13" s="1"/>
  <c r="CM110" i="13"/>
  <c r="Z110" i="13" s="1"/>
  <c r="AO111" i="13"/>
  <c r="AP111" i="13" s="1"/>
  <c r="CM112" i="13"/>
  <c r="Z112" i="13" s="1"/>
  <c r="AO113" i="13"/>
  <c r="AP113" i="13" s="1"/>
  <c r="CC113" i="13"/>
  <c r="CD113" i="13" s="1"/>
  <c r="CM113" i="13"/>
  <c r="Z113" i="13" s="1"/>
  <c r="AT180" i="13"/>
  <c r="AU180" i="13" s="1"/>
  <c r="CH46" i="13"/>
  <c r="Y46" i="13" s="1"/>
  <c r="BD47" i="13"/>
  <c r="BE47" i="13" s="1"/>
  <c r="AT52" i="13"/>
  <c r="AU52" i="13" s="1"/>
  <c r="BN52" i="13"/>
  <c r="BO52" i="13" s="1"/>
  <c r="BX62" i="13"/>
  <c r="BY62" i="13" s="1"/>
  <c r="AT63" i="13"/>
  <c r="AU63" i="13" s="1"/>
  <c r="BN64" i="13"/>
  <c r="BO64" i="13" s="1"/>
  <c r="BX65" i="13"/>
  <c r="BY65" i="13" s="1"/>
  <c r="CH82" i="13"/>
  <c r="Y82" i="13" s="1"/>
  <c r="CC103" i="13"/>
  <c r="CD103" i="13" s="1"/>
  <c r="BD104" i="13"/>
  <c r="BE104" i="13" s="1"/>
  <c r="BX104" i="13"/>
  <c r="BY104" i="13" s="1"/>
  <c r="BI133" i="13"/>
  <c r="BJ133" i="13" s="1"/>
  <c r="CC133" i="13"/>
  <c r="CD133" i="13" s="1"/>
  <c r="AY134" i="13"/>
  <c r="AZ134" i="13" s="1"/>
  <c r="BS134" i="13"/>
  <c r="BT134" i="13" s="1"/>
  <c r="CM134" i="13"/>
  <c r="Z134" i="13" s="1"/>
  <c r="AT177" i="13"/>
  <c r="AU177" i="13" s="1"/>
  <c r="BN178" i="13"/>
  <c r="BO178" i="13" s="1"/>
  <c r="AT34" i="13"/>
  <c r="AU34" i="13" s="1"/>
  <c r="BN34" i="13"/>
  <c r="BO34" i="13" s="1"/>
  <c r="CH34" i="13"/>
  <c r="Y34" i="13" s="1"/>
  <c r="BD35" i="13"/>
  <c r="BE35" i="13" s="1"/>
  <c r="CH38" i="13"/>
  <c r="Y38" i="13" s="1"/>
  <c r="BD39" i="13"/>
  <c r="BE39" i="13" s="1"/>
  <c r="AT42" i="13"/>
  <c r="AU42" i="13" s="1"/>
  <c r="BN42" i="13"/>
  <c r="BO42" i="13" s="1"/>
  <c r="CH42" i="13"/>
  <c r="Y42" i="13" s="1"/>
  <c r="BD43" i="13"/>
  <c r="BE43" i="13" s="1"/>
  <c r="CC47" i="13"/>
  <c r="CD47" i="13" s="1"/>
  <c r="AY48" i="13"/>
  <c r="AZ48" i="13" s="1"/>
  <c r="BS48" i="13"/>
  <c r="BT48" i="13" s="1"/>
  <c r="CM48" i="13"/>
  <c r="Z48" i="13" s="1"/>
  <c r="AO49" i="13"/>
  <c r="AP49" i="13" s="1"/>
  <c r="BI49" i="13"/>
  <c r="BJ49" i="13" s="1"/>
  <c r="BD62" i="13"/>
  <c r="BE62" i="13" s="1"/>
  <c r="CH64" i="13"/>
  <c r="AT94" i="13"/>
  <c r="AU94" i="13" s="1"/>
  <c r="CM108" i="13"/>
  <c r="Z108" i="13" s="1"/>
  <c r="CH109" i="13"/>
  <c r="Y109" i="13" s="1"/>
  <c r="AY120" i="13"/>
  <c r="AZ120" i="13" s="1"/>
  <c r="BS120" i="13"/>
  <c r="BT120" i="13" s="1"/>
  <c r="BS130" i="13"/>
  <c r="BT130" i="13" s="1"/>
  <c r="CM130" i="13"/>
  <c r="Z130" i="13" s="1"/>
  <c r="AO131" i="13"/>
  <c r="AP131" i="13" s="1"/>
  <c r="BI131" i="13"/>
  <c r="BJ131" i="13" s="1"/>
  <c r="AT154" i="13"/>
  <c r="AU154" i="13" s="1"/>
  <c r="CM162" i="13"/>
  <c r="Z162" i="13" s="1"/>
  <c r="AO163" i="13"/>
  <c r="AP163" i="13" s="1"/>
  <c r="BD171" i="13"/>
  <c r="BE171" i="13" s="1"/>
  <c r="BX171" i="13"/>
  <c r="BY171" i="13" s="1"/>
  <c r="AT172" i="13"/>
  <c r="AU172" i="13" s="1"/>
  <c r="BN172" i="13"/>
  <c r="BO172" i="13" s="1"/>
  <c r="BS56" i="13"/>
  <c r="BT56" i="13" s="1"/>
  <c r="AO57" i="13"/>
  <c r="AP57" i="13" s="1"/>
  <c r="AT38" i="13"/>
  <c r="AU38" i="13" s="1"/>
  <c r="BS38" i="13"/>
  <c r="BT38" i="13" s="1"/>
  <c r="CM38" i="13"/>
  <c r="Z38" i="13" s="1"/>
  <c r="AO39" i="13"/>
  <c r="AP39" i="13" s="1"/>
  <c r="BI39" i="13"/>
  <c r="BJ39" i="13" s="1"/>
  <c r="CC43" i="13"/>
  <c r="CD43" i="13" s="1"/>
  <c r="AY44" i="13"/>
  <c r="AZ44" i="13" s="1"/>
  <c r="BS44" i="13"/>
  <c r="BT44" i="13" s="1"/>
  <c r="CM44" i="13"/>
  <c r="Z44" i="13" s="1"/>
  <c r="AO45" i="13"/>
  <c r="AP45" i="13" s="1"/>
  <c r="BI45" i="13"/>
  <c r="BJ45" i="13" s="1"/>
  <c r="CH50" i="13"/>
  <c r="Y50" i="13" s="1"/>
  <c r="BD51" i="13"/>
  <c r="BE51" i="13" s="1"/>
  <c r="CC51" i="13"/>
  <c r="CD51" i="13" s="1"/>
  <c r="AY52" i="13"/>
  <c r="AZ52" i="13" s="1"/>
  <c r="BS52" i="13"/>
  <c r="BT52" i="13" s="1"/>
  <c r="CM52" i="13"/>
  <c r="Z52" i="13" s="1"/>
  <c r="AO53" i="13"/>
  <c r="AP53" i="13" s="1"/>
  <c r="BD56" i="13"/>
  <c r="BE56" i="13" s="1"/>
  <c r="AT57" i="13"/>
  <c r="AU57" i="13" s="1"/>
  <c r="BD59" i="13"/>
  <c r="BE59" i="13" s="1"/>
  <c r="AT67" i="13"/>
  <c r="AU67" i="13" s="1"/>
  <c r="CH67" i="13"/>
  <c r="BD68" i="13"/>
  <c r="BE68" i="13" s="1"/>
  <c r="BN69" i="13"/>
  <c r="BO69" i="13" s="1"/>
  <c r="BX70" i="13"/>
  <c r="BY70" i="13" s="1"/>
  <c r="AT71" i="13"/>
  <c r="AU71" i="13" s="1"/>
  <c r="BX75" i="13"/>
  <c r="BY75" i="13" s="1"/>
  <c r="AT76" i="13"/>
  <c r="AU76" i="13" s="1"/>
  <c r="BN76" i="13"/>
  <c r="BO76" i="13" s="1"/>
  <c r="AT82" i="13"/>
  <c r="AU82" i="13" s="1"/>
  <c r="CH90" i="13"/>
  <c r="Y90" i="13" s="1"/>
  <c r="AO107" i="13"/>
  <c r="AP107" i="13" s="1"/>
  <c r="BN107" i="13"/>
  <c r="BO107" i="13" s="1"/>
  <c r="CH107" i="13"/>
  <c r="Y107" i="13" s="1"/>
  <c r="BI111" i="13"/>
  <c r="BJ111" i="13" s="1"/>
  <c r="CC111" i="13"/>
  <c r="CD111" i="13" s="1"/>
  <c r="AY112" i="13"/>
  <c r="AZ112" i="13" s="1"/>
  <c r="BS112" i="13"/>
  <c r="BT112" i="13" s="1"/>
  <c r="BX120" i="13"/>
  <c r="BY120" i="13" s="1"/>
  <c r="AO123" i="13"/>
  <c r="AP123" i="13" s="1"/>
  <c r="AY128" i="13"/>
  <c r="AZ128" i="13" s="1"/>
  <c r="CC137" i="13"/>
  <c r="CD137" i="13" s="1"/>
  <c r="CC147" i="13"/>
  <c r="CD147" i="13" s="1"/>
  <c r="AY148" i="13"/>
  <c r="AZ148" i="13" s="1"/>
  <c r="AY154" i="13"/>
  <c r="AZ154" i="13" s="1"/>
  <c r="BS154" i="13"/>
  <c r="BT154" i="13" s="1"/>
  <c r="CC157" i="13"/>
  <c r="CD157" i="13" s="1"/>
  <c r="BD32" i="13"/>
  <c r="BE32" i="13" s="1"/>
  <c r="BX32" i="13"/>
  <c r="BY32" i="13" s="1"/>
  <c r="AT33" i="13"/>
  <c r="AU33" i="13" s="1"/>
  <c r="CH33" i="13"/>
  <c r="BD34" i="13"/>
  <c r="BE34" i="13" s="1"/>
  <c r="BX34" i="13"/>
  <c r="BY34" i="13" s="1"/>
  <c r="AT35" i="13"/>
  <c r="AU35" i="13" s="1"/>
  <c r="CH35" i="13"/>
  <c r="Y35" i="13" s="1"/>
  <c r="BD36" i="13"/>
  <c r="BE36" i="13" s="1"/>
  <c r="BX36" i="13"/>
  <c r="BY36" i="13" s="1"/>
  <c r="AT37" i="13"/>
  <c r="AU37" i="13" s="1"/>
  <c r="AT48" i="13"/>
  <c r="AU48" i="13" s="1"/>
  <c r="BN54" i="13"/>
  <c r="BO54" i="13" s="1"/>
  <c r="CH54" i="13"/>
  <c r="Y54" i="13" s="1"/>
  <c r="BD55" i="13"/>
  <c r="BE55" i="13" s="1"/>
  <c r="BX55" i="13"/>
  <c r="BY55" i="13" s="1"/>
  <c r="BX57" i="13"/>
  <c r="BY57" i="13" s="1"/>
  <c r="AT58" i="13"/>
  <c r="AU58" i="13" s="1"/>
  <c r="CH58" i="13"/>
  <c r="Y58" i="13" s="1"/>
  <c r="BI59" i="13"/>
  <c r="BJ59" i="13" s="1"/>
  <c r="CC59" i="13"/>
  <c r="CD59" i="13" s="1"/>
  <c r="AT60" i="13"/>
  <c r="AU60" i="13" s="1"/>
  <c r="CC61" i="13"/>
  <c r="CD61" i="13" s="1"/>
  <c r="AY62" i="13"/>
  <c r="AZ62" i="13" s="1"/>
  <c r="CM62" i="13"/>
  <c r="Z62" i="13" s="1"/>
  <c r="AO63" i="13"/>
  <c r="AP63" i="13" s="1"/>
  <c r="BD66" i="13"/>
  <c r="BE66" i="13" s="1"/>
  <c r="BN67" i="13"/>
  <c r="BO67" i="13" s="1"/>
  <c r="BX68" i="13"/>
  <c r="BY68" i="13" s="1"/>
  <c r="AT69" i="13"/>
  <c r="AU69" i="13" s="1"/>
  <c r="CH69" i="13"/>
  <c r="BX71" i="13"/>
  <c r="BY71" i="13" s="1"/>
  <c r="AT72" i="13"/>
  <c r="AU72" i="13" s="1"/>
  <c r="BN72" i="13"/>
  <c r="BO72" i="13" s="1"/>
  <c r="CH72" i="13"/>
  <c r="Y72" i="13" s="1"/>
  <c r="BD73" i="13"/>
  <c r="BE73" i="13" s="1"/>
  <c r="BX73" i="13"/>
  <c r="BY73" i="13" s="1"/>
  <c r="AT74" i="13"/>
  <c r="AU74" i="13" s="1"/>
  <c r="BN74" i="13"/>
  <c r="BO74" i="13" s="1"/>
  <c r="CH74" i="13"/>
  <c r="Y74" i="13" s="1"/>
  <c r="CH78" i="13"/>
  <c r="BD79" i="13"/>
  <c r="BE79" i="13" s="1"/>
  <c r="BX79" i="13"/>
  <c r="BY79" i="13" s="1"/>
  <c r="AT80" i="13"/>
  <c r="AU80" i="13" s="1"/>
  <c r="BN80" i="13"/>
  <c r="BO80" i="13" s="1"/>
  <c r="BX86" i="13"/>
  <c r="BY86" i="13" s="1"/>
  <c r="AT87" i="13"/>
  <c r="AU87" i="13" s="1"/>
  <c r="BN88" i="13"/>
  <c r="BO88" i="13" s="1"/>
  <c r="CH94" i="13"/>
  <c r="BX99" i="13"/>
  <c r="BY99" i="13" s="1"/>
  <c r="BD102" i="13"/>
  <c r="BE102" i="13" s="1"/>
  <c r="BS104" i="13"/>
  <c r="BT104" i="13" s="1"/>
  <c r="BD106" i="13"/>
  <c r="BE106" i="13" s="1"/>
  <c r="BX106" i="13"/>
  <c r="BY106" i="13" s="1"/>
  <c r="AT107" i="13"/>
  <c r="AU107" i="13" s="1"/>
  <c r="AT111" i="13"/>
  <c r="AU111" i="13" s="1"/>
  <c r="BN111" i="13"/>
  <c r="BO111" i="13" s="1"/>
  <c r="CH111" i="13"/>
  <c r="Y111" i="13" s="1"/>
  <c r="BD112" i="13"/>
  <c r="BE112" i="13" s="1"/>
  <c r="BX112" i="13"/>
  <c r="BY112" i="13" s="1"/>
  <c r="BN117" i="13"/>
  <c r="BO117" i="13" s="1"/>
  <c r="AT120" i="13"/>
  <c r="AU120" i="13" s="1"/>
  <c r="AY122" i="13"/>
  <c r="AZ122" i="13" s="1"/>
  <c r="BS122" i="13"/>
  <c r="BT122" i="13" s="1"/>
  <c r="CH125" i="13"/>
  <c r="Y125" i="13" s="1"/>
  <c r="BI135" i="13"/>
  <c r="BJ135" i="13" s="1"/>
  <c r="CC135" i="13"/>
  <c r="CD135" i="13" s="1"/>
  <c r="AO141" i="13"/>
  <c r="AP141" i="13" s="1"/>
  <c r="CM144" i="13"/>
  <c r="Z144" i="13" s="1"/>
  <c r="BX148" i="13"/>
  <c r="BY148" i="13" s="1"/>
  <c r="AO151" i="13"/>
  <c r="AP151" i="13" s="1"/>
  <c r="BI151" i="13"/>
  <c r="BJ151" i="13" s="1"/>
  <c r="AY162" i="13"/>
  <c r="AZ162" i="13" s="1"/>
  <c r="BN83" i="13"/>
  <c r="BO83" i="13" s="1"/>
  <c r="BD99" i="13"/>
  <c r="BE99" i="13" s="1"/>
  <c r="BN163" i="13"/>
  <c r="BO163" i="13" s="1"/>
  <c r="AY166" i="13"/>
  <c r="AZ166" i="13" s="1"/>
  <c r="BS166" i="13"/>
  <c r="BT166" i="13" s="1"/>
  <c r="AT173" i="13"/>
  <c r="AU173" i="13" s="1"/>
  <c r="BD174" i="13"/>
  <c r="BE174" i="13" s="1"/>
  <c r="AT175" i="13"/>
  <c r="AU175" i="13" s="1"/>
  <c r="BD16" i="13"/>
  <c r="BE16" i="13" s="1"/>
  <c r="CN17" i="13"/>
  <c r="BX19" i="13"/>
  <c r="BY19" i="13" s="1"/>
  <c r="AT20" i="13"/>
  <c r="AU20" i="13" s="1"/>
  <c r="BX23" i="13"/>
  <c r="BY23" i="13" s="1"/>
  <c r="AT24" i="13"/>
  <c r="AU24" i="13" s="1"/>
  <c r="AT28" i="13"/>
  <c r="AU28" i="13" s="1"/>
  <c r="BN28" i="13"/>
  <c r="BO28" i="13" s="1"/>
  <c r="CH28" i="13"/>
  <c r="Y28" i="13" s="1"/>
  <c r="BD29" i="13"/>
  <c r="BE29" i="13" s="1"/>
  <c r="AT32" i="13"/>
  <c r="AU32" i="13" s="1"/>
  <c r="BN32" i="13"/>
  <c r="BO32" i="13" s="1"/>
  <c r="CH32" i="13"/>
  <c r="BD33" i="13"/>
  <c r="BE33" i="13" s="1"/>
  <c r="CC33" i="13"/>
  <c r="CD33" i="13" s="1"/>
  <c r="AY34" i="13"/>
  <c r="AZ34" i="13" s="1"/>
  <c r="BS34" i="13"/>
  <c r="BT34" i="13" s="1"/>
  <c r="CM34" i="13"/>
  <c r="Z34" i="13" s="1"/>
  <c r="AO35" i="13"/>
  <c r="AP35" i="13" s="1"/>
  <c r="BI35" i="13"/>
  <c r="BJ35" i="13" s="1"/>
  <c r="CC37" i="13"/>
  <c r="CD37" i="13" s="1"/>
  <c r="AY38" i="13"/>
  <c r="AZ38" i="13" s="1"/>
  <c r="AT40" i="13"/>
  <c r="AU40" i="13" s="1"/>
  <c r="BN40" i="13"/>
  <c r="BO40" i="13" s="1"/>
  <c r="CH40" i="13"/>
  <c r="BD41" i="13"/>
  <c r="BE41" i="13" s="1"/>
  <c r="CC41" i="13"/>
  <c r="CD41" i="13" s="1"/>
  <c r="AY42" i="13"/>
  <c r="AZ42" i="13" s="1"/>
  <c r="BS42" i="13"/>
  <c r="BT42" i="13" s="1"/>
  <c r="CM42" i="13"/>
  <c r="Z42" i="13" s="1"/>
  <c r="AO43" i="13"/>
  <c r="AP43" i="13" s="1"/>
  <c r="BI43" i="13"/>
  <c r="BJ43" i="13" s="1"/>
  <c r="AT46" i="13"/>
  <c r="AU46" i="13" s="1"/>
  <c r="BS46" i="13"/>
  <c r="BT46" i="13" s="1"/>
  <c r="CM46" i="13"/>
  <c r="Z46" i="13" s="1"/>
  <c r="AO47" i="13"/>
  <c r="AP47" i="13" s="1"/>
  <c r="BI47" i="13"/>
  <c r="BJ47" i="13" s="1"/>
  <c r="AT50" i="13"/>
  <c r="AU50" i="13" s="1"/>
  <c r="BS50" i="13"/>
  <c r="BT50" i="13" s="1"/>
  <c r="CM50" i="13"/>
  <c r="Z50" i="13" s="1"/>
  <c r="AO51" i="13"/>
  <c r="AP51" i="13" s="1"/>
  <c r="BI51" i="13"/>
  <c r="BJ51" i="13" s="1"/>
  <c r="BX53" i="13"/>
  <c r="BY53" i="13" s="1"/>
  <c r="CC57" i="13"/>
  <c r="CD57" i="13" s="1"/>
  <c r="AY58" i="13"/>
  <c r="AZ58" i="13" s="1"/>
  <c r="CM58" i="13"/>
  <c r="Z58" i="13" s="1"/>
  <c r="AT59" i="13"/>
  <c r="AU59" i="13" s="1"/>
  <c r="CH59" i="13"/>
  <c r="Y59" i="13" s="1"/>
  <c r="BS60" i="13"/>
  <c r="BT60" i="13" s="1"/>
  <c r="AO61" i="13"/>
  <c r="AP61" i="13" s="1"/>
  <c r="BI61" i="13"/>
  <c r="BJ61" i="13" s="1"/>
  <c r="CH63" i="13"/>
  <c r="Y63" i="13" s="1"/>
  <c r="BD64" i="13"/>
  <c r="BE64" i="13" s="1"/>
  <c r="BN65" i="13"/>
  <c r="BO65" i="13" s="1"/>
  <c r="BD67" i="13"/>
  <c r="BE67" i="13" s="1"/>
  <c r="BN68" i="13"/>
  <c r="BO68" i="13" s="1"/>
  <c r="AT70" i="13"/>
  <c r="AU70" i="13" s="1"/>
  <c r="CH70" i="13"/>
  <c r="AT78" i="13"/>
  <c r="AU78" i="13" s="1"/>
  <c r="CH86" i="13"/>
  <c r="BX89" i="13"/>
  <c r="BY89" i="13" s="1"/>
  <c r="AT90" i="13"/>
  <c r="AU90" i="13" s="1"/>
  <c r="BX98" i="13"/>
  <c r="BY98" i="13" s="1"/>
  <c r="BN99" i="13"/>
  <c r="BO99" i="13" s="1"/>
  <c r="BD100" i="13"/>
  <c r="BE100" i="13" s="1"/>
  <c r="BN103" i="13"/>
  <c r="BO103" i="13" s="1"/>
  <c r="CH103" i="13"/>
  <c r="Y103" i="13" s="1"/>
  <c r="BX108" i="13"/>
  <c r="BY108" i="13" s="1"/>
  <c r="BN113" i="13"/>
  <c r="BO113" i="13" s="1"/>
  <c r="CC115" i="13"/>
  <c r="CD115" i="13" s="1"/>
  <c r="AY116" i="13"/>
  <c r="AZ116" i="13" s="1"/>
  <c r="BS116" i="13"/>
  <c r="BT116" i="13" s="1"/>
  <c r="AO119" i="13"/>
  <c r="AP119" i="13" s="1"/>
  <c r="BI119" i="13"/>
  <c r="BJ119" i="13" s="1"/>
  <c r="BI121" i="13"/>
  <c r="BJ121" i="13" s="1"/>
  <c r="BX123" i="13"/>
  <c r="BY123" i="13" s="1"/>
  <c r="BS124" i="13"/>
  <c r="BT124" i="13" s="1"/>
  <c r="BN126" i="13"/>
  <c r="BO126" i="13" s="1"/>
  <c r="CM126" i="13"/>
  <c r="Z126" i="13" s="1"/>
  <c r="AO127" i="13"/>
  <c r="AP127" i="13" s="1"/>
  <c r="CH128" i="13"/>
  <c r="Y128" i="13" s="1"/>
  <c r="BI129" i="13"/>
  <c r="BJ129" i="13" s="1"/>
  <c r="CC129" i="13"/>
  <c r="CD129" i="13" s="1"/>
  <c r="CM132" i="13"/>
  <c r="Z132" i="13" s="1"/>
  <c r="BN136" i="13"/>
  <c r="BO136" i="13" s="1"/>
  <c r="CH136" i="13"/>
  <c r="Y136" i="13" s="1"/>
  <c r="BI139" i="13"/>
  <c r="BJ139" i="13" s="1"/>
  <c r="CC139" i="13"/>
  <c r="CD139" i="13" s="1"/>
  <c r="AY142" i="13"/>
  <c r="AZ142" i="13" s="1"/>
  <c r="CC143" i="13"/>
  <c r="CD143" i="13" s="1"/>
  <c r="AO147" i="13"/>
  <c r="AP147" i="13" s="1"/>
  <c r="BI149" i="13"/>
  <c r="BJ149" i="13" s="1"/>
  <c r="CC149" i="13"/>
  <c r="CD149" i="13" s="1"/>
  <c r="BS152" i="13"/>
  <c r="BT152" i="13" s="1"/>
  <c r="CM152" i="13"/>
  <c r="Z152" i="13" s="1"/>
  <c r="AO153" i="13"/>
  <c r="AP153" i="13" s="1"/>
  <c r="BI153" i="13"/>
  <c r="BJ153" i="13" s="1"/>
  <c r="CM158" i="13"/>
  <c r="Z158" i="13" s="1"/>
  <c r="BX162" i="13"/>
  <c r="BY162" i="13" s="1"/>
  <c r="BS164" i="13"/>
  <c r="BT164" i="13" s="1"/>
  <c r="CM164" i="13"/>
  <c r="Z164" i="13" s="1"/>
  <c r="AO165" i="13"/>
  <c r="AP165" i="13" s="1"/>
  <c r="BN168" i="13"/>
  <c r="BO168" i="13" s="1"/>
  <c r="CM168" i="13"/>
  <c r="Z168" i="13" s="1"/>
  <c r="AO169" i="13"/>
  <c r="AP169" i="13" s="1"/>
  <c r="BI169" i="13"/>
  <c r="BJ169" i="13" s="1"/>
  <c r="CC169" i="13"/>
  <c r="CD169" i="13" s="1"/>
  <c r="AY170" i="13"/>
  <c r="AZ170" i="13" s="1"/>
  <c r="BS170" i="13"/>
  <c r="BT170" i="13" s="1"/>
  <c r="BD175" i="13"/>
  <c r="BE175" i="13" s="1"/>
  <c r="BX175" i="13"/>
  <c r="BY175" i="13" s="1"/>
  <c r="AT176" i="13"/>
  <c r="AU176" i="13" s="1"/>
  <c r="BN176" i="13"/>
  <c r="BO176" i="13" s="1"/>
  <c r="CH176" i="13"/>
  <c r="Y176" i="13" s="1"/>
  <c r="BD177" i="13"/>
  <c r="BE177" i="13" s="1"/>
  <c r="BX177" i="13"/>
  <c r="BY177" i="13" s="1"/>
  <c r="AY178" i="13"/>
  <c r="AZ178" i="13" s="1"/>
  <c r="BS178" i="13"/>
  <c r="BT178" i="13" s="1"/>
  <c r="AO181" i="13"/>
  <c r="AP181" i="13" s="1"/>
  <c r="BX13" i="13"/>
  <c r="BY13" i="13" s="1"/>
  <c r="AT14" i="13"/>
  <c r="AU14" i="13" s="1"/>
  <c r="BN14" i="13"/>
  <c r="BO14" i="13" s="1"/>
  <c r="BN15" i="13"/>
  <c r="BO15" i="13" s="1"/>
  <c r="BN16" i="13"/>
  <c r="BO16" i="13" s="1"/>
  <c r="BD18" i="13"/>
  <c r="BE18" i="13" s="1"/>
  <c r="BN21" i="13"/>
  <c r="BO21" i="13" s="1"/>
  <c r="BX26" i="13"/>
  <c r="BY26" i="13" s="1"/>
  <c r="AT27" i="13"/>
  <c r="AU27" i="13" s="1"/>
  <c r="BX30" i="13"/>
  <c r="BY30" i="13" s="1"/>
  <c r="AT31" i="13"/>
  <c r="AU31" i="13" s="1"/>
  <c r="CC31" i="13"/>
  <c r="CD31" i="13" s="1"/>
  <c r="AY32" i="13"/>
  <c r="AZ32" i="13" s="1"/>
  <c r="BS32" i="13"/>
  <c r="BT32" i="13" s="1"/>
  <c r="CM32" i="13"/>
  <c r="Z32" i="13" s="1"/>
  <c r="AO33" i="13"/>
  <c r="AP33" i="13" s="1"/>
  <c r="BI33" i="13"/>
  <c r="BJ33" i="13" s="1"/>
  <c r="AT36" i="13"/>
  <c r="AU36" i="13" s="1"/>
  <c r="BN36" i="13"/>
  <c r="BO36" i="13" s="1"/>
  <c r="CH36" i="13"/>
  <c r="Y36" i="13" s="1"/>
  <c r="BD37" i="13"/>
  <c r="BE37" i="13" s="1"/>
  <c r="BX38" i="13"/>
  <c r="BY38" i="13" s="1"/>
  <c r="AT39" i="13"/>
  <c r="AU39" i="13" s="1"/>
  <c r="CC39" i="13"/>
  <c r="CD39" i="13" s="1"/>
  <c r="AY40" i="13"/>
  <c r="AZ40" i="13" s="1"/>
  <c r="BS40" i="13"/>
  <c r="BT40" i="13" s="1"/>
  <c r="CM40" i="13"/>
  <c r="Z40" i="13" s="1"/>
  <c r="AO41" i="13"/>
  <c r="AP41" i="13" s="1"/>
  <c r="BI41" i="13"/>
  <c r="BJ41" i="13" s="1"/>
  <c r="AT44" i="13"/>
  <c r="AU44" i="13" s="1"/>
  <c r="BN44" i="13"/>
  <c r="BO44" i="13" s="1"/>
  <c r="CH44" i="13"/>
  <c r="Y44" i="13" s="1"/>
  <c r="BD45" i="13"/>
  <c r="BE45" i="13" s="1"/>
  <c r="CC45" i="13"/>
  <c r="CD45" i="13" s="1"/>
  <c r="AY46" i="13"/>
  <c r="AZ46" i="13" s="1"/>
  <c r="CH47" i="13"/>
  <c r="Y47" i="13" s="1"/>
  <c r="CH48" i="13"/>
  <c r="BD49" i="13"/>
  <c r="BE49" i="13" s="1"/>
  <c r="CC49" i="13"/>
  <c r="CD49" i="13" s="1"/>
  <c r="AY50" i="13"/>
  <c r="AZ50" i="13" s="1"/>
  <c r="BD52" i="13"/>
  <c r="BE52" i="13" s="1"/>
  <c r="BI53" i="13"/>
  <c r="BJ53" i="13" s="1"/>
  <c r="CC53" i="13"/>
  <c r="CD53" i="13" s="1"/>
  <c r="BD54" i="13"/>
  <c r="BE54" i="13" s="1"/>
  <c r="BX54" i="13"/>
  <c r="BY54" i="13" s="1"/>
  <c r="AT55" i="13"/>
  <c r="AU55" i="13" s="1"/>
  <c r="CH55" i="13"/>
  <c r="Y55" i="13" s="1"/>
  <c r="BN56" i="13"/>
  <c r="BO56" i="13" s="1"/>
  <c r="BN57" i="13"/>
  <c r="BO57" i="13" s="1"/>
  <c r="BX58" i="13"/>
  <c r="BY58" i="13" s="1"/>
  <c r="BN61" i="13"/>
  <c r="BO61" i="13" s="1"/>
  <c r="CH61" i="13"/>
  <c r="Y61" i="13" s="1"/>
  <c r="CH62" i="13"/>
  <c r="Y62" i="13" s="1"/>
  <c r="BI63" i="13"/>
  <c r="BJ63" i="13" s="1"/>
  <c r="AT65" i="13"/>
  <c r="AU65" i="13" s="1"/>
  <c r="CH65" i="13"/>
  <c r="Y65" i="13" s="1"/>
  <c r="AY66" i="13"/>
  <c r="AZ66" i="13" s="1"/>
  <c r="CM66" i="13"/>
  <c r="AO67" i="13"/>
  <c r="AP67" i="13" s="1"/>
  <c r="BI67" i="13"/>
  <c r="BJ67" i="13" s="1"/>
  <c r="CC67" i="13"/>
  <c r="CD67" i="13" s="1"/>
  <c r="AT68" i="13"/>
  <c r="AU68" i="13" s="1"/>
  <c r="BS68" i="13"/>
  <c r="BT68" i="13" s="1"/>
  <c r="CH68" i="13"/>
  <c r="AO69" i="13"/>
  <c r="AP69" i="13" s="1"/>
  <c r="BI69" i="13"/>
  <c r="BJ69" i="13" s="1"/>
  <c r="CC69" i="13"/>
  <c r="CD69" i="13" s="1"/>
  <c r="BN70" i="13"/>
  <c r="BO70" i="13" s="1"/>
  <c r="AO71" i="13"/>
  <c r="AP71" i="13" s="1"/>
  <c r="BN75" i="13"/>
  <c r="BO75" i="13" s="1"/>
  <c r="BX82" i="13"/>
  <c r="BY82" i="13" s="1"/>
  <c r="AT83" i="13"/>
  <c r="AU83" i="13" s="1"/>
  <c r="BX83" i="13"/>
  <c r="BY83" i="13" s="1"/>
  <c r="AT84" i="13"/>
  <c r="AU84" i="13" s="1"/>
  <c r="BN84" i="13"/>
  <c r="BO84" i="13" s="1"/>
  <c r="AT86" i="13"/>
  <c r="AU86" i="13" s="1"/>
  <c r="BD88" i="13"/>
  <c r="BE88" i="13" s="1"/>
  <c r="BN91" i="13"/>
  <c r="BO91" i="13" s="1"/>
  <c r="BX94" i="13"/>
  <c r="BY94" i="13" s="1"/>
  <c r="AT95" i="13"/>
  <c r="AU95" i="13" s="1"/>
  <c r="BX95" i="13"/>
  <c r="BY95" i="13" s="1"/>
  <c r="BS96" i="13"/>
  <c r="BT96" i="13" s="1"/>
  <c r="CM96" i="13"/>
  <c r="Z96" i="13" s="1"/>
  <c r="AY98" i="13"/>
  <c r="AZ98" i="13" s="1"/>
  <c r="AT99" i="13"/>
  <c r="AU99" i="13" s="1"/>
  <c r="CH99" i="13"/>
  <c r="AT103" i="13"/>
  <c r="AU103" i="13" s="1"/>
  <c r="CC107" i="13"/>
  <c r="CD107" i="13" s="1"/>
  <c r="BD108" i="13"/>
  <c r="BE108" i="13" s="1"/>
  <c r="AO115" i="13"/>
  <c r="AP115" i="13" s="1"/>
  <c r="BN115" i="13"/>
  <c r="BO115" i="13" s="1"/>
  <c r="CH115" i="13"/>
  <c r="Y115" i="13" s="1"/>
  <c r="BD116" i="13"/>
  <c r="BE116" i="13" s="1"/>
  <c r="BX116" i="13"/>
  <c r="BY116" i="13" s="1"/>
  <c r="BX118" i="13"/>
  <c r="BY118" i="13" s="1"/>
  <c r="AT119" i="13"/>
  <c r="AU119" i="13" s="1"/>
  <c r="BN119" i="13"/>
  <c r="BO119" i="13" s="1"/>
  <c r="CM120" i="13"/>
  <c r="Z120" i="13" s="1"/>
  <c r="BX122" i="13"/>
  <c r="BY122" i="13" s="1"/>
  <c r="BI123" i="13"/>
  <c r="BJ123" i="13" s="1"/>
  <c r="CC123" i="13"/>
  <c r="CD123" i="13" s="1"/>
  <c r="AY126" i="13"/>
  <c r="AZ126" i="13" s="1"/>
  <c r="BS126" i="13"/>
  <c r="BT126" i="13" s="1"/>
  <c r="BN127" i="13"/>
  <c r="BO127" i="13" s="1"/>
  <c r="AT128" i="13"/>
  <c r="AU128" i="13" s="1"/>
  <c r="BS128" i="13"/>
  <c r="BT128" i="13" s="1"/>
  <c r="CM128" i="13"/>
  <c r="Z128" i="13" s="1"/>
  <c r="BN131" i="13"/>
  <c r="BO131" i="13" s="1"/>
  <c r="AY132" i="13"/>
  <c r="AZ132" i="13" s="1"/>
  <c r="BX134" i="13"/>
  <c r="BY134" i="13" s="1"/>
  <c r="BX135" i="13"/>
  <c r="BY135" i="13" s="1"/>
  <c r="AY136" i="13"/>
  <c r="AZ136" i="13" s="1"/>
  <c r="BS136" i="13"/>
  <c r="BT136" i="13" s="1"/>
  <c r="CM136" i="13"/>
  <c r="Z136" i="13" s="1"/>
  <c r="CM138" i="13"/>
  <c r="Z138" i="13" s="1"/>
  <c r="BI145" i="13"/>
  <c r="BJ145" i="13" s="1"/>
  <c r="CC145" i="13"/>
  <c r="CD145" i="13" s="1"/>
  <c r="AY146" i="13"/>
  <c r="AZ146" i="13" s="1"/>
  <c r="BS146" i="13"/>
  <c r="BT146" i="13" s="1"/>
  <c r="BD148" i="13"/>
  <c r="BE148" i="13" s="1"/>
  <c r="BD151" i="13"/>
  <c r="BE151" i="13" s="1"/>
  <c r="CC151" i="13"/>
  <c r="CD151" i="13" s="1"/>
  <c r="CH153" i="13"/>
  <c r="Y153" i="13" s="1"/>
  <c r="CM154" i="13"/>
  <c r="AT159" i="13"/>
  <c r="AU159" i="13" s="1"/>
  <c r="CM160" i="13"/>
  <c r="Z160" i="13" s="1"/>
  <c r="BD162" i="13"/>
  <c r="BE162" i="13" s="1"/>
  <c r="CC163" i="13"/>
  <c r="CD163" i="13" s="1"/>
  <c r="BN165" i="13"/>
  <c r="BO165" i="13" s="1"/>
  <c r="CM166" i="13"/>
  <c r="Z166" i="13" s="1"/>
  <c r="AO167" i="13"/>
  <c r="AP167" i="13" s="1"/>
  <c r="BI167" i="13"/>
  <c r="BJ167" i="13" s="1"/>
  <c r="CC167" i="13"/>
  <c r="CD167" i="13" s="1"/>
  <c r="AY168" i="13"/>
  <c r="AZ168" i="13" s="1"/>
  <c r="BS168" i="13"/>
  <c r="BT168" i="13" s="1"/>
  <c r="AT171" i="13"/>
  <c r="AU171" i="13" s="1"/>
  <c r="BD172" i="13"/>
  <c r="BE172" i="13" s="1"/>
  <c r="BD173" i="13"/>
  <c r="BE173" i="13" s="1"/>
  <c r="BX173" i="13"/>
  <c r="BY173" i="13" s="1"/>
  <c r="AT174" i="13"/>
  <c r="AU174" i="13" s="1"/>
  <c r="BN174" i="13"/>
  <c r="BO174" i="13" s="1"/>
  <c r="CM174" i="13"/>
  <c r="Z174" i="13" s="1"/>
  <c r="AO175" i="13"/>
  <c r="AP175" i="13" s="1"/>
  <c r="BI175" i="13"/>
  <c r="BJ175" i="13" s="1"/>
  <c r="CC175" i="13"/>
  <c r="CD175" i="13" s="1"/>
  <c r="AY176" i="13"/>
  <c r="AZ176" i="13" s="1"/>
  <c r="BS176" i="13"/>
  <c r="BT176" i="13" s="1"/>
  <c r="CM176" i="13"/>
  <c r="Z176" i="13" s="1"/>
  <c r="AO177" i="13"/>
  <c r="AP177" i="13" s="1"/>
  <c r="BI177" i="13"/>
  <c r="BJ177" i="13" s="1"/>
  <c r="CC177" i="13"/>
  <c r="CD177" i="13" s="1"/>
  <c r="AT179" i="13"/>
  <c r="AU179" i="13" s="1"/>
  <c r="AY180" i="13"/>
  <c r="AZ180" i="13" s="1"/>
  <c r="BS180" i="13"/>
  <c r="BT180" i="13" s="1"/>
  <c r="CM180" i="13"/>
  <c r="CN180" i="13" s="1"/>
  <c r="CP26" i="13"/>
  <c r="CH37" i="13"/>
  <c r="Y37" i="13" s="1"/>
  <c r="BD38" i="13"/>
  <c r="BE38" i="13" s="1"/>
  <c r="BX46" i="13"/>
  <c r="BY46" i="13" s="1"/>
  <c r="AT47" i="13"/>
  <c r="AU47" i="13" s="1"/>
  <c r="BX50" i="13"/>
  <c r="BY50" i="13" s="1"/>
  <c r="AT51" i="13"/>
  <c r="AU51" i="13" s="1"/>
  <c r="CH56" i="13"/>
  <c r="Y56" i="13" s="1"/>
  <c r="BD58" i="13"/>
  <c r="BE58" i="13" s="1"/>
  <c r="BX60" i="13"/>
  <c r="BY60" i="13" s="1"/>
  <c r="AT61" i="13"/>
  <c r="AU61" i="13" s="1"/>
  <c r="BN71" i="13"/>
  <c r="BO71" i="13" s="1"/>
  <c r="CH71" i="13"/>
  <c r="Y71" i="13" s="1"/>
  <c r="BD72" i="13"/>
  <c r="BE72" i="13" s="1"/>
  <c r="BX72" i="13"/>
  <c r="BY72" i="13" s="1"/>
  <c r="AT73" i="13"/>
  <c r="AU73" i="13" s="1"/>
  <c r="BN73" i="13"/>
  <c r="BO73" i="13" s="1"/>
  <c r="CH73" i="13"/>
  <c r="Y73" i="13" s="1"/>
  <c r="BD74" i="13"/>
  <c r="BE74" i="13" s="1"/>
  <c r="BX74" i="13"/>
  <c r="BY74" i="13" s="1"/>
  <c r="AT75" i="13"/>
  <c r="AU75" i="13" s="1"/>
  <c r="BX78" i="13"/>
  <c r="BY78" i="13" s="1"/>
  <c r="AT79" i="13"/>
  <c r="AU79" i="13" s="1"/>
  <c r="CH79" i="13"/>
  <c r="BD80" i="13"/>
  <c r="BE80" i="13" s="1"/>
  <c r="BX80" i="13"/>
  <c r="BY80" i="13" s="1"/>
  <c r="BX90" i="13"/>
  <c r="BY90" i="13" s="1"/>
  <c r="BN153" i="13"/>
  <c r="BO153" i="13" s="1"/>
  <c r="AT169" i="13"/>
  <c r="AU169" i="13" s="1"/>
  <c r="BN180" i="13"/>
  <c r="BO180" i="13" s="1"/>
  <c r="CH180" i="13"/>
  <c r="CI180" i="13" s="1"/>
  <c r="BD179" i="13"/>
  <c r="BE179" i="13" s="1"/>
  <c r="BX179" i="13"/>
  <c r="BY179" i="13" s="1"/>
  <c r="BI181" i="13"/>
  <c r="BJ181" i="13" s="1"/>
  <c r="AO179" i="13"/>
  <c r="AP179" i="13" s="1"/>
  <c r="BI179" i="13"/>
  <c r="BJ179" i="13" s="1"/>
  <c r="CC179" i="13"/>
  <c r="CD179" i="13" s="1"/>
  <c r="CH181" i="13"/>
  <c r="CI181" i="13" s="1"/>
  <c r="BN179" i="13"/>
  <c r="BO179" i="13" s="1"/>
  <c r="CT179" i="13"/>
  <c r="CU179" i="13" s="1"/>
  <c r="AO180" i="13"/>
  <c r="AP180" i="13" s="1"/>
  <c r="AT181" i="13"/>
  <c r="AU181" i="13" s="1"/>
  <c r="CM181" i="13"/>
  <c r="CN181" i="13" s="1"/>
  <c r="CT181" i="13"/>
  <c r="CU181" i="13" s="1"/>
  <c r="CM179" i="13"/>
  <c r="CN179" i="13" s="1"/>
  <c r="BX180" i="13"/>
  <c r="BY180" i="13" s="1"/>
  <c r="BS181" i="13"/>
  <c r="BT181" i="13" s="1"/>
  <c r="CH179" i="13"/>
  <c r="CI179" i="13" s="1"/>
  <c r="BN181" i="13"/>
  <c r="BO181" i="13" s="1"/>
  <c r="BS13" i="13"/>
  <c r="BT13" i="13" s="1"/>
  <c r="CH13" i="13"/>
  <c r="Y13" i="13" s="1"/>
  <c r="BS14" i="13"/>
  <c r="BT14" i="13" s="1"/>
  <c r="BX14" i="13"/>
  <c r="BY14" i="13" s="1"/>
  <c r="AO15" i="13"/>
  <c r="AP15" i="13" s="1"/>
  <c r="AT15" i="13"/>
  <c r="AU15" i="13" s="1"/>
  <c r="BS15" i="13"/>
  <c r="BT15" i="13" s="1"/>
  <c r="CC15" i="13"/>
  <c r="CD15" i="13" s="1"/>
  <c r="CH15" i="13"/>
  <c r="Y15" i="13" s="1"/>
  <c r="CC17" i="13"/>
  <c r="CD17" i="13" s="1"/>
  <c r="CH17" i="13"/>
  <c r="AO18" i="13"/>
  <c r="AP18" i="13" s="1"/>
  <c r="AO20" i="13"/>
  <c r="AP20" i="13" s="1"/>
  <c r="BD20" i="13"/>
  <c r="BE20" i="13" s="1"/>
  <c r="CC20" i="13"/>
  <c r="CD20" i="13" s="1"/>
  <c r="CW20" i="13"/>
  <c r="AY21" i="13"/>
  <c r="AZ21" i="13" s="1"/>
  <c r="AO22" i="13"/>
  <c r="AP22" i="13" s="1"/>
  <c r="BD22" i="13"/>
  <c r="BE22" i="13" s="1"/>
  <c r="AO24" i="13"/>
  <c r="AP24" i="13" s="1"/>
  <c r="AY24" i="13"/>
  <c r="AZ24" i="13" s="1"/>
  <c r="BD24" i="13"/>
  <c r="BE24" i="13" s="1"/>
  <c r="CC24" i="13"/>
  <c r="CD24" i="13" s="1"/>
  <c r="CM24" i="13"/>
  <c r="Z24" i="13" s="1"/>
  <c r="AY25" i="13"/>
  <c r="AZ25" i="13" s="1"/>
  <c r="BN25" i="13"/>
  <c r="BO25" i="13" s="1"/>
  <c r="AY26" i="13"/>
  <c r="AZ26" i="13" s="1"/>
  <c r="BD26" i="13"/>
  <c r="BE26" i="13" s="1"/>
  <c r="CC26" i="13"/>
  <c r="CD26" i="13" s="1"/>
  <c r="AY27" i="13"/>
  <c r="AZ27" i="13" s="1"/>
  <c r="BI27" i="13"/>
  <c r="BJ27" i="13" s="1"/>
  <c r="BN27" i="13"/>
  <c r="BO27" i="13" s="1"/>
  <c r="CM27" i="13"/>
  <c r="Z27" i="13" s="1"/>
  <c r="BI29" i="13"/>
  <c r="BJ29" i="13" s="1"/>
  <c r="BN29" i="13"/>
  <c r="BO29" i="13" s="1"/>
  <c r="CM29" i="13"/>
  <c r="CC30" i="13"/>
  <c r="CD30" i="13" s="1"/>
  <c r="AY31" i="13"/>
  <c r="AZ31" i="13" s="1"/>
  <c r="BN31" i="13"/>
  <c r="BO31" i="13" s="1"/>
  <c r="CM31" i="13"/>
  <c r="Z31" i="13" s="1"/>
  <c r="CN31" i="13" s="1"/>
  <c r="CM33" i="13"/>
  <c r="AY35" i="13"/>
  <c r="AZ35" i="13" s="1"/>
  <c r="BN35" i="13"/>
  <c r="BO35" i="13" s="1"/>
  <c r="CM35" i="13"/>
  <c r="Z35" i="13" s="1"/>
  <c r="CN35" i="13" s="1"/>
  <c r="BN37" i="13"/>
  <c r="BO37" i="13" s="1"/>
  <c r="CM37" i="13"/>
  <c r="CC38" i="13"/>
  <c r="CD38" i="13" s="1"/>
  <c r="AY39" i="13"/>
  <c r="AZ39" i="13" s="1"/>
  <c r="BN39" i="13"/>
  <c r="BO39" i="13" s="1"/>
  <c r="CM39" i="13"/>
  <c r="Z39" i="13" s="1"/>
  <c r="CN39" i="13" s="1"/>
  <c r="CM41" i="13"/>
  <c r="AY43" i="13"/>
  <c r="AZ43" i="13" s="1"/>
  <c r="BN43" i="13"/>
  <c r="BO43" i="13" s="1"/>
  <c r="CM43" i="13"/>
  <c r="Z43" i="13" s="1"/>
  <c r="CN43" i="13" s="1"/>
  <c r="BN45" i="13"/>
  <c r="BO45" i="13" s="1"/>
  <c r="CM45" i="13"/>
  <c r="CC46" i="13"/>
  <c r="CD46" i="13" s="1"/>
  <c r="AY47" i="13"/>
  <c r="AZ47" i="13" s="1"/>
  <c r="BN47" i="13"/>
  <c r="BO47" i="13" s="1"/>
  <c r="CM47" i="13"/>
  <c r="Z47" i="13" s="1"/>
  <c r="CN47" i="13" s="1"/>
  <c r="CM49" i="13"/>
  <c r="AY51" i="13"/>
  <c r="AZ51" i="13" s="1"/>
  <c r="BN51" i="13"/>
  <c r="BO51" i="13" s="1"/>
  <c r="CN89" i="13"/>
  <c r="AY13" i="13"/>
  <c r="AZ13" i="13" s="1"/>
  <c r="AO14" i="13"/>
  <c r="AP14" i="13" s="1"/>
  <c r="AO16" i="13"/>
  <c r="AP16" i="13" s="1"/>
  <c r="AY16" i="13"/>
  <c r="AZ16" i="13" s="1"/>
  <c r="CC16" i="13"/>
  <c r="CD16" i="13" s="1"/>
  <c r="CM16" i="13"/>
  <c r="Z16" i="13" s="1"/>
  <c r="AY17" i="13"/>
  <c r="AZ17" i="13" s="1"/>
  <c r="AY18" i="13"/>
  <c r="AZ18" i="13" s="1"/>
  <c r="CC18" i="13"/>
  <c r="CD18" i="13" s="1"/>
  <c r="AY19" i="13"/>
  <c r="AZ19" i="13" s="1"/>
  <c r="BI19" i="13"/>
  <c r="BJ19" i="13" s="1"/>
  <c r="CM19" i="13"/>
  <c r="Z19" i="13" s="1"/>
  <c r="BI21" i="13"/>
  <c r="BJ21" i="13" s="1"/>
  <c r="CM21" i="13"/>
  <c r="CC22" i="13"/>
  <c r="CD22" i="13" s="1"/>
  <c r="AY23" i="13"/>
  <c r="AZ23" i="13" s="1"/>
  <c r="BN23" i="13"/>
  <c r="BO23" i="13" s="1"/>
  <c r="CM23" i="13"/>
  <c r="Z23" i="13" s="1"/>
  <c r="CN23" i="13" s="1"/>
  <c r="CM25" i="13"/>
  <c r="CM26" i="13"/>
  <c r="Z26" i="13" s="1"/>
  <c r="BI28" i="13"/>
  <c r="BJ28" i="13" s="1"/>
  <c r="BS28" i="13"/>
  <c r="BT28" i="13" s="1"/>
  <c r="BI30" i="13"/>
  <c r="BJ30" i="13" s="1"/>
  <c r="BI32" i="13"/>
  <c r="BJ32" i="13" s="1"/>
  <c r="BS33" i="13"/>
  <c r="BT33" i="13" s="1"/>
  <c r="BI34" i="13"/>
  <c r="BJ34" i="13" s="1"/>
  <c r="BI36" i="13"/>
  <c r="BJ36" i="13" s="1"/>
  <c r="CP37" i="13"/>
  <c r="BI38" i="13"/>
  <c r="BJ38" i="13" s="1"/>
  <c r="BI40" i="13"/>
  <c r="BJ40" i="13" s="1"/>
  <c r="BS41" i="13"/>
  <c r="BT41" i="13" s="1"/>
  <c r="BI42" i="13"/>
  <c r="BJ42" i="13" s="1"/>
  <c r="BI44" i="13"/>
  <c r="BJ44" i="13" s="1"/>
  <c r="CP45" i="13"/>
  <c r="BI46" i="13"/>
  <c r="BJ46" i="13" s="1"/>
  <c r="BI48" i="13"/>
  <c r="BJ48" i="13" s="1"/>
  <c r="BS49" i="13"/>
  <c r="BT49" i="13" s="1"/>
  <c r="BI50" i="13"/>
  <c r="BJ50" i="13" s="1"/>
  <c r="BI52" i="13"/>
  <c r="BJ52" i="13" s="1"/>
  <c r="CC52" i="13"/>
  <c r="CD52" i="13" s="1"/>
  <c r="CN13" i="13"/>
  <c r="CN53" i="13"/>
  <c r="CP70" i="13"/>
  <c r="CP72" i="13"/>
  <c r="CN73" i="13"/>
  <c r="CW133" i="13"/>
  <c r="AT13" i="13"/>
  <c r="AU13" i="13" s="1"/>
  <c r="BX16" i="13"/>
  <c r="BY16" i="13" s="1"/>
  <c r="AT17" i="13"/>
  <c r="AU17" i="13" s="1"/>
  <c r="BX18" i="13"/>
  <c r="BY18" i="13" s="1"/>
  <c r="AT19" i="13"/>
  <c r="AU19" i="13" s="1"/>
  <c r="CH19" i="13"/>
  <c r="Y19" i="13" s="1"/>
  <c r="CH21" i="13"/>
  <c r="Y21" i="13" s="1"/>
  <c r="BX22" i="13"/>
  <c r="BY22" i="13" s="1"/>
  <c r="AT23" i="13"/>
  <c r="AU23" i="13" s="1"/>
  <c r="CH23" i="13"/>
  <c r="Y23" i="13" s="1"/>
  <c r="CW28" i="13"/>
  <c r="BD30" i="13"/>
  <c r="BE30" i="13" s="1"/>
  <c r="BN33" i="13"/>
  <c r="BO33" i="13" s="1"/>
  <c r="BN41" i="13"/>
  <c r="BO41" i="13" s="1"/>
  <c r="BD46" i="13"/>
  <c r="BE46" i="13" s="1"/>
  <c r="BD48" i="13"/>
  <c r="BE48" i="13" s="1"/>
  <c r="BN49" i="13"/>
  <c r="BO49" i="13" s="1"/>
  <c r="BD50" i="13"/>
  <c r="BE50" i="13" s="1"/>
  <c r="BX52" i="13"/>
  <c r="BY52" i="13" s="1"/>
  <c r="BN55" i="13"/>
  <c r="BO55" i="13" s="1"/>
  <c r="CN60" i="13"/>
  <c r="BN77" i="13"/>
  <c r="BO77" i="13" s="1"/>
  <c r="CM79" i="13"/>
  <c r="Z79" i="13" s="1"/>
  <c r="AY80" i="13"/>
  <c r="AZ80" i="13" s="1"/>
  <c r="CC80" i="13"/>
  <c r="CD80" i="13" s="1"/>
  <c r="AO82" i="13"/>
  <c r="AP82" i="13" s="1"/>
  <c r="BD82" i="13"/>
  <c r="BE82" i="13" s="1"/>
  <c r="CC82" i="13"/>
  <c r="CD82" i="13" s="1"/>
  <c r="AY83" i="13"/>
  <c r="AZ83" i="13" s="1"/>
  <c r="AO84" i="13"/>
  <c r="AP84" i="13" s="1"/>
  <c r="BD84" i="13"/>
  <c r="BE84" i="13" s="1"/>
  <c r="AO86" i="13"/>
  <c r="AP86" i="13" s="1"/>
  <c r="AY86" i="13"/>
  <c r="AZ86" i="13" s="1"/>
  <c r="BD86" i="13"/>
  <c r="BE86" i="13" s="1"/>
  <c r="CC86" i="13"/>
  <c r="CD86" i="13" s="1"/>
  <c r="CM86" i="13"/>
  <c r="Z86" i="13" s="1"/>
  <c r="AY87" i="13"/>
  <c r="AZ87" i="13" s="1"/>
  <c r="CC87" i="13"/>
  <c r="CD87" i="13" s="1"/>
  <c r="CH87" i="13"/>
  <c r="Y87" i="13" s="1"/>
  <c r="BI88" i="13"/>
  <c r="BJ88" i="13" s="1"/>
  <c r="BX88" i="13"/>
  <c r="BY88" i="13" s="1"/>
  <c r="AT89" i="13"/>
  <c r="AU89" i="13" s="1"/>
  <c r="BS89" i="13"/>
  <c r="BT89" i="13" s="1"/>
  <c r="CH89" i="13"/>
  <c r="Y89" i="13" s="1"/>
  <c r="AO90" i="13"/>
  <c r="AP90" i="13" s="1"/>
  <c r="BD90" i="13"/>
  <c r="BE90" i="13" s="1"/>
  <c r="CC90" i="13"/>
  <c r="CD90" i="13" s="1"/>
  <c r="CW90" i="13"/>
  <c r="AY91" i="13"/>
  <c r="AZ91" i="13" s="1"/>
  <c r="AO92" i="13"/>
  <c r="AP92" i="13" s="1"/>
  <c r="BD92" i="13"/>
  <c r="BE92" i="13" s="1"/>
  <c r="AO94" i="13"/>
  <c r="AP94" i="13" s="1"/>
  <c r="AY94" i="13"/>
  <c r="AZ94" i="13" s="1"/>
  <c r="BD94" i="13"/>
  <c r="BE94" i="13" s="1"/>
  <c r="CC94" i="13"/>
  <c r="CD94" i="13" s="1"/>
  <c r="CM94" i="13"/>
  <c r="Z94" i="13" s="1"/>
  <c r="BD95" i="13"/>
  <c r="BE95" i="13" s="1"/>
  <c r="CC95" i="13"/>
  <c r="CD95" i="13" s="1"/>
  <c r="CH95" i="13"/>
  <c r="Y95" i="13" s="1"/>
  <c r="AO96" i="13"/>
  <c r="AP96" i="13" s="1"/>
  <c r="BN96" i="13"/>
  <c r="BO96" i="13" s="1"/>
  <c r="BX96" i="13"/>
  <c r="BY96" i="13" s="1"/>
  <c r="CH98" i="13"/>
  <c r="Y98" i="13" s="1"/>
  <c r="BD101" i="13"/>
  <c r="BE101" i="13" s="1"/>
  <c r="CC101" i="13"/>
  <c r="CD101" i="13" s="1"/>
  <c r="BN102" i="13"/>
  <c r="BO102" i="13" s="1"/>
  <c r="CM102" i="13"/>
  <c r="Z102" i="13" s="1"/>
  <c r="BD105" i="13"/>
  <c r="BE105" i="13" s="1"/>
  <c r="AY106" i="13"/>
  <c r="AZ106" i="13" s="1"/>
  <c r="CH106" i="13"/>
  <c r="Y106" i="13" s="1"/>
  <c r="BI109" i="13"/>
  <c r="BJ109" i="13" s="1"/>
  <c r="AT110" i="13"/>
  <c r="AU110" i="13" s="1"/>
  <c r="BS110" i="13"/>
  <c r="BT110" i="13" s="1"/>
  <c r="CM111" i="13"/>
  <c r="Z111" i="13" s="1"/>
  <c r="CC112" i="13"/>
  <c r="CD112" i="13" s="1"/>
  <c r="BI113" i="13"/>
  <c r="BJ113" i="13" s="1"/>
  <c r="BS113" i="13"/>
  <c r="BT113" i="13" s="1"/>
  <c r="BI114" i="13"/>
  <c r="BJ114" i="13" s="1"/>
  <c r="CH114" i="13"/>
  <c r="Y114" i="13" s="1"/>
  <c r="AO117" i="13"/>
  <c r="AP117" i="13" s="1"/>
  <c r="AY118" i="13"/>
  <c r="AZ118" i="13" s="1"/>
  <c r="BD121" i="13"/>
  <c r="BE121" i="13" s="1"/>
  <c r="BD122" i="13"/>
  <c r="BE122" i="13" s="1"/>
  <c r="AO124" i="13"/>
  <c r="AP124" i="13" s="1"/>
  <c r="CC124" i="13"/>
  <c r="CD124" i="13" s="1"/>
  <c r="BD129" i="13"/>
  <c r="BE129" i="13" s="1"/>
  <c r="BN130" i="13"/>
  <c r="BO130" i="13" s="1"/>
  <c r="BX130" i="13"/>
  <c r="BY130" i="13" s="1"/>
  <c r="BI132" i="13"/>
  <c r="BJ132" i="13" s="1"/>
  <c r="CH132" i="13"/>
  <c r="Y132" i="13" s="1"/>
  <c r="BD133" i="13"/>
  <c r="BE133" i="13" s="1"/>
  <c r="CM133" i="13"/>
  <c r="Z133" i="13" s="1"/>
  <c r="BD134" i="13"/>
  <c r="BE134" i="13" s="1"/>
  <c r="CW134" i="13"/>
  <c r="BD135" i="13"/>
  <c r="BE135" i="13" s="1"/>
  <c r="CH135" i="13"/>
  <c r="BI136" i="13"/>
  <c r="BJ136" i="13" s="1"/>
  <c r="CW136" i="13"/>
  <c r="BD137" i="13"/>
  <c r="BE137" i="13" s="1"/>
  <c r="BN137" i="13"/>
  <c r="BO137" i="13" s="1"/>
  <c r="AO138" i="13"/>
  <c r="AP138" i="13" s="1"/>
  <c r="BN138" i="13"/>
  <c r="BO138" i="13" s="1"/>
  <c r="CW138" i="13"/>
  <c r="BN139" i="13"/>
  <c r="BO139" i="13" s="1"/>
  <c r="CM139" i="13"/>
  <c r="AT140" i="13"/>
  <c r="AU140" i="13" s="1"/>
  <c r="BX140" i="13"/>
  <c r="BY140" i="13" s="1"/>
  <c r="CN140" i="13"/>
  <c r="BS141" i="13"/>
  <c r="BT141" i="13" s="1"/>
  <c r="CP141" i="13"/>
  <c r="BD142" i="13"/>
  <c r="BE142" i="13" s="1"/>
  <c r="CC142" i="13"/>
  <c r="CD142" i="13" s="1"/>
  <c r="AY143" i="13"/>
  <c r="AZ143" i="13" s="1"/>
  <c r="BX143" i="13"/>
  <c r="BY143" i="13" s="1"/>
  <c r="AO144" i="13"/>
  <c r="AP144" i="13" s="1"/>
  <c r="BN144" i="13"/>
  <c r="BO144" i="13" s="1"/>
  <c r="BN145" i="13"/>
  <c r="BO145" i="13" s="1"/>
  <c r="CM145" i="13"/>
  <c r="Z145" i="13" s="1"/>
  <c r="BD146" i="13"/>
  <c r="BE146" i="13" s="1"/>
  <c r="CC146" i="13"/>
  <c r="CD146" i="13" s="1"/>
  <c r="AY147" i="13"/>
  <c r="AZ147" i="13" s="1"/>
  <c r="BX147" i="13"/>
  <c r="BY147" i="13" s="1"/>
  <c r="CH148" i="13"/>
  <c r="Y148" i="13" s="1"/>
  <c r="CM149" i="13"/>
  <c r="AT150" i="13"/>
  <c r="AU150" i="13" s="1"/>
  <c r="AO152" i="13"/>
  <c r="AP152" i="13" s="1"/>
  <c r="BN152" i="13"/>
  <c r="BO152" i="13" s="1"/>
  <c r="AT153" i="13"/>
  <c r="AU153" i="13" s="1"/>
  <c r="AY155" i="13"/>
  <c r="AZ155" i="13" s="1"/>
  <c r="BX155" i="13"/>
  <c r="BY155" i="13" s="1"/>
  <c r="CH156" i="13"/>
  <c r="BD157" i="13"/>
  <c r="BE157" i="13" s="1"/>
  <c r="AO158" i="13"/>
  <c r="AP158" i="13" s="1"/>
  <c r="BN158" i="13"/>
  <c r="BO158" i="13" s="1"/>
  <c r="AY159" i="13"/>
  <c r="AZ159" i="13" s="1"/>
  <c r="BX159" i="13"/>
  <c r="BY159" i="13" s="1"/>
  <c r="BD161" i="13"/>
  <c r="BE161" i="13" s="1"/>
  <c r="BN161" i="13"/>
  <c r="BO161" i="13" s="1"/>
  <c r="CH161" i="13"/>
  <c r="Y161" i="13" s="1"/>
  <c r="BI162" i="13"/>
  <c r="BJ162" i="13" s="1"/>
  <c r="CH162" i="13"/>
  <c r="Y162" i="13" s="1"/>
  <c r="BS163" i="13"/>
  <c r="BT163" i="13" s="1"/>
  <c r="CM163" i="13"/>
  <c r="Z163" i="13" s="1"/>
  <c r="AT164" i="13"/>
  <c r="AU164" i="13" s="1"/>
  <c r="BD164" i="13"/>
  <c r="BE164" i="13" s="1"/>
  <c r="BX164" i="13"/>
  <c r="BY164" i="13" s="1"/>
  <c r="BS165" i="13"/>
  <c r="BT165" i="13" s="1"/>
  <c r="BD166" i="13"/>
  <c r="BE166" i="13" s="1"/>
  <c r="BX166" i="13"/>
  <c r="BY166" i="13" s="1"/>
  <c r="AY167" i="13"/>
  <c r="AZ167" i="13" s="1"/>
  <c r="BS167" i="13"/>
  <c r="BT167" i="13" s="1"/>
  <c r="CM167" i="13"/>
  <c r="Z167" i="13" s="1"/>
  <c r="AT168" i="13"/>
  <c r="AU168" i="13" s="1"/>
  <c r="BX168" i="13"/>
  <c r="BY168" i="13" s="1"/>
  <c r="BN169" i="13"/>
  <c r="BO169" i="13" s="1"/>
  <c r="AO170" i="13"/>
  <c r="AP170" i="13" s="1"/>
  <c r="BX170" i="13"/>
  <c r="BY170" i="13" s="1"/>
  <c r="BN171" i="13"/>
  <c r="BO171" i="13" s="1"/>
  <c r="AO172" i="13"/>
  <c r="AP172" i="13" s="1"/>
  <c r="BX172" i="13"/>
  <c r="BY172" i="13" s="1"/>
  <c r="BN173" i="13"/>
  <c r="BO173" i="13" s="1"/>
  <c r="AO174" i="13"/>
  <c r="AP174" i="13" s="1"/>
  <c r="BX174" i="13"/>
  <c r="BY174" i="13" s="1"/>
  <c r="BN175" i="13"/>
  <c r="BO175" i="13" s="1"/>
  <c r="AO176" i="13"/>
  <c r="AP176" i="13" s="1"/>
  <c r="BX176" i="13"/>
  <c r="BY176" i="13" s="1"/>
  <c r="BN177" i="13"/>
  <c r="BO177" i="13" s="1"/>
  <c r="AO178" i="13"/>
  <c r="AP178" i="13" s="1"/>
  <c r="BX178" i="13"/>
  <c r="BY178" i="13" s="1"/>
  <c r="BN58" i="13"/>
  <c r="BO58" i="13" s="1"/>
  <c r="CP67" i="13"/>
  <c r="BN81" i="13"/>
  <c r="BO81" i="13" s="1"/>
  <c r="BI83" i="13"/>
  <c r="BJ83" i="13" s="1"/>
  <c r="CM83" i="13"/>
  <c r="Z83" i="13" s="1"/>
  <c r="CN83" i="13" s="1"/>
  <c r="CC84" i="13"/>
  <c r="CD84" i="13" s="1"/>
  <c r="AY85" i="13"/>
  <c r="AZ85" i="13" s="1"/>
  <c r="BN85" i="13"/>
  <c r="BO85" i="13" s="1"/>
  <c r="CM85" i="13"/>
  <c r="Z85" i="13" s="1"/>
  <c r="CN85" i="13" s="1"/>
  <c r="BN87" i="13"/>
  <c r="BO87" i="13" s="1"/>
  <c r="AO88" i="13"/>
  <c r="AP88" i="13" s="1"/>
  <c r="BI91" i="13"/>
  <c r="BJ91" i="13" s="1"/>
  <c r="CM91" i="13"/>
  <c r="Z91" i="13" s="1"/>
  <c r="CC92" i="13"/>
  <c r="CD92" i="13" s="1"/>
  <c r="AY93" i="13"/>
  <c r="AZ93" i="13" s="1"/>
  <c r="BN93" i="13"/>
  <c r="BO93" i="13" s="1"/>
  <c r="CM93" i="13"/>
  <c r="Z93" i="13" s="1"/>
  <c r="CN93" i="13" s="1"/>
  <c r="AT96" i="13"/>
  <c r="AU96" i="13" s="1"/>
  <c r="BX97" i="13"/>
  <c r="BY97" i="13" s="1"/>
  <c r="BI98" i="13"/>
  <c r="BJ98" i="13" s="1"/>
  <c r="CC99" i="13"/>
  <c r="CD99" i="13" s="1"/>
  <c r="AO100" i="13"/>
  <c r="AP100" i="13" s="1"/>
  <c r="BI101" i="13"/>
  <c r="BJ101" i="13" s="1"/>
  <c r="AT102" i="13"/>
  <c r="AU102" i="13" s="1"/>
  <c r="BS102" i="13"/>
  <c r="BT102" i="13" s="1"/>
  <c r="CM103" i="13"/>
  <c r="CC104" i="13"/>
  <c r="CD104" i="13" s="1"/>
  <c r="BI105" i="13"/>
  <c r="BJ105" i="13" s="1"/>
  <c r="BS105" i="13"/>
  <c r="BT105" i="13" s="1"/>
  <c r="BN106" i="13"/>
  <c r="BO106" i="13" s="1"/>
  <c r="CM106" i="13"/>
  <c r="Z106" i="13" s="1"/>
  <c r="CN106" i="13" s="1"/>
  <c r="AO109" i="13"/>
  <c r="AP109" i="13" s="1"/>
  <c r="AY110" i="13"/>
  <c r="AZ110" i="13" s="1"/>
  <c r="BS111" i="13"/>
  <c r="BT111" i="13" s="1"/>
  <c r="BI112" i="13"/>
  <c r="BJ112" i="13" s="1"/>
  <c r="BX113" i="13"/>
  <c r="BY113" i="13" s="1"/>
  <c r="AO114" i="13"/>
  <c r="AP114" i="13" s="1"/>
  <c r="BN114" i="13"/>
  <c r="BO114" i="13" s="1"/>
  <c r="CM114" i="13"/>
  <c r="BD115" i="13"/>
  <c r="BE115" i="13" s="1"/>
  <c r="BX117" i="13"/>
  <c r="BY117" i="13" s="1"/>
  <c r="CH118" i="13"/>
  <c r="Y118" i="13" s="1"/>
  <c r="AY119" i="13"/>
  <c r="AZ119" i="13" s="1"/>
  <c r="CC119" i="13"/>
  <c r="CD119" i="13" s="1"/>
  <c r="CH119" i="13"/>
  <c r="Y119" i="13" s="1"/>
  <c r="BS121" i="13"/>
  <c r="BT121" i="13" s="1"/>
  <c r="CH122" i="13"/>
  <c r="Y122" i="13" s="1"/>
  <c r="AY123" i="13"/>
  <c r="AZ123" i="13" s="1"/>
  <c r="CM123" i="13"/>
  <c r="Z123" i="13" s="1"/>
  <c r="AT124" i="13"/>
  <c r="AU124" i="13" s="1"/>
  <c r="BD124" i="13"/>
  <c r="BE124" i="13" s="1"/>
  <c r="CH124" i="13"/>
  <c r="Y124" i="13" s="1"/>
  <c r="BI126" i="13"/>
  <c r="BJ126" i="13" s="1"/>
  <c r="BX127" i="13"/>
  <c r="BY127" i="13" s="1"/>
  <c r="CH127" i="13"/>
  <c r="Y127" i="13" s="1"/>
  <c r="AT130" i="13"/>
  <c r="AU130" i="13" s="1"/>
  <c r="BD130" i="13"/>
  <c r="BE130" i="13" s="1"/>
  <c r="BN132" i="13"/>
  <c r="BO132" i="13" s="1"/>
  <c r="BN133" i="13"/>
  <c r="BO133" i="13" s="1"/>
  <c r="BI134" i="13"/>
  <c r="BJ134" i="13" s="1"/>
  <c r="CC134" i="13"/>
  <c r="CD134" i="13" s="1"/>
  <c r="AT135" i="13"/>
  <c r="AU135" i="13" s="1"/>
  <c r="BN135" i="13"/>
  <c r="BO135" i="13" s="1"/>
  <c r="AO136" i="13"/>
  <c r="AP136" i="13" s="1"/>
  <c r="AT137" i="13"/>
  <c r="AU137" i="13" s="1"/>
  <c r="CM137" i="13"/>
  <c r="Z137" i="13" s="1"/>
  <c r="AT138" i="13"/>
  <c r="AU138" i="13" s="1"/>
  <c r="BX138" i="13"/>
  <c r="BY138" i="13" s="1"/>
  <c r="AT139" i="13"/>
  <c r="AU139" i="13" s="1"/>
  <c r="BS139" i="13"/>
  <c r="BT139" i="13" s="1"/>
  <c r="BD140" i="13"/>
  <c r="BE140" i="13" s="1"/>
  <c r="CC140" i="13"/>
  <c r="CD140" i="13" s="1"/>
  <c r="AY141" i="13"/>
  <c r="AZ141" i="13" s="1"/>
  <c r="BX141" i="13"/>
  <c r="BY141" i="13" s="1"/>
  <c r="CH141" i="13"/>
  <c r="Y141" i="13" s="1"/>
  <c r="BI142" i="13"/>
  <c r="BJ142" i="13" s="1"/>
  <c r="CH142" i="13"/>
  <c r="Y142" i="13" s="1"/>
  <c r="BD143" i="13"/>
  <c r="BE143" i="13" s="1"/>
  <c r="CH143" i="13"/>
  <c r="Y143" i="13" s="1"/>
  <c r="AT144" i="13"/>
  <c r="AU144" i="13" s="1"/>
  <c r="BX144" i="13"/>
  <c r="BY144" i="13" s="1"/>
  <c r="AT145" i="13"/>
  <c r="AU145" i="13" s="1"/>
  <c r="BS145" i="13"/>
  <c r="BT145" i="13" s="1"/>
  <c r="BI146" i="13"/>
  <c r="BJ146" i="13" s="1"/>
  <c r="CH146" i="13"/>
  <c r="Y146" i="13" s="1"/>
  <c r="BD147" i="13"/>
  <c r="BE147" i="13" s="1"/>
  <c r="CH147" i="13"/>
  <c r="Y147" i="13" s="1"/>
  <c r="BN148" i="13"/>
  <c r="BO148" i="13" s="1"/>
  <c r="BS149" i="13"/>
  <c r="BT149" i="13" s="1"/>
  <c r="BD150" i="13"/>
  <c r="BE150" i="13" s="1"/>
  <c r="AT152" i="13"/>
  <c r="AU152" i="13" s="1"/>
  <c r="BD155" i="13"/>
  <c r="BE155" i="13" s="1"/>
  <c r="BN156" i="13"/>
  <c r="BO156" i="13" s="1"/>
  <c r="BX156" i="13"/>
  <c r="BY156" i="13" s="1"/>
  <c r="CM157" i="13"/>
  <c r="Z157" i="13" s="1"/>
  <c r="AT158" i="13"/>
  <c r="AU158" i="13" s="1"/>
  <c r="BD159" i="13"/>
  <c r="BE159" i="13" s="1"/>
  <c r="BN159" i="13"/>
  <c r="BO159" i="13" s="1"/>
  <c r="CH159" i="13"/>
  <c r="Y159" i="13" s="1"/>
  <c r="BD160" i="13"/>
  <c r="BE160" i="13" s="1"/>
  <c r="BX160" i="13"/>
  <c r="BY160" i="13" s="1"/>
  <c r="AO162" i="13"/>
  <c r="AP162" i="13" s="1"/>
  <c r="BN162" i="13"/>
  <c r="BO162" i="13" s="1"/>
  <c r="AY163" i="13"/>
  <c r="AZ163" i="13" s="1"/>
  <c r="BX163" i="13"/>
  <c r="BY163" i="13" s="1"/>
  <c r="AY165" i="13"/>
  <c r="AZ165" i="13" s="1"/>
  <c r="BX165" i="13"/>
  <c r="BY165" i="13" s="1"/>
  <c r="CH165" i="13"/>
  <c r="Y165" i="13" s="1"/>
  <c r="BD167" i="13"/>
  <c r="BE167" i="13" s="1"/>
  <c r="BX167" i="13"/>
  <c r="BY167" i="13" s="1"/>
  <c r="CM169" i="13"/>
  <c r="Z169" i="13" s="1"/>
  <c r="CM171" i="13"/>
  <c r="Z171" i="13" s="1"/>
  <c r="CM173" i="13"/>
  <c r="Z173" i="13" s="1"/>
  <c r="CM175" i="13"/>
  <c r="Z175" i="13" s="1"/>
  <c r="CM177" i="13"/>
  <c r="Z177" i="13" s="1"/>
  <c r="AT53" i="13"/>
  <c r="AU53" i="13" s="1"/>
  <c r="CP53" i="13"/>
  <c r="BI54" i="13"/>
  <c r="BJ54" i="13" s="1"/>
  <c r="BI56" i="13"/>
  <c r="BJ56" i="13" s="1"/>
  <c r="BX56" i="13"/>
  <c r="BY56" i="13" s="1"/>
  <c r="CM56" i="13"/>
  <c r="Z56" i="13" s="1"/>
  <c r="CN56" i="13" s="1"/>
  <c r="CH57" i="13"/>
  <c r="Y57" i="13" s="1"/>
  <c r="BN59" i="13"/>
  <c r="BO59" i="13" s="1"/>
  <c r="CH60" i="13"/>
  <c r="Y60" i="13" s="1"/>
  <c r="BD61" i="13"/>
  <c r="BE61" i="13" s="1"/>
  <c r="CM61" i="13"/>
  <c r="Z61" i="13" s="1"/>
  <c r="CC62" i="13"/>
  <c r="CD62" i="13" s="1"/>
  <c r="CP63" i="13"/>
  <c r="AY64" i="13"/>
  <c r="AZ64" i="13" s="1"/>
  <c r="BI64" i="13"/>
  <c r="BJ64" i="13" s="1"/>
  <c r="BX64" i="13"/>
  <c r="BY64" i="13" s="1"/>
  <c r="CM64" i="13"/>
  <c r="Z64" i="13" s="1"/>
  <c r="CN64" i="13" s="1"/>
  <c r="CW65" i="13"/>
  <c r="BN66" i="13"/>
  <c r="BO66" i="13" s="1"/>
  <c r="BX67" i="13"/>
  <c r="BY67" i="13" s="1"/>
  <c r="CN68" i="13"/>
  <c r="BD69" i="13"/>
  <c r="BE69" i="13" s="1"/>
  <c r="CM69" i="13"/>
  <c r="Z69" i="13" s="1"/>
  <c r="BD70" i="13"/>
  <c r="BE70" i="13" s="1"/>
  <c r="BS70" i="13"/>
  <c r="BT70" i="13" s="1"/>
  <c r="CC70" i="13"/>
  <c r="CD70" i="13" s="1"/>
  <c r="BS71" i="13"/>
  <c r="BT71" i="13" s="1"/>
  <c r="CM72" i="13"/>
  <c r="Z72" i="13" s="1"/>
  <c r="BS75" i="13"/>
  <c r="BT75" i="13" s="1"/>
  <c r="CH75" i="13"/>
  <c r="Y75" i="13" s="1"/>
  <c r="BS76" i="13"/>
  <c r="BT76" i="13" s="1"/>
  <c r="BX76" i="13"/>
  <c r="BY76" i="13" s="1"/>
  <c r="AT77" i="13"/>
  <c r="AU77" i="13" s="1"/>
  <c r="CC77" i="13"/>
  <c r="CD77" i="13" s="1"/>
  <c r="CH77" i="13"/>
  <c r="Y77" i="13" s="1"/>
  <c r="CI110" i="13"/>
  <c r="CH51" i="13"/>
  <c r="Y51" i="13" s="1"/>
  <c r="BS53" i="13"/>
  <c r="BT53" i="13" s="1"/>
  <c r="CH53" i="13"/>
  <c r="Y53" i="13" s="1"/>
  <c r="BS55" i="13"/>
  <c r="BT55" i="13" s="1"/>
  <c r="AY57" i="13"/>
  <c r="AZ57" i="13" s="1"/>
  <c r="AO58" i="13"/>
  <c r="AP58" i="13" s="1"/>
  <c r="BS58" i="13"/>
  <c r="BT58" i="13" s="1"/>
  <c r="CC58" i="13"/>
  <c r="CD58" i="13" s="1"/>
  <c r="CP59" i="13"/>
  <c r="AY60" i="13"/>
  <c r="AZ60" i="13" s="1"/>
  <c r="BN62" i="13"/>
  <c r="BO62" i="13" s="1"/>
  <c r="BS63" i="13"/>
  <c r="BT63" i="13" s="1"/>
  <c r="AY65" i="13"/>
  <c r="AZ65" i="13" s="1"/>
  <c r="CC71" i="13"/>
  <c r="CD71" i="13" s="1"/>
  <c r="BI72" i="13"/>
  <c r="BJ72" i="13" s="1"/>
  <c r="BS73" i="13"/>
  <c r="BT73" i="13" s="1"/>
  <c r="AO74" i="13"/>
  <c r="AP74" i="13" s="1"/>
  <c r="CC74" i="13"/>
  <c r="CD74" i="13" s="1"/>
  <c r="CW74" i="13"/>
  <c r="AY75" i="13"/>
  <c r="AZ75" i="13" s="1"/>
  <c r="AO76" i="13"/>
  <c r="AP76" i="13" s="1"/>
  <c r="BD76" i="13"/>
  <c r="BE76" i="13" s="1"/>
  <c r="AO78" i="13"/>
  <c r="AP78" i="13" s="1"/>
  <c r="AY78" i="13"/>
  <c r="AZ78" i="13" s="1"/>
  <c r="BD78" i="13"/>
  <c r="BE78" i="13" s="1"/>
  <c r="CC78" i="13"/>
  <c r="CD78" i="13" s="1"/>
  <c r="CM78" i="13"/>
  <c r="Z78" i="13" s="1"/>
  <c r="AY79" i="13"/>
  <c r="AZ79" i="13" s="1"/>
  <c r="BN79" i="13"/>
  <c r="BO79" i="13" s="1"/>
  <c r="AO80" i="13"/>
  <c r="AP80" i="13" s="1"/>
  <c r="AT81" i="13"/>
  <c r="AU81" i="13" s="1"/>
  <c r="BS81" i="13"/>
  <c r="BT81" i="13" s="1"/>
  <c r="CH81" i="13"/>
  <c r="Y81" i="13" s="1"/>
  <c r="CH83" i="13"/>
  <c r="Y83" i="13" s="1"/>
  <c r="BX84" i="13"/>
  <c r="BY84" i="13" s="1"/>
  <c r="AT85" i="13"/>
  <c r="AU85" i="13" s="1"/>
  <c r="CH85" i="13"/>
  <c r="Y85" i="13" s="1"/>
  <c r="CH91" i="13"/>
  <c r="Y91" i="13" s="1"/>
  <c r="BX92" i="13"/>
  <c r="BY92" i="13" s="1"/>
  <c r="AT93" i="13"/>
  <c r="AU93" i="13" s="1"/>
  <c r="CH93" i="13"/>
  <c r="Y93" i="13" s="1"/>
  <c r="BD120" i="13"/>
  <c r="BE120" i="13" s="1"/>
  <c r="AT127" i="13"/>
  <c r="AU127" i="13" s="1"/>
  <c r="CH137" i="13"/>
  <c r="Y137" i="13" s="1"/>
  <c r="AT141" i="13"/>
  <c r="AU141" i="13" s="1"/>
  <c r="AT163" i="13"/>
  <c r="AU163" i="13" s="1"/>
  <c r="AT165" i="13"/>
  <c r="AU165" i="13" s="1"/>
  <c r="CH169" i="13"/>
  <c r="Y169" i="13" s="1"/>
  <c r="CH171" i="13"/>
  <c r="Y171" i="13" s="1"/>
  <c r="CH173" i="13"/>
  <c r="Y173" i="13" s="1"/>
  <c r="CH175" i="13"/>
  <c r="Y175" i="13" s="1"/>
  <c r="CH177" i="13"/>
  <c r="Y177" i="13" s="1"/>
  <c r="CN51" i="13"/>
  <c r="Y135" i="13"/>
  <c r="Y156" i="13"/>
  <c r="Y64" i="13"/>
  <c r="Z66" i="13"/>
  <c r="CN66" i="13" s="1"/>
  <c r="Y69" i="13"/>
  <c r="CI69" i="13" s="1"/>
  <c r="Z80" i="13"/>
  <c r="CN80" i="13" s="1"/>
  <c r="CW36" i="13"/>
  <c r="CN46" i="13"/>
  <c r="CW52" i="13"/>
  <c r="CW59" i="13"/>
  <c r="CW69" i="13"/>
  <c r="CP83" i="13"/>
  <c r="CW91" i="13"/>
  <c r="CI148" i="13"/>
  <c r="AC29" i="13"/>
  <c r="CW29" i="13" s="1"/>
  <c r="Y32" i="13"/>
  <c r="Y40" i="13"/>
  <c r="CI40" i="13" s="1"/>
  <c r="Y48" i="13"/>
  <c r="CI48" i="13" s="1"/>
  <c r="AC60" i="13"/>
  <c r="CW60" i="13" s="1"/>
  <c r="Y66" i="13"/>
  <c r="Y68" i="13"/>
  <c r="CI68" i="13" s="1"/>
  <c r="CW14" i="13"/>
  <c r="BI15" i="13"/>
  <c r="BJ15" i="13" s="1"/>
  <c r="CW15" i="13"/>
  <c r="BS16" i="13"/>
  <c r="BT16" i="13" s="1"/>
  <c r="CI18" i="13"/>
  <c r="AO19" i="13"/>
  <c r="AP19" i="13" s="1"/>
  <c r="CC19" i="13"/>
  <c r="CD19" i="13" s="1"/>
  <c r="AY20" i="13"/>
  <c r="AZ20" i="13" s="1"/>
  <c r="CM20" i="13"/>
  <c r="CW22" i="13"/>
  <c r="BI23" i="13"/>
  <c r="BJ23" i="13" s="1"/>
  <c r="CW23" i="13"/>
  <c r="BS24" i="13"/>
  <c r="BT24" i="13" s="1"/>
  <c r="CI26" i="13"/>
  <c r="AO27" i="13"/>
  <c r="AP27" i="13" s="1"/>
  <c r="CC27" i="13"/>
  <c r="CD27" i="13" s="1"/>
  <c r="CI27" i="13"/>
  <c r="AY28" i="13"/>
  <c r="AZ28" i="13" s="1"/>
  <c r="CM28" i="13"/>
  <c r="CW30" i="13"/>
  <c r="BI31" i="13"/>
  <c r="BJ31" i="13" s="1"/>
  <c r="CP31" i="13"/>
  <c r="CW31" i="13"/>
  <c r="CN32" i="13"/>
  <c r="CI34" i="13"/>
  <c r="CI35" i="13"/>
  <c r="CW38" i="13"/>
  <c r="CP39" i="13"/>
  <c r="CW39" i="13"/>
  <c r="CN40" i="13"/>
  <c r="CI42" i="13"/>
  <c r="CI43" i="13"/>
  <c r="CW46" i="13"/>
  <c r="CP47" i="13"/>
  <c r="CW47" i="13"/>
  <c r="CN48" i="13"/>
  <c r="CI50" i="13"/>
  <c r="CW54" i="13"/>
  <c r="CP55" i="13"/>
  <c r="CW55" i="13"/>
  <c r="CW56" i="13"/>
  <c r="CN61" i="13"/>
  <c r="CI62" i="13"/>
  <c r="CP65" i="13"/>
  <c r="CW75" i="13"/>
  <c r="CN88" i="13"/>
  <c r="Z65" i="13"/>
  <c r="AA69" i="13"/>
  <c r="CP69" i="13" s="1"/>
  <c r="AC83" i="13"/>
  <c r="CW83" i="13" s="1"/>
  <c r="Z154" i="13"/>
  <c r="CN154" i="13" s="1"/>
  <c r="Y67" i="13"/>
  <c r="CI67" i="13" s="1"/>
  <c r="AC68" i="13"/>
  <c r="CW68" i="13" s="1"/>
  <c r="Y79" i="13"/>
  <c r="CI79" i="13" s="1"/>
  <c r="CW37" i="13"/>
  <c r="CN38" i="13"/>
  <c r="CW44" i="13"/>
  <c r="CW45" i="13"/>
  <c r="CW53" i="13"/>
  <c r="CN54" i="13"/>
  <c r="CI59" i="13"/>
  <c r="CN75" i="13"/>
  <c r="AC13" i="13"/>
  <c r="Y16" i="13"/>
  <c r="CI16" i="13" s="1"/>
  <c r="Z18" i="13"/>
  <c r="CN18" i="13" s="1"/>
  <c r="AC21" i="13"/>
  <c r="CW21" i="13" s="1"/>
  <c r="Y24" i="13"/>
  <c r="Y33" i="13"/>
  <c r="Y41" i="13"/>
  <c r="Y49" i="13"/>
  <c r="Y78" i="13"/>
  <c r="CI78" i="13" s="1"/>
  <c r="Z139" i="13"/>
  <c r="AO13" i="13"/>
  <c r="AP13" i="13" s="1"/>
  <c r="CC13" i="13"/>
  <c r="CD13" i="13" s="1"/>
  <c r="CI13" i="13"/>
  <c r="AY14" i="13"/>
  <c r="AZ14" i="13" s="1"/>
  <c r="CM14" i="13"/>
  <c r="CW16" i="13"/>
  <c r="BI17" i="13"/>
  <c r="BJ17" i="13" s="1"/>
  <c r="CW17" i="13"/>
  <c r="BS18" i="13"/>
  <c r="BT18" i="13" s="1"/>
  <c r="CI20" i="13"/>
  <c r="AO21" i="13"/>
  <c r="AP21" i="13" s="1"/>
  <c r="CC21" i="13"/>
  <c r="CD21" i="13" s="1"/>
  <c r="CI21" i="13"/>
  <c r="AY22" i="13"/>
  <c r="AZ22" i="13" s="1"/>
  <c r="CM22" i="13"/>
  <c r="CW24" i="13"/>
  <c r="BI25" i="13"/>
  <c r="BJ25" i="13" s="1"/>
  <c r="CW25" i="13"/>
  <c r="BS26" i="13"/>
  <c r="BT26" i="13" s="1"/>
  <c r="CI28" i="13"/>
  <c r="AO29" i="13"/>
  <c r="AP29" i="13" s="1"/>
  <c r="CC29" i="13"/>
  <c r="CD29" i="13" s="1"/>
  <c r="CI29" i="13"/>
  <c r="AY30" i="13"/>
  <c r="AZ30" i="13" s="1"/>
  <c r="CM30" i="13"/>
  <c r="CW32" i="13"/>
  <c r="CP33" i="13"/>
  <c r="CW33" i="13"/>
  <c r="CN34" i="13"/>
  <c r="CI36" i="13"/>
  <c r="CI37" i="13"/>
  <c r="CW40" i="13"/>
  <c r="CP41" i="13"/>
  <c r="CW41" i="13"/>
  <c r="CN42" i="13"/>
  <c r="CI44" i="13"/>
  <c r="CI45" i="13"/>
  <c r="CW48" i="13"/>
  <c r="CP49" i="13"/>
  <c r="CW49" i="13"/>
  <c r="CN50" i="13"/>
  <c r="CI52" i="13"/>
  <c r="CN57" i="13"/>
  <c r="CI58" i="13"/>
  <c r="CP61" i="13"/>
  <c r="CW61" i="13"/>
  <c r="CN62" i="13"/>
  <c r="CI65" i="13"/>
  <c r="CW67" i="13"/>
  <c r="AY70" i="13"/>
  <c r="AZ70" i="13" s="1"/>
  <c r="CM70" i="13"/>
  <c r="CW82" i="13"/>
  <c r="CI87" i="13"/>
  <c r="CP15" i="13"/>
  <c r="CN79" i="13"/>
  <c r="Y70" i="13"/>
  <c r="CI70" i="13" s="1"/>
  <c r="Y86" i="13"/>
  <c r="Y94" i="13"/>
  <c r="Y99" i="13"/>
  <c r="CI99" i="13" s="1"/>
  <c r="Z103" i="13"/>
  <c r="Y17" i="13"/>
  <c r="Y25" i="13"/>
  <c r="CI14" i="13"/>
  <c r="CN16" i="13"/>
  <c r="CW18" i="13"/>
  <c r="CW19" i="13"/>
  <c r="CI22" i="13"/>
  <c r="CN24" i="13"/>
  <c r="CW26" i="13"/>
  <c r="CW27" i="13"/>
  <c r="CI30" i="13"/>
  <c r="CI31" i="13"/>
  <c r="CW34" i="13"/>
  <c r="CP35" i="13"/>
  <c r="CW35" i="13"/>
  <c r="CN36" i="13"/>
  <c r="CI38" i="13"/>
  <c r="CI39" i="13"/>
  <c r="CW42" i="13"/>
  <c r="CP43" i="13"/>
  <c r="CW43" i="13"/>
  <c r="CN44" i="13"/>
  <c r="CI46" i="13"/>
  <c r="CI47" i="13"/>
  <c r="CW50" i="13"/>
  <c r="CP51" i="13"/>
  <c r="CW51" i="13"/>
  <c r="CN52" i="13"/>
  <c r="CI54" i="13"/>
  <c r="CI55" i="13"/>
  <c r="CI56" i="13"/>
  <c r="CP57" i="13"/>
  <c r="CW57" i="13"/>
  <c r="CN58" i="13"/>
  <c r="CI61" i="13"/>
  <c r="CI63" i="13"/>
  <c r="CW63" i="13"/>
  <c r="CW64" i="13"/>
  <c r="CI71" i="13"/>
  <c r="CN91" i="13"/>
  <c r="CW102" i="13"/>
  <c r="CN112" i="13"/>
  <c r="CI113" i="13"/>
  <c r="CP113" i="13"/>
  <c r="CW118" i="13"/>
  <c r="CC56" i="13"/>
  <c r="CD56" i="13" s="1"/>
  <c r="BI58" i="13"/>
  <c r="BJ58" i="13" s="1"/>
  <c r="AO60" i="13"/>
  <c r="AP60" i="13" s="1"/>
  <c r="CC60" i="13"/>
  <c r="CD60" i="13" s="1"/>
  <c r="BI62" i="13"/>
  <c r="BJ62" i="13" s="1"/>
  <c r="AO64" i="13"/>
  <c r="AP64" i="13" s="1"/>
  <c r="CC64" i="13"/>
  <c r="CD64" i="13" s="1"/>
  <c r="BI66" i="13"/>
  <c r="BJ66" i="13" s="1"/>
  <c r="AO68" i="13"/>
  <c r="AP68" i="13" s="1"/>
  <c r="CC68" i="13"/>
  <c r="CD68" i="13" s="1"/>
  <c r="BI70" i="13"/>
  <c r="BJ70" i="13" s="1"/>
  <c r="CI72" i="13"/>
  <c r="AO73" i="13"/>
  <c r="AP73" i="13" s="1"/>
  <c r="CC73" i="13"/>
  <c r="CD73" i="13" s="1"/>
  <c r="CI73" i="13"/>
  <c r="AY74" i="13"/>
  <c r="AZ74" i="13" s="1"/>
  <c r="CM74" i="13"/>
  <c r="CW76" i="13"/>
  <c r="BI77" i="13"/>
  <c r="BJ77" i="13" s="1"/>
  <c r="CW77" i="13"/>
  <c r="BS78" i="13"/>
  <c r="BT78" i="13" s="1"/>
  <c r="CI80" i="13"/>
  <c r="AO81" i="13"/>
  <c r="AP81" i="13" s="1"/>
  <c r="CC81" i="13"/>
  <c r="CD81" i="13" s="1"/>
  <c r="AY82" i="13"/>
  <c r="AZ82" i="13" s="1"/>
  <c r="CM82" i="13"/>
  <c r="CW84" i="13"/>
  <c r="BI85" i="13"/>
  <c r="BJ85" i="13" s="1"/>
  <c r="CW85" i="13"/>
  <c r="BS86" i="13"/>
  <c r="BT86" i="13" s="1"/>
  <c r="CI88" i="13"/>
  <c r="AO89" i="13"/>
  <c r="AP89" i="13" s="1"/>
  <c r="CC89" i="13"/>
  <c r="CD89" i="13" s="1"/>
  <c r="CI89" i="13"/>
  <c r="AY90" i="13"/>
  <c r="AZ90" i="13" s="1"/>
  <c r="CM90" i="13"/>
  <c r="CW92" i="13"/>
  <c r="BI93" i="13"/>
  <c r="BJ93" i="13" s="1"/>
  <c r="CW93" i="13"/>
  <c r="BS94" i="13"/>
  <c r="BT94" i="13" s="1"/>
  <c r="CN100" i="13"/>
  <c r="CP101" i="13"/>
  <c r="CI103" i="13"/>
  <c r="CI107" i="13"/>
  <c r="CN110" i="13"/>
  <c r="CN116" i="13"/>
  <c r="CP117" i="13"/>
  <c r="BS57" i="13"/>
  <c r="BT57" i="13" s="1"/>
  <c r="CW58" i="13"/>
  <c r="AY59" i="13"/>
  <c r="AZ59" i="13" s="1"/>
  <c r="CM59" i="13"/>
  <c r="BS61" i="13"/>
  <c r="BT61" i="13" s="1"/>
  <c r="CW62" i="13"/>
  <c r="AY63" i="13"/>
  <c r="AZ63" i="13" s="1"/>
  <c r="CM63" i="13"/>
  <c r="BS65" i="13"/>
  <c r="BT65" i="13" s="1"/>
  <c r="CW66" i="13"/>
  <c r="AY67" i="13"/>
  <c r="AZ67" i="13" s="1"/>
  <c r="CM67" i="13"/>
  <c r="BS69" i="13"/>
  <c r="BT69" i="13" s="1"/>
  <c r="CW70" i="13"/>
  <c r="AY71" i="13"/>
  <c r="AZ71" i="13" s="1"/>
  <c r="BI71" i="13"/>
  <c r="BJ71" i="13" s="1"/>
  <c r="CW71" i="13"/>
  <c r="BS72" i="13"/>
  <c r="BT72" i="13" s="1"/>
  <c r="CI74" i="13"/>
  <c r="AO75" i="13"/>
  <c r="AP75" i="13" s="1"/>
  <c r="CC75" i="13"/>
  <c r="CD75" i="13" s="1"/>
  <c r="AY76" i="13"/>
  <c r="AZ76" i="13" s="1"/>
  <c r="CM76" i="13"/>
  <c r="CW78" i="13"/>
  <c r="BI79" i="13"/>
  <c r="BJ79" i="13" s="1"/>
  <c r="CW79" i="13"/>
  <c r="BS80" i="13"/>
  <c r="BT80" i="13" s="1"/>
  <c r="CI82" i="13"/>
  <c r="AO83" i="13"/>
  <c r="AP83" i="13" s="1"/>
  <c r="CC83" i="13"/>
  <c r="CD83" i="13" s="1"/>
  <c r="AY84" i="13"/>
  <c r="AZ84" i="13" s="1"/>
  <c r="CM84" i="13"/>
  <c r="CW86" i="13"/>
  <c r="BI87" i="13"/>
  <c r="BJ87" i="13" s="1"/>
  <c r="CW87" i="13"/>
  <c r="BS88" i="13"/>
  <c r="BT88" i="13" s="1"/>
  <c r="CI90" i="13"/>
  <c r="AO91" i="13"/>
  <c r="AP91" i="13" s="1"/>
  <c r="CC91" i="13"/>
  <c r="CD91" i="13" s="1"/>
  <c r="AY92" i="13"/>
  <c r="AZ92" i="13" s="1"/>
  <c r="CM92" i="13"/>
  <c r="CW94" i="13"/>
  <c r="CN96" i="13"/>
  <c r="BI97" i="13"/>
  <c r="BJ97" i="13" s="1"/>
  <c r="CI102" i="13"/>
  <c r="CN104" i="13"/>
  <c r="CI105" i="13"/>
  <c r="CP105" i="13"/>
  <c r="CW110" i="13"/>
  <c r="CI119" i="13"/>
  <c r="CI128" i="13"/>
  <c r="CI130" i="13"/>
  <c r="AO70" i="13"/>
  <c r="AP70" i="13" s="1"/>
  <c r="CN71" i="13"/>
  <c r="CW72" i="13"/>
  <c r="CW73" i="13"/>
  <c r="CI76" i="13"/>
  <c r="CW80" i="13"/>
  <c r="CW81" i="13"/>
  <c r="CI84" i="13"/>
  <c r="CN86" i="13"/>
  <c r="CN87" i="13"/>
  <c r="CW88" i="13"/>
  <c r="CW89" i="13"/>
  <c r="CI92" i="13"/>
  <c r="CI93" i="13"/>
  <c r="CN94" i="13"/>
  <c r="CI97" i="13"/>
  <c r="CN98" i="13"/>
  <c r="CN108" i="13"/>
  <c r="CP109" i="13"/>
  <c r="CI111" i="13"/>
  <c r="CI114" i="13"/>
  <c r="CI115" i="13"/>
  <c r="CN118" i="13"/>
  <c r="CN121" i="13"/>
  <c r="CN126" i="13"/>
  <c r="AY95" i="13"/>
  <c r="AZ95" i="13" s="1"/>
  <c r="CM95" i="13"/>
  <c r="BS97" i="13"/>
  <c r="BT97" i="13" s="1"/>
  <c r="CW98" i="13"/>
  <c r="AY99" i="13"/>
  <c r="AZ99" i="13" s="1"/>
  <c r="CM99" i="13"/>
  <c r="CW100" i="13"/>
  <c r="AY101" i="13"/>
  <c r="AZ101" i="13" s="1"/>
  <c r="BS101" i="13"/>
  <c r="BT101" i="13" s="1"/>
  <c r="CM101" i="13"/>
  <c r="AO102" i="13"/>
  <c r="AP102" i="13" s="1"/>
  <c r="BI102" i="13"/>
  <c r="BJ102" i="13" s="1"/>
  <c r="CC102" i="13"/>
  <c r="CD102" i="13" s="1"/>
  <c r="BD103" i="13"/>
  <c r="BE103" i="13" s="1"/>
  <c r="BX103" i="13"/>
  <c r="BY103" i="13" s="1"/>
  <c r="AT104" i="13"/>
  <c r="AU104" i="13" s="1"/>
  <c r="BN104" i="13"/>
  <c r="BO104" i="13" s="1"/>
  <c r="CH104" i="13"/>
  <c r="CW108" i="13"/>
  <c r="AY109" i="13"/>
  <c r="AZ109" i="13" s="1"/>
  <c r="BS109" i="13"/>
  <c r="BT109" i="13" s="1"/>
  <c r="CM109" i="13"/>
  <c r="AO110" i="13"/>
  <c r="AP110" i="13" s="1"/>
  <c r="BI110" i="13"/>
  <c r="BJ110" i="13" s="1"/>
  <c r="CC110" i="13"/>
  <c r="CD110" i="13" s="1"/>
  <c r="BD111" i="13"/>
  <c r="BE111" i="13" s="1"/>
  <c r="BX111" i="13"/>
  <c r="BY111" i="13" s="1"/>
  <c r="AT112" i="13"/>
  <c r="AU112" i="13" s="1"/>
  <c r="BN112" i="13"/>
  <c r="BO112" i="13" s="1"/>
  <c r="CH112" i="13"/>
  <c r="CW116" i="13"/>
  <c r="AY117" i="13"/>
  <c r="AZ117" i="13" s="1"/>
  <c r="BS117" i="13"/>
  <c r="BT117" i="13" s="1"/>
  <c r="CM117" i="13"/>
  <c r="AO118" i="13"/>
  <c r="AP118" i="13" s="1"/>
  <c r="BI118" i="13"/>
  <c r="BJ118" i="13" s="1"/>
  <c r="CC118" i="13"/>
  <c r="CD118" i="13" s="1"/>
  <c r="BD119" i="13"/>
  <c r="BE119" i="13" s="1"/>
  <c r="CI120" i="13"/>
  <c r="CP121" i="13"/>
  <c r="CI122" i="13"/>
  <c r="CW124" i="13"/>
  <c r="BN125" i="13"/>
  <c r="BO125" i="13" s="1"/>
  <c r="CW126" i="13"/>
  <c r="BX128" i="13"/>
  <c r="BY128" i="13" s="1"/>
  <c r="CN128" i="13"/>
  <c r="CN131" i="13"/>
  <c r="BI96" i="13"/>
  <c r="BJ96" i="13" s="1"/>
  <c r="AO98" i="13"/>
  <c r="AP98" i="13" s="1"/>
  <c r="CC98" i="13"/>
  <c r="CD98" i="13" s="1"/>
  <c r="BI100" i="13"/>
  <c r="BJ100" i="13" s="1"/>
  <c r="CC100" i="13"/>
  <c r="CD100" i="13" s="1"/>
  <c r="CI101" i="13"/>
  <c r="CW106" i="13"/>
  <c r="AY107" i="13"/>
  <c r="AZ107" i="13" s="1"/>
  <c r="BS107" i="13"/>
  <c r="BT107" i="13" s="1"/>
  <c r="CM107" i="13"/>
  <c r="AO108" i="13"/>
  <c r="AP108" i="13" s="1"/>
  <c r="BI108" i="13"/>
  <c r="BJ108" i="13" s="1"/>
  <c r="CC108" i="13"/>
  <c r="CD108" i="13" s="1"/>
  <c r="CI109" i="13"/>
  <c r="CW114" i="13"/>
  <c r="AY115" i="13"/>
  <c r="AZ115" i="13" s="1"/>
  <c r="BS115" i="13"/>
  <c r="BT115" i="13" s="1"/>
  <c r="CM115" i="13"/>
  <c r="AO116" i="13"/>
  <c r="AP116" i="13" s="1"/>
  <c r="BI116" i="13"/>
  <c r="BJ116" i="13" s="1"/>
  <c r="CC116" i="13"/>
  <c r="CD116" i="13" s="1"/>
  <c r="CI117" i="13"/>
  <c r="CN120" i="13"/>
  <c r="CP123" i="13"/>
  <c r="CW123" i="13"/>
  <c r="CN124" i="13"/>
  <c r="CN132" i="13"/>
  <c r="BS95" i="13"/>
  <c r="BT95" i="13" s="1"/>
  <c r="CW96" i="13"/>
  <c r="AY97" i="13"/>
  <c r="AZ97" i="13" s="1"/>
  <c r="CM97" i="13"/>
  <c r="BS99" i="13"/>
  <c r="BT99" i="13" s="1"/>
  <c r="BN100" i="13"/>
  <c r="BO100" i="13" s="1"/>
  <c r="CH100" i="13"/>
  <c r="CW104" i="13"/>
  <c r="CM105" i="13"/>
  <c r="AO106" i="13"/>
  <c r="AP106" i="13" s="1"/>
  <c r="BI106" i="13"/>
  <c r="BJ106" i="13" s="1"/>
  <c r="CC106" i="13"/>
  <c r="CD106" i="13" s="1"/>
  <c r="BD107" i="13"/>
  <c r="BE107" i="13" s="1"/>
  <c r="BX107" i="13"/>
  <c r="BY107" i="13" s="1"/>
  <c r="AT108" i="13"/>
  <c r="AU108" i="13" s="1"/>
  <c r="BN108" i="13"/>
  <c r="BO108" i="13" s="1"/>
  <c r="CH108" i="13"/>
  <c r="CW112" i="13"/>
  <c r="CN113" i="13"/>
  <c r="CC114" i="13"/>
  <c r="CD114" i="13" s="1"/>
  <c r="BX115" i="13"/>
  <c r="BY115" i="13" s="1"/>
  <c r="AT116" i="13"/>
  <c r="AU116" i="13" s="1"/>
  <c r="BN116" i="13"/>
  <c r="BO116" i="13" s="1"/>
  <c r="CH116" i="13"/>
  <c r="CI125" i="13"/>
  <c r="CI127" i="13"/>
  <c r="CN130" i="13"/>
  <c r="AY129" i="13"/>
  <c r="AZ129" i="13" s="1"/>
  <c r="BS129" i="13"/>
  <c r="BT129" i="13" s="1"/>
  <c r="CM129" i="13"/>
  <c r="CP129" i="13"/>
  <c r="CP131" i="13"/>
  <c r="CP133" i="13"/>
  <c r="CN134" i="13"/>
  <c r="CI136" i="13"/>
  <c r="CN137" i="13"/>
  <c r="CN138" i="13"/>
  <c r="CP139" i="13"/>
  <c r="CI142" i="13"/>
  <c r="CI143" i="13"/>
  <c r="CN144" i="13"/>
  <c r="CP145" i="13"/>
  <c r="CI146" i="13"/>
  <c r="CI147" i="13"/>
  <c r="CW149" i="13"/>
  <c r="CN157" i="13"/>
  <c r="CM119" i="13"/>
  <c r="CP119" i="13"/>
  <c r="AO122" i="13"/>
  <c r="AP122" i="13" s="1"/>
  <c r="BI122" i="13"/>
  <c r="BJ122" i="13" s="1"/>
  <c r="CC122" i="13"/>
  <c r="CD122" i="13" s="1"/>
  <c r="CN122" i="13"/>
  <c r="CW122" i="13"/>
  <c r="CH123" i="13"/>
  <c r="AT125" i="13"/>
  <c r="AU125" i="13" s="1"/>
  <c r="AY127" i="13"/>
  <c r="AZ127" i="13" s="1"/>
  <c r="BS127" i="13"/>
  <c r="BT127" i="13" s="1"/>
  <c r="CM127" i="13"/>
  <c r="CP127" i="13"/>
  <c r="BD128" i="13"/>
  <c r="BE128" i="13" s="1"/>
  <c r="AO130" i="13"/>
  <c r="AP130" i="13" s="1"/>
  <c r="BI130" i="13"/>
  <c r="BJ130" i="13" s="1"/>
  <c r="CC130" i="13"/>
  <c r="CD130" i="13" s="1"/>
  <c r="CW130" i="13"/>
  <c r="AT131" i="13"/>
  <c r="AU131" i="13" s="1"/>
  <c r="BS131" i="13"/>
  <c r="BT131" i="13" s="1"/>
  <c r="CH131" i="13"/>
  <c r="AO132" i="13"/>
  <c r="AP132" i="13" s="1"/>
  <c r="CC132" i="13"/>
  <c r="CD132" i="13" s="1"/>
  <c r="CW132" i="13"/>
  <c r="BS133" i="13"/>
  <c r="BT133" i="13" s="1"/>
  <c r="CH133" i="13"/>
  <c r="CI134" i="13"/>
  <c r="CN135" i="13"/>
  <c r="CN136" i="13"/>
  <c r="CP137" i="13"/>
  <c r="CW137" i="13"/>
  <c r="CI140" i="13"/>
  <c r="CW142" i="13"/>
  <c r="CN143" i="13"/>
  <c r="CI150" i="13"/>
  <c r="CN155" i="13"/>
  <c r="CW157" i="13"/>
  <c r="BS119" i="13"/>
  <c r="BT119" i="13" s="1"/>
  <c r="AO120" i="13"/>
  <c r="AP120" i="13" s="1"/>
  <c r="BI120" i="13"/>
  <c r="BJ120" i="13" s="1"/>
  <c r="CC120" i="13"/>
  <c r="CD120" i="13" s="1"/>
  <c r="CW120" i="13"/>
  <c r="AT121" i="13"/>
  <c r="AU121" i="13" s="1"/>
  <c r="BN121" i="13"/>
  <c r="BO121" i="13" s="1"/>
  <c r="CH121" i="13"/>
  <c r="AT123" i="13"/>
  <c r="AU123" i="13" s="1"/>
  <c r="BN123" i="13"/>
  <c r="BO123" i="13" s="1"/>
  <c r="AY125" i="13"/>
  <c r="AZ125" i="13" s="1"/>
  <c r="BS125" i="13"/>
  <c r="BT125" i="13" s="1"/>
  <c r="CM125" i="13"/>
  <c r="CP125" i="13"/>
  <c r="BD126" i="13"/>
  <c r="BE126" i="13" s="1"/>
  <c r="BX126" i="13"/>
  <c r="BY126" i="13" s="1"/>
  <c r="AO128" i="13"/>
  <c r="AP128" i="13" s="1"/>
  <c r="BI128" i="13"/>
  <c r="BJ128" i="13" s="1"/>
  <c r="CC128" i="13"/>
  <c r="CD128" i="13" s="1"/>
  <c r="CW128" i="13"/>
  <c r="AT129" i="13"/>
  <c r="AU129" i="13" s="1"/>
  <c r="BN129" i="13"/>
  <c r="BO129" i="13" s="1"/>
  <c r="CH129" i="13"/>
  <c r="BD132" i="13"/>
  <c r="BE132" i="13" s="1"/>
  <c r="AT133" i="13"/>
  <c r="AU133" i="13" s="1"/>
  <c r="CP135" i="13"/>
  <c r="CW135" i="13"/>
  <c r="CI137" i="13"/>
  <c r="CI138" i="13"/>
  <c r="CI139" i="13"/>
  <c r="CW140" i="13"/>
  <c r="CN141" i="13"/>
  <c r="CN142" i="13"/>
  <c r="CP143" i="13"/>
  <c r="CI144" i="13"/>
  <c r="CI145" i="13"/>
  <c r="CN146" i="13"/>
  <c r="CI152" i="13"/>
  <c r="CI154" i="13"/>
  <c r="CW155" i="13"/>
  <c r="CM147" i="13"/>
  <c r="AO148" i="13"/>
  <c r="AP148" i="13" s="1"/>
  <c r="BI148" i="13"/>
  <c r="BJ148" i="13" s="1"/>
  <c r="CC148" i="13"/>
  <c r="CD148" i="13" s="1"/>
  <c r="CN148" i="13"/>
  <c r="CW148" i="13"/>
  <c r="CH149" i="13"/>
  <c r="AT151" i="13"/>
  <c r="AU151" i="13" s="1"/>
  <c r="BN151" i="13"/>
  <c r="BO151" i="13" s="1"/>
  <c r="CH151" i="13"/>
  <c r="BD152" i="13"/>
  <c r="BE152" i="13" s="1"/>
  <c r="BX152" i="13"/>
  <c r="BY152" i="13" s="1"/>
  <c r="AY153" i="13"/>
  <c r="AZ153" i="13" s="1"/>
  <c r="BS153" i="13"/>
  <c r="BT153" i="13" s="1"/>
  <c r="CM153" i="13"/>
  <c r="CP153" i="13"/>
  <c r="BD154" i="13"/>
  <c r="BE154" i="13" s="1"/>
  <c r="BX154" i="13"/>
  <c r="BY154" i="13" s="1"/>
  <c r="AO156" i="13"/>
  <c r="AP156" i="13" s="1"/>
  <c r="BI156" i="13"/>
  <c r="BJ156" i="13" s="1"/>
  <c r="CC156" i="13"/>
  <c r="CD156" i="13" s="1"/>
  <c r="CN156" i="13"/>
  <c r="CW156" i="13"/>
  <c r="AT157" i="13"/>
  <c r="AU157" i="13" s="1"/>
  <c r="BN157" i="13"/>
  <c r="BO157" i="13" s="1"/>
  <c r="CH157" i="13"/>
  <c r="CP159" i="13"/>
  <c r="CW159" i="13"/>
  <c r="CI160" i="13"/>
  <c r="CW160" i="13"/>
  <c r="CI161" i="13"/>
  <c r="CN163" i="13"/>
  <c r="CP165" i="13"/>
  <c r="CW165" i="13"/>
  <c r="CI166" i="13"/>
  <c r="CW166" i="13"/>
  <c r="CN167" i="13"/>
  <c r="CI168" i="13"/>
  <c r="CI170" i="13"/>
  <c r="CI172" i="13"/>
  <c r="CI174" i="13"/>
  <c r="CI176" i="13"/>
  <c r="CI178" i="13"/>
  <c r="AT149" i="13"/>
  <c r="AU149" i="13" s="1"/>
  <c r="BN149" i="13"/>
  <c r="BO149" i="13" s="1"/>
  <c r="BX150" i="13"/>
  <c r="BY150" i="13" s="1"/>
  <c r="AY151" i="13"/>
  <c r="AZ151" i="13" s="1"/>
  <c r="BS151" i="13"/>
  <c r="BT151" i="13" s="1"/>
  <c r="CM151" i="13"/>
  <c r="CP151" i="13"/>
  <c r="AO154" i="13"/>
  <c r="AP154" i="13" s="1"/>
  <c r="BI154" i="13"/>
  <c r="BJ154" i="13" s="1"/>
  <c r="CC154" i="13"/>
  <c r="CD154" i="13" s="1"/>
  <c r="CW154" i="13"/>
  <c r="BN155" i="13"/>
  <c r="BO155" i="13" s="1"/>
  <c r="CH155" i="13"/>
  <c r="BX158" i="13"/>
  <c r="BY158" i="13" s="1"/>
  <c r="CW158" i="13"/>
  <c r="CI159" i="13"/>
  <c r="CN160" i="13"/>
  <c r="CP163" i="13"/>
  <c r="CW163" i="13"/>
  <c r="CW164" i="13"/>
  <c r="CN166" i="13"/>
  <c r="CP167" i="13"/>
  <c r="CW167" i="13"/>
  <c r="CN168" i="13"/>
  <c r="CN169" i="13"/>
  <c r="CN170" i="13"/>
  <c r="CN172" i="13"/>
  <c r="CN174" i="13"/>
  <c r="CN175" i="13"/>
  <c r="CN177" i="13"/>
  <c r="CN178" i="13"/>
  <c r="CP149" i="13"/>
  <c r="CN152" i="13"/>
  <c r="CW152" i="13"/>
  <c r="CI153" i="13"/>
  <c r="CP157" i="13"/>
  <c r="CN158" i="13"/>
  <c r="CN161" i="13"/>
  <c r="CW162" i="13"/>
  <c r="CI163" i="13"/>
  <c r="CN164" i="13"/>
  <c r="CI167" i="13"/>
  <c r="CP169" i="13"/>
  <c r="CW169" i="13"/>
  <c r="CP171" i="13"/>
  <c r="CW171" i="13"/>
  <c r="CP173" i="13"/>
  <c r="CW173" i="13"/>
  <c r="CP175" i="13"/>
  <c r="CW175" i="13"/>
  <c r="CP177" i="13"/>
  <c r="CW177" i="13"/>
  <c r="AO150" i="13"/>
  <c r="AP150" i="13" s="1"/>
  <c r="BI150" i="13"/>
  <c r="BJ150" i="13" s="1"/>
  <c r="CC150" i="13"/>
  <c r="CD150" i="13" s="1"/>
  <c r="CN150" i="13"/>
  <c r="CW150" i="13"/>
  <c r="CP155" i="13"/>
  <c r="BD156" i="13"/>
  <c r="BE156" i="13" s="1"/>
  <c r="CC158" i="13"/>
  <c r="CD158" i="13" s="1"/>
  <c r="CI158" i="13"/>
  <c r="CN159" i="13"/>
  <c r="CP161" i="13"/>
  <c r="CW161" i="13"/>
  <c r="CN162" i="13"/>
  <c r="CI164" i="13"/>
  <c r="CN165" i="13"/>
  <c r="CW168" i="13"/>
  <c r="CW170" i="13"/>
  <c r="CI171" i="13"/>
  <c r="CW172" i="13"/>
  <c r="CW174" i="13"/>
  <c r="CI175" i="13"/>
  <c r="CW176" i="13"/>
  <c r="CW178" i="13"/>
  <c r="E177" i="5"/>
  <c r="G173" i="5"/>
  <c r="E173" i="5"/>
  <c r="F173" i="5" s="1"/>
  <c r="G172" i="5"/>
  <c r="E172" i="5"/>
  <c r="F172" i="5" s="1"/>
  <c r="H172" i="5" s="1"/>
  <c r="G171" i="5"/>
  <c r="E171" i="5"/>
  <c r="G170" i="5"/>
  <c r="E170" i="5"/>
  <c r="F170" i="5" s="1"/>
  <c r="G169" i="5"/>
  <c r="E169" i="5"/>
  <c r="F169" i="5" s="1"/>
  <c r="G168" i="5"/>
  <c r="E168" i="5"/>
  <c r="G167" i="5"/>
  <c r="E167" i="5"/>
  <c r="G166" i="5"/>
  <c r="E166" i="5"/>
  <c r="G165" i="5"/>
  <c r="E165" i="5"/>
  <c r="G164" i="5"/>
  <c r="E164" i="5"/>
  <c r="G163" i="5"/>
  <c r="E163" i="5"/>
  <c r="G162" i="5"/>
  <c r="E162" i="5"/>
  <c r="G161" i="5"/>
  <c r="E161" i="5"/>
  <c r="F161" i="5" s="1"/>
  <c r="G324" i="13" l="1"/>
  <c r="Z321" i="12"/>
  <c r="G323" i="13"/>
  <c r="Z320" i="12"/>
  <c r="G322" i="13"/>
  <c r="Z319" i="12"/>
  <c r="G321" i="13"/>
  <c r="Z318" i="12"/>
  <c r="G288" i="13"/>
  <c r="Z285" i="12"/>
  <c r="G287" i="13"/>
  <c r="Z284" i="12"/>
  <c r="G286" i="13"/>
  <c r="Z283" i="12"/>
  <c r="G280" i="13"/>
  <c r="Z277" i="12"/>
  <c r="G279" i="13"/>
  <c r="Z276" i="12"/>
  <c r="G278" i="13"/>
  <c r="Z275" i="12"/>
  <c r="G274" i="13"/>
  <c r="Z271" i="12"/>
  <c r="G273" i="13"/>
  <c r="Z270" i="12"/>
  <c r="G272" i="13"/>
  <c r="Z269" i="12"/>
  <c r="G267" i="13"/>
  <c r="Z264" i="12"/>
  <c r="G266" i="13"/>
  <c r="Z263" i="12"/>
  <c r="G265" i="13"/>
  <c r="Z262" i="12"/>
  <c r="G264" i="13"/>
  <c r="Z261" i="12"/>
  <c r="G263" i="13"/>
  <c r="Z260" i="12"/>
  <c r="G242" i="13"/>
  <c r="Z239" i="12"/>
  <c r="G241" i="13"/>
  <c r="Z238" i="12"/>
  <c r="G211" i="13"/>
  <c r="Z208" i="12"/>
  <c r="G342" i="13"/>
  <c r="Z339" i="12"/>
  <c r="G341" i="13"/>
  <c r="Z338" i="12"/>
  <c r="G340" i="13"/>
  <c r="Z337" i="12"/>
  <c r="G339" i="13"/>
  <c r="Z336" i="12"/>
  <c r="G338" i="13"/>
  <c r="Z335" i="12"/>
  <c r="G337" i="13"/>
  <c r="Z334" i="12"/>
  <c r="G336" i="13"/>
  <c r="Z333" i="12"/>
  <c r="G149" i="7"/>
  <c r="G320" i="13"/>
  <c r="G148" i="7"/>
  <c r="G319" i="13"/>
  <c r="G147" i="7"/>
  <c r="G318" i="13"/>
  <c r="G146" i="7"/>
  <c r="G317" i="13"/>
  <c r="G145" i="7"/>
  <c r="G316" i="13"/>
  <c r="G144" i="7"/>
  <c r="G315" i="13"/>
  <c r="G143" i="7"/>
  <c r="G314" i="13"/>
  <c r="Y342" i="13"/>
  <c r="CI342" i="13"/>
  <c r="Y338" i="13"/>
  <c r="CI338" i="13"/>
  <c r="CI173" i="13"/>
  <c r="CN176" i="13"/>
  <c r="CI126" i="13"/>
  <c r="CI124" i="13"/>
  <c r="CI75" i="13"/>
  <c r="CN69" i="13"/>
  <c r="CI85" i="13"/>
  <c r="CI77" i="13"/>
  <c r="CI53" i="13"/>
  <c r="CI81" i="13"/>
  <c r="CI51" i="13"/>
  <c r="CI135" i="13"/>
  <c r="H173" i="5"/>
  <c r="AB360" i="4" s="1"/>
  <c r="F162" i="5"/>
  <c r="H162" i="5" s="1"/>
  <c r="E333" i="13"/>
  <c r="F333" i="13" s="1"/>
  <c r="CX333" i="13"/>
  <c r="F166" i="5"/>
  <c r="H166" i="5" s="1"/>
  <c r="CX337" i="13"/>
  <c r="E337" i="13"/>
  <c r="F337" i="13" s="1"/>
  <c r="F168" i="5"/>
  <c r="CX339" i="13"/>
  <c r="E339" i="13"/>
  <c r="F339" i="13" s="1"/>
  <c r="CX342" i="13"/>
  <c r="E342" i="13"/>
  <c r="F342" i="13" s="1"/>
  <c r="AB359" i="4"/>
  <c r="D166" i="23"/>
  <c r="F163" i="5"/>
  <c r="E334" i="13"/>
  <c r="F334" i="13" s="1"/>
  <c r="CX334" i="13"/>
  <c r="F165" i="5"/>
  <c r="CX336" i="13"/>
  <c r="E336" i="13"/>
  <c r="F336" i="13" s="1"/>
  <c r="F167" i="5"/>
  <c r="E338" i="13"/>
  <c r="F338" i="13" s="1"/>
  <c r="CX338" i="13"/>
  <c r="E340" i="13"/>
  <c r="F340" i="13" s="1"/>
  <c r="CX340" i="13"/>
  <c r="F164" i="5"/>
  <c r="H164" i="5" s="1"/>
  <c r="CX335" i="13"/>
  <c r="E335" i="13"/>
  <c r="F335" i="13" s="1"/>
  <c r="CX341" i="13"/>
  <c r="E341" i="13"/>
  <c r="F341" i="13" s="1"/>
  <c r="F171" i="5"/>
  <c r="CN145" i="13"/>
  <c r="CN26" i="13"/>
  <c r="Z29" i="13"/>
  <c r="CN29" i="13" s="1"/>
  <c r="Z49" i="13"/>
  <c r="CN49" i="13" s="1"/>
  <c r="Z21" i="13"/>
  <c r="CN21" i="13" s="1"/>
  <c r="Z37" i="13"/>
  <c r="CN171" i="13"/>
  <c r="CN78" i="13"/>
  <c r="CI83" i="13"/>
  <c r="CI95" i="13"/>
  <c r="CN133" i="13"/>
  <c r="CI19" i="13"/>
  <c r="CI165" i="13"/>
  <c r="CN111" i="13"/>
  <c r="CI106" i="13"/>
  <c r="CI98" i="13"/>
  <c r="CI15" i="13"/>
  <c r="CN72" i="13"/>
  <c r="CI60" i="13"/>
  <c r="CI57" i="13"/>
  <c r="Z114" i="13"/>
  <c r="CN114" i="13" s="1"/>
  <c r="CI156" i="13"/>
  <c r="CN19" i="13"/>
  <c r="CN27" i="13"/>
  <c r="Z45" i="13"/>
  <c r="Z33" i="13"/>
  <c r="Z149" i="13"/>
  <c r="CN149" i="13" s="1"/>
  <c r="Z25" i="13"/>
  <c r="CN25" i="13" s="1"/>
  <c r="Z41" i="13"/>
  <c r="CI177" i="13"/>
  <c r="CI169" i="13"/>
  <c r="CN173" i="13"/>
  <c r="CI162" i="13"/>
  <c r="CI141" i="13"/>
  <c r="CN102" i="13"/>
  <c r="CI118" i="13"/>
  <c r="CI91" i="13"/>
  <c r="CN123" i="13"/>
  <c r="CI23" i="13"/>
  <c r="CI132" i="13"/>
  <c r="CW13" i="13"/>
  <c r="Z125" i="13"/>
  <c r="Y123" i="13"/>
  <c r="CI123" i="13" s="1"/>
  <c r="Y100" i="13"/>
  <c r="Z115" i="13"/>
  <c r="CN115" i="13" s="1"/>
  <c r="Z107" i="13"/>
  <c r="Y112" i="13"/>
  <c r="Z109" i="13"/>
  <c r="Z92" i="13"/>
  <c r="CN92" i="13" s="1"/>
  <c r="Z76" i="13"/>
  <c r="Z67" i="13"/>
  <c r="CN67" i="13" s="1"/>
  <c r="Z63" i="13"/>
  <c r="Z59" i="13"/>
  <c r="CN59" i="13" s="1"/>
  <c r="Z90" i="13"/>
  <c r="Z74" i="13"/>
  <c r="Z28" i="13"/>
  <c r="CI86" i="13"/>
  <c r="CN139" i="13"/>
  <c r="CI49" i="13"/>
  <c r="CI17" i="13"/>
  <c r="Y157" i="13"/>
  <c r="Y151" i="13"/>
  <c r="CI151" i="13" s="1"/>
  <c r="Y149" i="13"/>
  <c r="Z127" i="13"/>
  <c r="CN127" i="13" s="1"/>
  <c r="Z119" i="13"/>
  <c r="CN119" i="13" s="1"/>
  <c r="Y116" i="13"/>
  <c r="CI116" i="13" s="1"/>
  <c r="Z97" i="13"/>
  <c r="Z117" i="13"/>
  <c r="Z70" i="13"/>
  <c r="CN70" i="13" s="1"/>
  <c r="Z30" i="13"/>
  <c r="CN30" i="13" s="1"/>
  <c r="Z14" i="13"/>
  <c r="CI41" i="13"/>
  <c r="CI25" i="13"/>
  <c r="CN65" i="13"/>
  <c r="CI66" i="13"/>
  <c r="CI32" i="13"/>
  <c r="CI64" i="13"/>
  <c r="Y155" i="13"/>
  <c r="CI155" i="13" s="1"/>
  <c r="Z153" i="13"/>
  <c r="Y129" i="13"/>
  <c r="CI129" i="13" s="1"/>
  <c r="Y121" i="13"/>
  <c r="Y131" i="13"/>
  <c r="Y108" i="13"/>
  <c r="Z105" i="13"/>
  <c r="CN105" i="13" s="1"/>
  <c r="Z99" i="13"/>
  <c r="Z95" i="13"/>
  <c r="CN95" i="13" s="1"/>
  <c r="Z84" i="13"/>
  <c r="Z82" i="13"/>
  <c r="Z20" i="13"/>
  <c r="CN103" i="13"/>
  <c r="CI94" i="13"/>
  <c r="CI33" i="13"/>
  <c r="CI24" i="13"/>
  <c r="Z151" i="13"/>
  <c r="Z147" i="13"/>
  <c r="CN147" i="13" s="1"/>
  <c r="Y133" i="13"/>
  <c r="Z129" i="13"/>
  <c r="CN129" i="13" s="1"/>
  <c r="Y104" i="13"/>
  <c r="Z101" i="13"/>
  <c r="CN101" i="13" s="1"/>
  <c r="Z22" i="13"/>
  <c r="H161" i="5"/>
  <c r="AB330" i="4" s="1"/>
  <c r="H163" i="5"/>
  <c r="H165" i="5"/>
  <c r="H167" i="5"/>
  <c r="H170" i="5"/>
  <c r="H171" i="5"/>
  <c r="H169" i="5"/>
  <c r="H168" i="5"/>
  <c r="AB334" i="4" l="1"/>
  <c r="AD336" i="13"/>
  <c r="D159" i="23"/>
  <c r="AB331" i="4"/>
  <c r="AD333" i="13"/>
  <c r="D156" i="23"/>
  <c r="AB337" i="4"/>
  <c r="AD339" i="13"/>
  <c r="AE339" i="13" s="1"/>
  <c r="D162" i="23"/>
  <c r="AB338" i="4"/>
  <c r="AD340" i="13"/>
  <c r="AE340" i="13" s="1"/>
  <c r="D163" i="23"/>
  <c r="AB339" i="4"/>
  <c r="AD341" i="13"/>
  <c r="AE341" i="13" s="1"/>
  <c r="D164" i="23"/>
  <c r="AB333" i="4"/>
  <c r="AD335" i="13"/>
  <c r="D158" i="23"/>
  <c r="AB336" i="4"/>
  <c r="AD338" i="13"/>
  <c r="AE338" i="13" s="1"/>
  <c r="D161" i="23"/>
  <c r="AB340" i="4"/>
  <c r="AD342" i="13"/>
  <c r="AE342" i="13" s="1"/>
  <c r="D165" i="23"/>
  <c r="AB332" i="4"/>
  <c r="AD334" i="13"/>
  <c r="CY334" i="13" s="1"/>
  <c r="D157" i="23"/>
  <c r="AB335" i="4"/>
  <c r="AD337" i="13"/>
  <c r="D160" i="23"/>
  <c r="CY335" i="13"/>
  <c r="CY340" i="13"/>
  <c r="CN84" i="13"/>
  <c r="CI131" i="13"/>
  <c r="CN41" i="13"/>
  <c r="CN45" i="13"/>
  <c r="CN63" i="13"/>
  <c r="CN33" i="13"/>
  <c r="CN22" i="13"/>
  <c r="CI104" i="13"/>
  <c r="CI133" i="13"/>
  <c r="CN151" i="13"/>
  <c r="CN82" i="13"/>
  <c r="CN117" i="13"/>
  <c r="CN74" i="13"/>
  <c r="CI112" i="13"/>
  <c r="CN125" i="13"/>
  <c r="CN37" i="13"/>
  <c r="CN28" i="13"/>
  <c r="CN90" i="13"/>
  <c r="CN76" i="13"/>
  <c r="CN109" i="13"/>
  <c r="CN107" i="13"/>
  <c r="CI100" i="13"/>
  <c r="CN20" i="13"/>
  <c r="CN99" i="13"/>
  <c r="CI108" i="13"/>
  <c r="CI121" i="13"/>
  <c r="CN153" i="13"/>
  <c r="CN14" i="13"/>
  <c r="CN97" i="13"/>
  <c r="CI149" i="13"/>
  <c r="CI157" i="13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H175" i="19"/>
  <c r="E181" i="1" s="1"/>
  <c r="H174" i="19"/>
  <c r="E180" i="1" s="1"/>
  <c r="H173" i="19"/>
  <c r="E179" i="1" s="1"/>
  <c r="H172" i="19"/>
  <c r="E178" i="1" s="1"/>
  <c r="H171" i="19"/>
  <c r="E177" i="1" s="1"/>
  <c r="H170" i="19"/>
  <c r="E176" i="1" s="1"/>
  <c r="H169" i="19"/>
  <c r="E175" i="1" s="1"/>
  <c r="H168" i="19"/>
  <c r="E174" i="1" s="1"/>
  <c r="H167" i="19"/>
  <c r="E173" i="1" s="1"/>
  <c r="H166" i="19"/>
  <c r="E172" i="1" s="1"/>
  <c r="H165" i="19"/>
  <c r="E171" i="1" s="1"/>
  <c r="H164" i="19"/>
  <c r="E170" i="1" s="1"/>
  <c r="H163" i="19"/>
  <c r="E169" i="1" s="1"/>
  <c r="H162" i="19"/>
  <c r="E168" i="1" s="1"/>
  <c r="H161" i="19"/>
  <c r="E167" i="1" s="1"/>
  <c r="H160" i="19"/>
  <c r="E166" i="1" s="1"/>
  <c r="H159" i="19"/>
  <c r="E165" i="1" s="1"/>
  <c r="H158" i="19"/>
  <c r="E164" i="1" s="1"/>
  <c r="H157" i="19"/>
  <c r="E163" i="1" s="1"/>
  <c r="H156" i="19"/>
  <c r="E162" i="1" s="1"/>
  <c r="H155" i="19"/>
  <c r="E161" i="1" s="1"/>
  <c r="H154" i="19"/>
  <c r="E160" i="1" s="1"/>
  <c r="H153" i="19"/>
  <c r="E159" i="1" s="1"/>
  <c r="H152" i="19"/>
  <c r="E158" i="1" s="1"/>
  <c r="H151" i="19"/>
  <c r="E157" i="1" s="1"/>
  <c r="H150" i="19"/>
  <c r="E156" i="1" s="1"/>
  <c r="H149" i="19"/>
  <c r="E155" i="1" s="1"/>
  <c r="H148" i="19"/>
  <c r="E154" i="1" s="1"/>
  <c r="H147" i="19"/>
  <c r="E153" i="1" s="1"/>
  <c r="H146" i="19"/>
  <c r="E152" i="1" s="1"/>
  <c r="H145" i="19"/>
  <c r="E151" i="1" s="1"/>
  <c r="H144" i="19"/>
  <c r="E150" i="1" s="1"/>
  <c r="H143" i="19"/>
  <c r="E149" i="1" s="1"/>
  <c r="H142" i="19"/>
  <c r="E148" i="1" s="1"/>
  <c r="H141" i="19"/>
  <c r="E147" i="1" s="1"/>
  <c r="H140" i="19"/>
  <c r="E146" i="1" s="1"/>
  <c r="H139" i="19"/>
  <c r="E145" i="1" s="1"/>
  <c r="H138" i="19"/>
  <c r="E144" i="1" s="1"/>
  <c r="H137" i="19"/>
  <c r="E143" i="1" s="1"/>
  <c r="H136" i="19"/>
  <c r="E142" i="1" s="1"/>
  <c r="H135" i="19"/>
  <c r="E141" i="1" s="1"/>
  <c r="H134" i="19"/>
  <c r="E140" i="1" s="1"/>
  <c r="H133" i="19"/>
  <c r="E139" i="1" s="1"/>
  <c r="H132" i="19"/>
  <c r="E138" i="1" s="1"/>
  <c r="H131" i="19"/>
  <c r="E137" i="1" s="1"/>
  <c r="H130" i="19"/>
  <c r="E136" i="1" s="1"/>
  <c r="H129" i="19"/>
  <c r="E135" i="1" s="1"/>
  <c r="H128" i="19"/>
  <c r="E134" i="1" s="1"/>
  <c r="H127" i="19"/>
  <c r="E133" i="1" s="1"/>
  <c r="H126" i="19"/>
  <c r="E132" i="1" s="1"/>
  <c r="H125" i="19"/>
  <c r="E131" i="1" s="1"/>
  <c r="H124" i="19"/>
  <c r="E130" i="1" s="1"/>
  <c r="H123" i="19"/>
  <c r="E129" i="1" s="1"/>
  <c r="H122" i="19"/>
  <c r="E128" i="1" s="1"/>
  <c r="H121" i="19"/>
  <c r="E127" i="1" s="1"/>
  <c r="H120" i="19"/>
  <c r="E126" i="1" s="1"/>
  <c r="H119" i="19"/>
  <c r="E125" i="1" s="1"/>
  <c r="H118" i="19"/>
  <c r="E124" i="1" s="1"/>
  <c r="H117" i="19"/>
  <c r="E123" i="1" s="1"/>
  <c r="H116" i="19"/>
  <c r="E122" i="1" s="1"/>
  <c r="H115" i="19"/>
  <c r="E121" i="1" s="1"/>
  <c r="H114" i="19"/>
  <c r="E120" i="1" s="1"/>
  <c r="H113" i="19"/>
  <c r="E119" i="1" s="1"/>
  <c r="H112" i="19"/>
  <c r="E118" i="1" s="1"/>
  <c r="H111" i="19"/>
  <c r="E117" i="1" s="1"/>
  <c r="H110" i="19"/>
  <c r="E116" i="1" s="1"/>
  <c r="H109" i="19"/>
  <c r="E115" i="1" s="1"/>
  <c r="H108" i="19"/>
  <c r="E114" i="1" s="1"/>
  <c r="H107" i="19"/>
  <c r="E113" i="1" s="1"/>
  <c r="H106" i="19"/>
  <c r="E112" i="1" s="1"/>
  <c r="H105" i="19"/>
  <c r="E111" i="1" s="1"/>
  <c r="H104" i="19"/>
  <c r="E110" i="1" s="1"/>
  <c r="H103" i="19"/>
  <c r="E109" i="1" s="1"/>
  <c r="H102" i="19"/>
  <c r="E108" i="1" s="1"/>
  <c r="H101" i="19"/>
  <c r="E107" i="1" s="1"/>
  <c r="H100" i="19"/>
  <c r="E106" i="1" s="1"/>
  <c r="H99" i="19"/>
  <c r="E105" i="1" s="1"/>
  <c r="H98" i="19"/>
  <c r="E104" i="1" s="1"/>
  <c r="H97" i="19"/>
  <c r="E103" i="1" s="1"/>
  <c r="H96" i="19"/>
  <c r="E102" i="1" s="1"/>
  <c r="H95" i="19"/>
  <c r="E101" i="1" s="1"/>
  <c r="H94" i="19"/>
  <c r="E100" i="1" s="1"/>
  <c r="H93" i="19"/>
  <c r="E99" i="1" s="1"/>
  <c r="H92" i="19"/>
  <c r="E98" i="1" s="1"/>
  <c r="H91" i="19"/>
  <c r="E97" i="1" s="1"/>
  <c r="H90" i="19"/>
  <c r="E96" i="1" s="1"/>
  <c r="H89" i="19"/>
  <c r="E95" i="1" s="1"/>
  <c r="H88" i="19"/>
  <c r="E94" i="1" s="1"/>
  <c r="H87" i="19"/>
  <c r="E93" i="1" s="1"/>
  <c r="H86" i="19"/>
  <c r="E92" i="1" s="1"/>
  <c r="H85" i="19"/>
  <c r="E91" i="1" s="1"/>
  <c r="H84" i="19"/>
  <c r="E90" i="1" s="1"/>
  <c r="H83" i="19"/>
  <c r="E89" i="1" s="1"/>
  <c r="H82" i="19"/>
  <c r="E88" i="1" s="1"/>
  <c r="H81" i="19"/>
  <c r="E87" i="1" s="1"/>
  <c r="H80" i="19"/>
  <c r="E86" i="1" s="1"/>
  <c r="H79" i="19"/>
  <c r="E85" i="1" s="1"/>
  <c r="H78" i="19"/>
  <c r="E84" i="1" s="1"/>
  <c r="H77" i="19"/>
  <c r="E83" i="1" s="1"/>
  <c r="H76" i="19"/>
  <c r="E82" i="1" s="1"/>
  <c r="H75" i="19"/>
  <c r="E81" i="1" s="1"/>
  <c r="H74" i="19"/>
  <c r="E80" i="1" s="1"/>
  <c r="H73" i="19"/>
  <c r="E79" i="1" s="1"/>
  <c r="H72" i="19"/>
  <c r="E78" i="1" s="1"/>
  <c r="H71" i="19"/>
  <c r="E77" i="1" s="1"/>
  <c r="H70" i="19"/>
  <c r="E76" i="1" s="1"/>
  <c r="H69" i="19"/>
  <c r="E75" i="1" s="1"/>
  <c r="H68" i="19"/>
  <c r="E74" i="1" s="1"/>
  <c r="H67" i="19"/>
  <c r="E73" i="1" s="1"/>
  <c r="H66" i="19"/>
  <c r="E72" i="1" s="1"/>
  <c r="H65" i="19"/>
  <c r="E71" i="1" s="1"/>
  <c r="H64" i="19"/>
  <c r="E70" i="1" s="1"/>
  <c r="H63" i="19"/>
  <c r="E69" i="1" s="1"/>
  <c r="H62" i="19"/>
  <c r="E68" i="1" s="1"/>
  <c r="H61" i="19"/>
  <c r="E67" i="1" s="1"/>
  <c r="H60" i="19"/>
  <c r="E66" i="1" s="1"/>
  <c r="H59" i="19"/>
  <c r="E65" i="1" s="1"/>
  <c r="H58" i="19"/>
  <c r="E64" i="1" s="1"/>
  <c r="H57" i="19"/>
  <c r="E63" i="1" s="1"/>
  <c r="H56" i="19"/>
  <c r="E62" i="1" s="1"/>
  <c r="H55" i="19"/>
  <c r="E61" i="1" s="1"/>
  <c r="H54" i="19"/>
  <c r="E60" i="1" s="1"/>
  <c r="H53" i="19"/>
  <c r="E59" i="1" s="1"/>
  <c r="H52" i="19"/>
  <c r="E58" i="1" s="1"/>
  <c r="H51" i="19"/>
  <c r="E57" i="1" s="1"/>
  <c r="H50" i="19"/>
  <c r="E56" i="1" s="1"/>
  <c r="H49" i="19"/>
  <c r="E55" i="1" s="1"/>
  <c r="H48" i="19"/>
  <c r="E54" i="1" s="1"/>
  <c r="H47" i="19"/>
  <c r="E53" i="1" s="1"/>
  <c r="H46" i="19"/>
  <c r="E52" i="1" s="1"/>
  <c r="H45" i="19"/>
  <c r="E51" i="1" s="1"/>
  <c r="H44" i="19"/>
  <c r="E50" i="1" s="1"/>
  <c r="H43" i="19"/>
  <c r="E49" i="1" s="1"/>
  <c r="H42" i="19"/>
  <c r="E48" i="1" s="1"/>
  <c r="H41" i="19"/>
  <c r="E47" i="1" s="1"/>
  <c r="H40" i="19"/>
  <c r="E46" i="1" s="1"/>
  <c r="H39" i="19"/>
  <c r="E45" i="1" s="1"/>
  <c r="H38" i="19"/>
  <c r="E44" i="1" s="1"/>
  <c r="H37" i="19"/>
  <c r="E43" i="1" s="1"/>
  <c r="H36" i="19"/>
  <c r="E42" i="1" s="1"/>
  <c r="H35" i="19"/>
  <c r="E41" i="1" s="1"/>
  <c r="H34" i="19"/>
  <c r="E40" i="1" s="1"/>
  <c r="H33" i="19"/>
  <c r="E39" i="1" s="1"/>
  <c r="H32" i="19"/>
  <c r="E38" i="1" s="1"/>
  <c r="H31" i="19"/>
  <c r="E37" i="1" s="1"/>
  <c r="H30" i="19"/>
  <c r="E36" i="1" s="1"/>
  <c r="H29" i="19"/>
  <c r="E35" i="1" s="1"/>
  <c r="H28" i="19"/>
  <c r="E34" i="1" s="1"/>
  <c r="H27" i="19"/>
  <c r="E33" i="1" s="1"/>
  <c r="H26" i="19"/>
  <c r="E32" i="1" s="1"/>
  <c r="H25" i="19"/>
  <c r="E31" i="1" s="1"/>
  <c r="H24" i="19"/>
  <c r="E30" i="1" s="1"/>
  <c r="H23" i="19"/>
  <c r="E29" i="1" s="1"/>
  <c r="H22" i="19"/>
  <c r="E28" i="1" s="1"/>
  <c r="H21" i="19"/>
  <c r="E27" i="1" s="1"/>
  <c r="H20" i="19"/>
  <c r="E26" i="1" s="1"/>
  <c r="H19" i="19"/>
  <c r="E25" i="1" s="1"/>
  <c r="H18" i="19"/>
  <c r="E24" i="1" s="1"/>
  <c r="H17" i="19"/>
  <c r="E23" i="1" s="1"/>
  <c r="H16" i="19"/>
  <c r="E22" i="1" s="1"/>
  <c r="H15" i="19"/>
  <c r="E21" i="1" s="1"/>
  <c r="H14" i="19"/>
  <c r="E20" i="1" s="1"/>
  <c r="H13" i="19"/>
  <c r="E19" i="1" s="1"/>
  <c r="H12" i="19"/>
  <c r="E18" i="1" s="1"/>
  <c r="H11" i="19"/>
  <c r="E17" i="1" s="1"/>
  <c r="H10" i="19"/>
  <c r="E16" i="1" s="1"/>
  <c r="Z152" i="4"/>
  <c r="Z141" i="4"/>
  <c r="Z126" i="4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CR128" i="13" l="1"/>
  <c r="CT128" i="13" s="1"/>
  <c r="CU128" i="13" s="1"/>
  <c r="G131" i="1"/>
  <c r="G146" i="1"/>
  <c r="CR143" i="13"/>
  <c r="CT143" i="13" s="1"/>
  <c r="CU143" i="13" s="1"/>
  <c r="G157" i="1"/>
  <c r="CR154" i="13"/>
  <c r="CT154" i="13" s="1"/>
  <c r="CU154" i="13" s="1"/>
  <c r="CY342" i="13"/>
  <c r="CY333" i="13"/>
  <c r="CY338" i="13"/>
  <c r="CY337" i="13"/>
  <c r="CY339" i="13"/>
  <c r="CY341" i="13"/>
  <c r="CY336" i="13"/>
  <c r="F19" i="1"/>
  <c r="E19" i="6"/>
  <c r="F19" i="6" s="1"/>
  <c r="E16" i="13"/>
  <c r="F16" i="13" s="1"/>
  <c r="F23" i="1"/>
  <c r="E23" i="6"/>
  <c r="F23" i="6" s="1"/>
  <c r="E20" i="13"/>
  <c r="F20" i="13" s="1"/>
  <c r="F27" i="1"/>
  <c r="E27" i="6"/>
  <c r="F27" i="6" s="1"/>
  <c r="E24" i="13"/>
  <c r="F24" i="13" s="1"/>
  <c r="F31" i="1"/>
  <c r="E31" i="6"/>
  <c r="F31" i="6" s="1"/>
  <c r="E28" i="13"/>
  <c r="F28" i="13" s="1"/>
  <c r="F35" i="1"/>
  <c r="E35" i="6"/>
  <c r="F35" i="6" s="1"/>
  <c r="E32" i="13"/>
  <c r="F32" i="13" s="1"/>
  <c r="F39" i="1"/>
  <c r="E39" i="6"/>
  <c r="F39" i="6" s="1"/>
  <c r="E36" i="13"/>
  <c r="F36" i="13" s="1"/>
  <c r="F43" i="1"/>
  <c r="E43" i="6"/>
  <c r="F43" i="6" s="1"/>
  <c r="E40" i="13"/>
  <c r="F40" i="13" s="1"/>
  <c r="F47" i="1"/>
  <c r="E47" i="6"/>
  <c r="F47" i="6" s="1"/>
  <c r="E44" i="13"/>
  <c r="F44" i="13" s="1"/>
  <c r="F51" i="1"/>
  <c r="E51" i="6"/>
  <c r="F51" i="6" s="1"/>
  <c r="E48" i="13"/>
  <c r="F48" i="13" s="1"/>
  <c r="F55" i="1"/>
  <c r="E55" i="6"/>
  <c r="F55" i="6" s="1"/>
  <c r="E52" i="13"/>
  <c r="F52" i="13" s="1"/>
  <c r="F59" i="1"/>
  <c r="E59" i="6"/>
  <c r="F59" i="6" s="1"/>
  <c r="E56" i="13"/>
  <c r="F56" i="13" s="1"/>
  <c r="F63" i="1"/>
  <c r="E63" i="6"/>
  <c r="F63" i="6" s="1"/>
  <c r="E60" i="13"/>
  <c r="F60" i="13" s="1"/>
  <c r="F67" i="1"/>
  <c r="E67" i="6"/>
  <c r="F67" i="6" s="1"/>
  <c r="E64" i="13"/>
  <c r="F64" i="13" s="1"/>
  <c r="F71" i="1"/>
  <c r="E71" i="6"/>
  <c r="F71" i="6" s="1"/>
  <c r="E68" i="13"/>
  <c r="F68" i="13" s="1"/>
  <c r="F75" i="1"/>
  <c r="E75" i="6"/>
  <c r="F75" i="6" s="1"/>
  <c r="E72" i="13"/>
  <c r="F72" i="13" s="1"/>
  <c r="F79" i="1"/>
  <c r="E79" i="6"/>
  <c r="F79" i="6" s="1"/>
  <c r="E76" i="13"/>
  <c r="F76" i="13" s="1"/>
  <c r="F83" i="1"/>
  <c r="E83" i="6"/>
  <c r="F83" i="6" s="1"/>
  <c r="E80" i="13"/>
  <c r="F80" i="13" s="1"/>
  <c r="F87" i="1"/>
  <c r="E87" i="6"/>
  <c r="F87" i="6" s="1"/>
  <c r="E84" i="13"/>
  <c r="F84" i="13" s="1"/>
  <c r="F91" i="1"/>
  <c r="E91" i="6"/>
  <c r="F91" i="6" s="1"/>
  <c r="E88" i="13"/>
  <c r="F88" i="13" s="1"/>
  <c r="F95" i="1"/>
  <c r="E95" i="6"/>
  <c r="F95" i="6" s="1"/>
  <c r="E92" i="13"/>
  <c r="F92" i="13" s="1"/>
  <c r="F99" i="1"/>
  <c r="E99" i="6"/>
  <c r="F99" i="6" s="1"/>
  <c r="E96" i="13"/>
  <c r="F96" i="13" s="1"/>
  <c r="F103" i="1"/>
  <c r="E103" i="6"/>
  <c r="F103" i="6" s="1"/>
  <c r="E100" i="13"/>
  <c r="F100" i="13" s="1"/>
  <c r="F107" i="1"/>
  <c r="E107" i="6"/>
  <c r="F107" i="6" s="1"/>
  <c r="E104" i="13"/>
  <c r="F104" i="13" s="1"/>
  <c r="F111" i="1"/>
  <c r="E111" i="6"/>
  <c r="F111" i="6" s="1"/>
  <c r="E108" i="13"/>
  <c r="F108" i="13" s="1"/>
  <c r="F115" i="1"/>
  <c r="E115" i="6"/>
  <c r="F115" i="6" s="1"/>
  <c r="E112" i="13"/>
  <c r="F112" i="13" s="1"/>
  <c r="F119" i="1"/>
  <c r="E119" i="6"/>
  <c r="F119" i="6" s="1"/>
  <c r="E116" i="13"/>
  <c r="F116" i="13" s="1"/>
  <c r="F123" i="1"/>
  <c r="E123" i="6"/>
  <c r="F123" i="6" s="1"/>
  <c r="E120" i="13"/>
  <c r="F120" i="13" s="1"/>
  <c r="F127" i="1"/>
  <c r="E127" i="6"/>
  <c r="F127" i="6" s="1"/>
  <c r="E124" i="13"/>
  <c r="F124" i="13" s="1"/>
  <c r="F131" i="1"/>
  <c r="E131" i="6"/>
  <c r="F131" i="6" s="1"/>
  <c r="CX128" i="13"/>
  <c r="E128" i="13"/>
  <c r="F128" i="13" s="1"/>
  <c r="F135" i="1"/>
  <c r="E135" i="6"/>
  <c r="F135" i="6" s="1"/>
  <c r="E132" i="13"/>
  <c r="F132" i="13" s="1"/>
  <c r="F139" i="1"/>
  <c r="E139" i="6"/>
  <c r="F139" i="6" s="1"/>
  <c r="E136" i="13"/>
  <c r="F136" i="13" s="1"/>
  <c r="F143" i="1"/>
  <c r="E143" i="6"/>
  <c r="F143" i="6" s="1"/>
  <c r="E140" i="13"/>
  <c r="F140" i="13" s="1"/>
  <c r="F147" i="1"/>
  <c r="E147" i="6"/>
  <c r="F147" i="6" s="1"/>
  <c r="E144" i="13"/>
  <c r="F144" i="13" s="1"/>
  <c r="F151" i="1"/>
  <c r="E151" i="6"/>
  <c r="F151" i="6" s="1"/>
  <c r="E148" i="13"/>
  <c r="F148" i="13" s="1"/>
  <c r="F155" i="1"/>
  <c r="E155" i="6"/>
  <c r="F155" i="6" s="1"/>
  <c r="E152" i="13"/>
  <c r="F152" i="13" s="1"/>
  <c r="F159" i="1"/>
  <c r="E159" i="6"/>
  <c r="F159" i="6" s="1"/>
  <c r="E156" i="13"/>
  <c r="F156" i="13" s="1"/>
  <c r="F163" i="1"/>
  <c r="E163" i="6"/>
  <c r="F163" i="6" s="1"/>
  <c r="E160" i="13"/>
  <c r="F160" i="13" s="1"/>
  <c r="F167" i="1"/>
  <c r="E167" i="6"/>
  <c r="F167" i="6" s="1"/>
  <c r="E164" i="13"/>
  <c r="F164" i="13" s="1"/>
  <c r="F171" i="1"/>
  <c r="E171" i="6"/>
  <c r="F171" i="6" s="1"/>
  <c r="E168" i="13"/>
  <c r="F168" i="13" s="1"/>
  <c r="F175" i="1"/>
  <c r="E175" i="6"/>
  <c r="F175" i="6" s="1"/>
  <c r="E172" i="13"/>
  <c r="F172" i="13" s="1"/>
  <c r="F179" i="1"/>
  <c r="E179" i="6"/>
  <c r="F179" i="6" s="1"/>
  <c r="E176" i="13"/>
  <c r="F176" i="13" s="1"/>
  <c r="F18" i="1"/>
  <c r="E18" i="6"/>
  <c r="F18" i="6" s="1"/>
  <c r="E15" i="13"/>
  <c r="F15" i="13" s="1"/>
  <c r="F22" i="1"/>
  <c r="E22" i="6"/>
  <c r="F22" i="6" s="1"/>
  <c r="E19" i="13"/>
  <c r="F19" i="13" s="1"/>
  <c r="F26" i="1"/>
  <c r="E26" i="6"/>
  <c r="F26" i="6" s="1"/>
  <c r="E23" i="13"/>
  <c r="F23" i="13" s="1"/>
  <c r="F30" i="1"/>
  <c r="E30" i="6"/>
  <c r="F30" i="6" s="1"/>
  <c r="E27" i="13"/>
  <c r="F27" i="13" s="1"/>
  <c r="F34" i="1"/>
  <c r="E34" i="6"/>
  <c r="F34" i="6" s="1"/>
  <c r="E31" i="13"/>
  <c r="F31" i="13" s="1"/>
  <c r="F38" i="1"/>
  <c r="E38" i="6"/>
  <c r="F38" i="6" s="1"/>
  <c r="E35" i="13"/>
  <c r="F35" i="13" s="1"/>
  <c r="F42" i="1"/>
  <c r="E42" i="6"/>
  <c r="F42" i="6" s="1"/>
  <c r="E39" i="13"/>
  <c r="F39" i="13" s="1"/>
  <c r="F46" i="1"/>
  <c r="E46" i="6"/>
  <c r="F46" i="6" s="1"/>
  <c r="E43" i="13"/>
  <c r="F43" i="13" s="1"/>
  <c r="F50" i="1"/>
  <c r="E50" i="6"/>
  <c r="F50" i="6" s="1"/>
  <c r="E47" i="13"/>
  <c r="F47" i="13" s="1"/>
  <c r="F54" i="1"/>
  <c r="E54" i="6"/>
  <c r="F54" i="6" s="1"/>
  <c r="E51" i="13"/>
  <c r="F51" i="13" s="1"/>
  <c r="F58" i="1"/>
  <c r="E58" i="6"/>
  <c r="F58" i="6" s="1"/>
  <c r="E55" i="13"/>
  <c r="F55" i="13" s="1"/>
  <c r="F62" i="1"/>
  <c r="E62" i="6"/>
  <c r="F62" i="6" s="1"/>
  <c r="E59" i="13"/>
  <c r="F59" i="13" s="1"/>
  <c r="F66" i="1"/>
  <c r="E66" i="6"/>
  <c r="F66" i="6" s="1"/>
  <c r="E63" i="13"/>
  <c r="F63" i="13" s="1"/>
  <c r="F70" i="1"/>
  <c r="E70" i="6"/>
  <c r="F70" i="6" s="1"/>
  <c r="E67" i="13"/>
  <c r="F67" i="13" s="1"/>
  <c r="F74" i="1"/>
  <c r="E74" i="6"/>
  <c r="F74" i="6" s="1"/>
  <c r="E71" i="13"/>
  <c r="F71" i="13" s="1"/>
  <c r="F78" i="1"/>
  <c r="E78" i="6"/>
  <c r="F78" i="6" s="1"/>
  <c r="E75" i="13"/>
  <c r="F75" i="13" s="1"/>
  <c r="F82" i="1"/>
  <c r="E82" i="6"/>
  <c r="F82" i="6" s="1"/>
  <c r="E79" i="13"/>
  <c r="F79" i="13" s="1"/>
  <c r="F86" i="1"/>
  <c r="E86" i="6"/>
  <c r="F86" i="6" s="1"/>
  <c r="E83" i="13"/>
  <c r="F83" i="13" s="1"/>
  <c r="F90" i="1"/>
  <c r="E90" i="6"/>
  <c r="F90" i="6" s="1"/>
  <c r="E87" i="13"/>
  <c r="F87" i="13" s="1"/>
  <c r="F94" i="1"/>
  <c r="E94" i="6"/>
  <c r="F94" i="6" s="1"/>
  <c r="E91" i="13"/>
  <c r="F91" i="13" s="1"/>
  <c r="F98" i="1"/>
  <c r="E98" i="6"/>
  <c r="F98" i="6" s="1"/>
  <c r="E95" i="13"/>
  <c r="F95" i="13" s="1"/>
  <c r="F102" i="1"/>
  <c r="E102" i="6"/>
  <c r="F102" i="6" s="1"/>
  <c r="E99" i="13"/>
  <c r="F99" i="13" s="1"/>
  <c r="F106" i="1"/>
  <c r="E106" i="6"/>
  <c r="F106" i="6" s="1"/>
  <c r="E103" i="13"/>
  <c r="F103" i="13" s="1"/>
  <c r="F110" i="1"/>
  <c r="E110" i="6"/>
  <c r="F110" i="6" s="1"/>
  <c r="E107" i="13"/>
  <c r="F107" i="13" s="1"/>
  <c r="F114" i="1"/>
  <c r="E114" i="6"/>
  <c r="F114" i="6" s="1"/>
  <c r="E111" i="13"/>
  <c r="F111" i="13" s="1"/>
  <c r="F118" i="1"/>
  <c r="E118" i="6"/>
  <c r="F118" i="6" s="1"/>
  <c r="E115" i="13"/>
  <c r="F115" i="13" s="1"/>
  <c r="F122" i="1"/>
  <c r="E122" i="6"/>
  <c r="F122" i="6" s="1"/>
  <c r="E119" i="13"/>
  <c r="F119" i="13" s="1"/>
  <c r="F126" i="1"/>
  <c r="E126" i="6"/>
  <c r="F126" i="6" s="1"/>
  <c r="E123" i="13"/>
  <c r="F123" i="13" s="1"/>
  <c r="F130" i="1"/>
  <c r="E130" i="6"/>
  <c r="F130" i="6" s="1"/>
  <c r="E127" i="13"/>
  <c r="F127" i="13" s="1"/>
  <c r="F134" i="1"/>
  <c r="E134" i="6"/>
  <c r="F134" i="6" s="1"/>
  <c r="E131" i="13"/>
  <c r="F131" i="13" s="1"/>
  <c r="F138" i="1"/>
  <c r="E138" i="6"/>
  <c r="F138" i="6" s="1"/>
  <c r="E135" i="13"/>
  <c r="F135" i="13" s="1"/>
  <c r="F142" i="1"/>
  <c r="E142" i="6"/>
  <c r="F142" i="6" s="1"/>
  <c r="E139" i="13"/>
  <c r="F139" i="13" s="1"/>
  <c r="F146" i="1"/>
  <c r="E146" i="6"/>
  <c r="F146" i="6" s="1"/>
  <c r="E143" i="13"/>
  <c r="F143" i="13" s="1"/>
  <c r="CX143" i="13"/>
  <c r="F150" i="1"/>
  <c r="E150" i="6"/>
  <c r="F150" i="6" s="1"/>
  <c r="E147" i="13"/>
  <c r="F147" i="13" s="1"/>
  <c r="F154" i="1"/>
  <c r="E154" i="6"/>
  <c r="F154" i="6" s="1"/>
  <c r="E151" i="13"/>
  <c r="F151" i="13" s="1"/>
  <c r="F158" i="1"/>
  <c r="E158" i="6"/>
  <c r="F158" i="6" s="1"/>
  <c r="E155" i="13"/>
  <c r="F155" i="13" s="1"/>
  <c r="F162" i="1"/>
  <c r="E162" i="6"/>
  <c r="F162" i="6" s="1"/>
  <c r="E159" i="13"/>
  <c r="F159" i="13" s="1"/>
  <c r="F166" i="1"/>
  <c r="E166" i="6"/>
  <c r="F166" i="6" s="1"/>
  <c r="E163" i="13"/>
  <c r="F163" i="13" s="1"/>
  <c r="F170" i="1"/>
  <c r="E170" i="6"/>
  <c r="F170" i="6" s="1"/>
  <c r="E167" i="13"/>
  <c r="F167" i="13" s="1"/>
  <c r="F174" i="1"/>
  <c r="E174" i="6"/>
  <c r="F174" i="6" s="1"/>
  <c r="E171" i="13"/>
  <c r="F171" i="13" s="1"/>
  <c r="F178" i="1"/>
  <c r="E178" i="6"/>
  <c r="F178" i="6" s="1"/>
  <c r="E175" i="13"/>
  <c r="F175" i="13" s="1"/>
  <c r="F17" i="1"/>
  <c r="E17" i="6"/>
  <c r="F17" i="6" s="1"/>
  <c r="E14" i="13"/>
  <c r="F14" i="13" s="1"/>
  <c r="F21" i="1"/>
  <c r="E21" i="6"/>
  <c r="F21" i="6" s="1"/>
  <c r="E18" i="13"/>
  <c r="F18" i="13" s="1"/>
  <c r="F25" i="1"/>
  <c r="E25" i="6"/>
  <c r="F25" i="6" s="1"/>
  <c r="E22" i="13"/>
  <c r="F22" i="13" s="1"/>
  <c r="F29" i="1"/>
  <c r="E29" i="6"/>
  <c r="F29" i="6" s="1"/>
  <c r="E26" i="13"/>
  <c r="F26" i="13" s="1"/>
  <c r="F33" i="1"/>
  <c r="E33" i="6"/>
  <c r="F33" i="6" s="1"/>
  <c r="E30" i="13"/>
  <c r="F30" i="13" s="1"/>
  <c r="F37" i="1"/>
  <c r="E37" i="6"/>
  <c r="F37" i="6" s="1"/>
  <c r="E34" i="13"/>
  <c r="F34" i="13" s="1"/>
  <c r="F41" i="1"/>
  <c r="E41" i="6"/>
  <c r="F41" i="6" s="1"/>
  <c r="E38" i="13"/>
  <c r="F38" i="13" s="1"/>
  <c r="F45" i="1"/>
  <c r="E45" i="6"/>
  <c r="F45" i="6" s="1"/>
  <c r="E42" i="13"/>
  <c r="F42" i="13" s="1"/>
  <c r="F49" i="1"/>
  <c r="E49" i="6"/>
  <c r="F49" i="6" s="1"/>
  <c r="E46" i="13"/>
  <c r="F46" i="13" s="1"/>
  <c r="F53" i="1"/>
  <c r="E53" i="6"/>
  <c r="F53" i="6" s="1"/>
  <c r="E50" i="13"/>
  <c r="F50" i="13" s="1"/>
  <c r="F57" i="1"/>
  <c r="E57" i="6"/>
  <c r="F57" i="6" s="1"/>
  <c r="E54" i="13"/>
  <c r="F54" i="13" s="1"/>
  <c r="F61" i="1"/>
  <c r="E61" i="6"/>
  <c r="F61" i="6" s="1"/>
  <c r="E58" i="13"/>
  <c r="F58" i="13" s="1"/>
  <c r="F65" i="1"/>
  <c r="E65" i="6"/>
  <c r="F65" i="6" s="1"/>
  <c r="E62" i="13"/>
  <c r="F62" i="13" s="1"/>
  <c r="F69" i="1"/>
  <c r="E69" i="6"/>
  <c r="F69" i="6" s="1"/>
  <c r="E66" i="13"/>
  <c r="F66" i="13" s="1"/>
  <c r="F73" i="1"/>
  <c r="E73" i="6"/>
  <c r="F73" i="6" s="1"/>
  <c r="E70" i="13"/>
  <c r="F70" i="13" s="1"/>
  <c r="F77" i="1"/>
  <c r="E77" i="6"/>
  <c r="F77" i="6" s="1"/>
  <c r="E74" i="13"/>
  <c r="F74" i="13" s="1"/>
  <c r="F81" i="1"/>
  <c r="E81" i="6"/>
  <c r="F81" i="6" s="1"/>
  <c r="E78" i="13"/>
  <c r="F78" i="13" s="1"/>
  <c r="F85" i="1"/>
  <c r="E85" i="6"/>
  <c r="F85" i="6" s="1"/>
  <c r="E82" i="13"/>
  <c r="F82" i="13" s="1"/>
  <c r="F89" i="1"/>
  <c r="E89" i="6"/>
  <c r="F89" i="6" s="1"/>
  <c r="E86" i="13"/>
  <c r="F86" i="13" s="1"/>
  <c r="F93" i="1"/>
  <c r="E93" i="6"/>
  <c r="F93" i="6" s="1"/>
  <c r="E90" i="13"/>
  <c r="F90" i="13" s="1"/>
  <c r="F97" i="1"/>
  <c r="E97" i="6"/>
  <c r="F97" i="6" s="1"/>
  <c r="E94" i="13"/>
  <c r="F94" i="13" s="1"/>
  <c r="F101" i="1"/>
  <c r="E101" i="6"/>
  <c r="F101" i="6" s="1"/>
  <c r="E98" i="13"/>
  <c r="F98" i="13" s="1"/>
  <c r="F105" i="1"/>
  <c r="E105" i="6"/>
  <c r="F105" i="6" s="1"/>
  <c r="E102" i="13"/>
  <c r="F102" i="13" s="1"/>
  <c r="F109" i="1"/>
  <c r="E109" i="6"/>
  <c r="F109" i="6" s="1"/>
  <c r="E106" i="13"/>
  <c r="F106" i="13" s="1"/>
  <c r="F113" i="1"/>
  <c r="E113" i="6"/>
  <c r="F113" i="6" s="1"/>
  <c r="E110" i="13"/>
  <c r="F110" i="13" s="1"/>
  <c r="F117" i="1"/>
  <c r="E117" i="6"/>
  <c r="F117" i="6" s="1"/>
  <c r="E114" i="13"/>
  <c r="F114" i="13" s="1"/>
  <c r="F121" i="1"/>
  <c r="E121" i="6"/>
  <c r="F121" i="6" s="1"/>
  <c r="E118" i="13"/>
  <c r="F118" i="13" s="1"/>
  <c r="F125" i="1"/>
  <c r="E125" i="6"/>
  <c r="F125" i="6" s="1"/>
  <c r="E122" i="13"/>
  <c r="F122" i="13" s="1"/>
  <c r="F129" i="1"/>
  <c r="E129" i="6"/>
  <c r="F129" i="6" s="1"/>
  <c r="E126" i="13"/>
  <c r="F126" i="13" s="1"/>
  <c r="F133" i="1"/>
  <c r="E133" i="6"/>
  <c r="F133" i="6" s="1"/>
  <c r="E130" i="13"/>
  <c r="F130" i="13" s="1"/>
  <c r="F137" i="1"/>
  <c r="E137" i="6"/>
  <c r="F137" i="6" s="1"/>
  <c r="E134" i="13"/>
  <c r="F134" i="13" s="1"/>
  <c r="F141" i="1"/>
  <c r="E141" i="6"/>
  <c r="F141" i="6" s="1"/>
  <c r="E138" i="13"/>
  <c r="F138" i="13" s="1"/>
  <c r="F145" i="1"/>
  <c r="E145" i="6"/>
  <c r="F145" i="6" s="1"/>
  <c r="E142" i="13"/>
  <c r="F142" i="13" s="1"/>
  <c r="F149" i="1"/>
  <c r="E149" i="6"/>
  <c r="F149" i="6" s="1"/>
  <c r="E146" i="13"/>
  <c r="F146" i="13" s="1"/>
  <c r="F153" i="1"/>
  <c r="E153" i="6"/>
  <c r="F153" i="6" s="1"/>
  <c r="E150" i="13"/>
  <c r="F150" i="13" s="1"/>
  <c r="F157" i="1"/>
  <c r="H157" i="1" s="1"/>
  <c r="E157" i="6"/>
  <c r="F157" i="6" s="1"/>
  <c r="CX154" i="13"/>
  <c r="E154" i="13"/>
  <c r="F154" i="13" s="1"/>
  <c r="F161" i="1"/>
  <c r="E161" i="6"/>
  <c r="F161" i="6" s="1"/>
  <c r="E158" i="13"/>
  <c r="F158" i="13" s="1"/>
  <c r="F165" i="1"/>
  <c r="E165" i="6"/>
  <c r="F165" i="6" s="1"/>
  <c r="E162" i="13"/>
  <c r="F162" i="13" s="1"/>
  <c r="F169" i="1"/>
  <c r="E169" i="6"/>
  <c r="F169" i="6" s="1"/>
  <c r="E166" i="13"/>
  <c r="F166" i="13" s="1"/>
  <c r="F173" i="1"/>
  <c r="E173" i="6"/>
  <c r="F173" i="6" s="1"/>
  <c r="E170" i="13"/>
  <c r="F170" i="13" s="1"/>
  <c r="F177" i="1"/>
  <c r="E177" i="6"/>
  <c r="F177" i="6" s="1"/>
  <c r="E174" i="13"/>
  <c r="F174" i="13" s="1"/>
  <c r="F181" i="1"/>
  <c r="E181" i="6"/>
  <c r="F181" i="6" s="1"/>
  <c r="E178" i="13"/>
  <c r="F178" i="13" s="1"/>
  <c r="F16" i="1"/>
  <c r="E16" i="6"/>
  <c r="F16" i="6" s="1"/>
  <c r="E13" i="13"/>
  <c r="F13" i="13" s="1"/>
  <c r="F20" i="1"/>
  <c r="E20" i="6"/>
  <c r="F20" i="6" s="1"/>
  <c r="E17" i="13"/>
  <c r="F17" i="13" s="1"/>
  <c r="F24" i="1"/>
  <c r="E24" i="6"/>
  <c r="F24" i="6" s="1"/>
  <c r="E21" i="13"/>
  <c r="F21" i="13" s="1"/>
  <c r="F28" i="1"/>
  <c r="E28" i="6"/>
  <c r="F28" i="6" s="1"/>
  <c r="E25" i="13"/>
  <c r="F25" i="13" s="1"/>
  <c r="F32" i="1"/>
  <c r="E32" i="6"/>
  <c r="F32" i="6" s="1"/>
  <c r="E29" i="13"/>
  <c r="F29" i="13" s="1"/>
  <c r="F36" i="1"/>
  <c r="E36" i="6"/>
  <c r="F36" i="6" s="1"/>
  <c r="E33" i="13"/>
  <c r="F33" i="13" s="1"/>
  <c r="F40" i="1"/>
  <c r="E40" i="6"/>
  <c r="F40" i="6" s="1"/>
  <c r="E37" i="13"/>
  <c r="F37" i="13" s="1"/>
  <c r="F44" i="1"/>
  <c r="E44" i="6"/>
  <c r="F44" i="6" s="1"/>
  <c r="E41" i="13"/>
  <c r="F41" i="13" s="1"/>
  <c r="F48" i="1"/>
  <c r="E48" i="6"/>
  <c r="F48" i="6" s="1"/>
  <c r="E45" i="13"/>
  <c r="F45" i="13" s="1"/>
  <c r="F52" i="1"/>
  <c r="E52" i="6"/>
  <c r="F52" i="6" s="1"/>
  <c r="E49" i="13"/>
  <c r="F49" i="13" s="1"/>
  <c r="F56" i="1"/>
  <c r="E56" i="6"/>
  <c r="F56" i="6" s="1"/>
  <c r="E53" i="13"/>
  <c r="F53" i="13" s="1"/>
  <c r="F60" i="1"/>
  <c r="E60" i="6"/>
  <c r="F60" i="6" s="1"/>
  <c r="E57" i="13"/>
  <c r="F57" i="13" s="1"/>
  <c r="F64" i="1"/>
  <c r="E64" i="6"/>
  <c r="F64" i="6" s="1"/>
  <c r="E61" i="13"/>
  <c r="F61" i="13" s="1"/>
  <c r="F68" i="1"/>
  <c r="E68" i="6"/>
  <c r="F68" i="6" s="1"/>
  <c r="E65" i="13"/>
  <c r="F65" i="13" s="1"/>
  <c r="F72" i="1"/>
  <c r="E72" i="6"/>
  <c r="F72" i="6" s="1"/>
  <c r="E69" i="13"/>
  <c r="F69" i="13" s="1"/>
  <c r="F76" i="1"/>
  <c r="E76" i="6"/>
  <c r="F76" i="6" s="1"/>
  <c r="E73" i="13"/>
  <c r="F73" i="13" s="1"/>
  <c r="F80" i="1"/>
  <c r="E80" i="6"/>
  <c r="F80" i="6" s="1"/>
  <c r="E77" i="13"/>
  <c r="F77" i="13" s="1"/>
  <c r="F84" i="1"/>
  <c r="E84" i="6"/>
  <c r="F84" i="6" s="1"/>
  <c r="E81" i="13"/>
  <c r="F81" i="13" s="1"/>
  <c r="F88" i="1"/>
  <c r="E88" i="6"/>
  <c r="F88" i="6" s="1"/>
  <c r="E85" i="13"/>
  <c r="F85" i="13" s="1"/>
  <c r="F92" i="1"/>
  <c r="E92" i="6"/>
  <c r="F92" i="6" s="1"/>
  <c r="E89" i="13"/>
  <c r="F89" i="13" s="1"/>
  <c r="F96" i="1"/>
  <c r="E96" i="6"/>
  <c r="F96" i="6" s="1"/>
  <c r="E93" i="13"/>
  <c r="F93" i="13" s="1"/>
  <c r="F100" i="1"/>
  <c r="E100" i="6"/>
  <c r="F100" i="6" s="1"/>
  <c r="E97" i="13"/>
  <c r="F97" i="13" s="1"/>
  <c r="F104" i="1"/>
  <c r="E104" i="6"/>
  <c r="F104" i="6" s="1"/>
  <c r="E101" i="13"/>
  <c r="F101" i="13" s="1"/>
  <c r="F108" i="1"/>
  <c r="E108" i="6"/>
  <c r="F108" i="6" s="1"/>
  <c r="E105" i="13"/>
  <c r="F105" i="13" s="1"/>
  <c r="F112" i="1"/>
  <c r="E112" i="6"/>
  <c r="F112" i="6" s="1"/>
  <c r="E109" i="13"/>
  <c r="F109" i="13" s="1"/>
  <c r="F116" i="1"/>
  <c r="E116" i="6"/>
  <c r="F116" i="6" s="1"/>
  <c r="E113" i="13"/>
  <c r="F113" i="13" s="1"/>
  <c r="F120" i="1"/>
  <c r="E120" i="6"/>
  <c r="F120" i="6" s="1"/>
  <c r="E117" i="13"/>
  <c r="F117" i="13" s="1"/>
  <c r="F124" i="1"/>
  <c r="E124" i="6"/>
  <c r="F124" i="6" s="1"/>
  <c r="E121" i="13"/>
  <c r="F121" i="13" s="1"/>
  <c r="F128" i="1"/>
  <c r="E128" i="6"/>
  <c r="F128" i="6" s="1"/>
  <c r="E125" i="13"/>
  <c r="F125" i="13" s="1"/>
  <c r="F132" i="1"/>
  <c r="E132" i="6"/>
  <c r="F132" i="6" s="1"/>
  <c r="E129" i="13"/>
  <c r="F129" i="13" s="1"/>
  <c r="F136" i="1"/>
  <c r="E136" i="6"/>
  <c r="F136" i="6" s="1"/>
  <c r="E133" i="13"/>
  <c r="F133" i="13" s="1"/>
  <c r="F140" i="1"/>
  <c r="E140" i="6"/>
  <c r="F140" i="6" s="1"/>
  <c r="E137" i="13"/>
  <c r="F137" i="13" s="1"/>
  <c r="F144" i="1"/>
  <c r="E144" i="6"/>
  <c r="F144" i="6" s="1"/>
  <c r="E141" i="13"/>
  <c r="F141" i="13" s="1"/>
  <c r="F148" i="1"/>
  <c r="E148" i="6"/>
  <c r="F148" i="6" s="1"/>
  <c r="E145" i="13"/>
  <c r="F145" i="13" s="1"/>
  <c r="F152" i="1"/>
  <c r="E152" i="6"/>
  <c r="F152" i="6" s="1"/>
  <c r="E149" i="13"/>
  <c r="F149" i="13" s="1"/>
  <c r="F156" i="1"/>
  <c r="E156" i="6"/>
  <c r="F156" i="6" s="1"/>
  <c r="E153" i="13"/>
  <c r="F153" i="13" s="1"/>
  <c r="F160" i="1"/>
  <c r="E160" i="6"/>
  <c r="F160" i="6" s="1"/>
  <c r="E157" i="13"/>
  <c r="F157" i="13" s="1"/>
  <c r="F164" i="1"/>
  <c r="E164" i="6"/>
  <c r="F164" i="6" s="1"/>
  <c r="E161" i="13"/>
  <c r="F161" i="13" s="1"/>
  <c r="F168" i="1"/>
  <c r="E168" i="6"/>
  <c r="F168" i="6" s="1"/>
  <c r="E165" i="13"/>
  <c r="F165" i="13" s="1"/>
  <c r="F172" i="1"/>
  <c r="E172" i="6"/>
  <c r="F172" i="6" s="1"/>
  <c r="E169" i="13"/>
  <c r="F169" i="13" s="1"/>
  <c r="F176" i="1"/>
  <c r="E176" i="6"/>
  <c r="F176" i="6" s="1"/>
  <c r="E173" i="13"/>
  <c r="F173" i="13" s="1"/>
  <c r="F180" i="1"/>
  <c r="E180" i="6"/>
  <c r="F180" i="6" s="1"/>
  <c r="E177" i="13"/>
  <c r="F177" i="13" s="1"/>
  <c r="H131" i="1"/>
  <c r="H146" i="1"/>
  <c r="AD143" i="13" l="1"/>
  <c r="AE143" i="13" s="1"/>
  <c r="H139" i="24"/>
  <c r="AD128" i="13"/>
  <c r="AE128" i="13" s="1"/>
  <c r="H124" i="24"/>
  <c r="AD154" i="13"/>
  <c r="AE154" i="13" s="1"/>
  <c r="H150" i="24"/>
  <c r="CY154" i="13"/>
  <c r="CY128" i="13"/>
  <c r="CY143" i="13"/>
  <c r="AB126" i="4"/>
  <c r="D124" i="22"/>
  <c r="AB152" i="4"/>
  <c r="D150" i="22"/>
  <c r="AB141" i="4"/>
  <c r="D139" i="22"/>
  <c r="Z115" i="4" l="1"/>
  <c r="Z30" i="4"/>
  <c r="G35" i="1" l="1"/>
  <c r="CR32" i="13"/>
  <c r="CT32" i="13" s="1"/>
  <c r="CU32" i="13" s="1"/>
  <c r="G120" i="1"/>
  <c r="CR117" i="13"/>
  <c r="CT117" i="13" s="1"/>
  <c r="CU117" i="13" s="1"/>
  <c r="H120" i="1"/>
  <c r="CX117" i="13"/>
  <c r="H35" i="1"/>
  <c r="CX32" i="13"/>
  <c r="AB30" i="4"/>
  <c r="AD117" i="13" l="1"/>
  <c r="AE117" i="13" s="1"/>
  <c r="H113" i="24"/>
  <c r="AD32" i="13"/>
  <c r="AE32" i="13" s="1"/>
  <c r="H28" i="24"/>
  <c r="D113" i="22"/>
  <c r="AB115" i="4"/>
  <c r="CY117" i="13"/>
  <c r="D28" i="22"/>
  <c r="CY32" i="13"/>
  <c r="DU332" i="13"/>
  <c r="DU325" i="13"/>
  <c r="DU295" i="13"/>
  <c r="DU289" i="13"/>
  <c r="DU287" i="13"/>
  <c r="DU281" i="13"/>
  <c r="DU275" i="13"/>
  <c r="DU274" i="13"/>
  <c r="DU268" i="13"/>
  <c r="DU249" i="13"/>
  <c r="DU243" i="13"/>
  <c r="DU238" i="13"/>
  <c r="DU232" i="13"/>
  <c r="DU231" i="13"/>
  <c r="DU225" i="13"/>
  <c r="DU218" i="13"/>
  <c r="DU212" i="13"/>
  <c r="DU201" i="13"/>
  <c r="DU195" i="13"/>
  <c r="DU191" i="13"/>
  <c r="DU190" i="13"/>
  <c r="DU189" i="13"/>
  <c r="DU188" i="13"/>
  <c r="CV331" i="13" l="1"/>
  <c r="AC331" i="13" s="1"/>
  <c r="CW331" i="13" s="1"/>
  <c r="CG335" i="13" l="1"/>
  <c r="CG334" i="13"/>
  <c r="CG333" i="13"/>
  <c r="CG331" i="13"/>
  <c r="CH331" i="13" s="1"/>
  <c r="Y331" i="13" s="1"/>
  <c r="CG330" i="13"/>
  <c r="CG329" i="13"/>
  <c r="CG328" i="13"/>
  <c r="CG327" i="13"/>
  <c r="CG326" i="13"/>
  <c r="CI331" i="13" l="1"/>
  <c r="DU331" i="13"/>
  <c r="Z326" i="12"/>
  <c r="Z325" i="12"/>
  <c r="Z324" i="12"/>
  <c r="Z323" i="12"/>
  <c r="G330" i="13" l="1"/>
  <c r="Z327" i="12"/>
  <c r="G331" i="13"/>
  <c r="Z328" i="12"/>
  <c r="G333" i="13"/>
  <c r="Z330" i="12"/>
  <c r="G334" i="13"/>
  <c r="Z331" i="12"/>
  <c r="G335" i="13"/>
  <c r="Z332" i="12"/>
  <c r="G155" i="7"/>
  <c r="G326" i="13"/>
  <c r="G156" i="7"/>
  <c r="G327" i="13"/>
  <c r="G157" i="7"/>
  <c r="G328" i="13"/>
  <c r="G158" i="7"/>
  <c r="G329" i="13"/>
  <c r="CV337" i="13"/>
  <c r="CQ337" i="13"/>
  <c r="CT337" i="13" s="1"/>
  <c r="CU337" i="13" s="1"/>
  <c r="CO337" i="13"/>
  <c r="CJ337" i="13"/>
  <c r="CM337" i="13" s="1"/>
  <c r="CE337" i="13"/>
  <c r="CH337" i="13" s="1"/>
  <c r="BZ337" i="13"/>
  <c r="CC337" i="13" s="1"/>
  <c r="CD337" i="13" s="1"/>
  <c r="BU337" i="13"/>
  <c r="BX337" i="13" s="1"/>
  <c r="BY337" i="13" s="1"/>
  <c r="BP337" i="13"/>
  <c r="BS337" i="13" s="1"/>
  <c r="BT337" i="13" s="1"/>
  <c r="BK337" i="13"/>
  <c r="BN337" i="13" s="1"/>
  <c r="BO337" i="13" s="1"/>
  <c r="BF337" i="13"/>
  <c r="BI337" i="13" s="1"/>
  <c r="BJ337" i="13" s="1"/>
  <c r="BA337" i="13"/>
  <c r="BD337" i="13" s="1"/>
  <c r="BE337" i="13" s="1"/>
  <c r="AV337" i="13"/>
  <c r="AY337" i="13" s="1"/>
  <c r="AZ337" i="13" s="1"/>
  <c r="AQ337" i="13"/>
  <c r="AT337" i="13" s="1"/>
  <c r="AU337" i="13" s="1"/>
  <c r="AL337" i="13"/>
  <c r="AO337" i="13" s="1"/>
  <c r="AP337" i="13" s="1"/>
  <c r="CQ336" i="13"/>
  <c r="CT336" i="13" s="1"/>
  <c r="CU336" i="13" s="1"/>
  <c r="CO336" i="13"/>
  <c r="BZ336" i="13"/>
  <c r="CC336" i="13" s="1"/>
  <c r="CD336" i="13" s="1"/>
  <c r="BU336" i="13"/>
  <c r="BX336" i="13" s="1"/>
  <c r="BY336" i="13" s="1"/>
  <c r="BP336" i="13"/>
  <c r="BS336" i="13" s="1"/>
  <c r="BT336" i="13" s="1"/>
  <c r="BK336" i="13"/>
  <c r="BN336" i="13" s="1"/>
  <c r="BO336" i="13" s="1"/>
  <c r="BF336" i="13"/>
  <c r="BI336" i="13" s="1"/>
  <c r="BJ336" i="13" s="1"/>
  <c r="BA336" i="13"/>
  <c r="BD336" i="13" s="1"/>
  <c r="BE336" i="13" s="1"/>
  <c r="AV336" i="13"/>
  <c r="AY336" i="13" s="1"/>
  <c r="AZ336" i="13" s="1"/>
  <c r="AQ336" i="13"/>
  <c r="AT336" i="13" s="1"/>
  <c r="AU336" i="13" s="1"/>
  <c r="AL336" i="13"/>
  <c r="AO336" i="13" s="1"/>
  <c r="AP336" i="13" s="1"/>
  <c r="CQ335" i="13"/>
  <c r="CT335" i="13" s="1"/>
  <c r="CU335" i="13" s="1"/>
  <c r="CO335" i="13"/>
  <c r="BZ335" i="13"/>
  <c r="CC335" i="13" s="1"/>
  <c r="CD335" i="13" s="1"/>
  <c r="BU335" i="13"/>
  <c r="BX335" i="13" s="1"/>
  <c r="BY335" i="13" s="1"/>
  <c r="BP335" i="13"/>
  <c r="BS335" i="13" s="1"/>
  <c r="BT335" i="13" s="1"/>
  <c r="BK335" i="13"/>
  <c r="BN335" i="13" s="1"/>
  <c r="BO335" i="13" s="1"/>
  <c r="BF335" i="13"/>
  <c r="BI335" i="13" s="1"/>
  <c r="BJ335" i="13" s="1"/>
  <c r="BA335" i="13"/>
  <c r="BD335" i="13" s="1"/>
  <c r="BE335" i="13" s="1"/>
  <c r="AV335" i="13"/>
  <c r="AY335" i="13" s="1"/>
  <c r="AZ335" i="13" s="1"/>
  <c r="AQ335" i="13"/>
  <c r="AT335" i="13" s="1"/>
  <c r="AU335" i="13" s="1"/>
  <c r="AL335" i="13"/>
  <c r="AO335" i="13" s="1"/>
  <c r="AP335" i="13" s="1"/>
  <c r="CQ334" i="13"/>
  <c r="CT334" i="13" s="1"/>
  <c r="CU334" i="13" s="1"/>
  <c r="CO334" i="13"/>
  <c r="BZ334" i="13"/>
  <c r="CC334" i="13" s="1"/>
  <c r="CD334" i="13" s="1"/>
  <c r="BU334" i="13"/>
  <c r="BX334" i="13" s="1"/>
  <c r="BY334" i="13" s="1"/>
  <c r="BP334" i="13"/>
  <c r="BS334" i="13" s="1"/>
  <c r="BT334" i="13" s="1"/>
  <c r="BK334" i="13"/>
  <c r="BN334" i="13" s="1"/>
  <c r="BO334" i="13" s="1"/>
  <c r="BF334" i="13"/>
  <c r="BI334" i="13" s="1"/>
  <c r="BJ334" i="13" s="1"/>
  <c r="BA334" i="13"/>
  <c r="BD334" i="13" s="1"/>
  <c r="BE334" i="13" s="1"/>
  <c r="AV334" i="13"/>
  <c r="AY334" i="13" s="1"/>
  <c r="AZ334" i="13" s="1"/>
  <c r="AQ334" i="13"/>
  <c r="AT334" i="13" s="1"/>
  <c r="AU334" i="13" s="1"/>
  <c r="AL334" i="13"/>
  <c r="AO334" i="13" s="1"/>
  <c r="AP334" i="13" s="1"/>
  <c r="CQ333" i="13"/>
  <c r="CT333" i="13" s="1"/>
  <c r="CU333" i="13" s="1"/>
  <c r="CO333" i="13"/>
  <c r="BZ333" i="13"/>
  <c r="CC333" i="13" s="1"/>
  <c r="CD333" i="13" s="1"/>
  <c r="BU333" i="13"/>
  <c r="BX333" i="13" s="1"/>
  <c r="BY333" i="13" s="1"/>
  <c r="BP333" i="13"/>
  <c r="BS333" i="13" s="1"/>
  <c r="BT333" i="13" s="1"/>
  <c r="BK333" i="13"/>
  <c r="BN333" i="13" s="1"/>
  <c r="BO333" i="13" s="1"/>
  <c r="BF333" i="13"/>
  <c r="BI333" i="13" s="1"/>
  <c r="BJ333" i="13" s="1"/>
  <c r="BA333" i="13"/>
  <c r="BD333" i="13" s="1"/>
  <c r="BE333" i="13" s="1"/>
  <c r="AV333" i="13"/>
  <c r="AY333" i="13" s="1"/>
  <c r="AZ333" i="13" s="1"/>
  <c r="AQ333" i="13"/>
  <c r="AT333" i="13" s="1"/>
  <c r="AU333" i="13" s="1"/>
  <c r="AL333" i="13"/>
  <c r="AO333" i="13" s="1"/>
  <c r="AP333" i="13" s="1"/>
  <c r="CQ330" i="13"/>
  <c r="CO330" i="13"/>
  <c r="BZ330" i="13"/>
  <c r="CC330" i="13" s="1"/>
  <c r="CD330" i="13" s="1"/>
  <c r="BU330" i="13"/>
  <c r="BX330" i="13" s="1"/>
  <c r="BY330" i="13" s="1"/>
  <c r="BP330" i="13"/>
  <c r="BS330" i="13" s="1"/>
  <c r="BT330" i="13" s="1"/>
  <c r="BK330" i="13"/>
  <c r="BN330" i="13" s="1"/>
  <c r="BO330" i="13" s="1"/>
  <c r="BF330" i="13"/>
  <c r="BI330" i="13" s="1"/>
  <c r="BJ330" i="13" s="1"/>
  <c r="BA330" i="13"/>
  <c r="BD330" i="13" s="1"/>
  <c r="BE330" i="13" s="1"/>
  <c r="AV330" i="13"/>
  <c r="AY330" i="13" s="1"/>
  <c r="AZ330" i="13" s="1"/>
  <c r="AQ330" i="13"/>
  <c r="AT330" i="13" s="1"/>
  <c r="AU330" i="13" s="1"/>
  <c r="AL330" i="13"/>
  <c r="AO330" i="13" s="1"/>
  <c r="AP330" i="13" s="1"/>
  <c r="CQ329" i="13"/>
  <c r="CO329" i="13"/>
  <c r="BZ329" i="13"/>
  <c r="CC329" i="13" s="1"/>
  <c r="CD329" i="13" s="1"/>
  <c r="BU329" i="13"/>
  <c r="BX329" i="13" s="1"/>
  <c r="BY329" i="13" s="1"/>
  <c r="BP329" i="13"/>
  <c r="BS329" i="13" s="1"/>
  <c r="BT329" i="13" s="1"/>
  <c r="BK329" i="13"/>
  <c r="BN329" i="13" s="1"/>
  <c r="BO329" i="13" s="1"/>
  <c r="BF329" i="13"/>
  <c r="BI329" i="13" s="1"/>
  <c r="BJ329" i="13" s="1"/>
  <c r="BA329" i="13"/>
  <c r="BD329" i="13" s="1"/>
  <c r="BE329" i="13" s="1"/>
  <c r="AV329" i="13"/>
  <c r="AY329" i="13" s="1"/>
  <c r="AZ329" i="13" s="1"/>
  <c r="AQ329" i="13"/>
  <c r="AT329" i="13" s="1"/>
  <c r="AU329" i="13" s="1"/>
  <c r="AL329" i="13"/>
  <c r="AO329" i="13" s="1"/>
  <c r="AP329" i="13" s="1"/>
  <c r="CQ328" i="13"/>
  <c r="CO328" i="13"/>
  <c r="BZ328" i="13"/>
  <c r="CC328" i="13" s="1"/>
  <c r="CD328" i="13" s="1"/>
  <c r="BU328" i="13"/>
  <c r="BX328" i="13" s="1"/>
  <c r="BY328" i="13" s="1"/>
  <c r="BP328" i="13"/>
  <c r="BS328" i="13" s="1"/>
  <c r="BT328" i="13" s="1"/>
  <c r="BK328" i="13"/>
  <c r="BN328" i="13" s="1"/>
  <c r="BO328" i="13" s="1"/>
  <c r="BF328" i="13"/>
  <c r="BI328" i="13" s="1"/>
  <c r="BJ328" i="13" s="1"/>
  <c r="BA328" i="13"/>
  <c r="BD328" i="13" s="1"/>
  <c r="BE328" i="13" s="1"/>
  <c r="AV328" i="13"/>
  <c r="AY328" i="13" s="1"/>
  <c r="AZ328" i="13" s="1"/>
  <c r="AQ328" i="13"/>
  <c r="AT328" i="13" s="1"/>
  <c r="AU328" i="13" s="1"/>
  <c r="AL328" i="13"/>
  <c r="AO328" i="13" s="1"/>
  <c r="AP328" i="13" s="1"/>
  <c r="CQ327" i="13"/>
  <c r="CO327" i="13"/>
  <c r="BZ327" i="13"/>
  <c r="CC327" i="13" s="1"/>
  <c r="CD327" i="13" s="1"/>
  <c r="BU327" i="13"/>
  <c r="BX327" i="13" s="1"/>
  <c r="BY327" i="13" s="1"/>
  <c r="BP327" i="13"/>
  <c r="BS327" i="13" s="1"/>
  <c r="BT327" i="13" s="1"/>
  <c r="BK327" i="13"/>
  <c r="BN327" i="13" s="1"/>
  <c r="BO327" i="13" s="1"/>
  <c r="BF327" i="13"/>
  <c r="BI327" i="13" s="1"/>
  <c r="BJ327" i="13" s="1"/>
  <c r="BA327" i="13"/>
  <c r="BD327" i="13" s="1"/>
  <c r="BE327" i="13" s="1"/>
  <c r="AV327" i="13"/>
  <c r="AY327" i="13" s="1"/>
  <c r="AZ327" i="13" s="1"/>
  <c r="AQ327" i="13"/>
  <c r="AT327" i="13" s="1"/>
  <c r="AU327" i="13" s="1"/>
  <c r="AL327" i="13"/>
  <c r="AO327" i="13" s="1"/>
  <c r="AP327" i="13" s="1"/>
  <c r="CQ326" i="13"/>
  <c r="CO326" i="13"/>
  <c r="BZ326" i="13"/>
  <c r="CC326" i="13" s="1"/>
  <c r="CD326" i="13" s="1"/>
  <c r="BU326" i="13"/>
  <c r="BX326" i="13" s="1"/>
  <c r="BY326" i="13" s="1"/>
  <c r="BP326" i="13"/>
  <c r="BS326" i="13" s="1"/>
  <c r="BT326" i="13" s="1"/>
  <c r="BK326" i="13"/>
  <c r="BN326" i="13" s="1"/>
  <c r="BO326" i="13" s="1"/>
  <c r="BF326" i="13"/>
  <c r="BI326" i="13" s="1"/>
  <c r="BJ326" i="13" s="1"/>
  <c r="BA326" i="13"/>
  <c r="BD326" i="13" s="1"/>
  <c r="BE326" i="13" s="1"/>
  <c r="AV326" i="13"/>
  <c r="AY326" i="13" s="1"/>
  <c r="AZ326" i="13" s="1"/>
  <c r="AQ326" i="13"/>
  <c r="AT326" i="13" s="1"/>
  <c r="AU326" i="13" s="1"/>
  <c r="AL326" i="13"/>
  <c r="AO326" i="13" s="1"/>
  <c r="AP326" i="13" s="1"/>
  <c r="CQ324" i="13"/>
  <c r="CO324" i="13"/>
  <c r="BZ324" i="13"/>
  <c r="CC324" i="13" s="1"/>
  <c r="CD324" i="13" s="1"/>
  <c r="BU324" i="13"/>
  <c r="BX324" i="13" s="1"/>
  <c r="BY324" i="13" s="1"/>
  <c r="BP324" i="13"/>
  <c r="BS324" i="13" s="1"/>
  <c r="BT324" i="13" s="1"/>
  <c r="BK324" i="13"/>
  <c r="BN324" i="13" s="1"/>
  <c r="BO324" i="13" s="1"/>
  <c r="BF324" i="13"/>
  <c r="BI324" i="13" s="1"/>
  <c r="BJ324" i="13" s="1"/>
  <c r="BA324" i="13"/>
  <c r="BD324" i="13" s="1"/>
  <c r="BE324" i="13" s="1"/>
  <c r="AV324" i="13"/>
  <c r="AY324" i="13" s="1"/>
  <c r="AZ324" i="13" s="1"/>
  <c r="AQ324" i="13"/>
  <c r="AT324" i="13" s="1"/>
  <c r="AU324" i="13" s="1"/>
  <c r="AL324" i="13"/>
  <c r="AO324" i="13" s="1"/>
  <c r="AP324" i="13" s="1"/>
  <c r="CQ323" i="13"/>
  <c r="CO323" i="13"/>
  <c r="BZ323" i="13"/>
  <c r="CC323" i="13" s="1"/>
  <c r="CD323" i="13" s="1"/>
  <c r="BU323" i="13"/>
  <c r="BX323" i="13" s="1"/>
  <c r="BY323" i="13" s="1"/>
  <c r="BP323" i="13"/>
  <c r="BS323" i="13" s="1"/>
  <c r="BT323" i="13" s="1"/>
  <c r="BK323" i="13"/>
  <c r="BN323" i="13" s="1"/>
  <c r="BO323" i="13" s="1"/>
  <c r="BF323" i="13"/>
  <c r="BI323" i="13" s="1"/>
  <c r="BJ323" i="13" s="1"/>
  <c r="BA323" i="13"/>
  <c r="BD323" i="13" s="1"/>
  <c r="BE323" i="13" s="1"/>
  <c r="AV323" i="13"/>
  <c r="AY323" i="13" s="1"/>
  <c r="AZ323" i="13" s="1"/>
  <c r="AQ323" i="13"/>
  <c r="AT323" i="13" s="1"/>
  <c r="AU323" i="13" s="1"/>
  <c r="AL323" i="13"/>
  <c r="AO323" i="13" s="1"/>
  <c r="AP323" i="13" s="1"/>
  <c r="CQ322" i="13"/>
  <c r="CO322" i="13"/>
  <c r="BZ322" i="13"/>
  <c r="CC322" i="13" s="1"/>
  <c r="CD322" i="13" s="1"/>
  <c r="BU322" i="13"/>
  <c r="BX322" i="13" s="1"/>
  <c r="BY322" i="13" s="1"/>
  <c r="BP322" i="13"/>
  <c r="BS322" i="13" s="1"/>
  <c r="BT322" i="13" s="1"/>
  <c r="BK322" i="13"/>
  <c r="BN322" i="13" s="1"/>
  <c r="BO322" i="13" s="1"/>
  <c r="BF322" i="13"/>
  <c r="BI322" i="13" s="1"/>
  <c r="BJ322" i="13" s="1"/>
  <c r="BA322" i="13"/>
  <c r="BD322" i="13" s="1"/>
  <c r="BE322" i="13" s="1"/>
  <c r="AV322" i="13"/>
  <c r="AY322" i="13" s="1"/>
  <c r="AZ322" i="13" s="1"/>
  <c r="AQ322" i="13"/>
  <c r="AT322" i="13" s="1"/>
  <c r="AU322" i="13" s="1"/>
  <c r="AL322" i="13"/>
  <c r="AO322" i="13" s="1"/>
  <c r="AP322" i="13" s="1"/>
  <c r="CQ321" i="13"/>
  <c r="CO321" i="13"/>
  <c r="BZ321" i="13"/>
  <c r="CC321" i="13" s="1"/>
  <c r="CD321" i="13" s="1"/>
  <c r="BU321" i="13"/>
  <c r="BX321" i="13" s="1"/>
  <c r="BY321" i="13" s="1"/>
  <c r="BP321" i="13"/>
  <c r="BS321" i="13" s="1"/>
  <c r="BT321" i="13" s="1"/>
  <c r="BK321" i="13"/>
  <c r="BN321" i="13" s="1"/>
  <c r="BO321" i="13" s="1"/>
  <c r="BF321" i="13"/>
  <c r="BI321" i="13" s="1"/>
  <c r="BJ321" i="13" s="1"/>
  <c r="BA321" i="13"/>
  <c r="BD321" i="13" s="1"/>
  <c r="BE321" i="13" s="1"/>
  <c r="AV321" i="13"/>
  <c r="AY321" i="13" s="1"/>
  <c r="AZ321" i="13" s="1"/>
  <c r="AQ321" i="13"/>
  <c r="AT321" i="13" s="1"/>
  <c r="AU321" i="13" s="1"/>
  <c r="AL321" i="13"/>
  <c r="AO321" i="13" s="1"/>
  <c r="AP321" i="13" s="1"/>
  <c r="CQ320" i="13"/>
  <c r="CO320" i="13"/>
  <c r="BZ320" i="13"/>
  <c r="CC320" i="13" s="1"/>
  <c r="CD320" i="13" s="1"/>
  <c r="BU320" i="13"/>
  <c r="BX320" i="13" s="1"/>
  <c r="BY320" i="13" s="1"/>
  <c r="BP320" i="13"/>
  <c r="BS320" i="13" s="1"/>
  <c r="BT320" i="13" s="1"/>
  <c r="BK320" i="13"/>
  <c r="BN320" i="13" s="1"/>
  <c r="BO320" i="13" s="1"/>
  <c r="BF320" i="13"/>
  <c r="BI320" i="13" s="1"/>
  <c r="BJ320" i="13" s="1"/>
  <c r="BA320" i="13"/>
  <c r="BD320" i="13" s="1"/>
  <c r="BE320" i="13" s="1"/>
  <c r="AV320" i="13"/>
  <c r="AY320" i="13" s="1"/>
  <c r="AZ320" i="13" s="1"/>
  <c r="AQ320" i="13"/>
  <c r="AT320" i="13" s="1"/>
  <c r="AU320" i="13" s="1"/>
  <c r="AL320" i="13"/>
  <c r="AO320" i="13" s="1"/>
  <c r="AP320" i="13" s="1"/>
  <c r="CQ319" i="13"/>
  <c r="CO319" i="13"/>
  <c r="BZ319" i="13"/>
  <c r="CC319" i="13" s="1"/>
  <c r="CD319" i="13" s="1"/>
  <c r="BU319" i="13"/>
  <c r="BX319" i="13" s="1"/>
  <c r="BY319" i="13" s="1"/>
  <c r="BP319" i="13"/>
  <c r="BS319" i="13" s="1"/>
  <c r="BT319" i="13" s="1"/>
  <c r="BK319" i="13"/>
  <c r="BN319" i="13" s="1"/>
  <c r="BO319" i="13" s="1"/>
  <c r="BF319" i="13"/>
  <c r="BI319" i="13" s="1"/>
  <c r="BJ319" i="13" s="1"/>
  <c r="BA319" i="13"/>
  <c r="BD319" i="13" s="1"/>
  <c r="BE319" i="13" s="1"/>
  <c r="AV319" i="13"/>
  <c r="AY319" i="13" s="1"/>
  <c r="AZ319" i="13" s="1"/>
  <c r="AQ319" i="13"/>
  <c r="AT319" i="13" s="1"/>
  <c r="AU319" i="13" s="1"/>
  <c r="AL319" i="13"/>
  <c r="AO319" i="13" s="1"/>
  <c r="AP319" i="13" s="1"/>
  <c r="CQ318" i="13"/>
  <c r="CO318" i="13"/>
  <c r="BZ318" i="13"/>
  <c r="CC318" i="13" s="1"/>
  <c r="CD318" i="13" s="1"/>
  <c r="BU318" i="13"/>
  <c r="BX318" i="13" s="1"/>
  <c r="BY318" i="13" s="1"/>
  <c r="BP318" i="13"/>
  <c r="BS318" i="13" s="1"/>
  <c r="BT318" i="13" s="1"/>
  <c r="BK318" i="13"/>
  <c r="BN318" i="13" s="1"/>
  <c r="BO318" i="13" s="1"/>
  <c r="BF318" i="13"/>
  <c r="BI318" i="13" s="1"/>
  <c r="BJ318" i="13" s="1"/>
  <c r="BA318" i="13"/>
  <c r="BD318" i="13" s="1"/>
  <c r="BE318" i="13" s="1"/>
  <c r="AV318" i="13"/>
  <c r="AY318" i="13" s="1"/>
  <c r="AZ318" i="13" s="1"/>
  <c r="AQ318" i="13"/>
  <c r="AT318" i="13" s="1"/>
  <c r="AU318" i="13" s="1"/>
  <c r="AL318" i="13"/>
  <c r="AO318" i="13" s="1"/>
  <c r="AP318" i="13" s="1"/>
  <c r="CQ317" i="13"/>
  <c r="CO317" i="13"/>
  <c r="BZ317" i="13"/>
  <c r="CC317" i="13" s="1"/>
  <c r="CD317" i="13" s="1"/>
  <c r="BU317" i="13"/>
  <c r="BX317" i="13" s="1"/>
  <c r="BY317" i="13" s="1"/>
  <c r="BP317" i="13"/>
  <c r="BS317" i="13" s="1"/>
  <c r="BT317" i="13" s="1"/>
  <c r="BK317" i="13"/>
  <c r="BN317" i="13" s="1"/>
  <c r="BO317" i="13" s="1"/>
  <c r="BF317" i="13"/>
  <c r="BI317" i="13" s="1"/>
  <c r="BJ317" i="13" s="1"/>
  <c r="BA317" i="13"/>
  <c r="BD317" i="13" s="1"/>
  <c r="BE317" i="13" s="1"/>
  <c r="AV317" i="13"/>
  <c r="AY317" i="13" s="1"/>
  <c r="AZ317" i="13" s="1"/>
  <c r="AQ317" i="13"/>
  <c r="AT317" i="13" s="1"/>
  <c r="AU317" i="13" s="1"/>
  <c r="AL317" i="13"/>
  <c r="AO317" i="13" s="1"/>
  <c r="AP317" i="13" s="1"/>
  <c r="CQ316" i="13"/>
  <c r="CO316" i="13"/>
  <c r="BZ316" i="13"/>
  <c r="CC316" i="13" s="1"/>
  <c r="CD316" i="13" s="1"/>
  <c r="BU316" i="13"/>
  <c r="BX316" i="13" s="1"/>
  <c r="BY316" i="13" s="1"/>
  <c r="BP316" i="13"/>
  <c r="BS316" i="13" s="1"/>
  <c r="BT316" i="13" s="1"/>
  <c r="BK316" i="13"/>
  <c r="BN316" i="13" s="1"/>
  <c r="BO316" i="13" s="1"/>
  <c r="BF316" i="13"/>
  <c r="BI316" i="13" s="1"/>
  <c r="BJ316" i="13" s="1"/>
  <c r="BA316" i="13"/>
  <c r="BD316" i="13" s="1"/>
  <c r="BE316" i="13" s="1"/>
  <c r="AV316" i="13"/>
  <c r="AY316" i="13" s="1"/>
  <c r="AZ316" i="13" s="1"/>
  <c r="AQ316" i="13"/>
  <c r="AT316" i="13" s="1"/>
  <c r="AU316" i="13" s="1"/>
  <c r="AL316" i="13"/>
  <c r="AO316" i="13" s="1"/>
  <c r="AP316" i="13" s="1"/>
  <c r="CQ315" i="13"/>
  <c r="CO315" i="13"/>
  <c r="BZ315" i="13"/>
  <c r="CC315" i="13" s="1"/>
  <c r="CD315" i="13" s="1"/>
  <c r="BU315" i="13"/>
  <c r="BX315" i="13" s="1"/>
  <c r="BY315" i="13" s="1"/>
  <c r="BP315" i="13"/>
  <c r="BS315" i="13" s="1"/>
  <c r="BT315" i="13" s="1"/>
  <c r="BK315" i="13"/>
  <c r="BN315" i="13" s="1"/>
  <c r="BO315" i="13" s="1"/>
  <c r="BF315" i="13"/>
  <c r="BI315" i="13" s="1"/>
  <c r="BJ315" i="13" s="1"/>
  <c r="BA315" i="13"/>
  <c r="BD315" i="13" s="1"/>
  <c r="BE315" i="13" s="1"/>
  <c r="AV315" i="13"/>
  <c r="AY315" i="13" s="1"/>
  <c r="AZ315" i="13" s="1"/>
  <c r="AQ315" i="13"/>
  <c r="AT315" i="13" s="1"/>
  <c r="AU315" i="13" s="1"/>
  <c r="AL315" i="13"/>
  <c r="AO315" i="13" s="1"/>
  <c r="AP315" i="13" s="1"/>
  <c r="CQ314" i="13"/>
  <c r="CO314" i="13"/>
  <c r="BZ314" i="13"/>
  <c r="CC314" i="13" s="1"/>
  <c r="CD314" i="13" s="1"/>
  <c r="BU314" i="13"/>
  <c r="BX314" i="13" s="1"/>
  <c r="BY314" i="13" s="1"/>
  <c r="BP314" i="13"/>
  <c r="BS314" i="13" s="1"/>
  <c r="BT314" i="13" s="1"/>
  <c r="BK314" i="13"/>
  <c r="BN314" i="13" s="1"/>
  <c r="BO314" i="13" s="1"/>
  <c r="BF314" i="13"/>
  <c r="BI314" i="13" s="1"/>
  <c r="BJ314" i="13" s="1"/>
  <c r="BA314" i="13"/>
  <c r="BD314" i="13" s="1"/>
  <c r="BE314" i="13" s="1"/>
  <c r="AV314" i="13"/>
  <c r="AY314" i="13" s="1"/>
  <c r="AZ314" i="13" s="1"/>
  <c r="AQ314" i="13"/>
  <c r="AT314" i="13" s="1"/>
  <c r="AU314" i="13" s="1"/>
  <c r="AL314" i="13"/>
  <c r="AO314" i="13" s="1"/>
  <c r="AP314" i="13" s="1"/>
  <c r="CQ313" i="13"/>
  <c r="CO313" i="13"/>
  <c r="BZ313" i="13"/>
  <c r="CC313" i="13" s="1"/>
  <c r="CD313" i="13" s="1"/>
  <c r="BU313" i="13"/>
  <c r="BX313" i="13" s="1"/>
  <c r="BY313" i="13" s="1"/>
  <c r="BP313" i="13"/>
  <c r="BS313" i="13" s="1"/>
  <c r="BT313" i="13" s="1"/>
  <c r="BK313" i="13"/>
  <c r="BN313" i="13" s="1"/>
  <c r="BO313" i="13" s="1"/>
  <c r="BF313" i="13"/>
  <c r="BI313" i="13" s="1"/>
  <c r="BJ313" i="13" s="1"/>
  <c r="BA313" i="13"/>
  <c r="BD313" i="13" s="1"/>
  <c r="BE313" i="13" s="1"/>
  <c r="AV313" i="13"/>
  <c r="AY313" i="13" s="1"/>
  <c r="AZ313" i="13" s="1"/>
  <c r="AQ313" i="13"/>
  <c r="AT313" i="13" s="1"/>
  <c r="AU313" i="13" s="1"/>
  <c r="AL313" i="13"/>
  <c r="AO313" i="13" s="1"/>
  <c r="AP313" i="13" s="1"/>
  <c r="CQ312" i="13"/>
  <c r="CO312" i="13"/>
  <c r="BZ312" i="13"/>
  <c r="CC312" i="13" s="1"/>
  <c r="CD312" i="13" s="1"/>
  <c r="BU312" i="13"/>
  <c r="BX312" i="13" s="1"/>
  <c r="BY312" i="13" s="1"/>
  <c r="BP312" i="13"/>
  <c r="BS312" i="13" s="1"/>
  <c r="BT312" i="13" s="1"/>
  <c r="BK312" i="13"/>
  <c r="BN312" i="13" s="1"/>
  <c r="BO312" i="13" s="1"/>
  <c r="BF312" i="13"/>
  <c r="BI312" i="13" s="1"/>
  <c r="BJ312" i="13" s="1"/>
  <c r="BA312" i="13"/>
  <c r="BD312" i="13" s="1"/>
  <c r="BE312" i="13" s="1"/>
  <c r="AV312" i="13"/>
  <c r="AY312" i="13" s="1"/>
  <c r="AZ312" i="13" s="1"/>
  <c r="AQ312" i="13"/>
  <c r="AT312" i="13" s="1"/>
  <c r="AU312" i="13" s="1"/>
  <c r="AL312" i="13"/>
  <c r="AO312" i="13" s="1"/>
  <c r="AP312" i="13" s="1"/>
  <c r="CQ311" i="13"/>
  <c r="CO311" i="13"/>
  <c r="BZ311" i="13"/>
  <c r="CC311" i="13" s="1"/>
  <c r="CD311" i="13" s="1"/>
  <c r="BU311" i="13"/>
  <c r="BX311" i="13" s="1"/>
  <c r="BY311" i="13" s="1"/>
  <c r="BP311" i="13"/>
  <c r="BS311" i="13" s="1"/>
  <c r="BT311" i="13" s="1"/>
  <c r="BK311" i="13"/>
  <c r="BN311" i="13" s="1"/>
  <c r="BO311" i="13" s="1"/>
  <c r="BF311" i="13"/>
  <c r="BI311" i="13" s="1"/>
  <c r="BJ311" i="13" s="1"/>
  <c r="BA311" i="13"/>
  <c r="BD311" i="13" s="1"/>
  <c r="BE311" i="13" s="1"/>
  <c r="AV311" i="13"/>
  <c r="AY311" i="13" s="1"/>
  <c r="AZ311" i="13" s="1"/>
  <c r="AQ311" i="13"/>
  <c r="AT311" i="13" s="1"/>
  <c r="AU311" i="13" s="1"/>
  <c r="AL311" i="13"/>
  <c r="AO311" i="13" s="1"/>
  <c r="AP311" i="13" s="1"/>
  <c r="CQ310" i="13"/>
  <c r="CO310" i="13"/>
  <c r="BZ310" i="13"/>
  <c r="CC310" i="13" s="1"/>
  <c r="CD310" i="13" s="1"/>
  <c r="BU310" i="13"/>
  <c r="BX310" i="13" s="1"/>
  <c r="BY310" i="13" s="1"/>
  <c r="BP310" i="13"/>
  <c r="BS310" i="13" s="1"/>
  <c r="BT310" i="13" s="1"/>
  <c r="BK310" i="13"/>
  <c r="BN310" i="13" s="1"/>
  <c r="BO310" i="13" s="1"/>
  <c r="BF310" i="13"/>
  <c r="BI310" i="13" s="1"/>
  <c r="BJ310" i="13" s="1"/>
  <c r="BA310" i="13"/>
  <c r="BD310" i="13" s="1"/>
  <c r="BE310" i="13" s="1"/>
  <c r="AV310" i="13"/>
  <c r="AY310" i="13" s="1"/>
  <c r="AZ310" i="13" s="1"/>
  <c r="AQ310" i="13"/>
  <c r="AT310" i="13" s="1"/>
  <c r="AU310" i="13" s="1"/>
  <c r="AL310" i="13"/>
  <c r="AO310" i="13" s="1"/>
  <c r="AP310" i="13" s="1"/>
  <c r="CQ309" i="13"/>
  <c r="CO309" i="13"/>
  <c r="BZ309" i="13"/>
  <c r="CC309" i="13" s="1"/>
  <c r="CD309" i="13" s="1"/>
  <c r="BU309" i="13"/>
  <c r="BX309" i="13" s="1"/>
  <c r="BY309" i="13" s="1"/>
  <c r="BP309" i="13"/>
  <c r="BS309" i="13" s="1"/>
  <c r="BT309" i="13" s="1"/>
  <c r="BK309" i="13"/>
  <c r="BN309" i="13" s="1"/>
  <c r="BO309" i="13" s="1"/>
  <c r="BF309" i="13"/>
  <c r="BI309" i="13" s="1"/>
  <c r="BJ309" i="13" s="1"/>
  <c r="BA309" i="13"/>
  <c r="BD309" i="13" s="1"/>
  <c r="BE309" i="13" s="1"/>
  <c r="AV309" i="13"/>
  <c r="AY309" i="13" s="1"/>
  <c r="AZ309" i="13" s="1"/>
  <c r="AQ309" i="13"/>
  <c r="AT309" i="13" s="1"/>
  <c r="AU309" i="13" s="1"/>
  <c r="AL309" i="13"/>
  <c r="AO309" i="13" s="1"/>
  <c r="AP309" i="13" s="1"/>
  <c r="CQ308" i="13"/>
  <c r="CO308" i="13"/>
  <c r="BZ308" i="13"/>
  <c r="CC308" i="13" s="1"/>
  <c r="CD308" i="13" s="1"/>
  <c r="BU308" i="13"/>
  <c r="BX308" i="13" s="1"/>
  <c r="BY308" i="13" s="1"/>
  <c r="BP308" i="13"/>
  <c r="BS308" i="13" s="1"/>
  <c r="BT308" i="13" s="1"/>
  <c r="BK308" i="13"/>
  <c r="BN308" i="13" s="1"/>
  <c r="BO308" i="13" s="1"/>
  <c r="BF308" i="13"/>
  <c r="BI308" i="13" s="1"/>
  <c r="BJ308" i="13" s="1"/>
  <c r="BA308" i="13"/>
  <c r="BD308" i="13" s="1"/>
  <c r="BE308" i="13" s="1"/>
  <c r="AV308" i="13"/>
  <c r="AY308" i="13" s="1"/>
  <c r="AZ308" i="13" s="1"/>
  <c r="AQ308" i="13"/>
  <c r="AT308" i="13" s="1"/>
  <c r="AU308" i="13" s="1"/>
  <c r="AL308" i="13"/>
  <c r="AO308" i="13" s="1"/>
  <c r="AP308" i="13" s="1"/>
  <c r="CQ307" i="13"/>
  <c r="CO307" i="13"/>
  <c r="BZ307" i="13"/>
  <c r="CC307" i="13" s="1"/>
  <c r="CD307" i="13" s="1"/>
  <c r="BU307" i="13"/>
  <c r="BX307" i="13" s="1"/>
  <c r="BY307" i="13" s="1"/>
  <c r="BP307" i="13"/>
  <c r="BS307" i="13" s="1"/>
  <c r="BT307" i="13" s="1"/>
  <c r="BK307" i="13"/>
  <c r="BN307" i="13" s="1"/>
  <c r="BO307" i="13" s="1"/>
  <c r="BF307" i="13"/>
  <c r="BI307" i="13" s="1"/>
  <c r="BJ307" i="13" s="1"/>
  <c r="BA307" i="13"/>
  <c r="BD307" i="13" s="1"/>
  <c r="BE307" i="13" s="1"/>
  <c r="AV307" i="13"/>
  <c r="AY307" i="13" s="1"/>
  <c r="AZ307" i="13" s="1"/>
  <c r="AQ307" i="13"/>
  <c r="AT307" i="13" s="1"/>
  <c r="AU307" i="13" s="1"/>
  <c r="AL307" i="13"/>
  <c r="AO307" i="13" s="1"/>
  <c r="AP307" i="13" s="1"/>
  <c r="CQ306" i="13"/>
  <c r="CO306" i="13"/>
  <c r="BZ306" i="13"/>
  <c r="CC306" i="13" s="1"/>
  <c r="CD306" i="13" s="1"/>
  <c r="BU306" i="13"/>
  <c r="BX306" i="13" s="1"/>
  <c r="BY306" i="13" s="1"/>
  <c r="BP306" i="13"/>
  <c r="BS306" i="13" s="1"/>
  <c r="BT306" i="13" s="1"/>
  <c r="BK306" i="13"/>
  <c r="BN306" i="13" s="1"/>
  <c r="BO306" i="13" s="1"/>
  <c r="BF306" i="13"/>
  <c r="BI306" i="13" s="1"/>
  <c r="BJ306" i="13" s="1"/>
  <c r="BA306" i="13"/>
  <c r="BD306" i="13" s="1"/>
  <c r="BE306" i="13" s="1"/>
  <c r="AV306" i="13"/>
  <c r="AY306" i="13" s="1"/>
  <c r="AZ306" i="13" s="1"/>
  <c r="AQ306" i="13"/>
  <c r="AT306" i="13" s="1"/>
  <c r="AU306" i="13" s="1"/>
  <c r="AL306" i="13"/>
  <c r="AO306" i="13" s="1"/>
  <c r="AP306" i="13" s="1"/>
  <c r="CQ305" i="13"/>
  <c r="CO305" i="13"/>
  <c r="BZ305" i="13"/>
  <c r="CC305" i="13" s="1"/>
  <c r="CD305" i="13" s="1"/>
  <c r="BU305" i="13"/>
  <c r="BX305" i="13" s="1"/>
  <c r="BY305" i="13" s="1"/>
  <c r="BP305" i="13"/>
  <c r="BS305" i="13" s="1"/>
  <c r="BT305" i="13" s="1"/>
  <c r="BK305" i="13"/>
  <c r="BN305" i="13" s="1"/>
  <c r="BO305" i="13" s="1"/>
  <c r="BF305" i="13"/>
  <c r="BI305" i="13" s="1"/>
  <c r="BJ305" i="13" s="1"/>
  <c r="BA305" i="13"/>
  <c r="BD305" i="13" s="1"/>
  <c r="BE305" i="13" s="1"/>
  <c r="AV305" i="13"/>
  <c r="AY305" i="13" s="1"/>
  <c r="AZ305" i="13" s="1"/>
  <c r="AQ305" i="13"/>
  <c r="AT305" i="13" s="1"/>
  <c r="AU305" i="13" s="1"/>
  <c r="AL305" i="13"/>
  <c r="AO305" i="13" s="1"/>
  <c r="AP305" i="13" s="1"/>
  <c r="CQ304" i="13"/>
  <c r="CO304" i="13"/>
  <c r="BZ304" i="13"/>
  <c r="CC304" i="13" s="1"/>
  <c r="CD304" i="13" s="1"/>
  <c r="BU304" i="13"/>
  <c r="BX304" i="13" s="1"/>
  <c r="BY304" i="13" s="1"/>
  <c r="BP304" i="13"/>
  <c r="BS304" i="13" s="1"/>
  <c r="BT304" i="13" s="1"/>
  <c r="BK304" i="13"/>
  <c r="BN304" i="13" s="1"/>
  <c r="BO304" i="13" s="1"/>
  <c r="BF304" i="13"/>
  <c r="BI304" i="13" s="1"/>
  <c r="BJ304" i="13" s="1"/>
  <c r="BA304" i="13"/>
  <c r="BD304" i="13" s="1"/>
  <c r="BE304" i="13" s="1"/>
  <c r="AV304" i="13"/>
  <c r="AY304" i="13" s="1"/>
  <c r="AZ304" i="13" s="1"/>
  <c r="AQ304" i="13"/>
  <c r="AT304" i="13" s="1"/>
  <c r="AU304" i="13" s="1"/>
  <c r="AL304" i="13"/>
  <c r="AO304" i="13" s="1"/>
  <c r="AP304" i="13" s="1"/>
  <c r="CQ303" i="13"/>
  <c r="CO303" i="13"/>
  <c r="BZ303" i="13"/>
  <c r="CC303" i="13" s="1"/>
  <c r="CD303" i="13" s="1"/>
  <c r="BU303" i="13"/>
  <c r="BX303" i="13" s="1"/>
  <c r="BY303" i="13" s="1"/>
  <c r="BP303" i="13"/>
  <c r="BS303" i="13" s="1"/>
  <c r="BT303" i="13" s="1"/>
  <c r="BK303" i="13"/>
  <c r="BN303" i="13" s="1"/>
  <c r="BO303" i="13" s="1"/>
  <c r="BF303" i="13"/>
  <c r="BI303" i="13" s="1"/>
  <c r="BJ303" i="13" s="1"/>
  <c r="BA303" i="13"/>
  <c r="BD303" i="13" s="1"/>
  <c r="BE303" i="13" s="1"/>
  <c r="AV303" i="13"/>
  <c r="AY303" i="13" s="1"/>
  <c r="AZ303" i="13" s="1"/>
  <c r="AQ303" i="13"/>
  <c r="AT303" i="13" s="1"/>
  <c r="AU303" i="13" s="1"/>
  <c r="AL303" i="13"/>
  <c r="AO303" i="13" s="1"/>
  <c r="AP303" i="13" s="1"/>
  <c r="CQ302" i="13"/>
  <c r="CO302" i="13"/>
  <c r="BZ302" i="13"/>
  <c r="CC302" i="13" s="1"/>
  <c r="CD302" i="13" s="1"/>
  <c r="BU302" i="13"/>
  <c r="BX302" i="13" s="1"/>
  <c r="BY302" i="13" s="1"/>
  <c r="BP302" i="13"/>
  <c r="BS302" i="13" s="1"/>
  <c r="BT302" i="13" s="1"/>
  <c r="BK302" i="13"/>
  <c r="BN302" i="13" s="1"/>
  <c r="BO302" i="13" s="1"/>
  <c r="BF302" i="13"/>
  <c r="BI302" i="13" s="1"/>
  <c r="BJ302" i="13" s="1"/>
  <c r="BA302" i="13"/>
  <c r="BD302" i="13" s="1"/>
  <c r="BE302" i="13" s="1"/>
  <c r="AV302" i="13"/>
  <c r="AY302" i="13" s="1"/>
  <c r="AZ302" i="13" s="1"/>
  <c r="AQ302" i="13"/>
  <c r="AT302" i="13" s="1"/>
  <c r="AU302" i="13" s="1"/>
  <c r="AL302" i="13"/>
  <c r="AO302" i="13" s="1"/>
  <c r="AP302" i="13" s="1"/>
  <c r="CQ301" i="13"/>
  <c r="CO301" i="13"/>
  <c r="BZ301" i="13"/>
  <c r="CC301" i="13" s="1"/>
  <c r="CD301" i="13" s="1"/>
  <c r="BU301" i="13"/>
  <c r="BX301" i="13" s="1"/>
  <c r="BY301" i="13" s="1"/>
  <c r="BP301" i="13"/>
  <c r="BS301" i="13" s="1"/>
  <c r="BT301" i="13" s="1"/>
  <c r="BK301" i="13"/>
  <c r="BN301" i="13" s="1"/>
  <c r="BO301" i="13" s="1"/>
  <c r="BF301" i="13"/>
  <c r="BI301" i="13" s="1"/>
  <c r="BJ301" i="13" s="1"/>
  <c r="BA301" i="13"/>
  <c r="BD301" i="13" s="1"/>
  <c r="BE301" i="13" s="1"/>
  <c r="AV301" i="13"/>
  <c r="AY301" i="13" s="1"/>
  <c r="AZ301" i="13" s="1"/>
  <c r="AQ301" i="13"/>
  <c r="AT301" i="13" s="1"/>
  <c r="AU301" i="13" s="1"/>
  <c r="AL301" i="13"/>
  <c r="AO301" i="13" s="1"/>
  <c r="AP301" i="13" s="1"/>
  <c r="CQ300" i="13"/>
  <c r="CO300" i="13"/>
  <c r="BZ300" i="13"/>
  <c r="CC300" i="13" s="1"/>
  <c r="CD300" i="13" s="1"/>
  <c r="BU300" i="13"/>
  <c r="BX300" i="13" s="1"/>
  <c r="BY300" i="13" s="1"/>
  <c r="BP300" i="13"/>
  <c r="BS300" i="13" s="1"/>
  <c r="BT300" i="13" s="1"/>
  <c r="BK300" i="13"/>
  <c r="BN300" i="13" s="1"/>
  <c r="BO300" i="13" s="1"/>
  <c r="BF300" i="13"/>
  <c r="BI300" i="13" s="1"/>
  <c r="BJ300" i="13" s="1"/>
  <c r="BA300" i="13"/>
  <c r="BD300" i="13" s="1"/>
  <c r="BE300" i="13" s="1"/>
  <c r="AV300" i="13"/>
  <c r="AY300" i="13" s="1"/>
  <c r="AZ300" i="13" s="1"/>
  <c r="AQ300" i="13"/>
  <c r="AT300" i="13" s="1"/>
  <c r="AU300" i="13" s="1"/>
  <c r="AL300" i="13"/>
  <c r="AO300" i="13" s="1"/>
  <c r="AP300" i="13" s="1"/>
  <c r="CQ299" i="13"/>
  <c r="CO299" i="13"/>
  <c r="BZ299" i="13"/>
  <c r="CC299" i="13" s="1"/>
  <c r="CD299" i="13" s="1"/>
  <c r="BU299" i="13"/>
  <c r="BX299" i="13" s="1"/>
  <c r="BY299" i="13" s="1"/>
  <c r="BP299" i="13"/>
  <c r="BS299" i="13" s="1"/>
  <c r="BT299" i="13" s="1"/>
  <c r="BK299" i="13"/>
  <c r="BN299" i="13" s="1"/>
  <c r="BO299" i="13" s="1"/>
  <c r="BF299" i="13"/>
  <c r="BI299" i="13" s="1"/>
  <c r="BJ299" i="13" s="1"/>
  <c r="BA299" i="13"/>
  <c r="BD299" i="13" s="1"/>
  <c r="BE299" i="13" s="1"/>
  <c r="AV299" i="13"/>
  <c r="AY299" i="13" s="1"/>
  <c r="AZ299" i="13" s="1"/>
  <c r="AQ299" i="13"/>
  <c r="AT299" i="13" s="1"/>
  <c r="AU299" i="13" s="1"/>
  <c r="AL299" i="13"/>
  <c r="AO299" i="13" s="1"/>
  <c r="AP299" i="13" s="1"/>
  <c r="CQ298" i="13"/>
  <c r="CO298" i="13"/>
  <c r="BZ298" i="13"/>
  <c r="CC298" i="13" s="1"/>
  <c r="CD298" i="13" s="1"/>
  <c r="BU298" i="13"/>
  <c r="BX298" i="13" s="1"/>
  <c r="BY298" i="13" s="1"/>
  <c r="BP298" i="13"/>
  <c r="BS298" i="13" s="1"/>
  <c r="BT298" i="13" s="1"/>
  <c r="BK298" i="13"/>
  <c r="BN298" i="13" s="1"/>
  <c r="BO298" i="13" s="1"/>
  <c r="BF298" i="13"/>
  <c r="BI298" i="13" s="1"/>
  <c r="BJ298" i="13" s="1"/>
  <c r="BA298" i="13"/>
  <c r="BD298" i="13" s="1"/>
  <c r="BE298" i="13" s="1"/>
  <c r="AV298" i="13"/>
  <c r="AY298" i="13" s="1"/>
  <c r="AZ298" i="13" s="1"/>
  <c r="AQ298" i="13"/>
  <c r="AT298" i="13" s="1"/>
  <c r="AU298" i="13" s="1"/>
  <c r="AL298" i="13"/>
  <c r="AO298" i="13" s="1"/>
  <c r="AP298" i="13" s="1"/>
  <c r="CQ297" i="13"/>
  <c r="CO297" i="13"/>
  <c r="BZ297" i="13"/>
  <c r="CC297" i="13" s="1"/>
  <c r="CD297" i="13" s="1"/>
  <c r="BU297" i="13"/>
  <c r="BX297" i="13" s="1"/>
  <c r="BY297" i="13" s="1"/>
  <c r="BP297" i="13"/>
  <c r="BS297" i="13" s="1"/>
  <c r="BT297" i="13" s="1"/>
  <c r="BK297" i="13"/>
  <c r="BN297" i="13" s="1"/>
  <c r="BO297" i="13" s="1"/>
  <c r="BF297" i="13"/>
  <c r="BI297" i="13" s="1"/>
  <c r="BJ297" i="13" s="1"/>
  <c r="BA297" i="13"/>
  <c r="BD297" i="13" s="1"/>
  <c r="BE297" i="13" s="1"/>
  <c r="AV297" i="13"/>
  <c r="AY297" i="13" s="1"/>
  <c r="AZ297" i="13" s="1"/>
  <c r="AQ297" i="13"/>
  <c r="AT297" i="13" s="1"/>
  <c r="AU297" i="13" s="1"/>
  <c r="AL297" i="13"/>
  <c r="AO297" i="13" s="1"/>
  <c r="AP297" i="13" s="1"/>
  <c r="CQ296" i="13"/>
  <c r="CO296" i="13"/>
  <c r="BZ296" i="13"/>
  <c r="CC296" i="13" s="1"/>
  <c r="CD296" i="13" s="1"/>
  <c r="BU296" i="13"/>
  <c r="BX296" i="13" s="1"/>
  <c r="BY296" i="13" s="1"/>
  <c r="BP296" i="13"/>
  <c r="BS296" i="13" s="1"/>
  <c r="BT296" i="13" s="1"/>
  <c r="BK296" i="13"/>
  <c r="BN296" i="13" s="1"/>
  <c r="BO296" i="13" s="1"/>
  <c r="BF296" i="13"/>
  <c r="BI296" i="13" s="1"/>
  <c r="BJ296" i="13" s="1"/>
  <c r="BA296" i="13"/>
  <c r="BD296" i="13" s="1"/>
  <c r="BE296" i="13" s="1"/>
  <c r="AV296" i="13"/>
  <c r="AY296" i="13" s="1"/>
  <c r="AZ296" i="13" s="1"/>
  <c r="AQ296" i="13"/>
  <c r="AT296" i="13" s="1"/>
  <c r="AU296" i="13" s="1"/>
  <c r="AL296" i="13"/>
  <c r="AO296" i="13" s="1"/>
  <c r="AP296" i="13" s="1"/>
  <c r="CQ294" i="13"/>
  <c r="CO294" i="13"/>
  <c r="BZ294" i="13"/>
  <c r="CC294" i="13" s="1"/>
  <c r="CD294" i="13" s="1"/>
  <c r="BU294" i="13"/>
  <c r="BX294" i="13" s="1"/>
  <c r="BY294" i="13" s="1"/>
  <c r="BP294" i="13"/>
  <c r="BS294" i="13" s="1"/>
  <c r="BT294" i="13" s="1"/>
  <c r="BK294" i="13"/>
  <c r="BN294" i="13" s="1"/>
  <c r="BO294" i="13" s="1"/>
  <c r="BF294" i="13"/>
  <c r="BI294" i="13" s="1"/>
  <c r="BJ294" i="13" s="1"/>
  <c r="BA294" i="13"/>
  <c r="BD294" i="13" s="1"/>
  <c r="BE294" i="13" s="1"/>
  <c r="AV294" i="13"/>
  <c r="AY294" i="13" s="1"/>
  <c r="AZ294" i="13" s="1"/>
  <c r="AQ294" i="13"/>
  <c r="AT294" i="13" s="1"/>
  <c r="AU294" i="13" s="1"/>
  <c r="AL294" i="13"/>
  <c r="AO294" i="13" s="1"/>
  <c r="AP294" i="13" s="1"/>
  <c r="CQ293" i="13"/>
  <c r="CO293" i="13"/>
  <c r="BZ293" i="13"/>
  <c r="CC293" i="13" s="1"/>
  <c r="CD293" i="13" s="1"/>
  <c r="BU293" i="13"/>
  <c r="BX293" i="13" s="1"/>
  <c r="BY293" i="13" s="1"/>
  <c r="BP293" i="13"/>
  <c r="BS293" i="13" s="1"/>
  <c r="BT293" i="13" s="1"/>
  <c r="BK293" i="13"/>
  <c r="BN293" i="13" s="1"/>
  <c r="BO293" i="13" s="1"/>
  <c r="BF293" i="13"/>
  <c r="BI293" i="13" s="1"/>
  <c r="BJ293" i="13" s="1"/>
  <c r="BA293" i="13"/>
  <c r="BD293" i="13" s="1"/>
  <c r="BE293" i="13" s="1"/>
  <c r="AV293" i="13"/>
  <c r="AY293" i="13" s="1"/>
  <c r="AZ293" i="13" s="1"/>
  <c r="AQ293" i="13"/>
  <c r="AT293" i="13" s="1"/>
  <c r="AU293" i="13" s="1"/>
  <c r="AL293" i="13"/>
  <c r="AO293" i="13" s="1"/>
  <c r="AP293" i="13" s="1"/>
  <c r="CQ292" i="13"/>
  <c r="CO292" i="13"/>
  <c r="BZ292" i="13"/>
  <c r="CC292" i="13" s="1"/>
  <c r="CD292" i="13" s="1"/>
  <c r="BU292" i="13"/>
  <c r="BX292" i="13" s="1"/>
  <c r="BY292" i="13" s="1"/>
  <c r="BP292" i="13"/>
  <c r="BS292" i="13" s="1"/>
  <c r="BT292" i="13" s="1"/>
  <c r="BK292" i="13"/>
  <c r="BN292" i="13" s="1"/>
  <c r="BO292" i="13" s="1"/>
  <c r="BF292" i="13"/>
  <c r="BI292" i="13" s="1"/>
  <c r="BJ292" i="13" s="1"/>
  <c r="BA292" i="13"/>
  <c r="BD292" i="13" s="1"/>
  <c r="BE292" i="13" s="1"/>
  <c r="AV292" i="13"/>
  <c r="AY292" i="13" s="1"/>
  <c r="AZ292" i="13" s="1"/>
  <c r="AQ292" i="13"/>
  <c r="AT292" i="13" s="1"/>
  <c r="AU292" i="13" s="1"/>
  <c r="AL292" i="13"/>
  <c r="AO292" i="13" s="1"/>
  <c r="AP292" i="13" s="1"/>
  <c r="CQ291" i="13"/>
  <c r="CO291" i="13"/>
  <c r="BZ291" i="13"/>
  <c r="CC291" i="13" s="1"/>
  <c r="CD291" i="13" s="1"/>
  <c r="BU291" i="13"/>
  <c r="BX291" i="13" s="1"/>
  <c r="BY291" i="13" s="1"/>
  <c r="BP291" i="13"/>
  <c r="BS291" i="13" s="1"/>
  <c r="BT291" i="13" s="1"/>
  <c r="BK291" i="13"/>
  <c r="BN291" i="13" s="1"/>
  <c r="BO291" i="13" s="1"/>
  <c r="BF291" i="13"/>
  <c r="BI291" i="13" s="1"/>
  <c r="BJ291" i="13" s="1"/>
  <c r="BA291" i="13"/>
  <c r="BD291" i="13" s="1"/>
  <c r="BE291" i="13" s="1"/>
  <c r="AV291" i="13"/>
  <c r="AY291" i="13" s="1"/>
  <c r="AZ291" i="13" s="1"/>
  <c r="AQ291" i="13"/>
  <c r="AT291" i="13" s="1"/>
  <c r="AU291" i="13" s="1"/>
  <c r="AL291" i="13"/>
  <c r="AO291" i="13" s="1"/>
  <c r="AP291" i="13" s="1"/>
  <c r="CQ290" i="13"/>
  <c r="CO290" i="13"/>
  <c r="BZ290" i="13"/>
  <c r="CC290" i="13" s="1"/>
  <c r="CD290" i="13" s="1"/>
  <c r="BU290" i="13"/>
  <c r="BX290" i="13" s="1"/>
  <c r="BY290" i="13" s="1"/>
  <c r="BP290" i="13"/>
  <c r="BS290" i="13" s="1"/>
  <c r="BT290" i="13" s="1"/>
  <c r="BK290" i="13"/>
  <c r="BN290" i="13" s="1"/>
  <c r="BO290" i="13" s="1"/>
  <c r="BF290" i="13"/>
  <c r="BI290" i="13" s="1"/>
  <c r="BJ290" i="13" s="1"/>
  <c r="BA290" i="13"/>
  <c r="BD290" i="13" s="1"/>
  <c r="BE290" i="13" s="1"/>
  <c r="AV290" i="13"/>
  <c r="AY290" i="13" s="1"/>
  <c r="AZ290" i="13" s="1"/>
  <c r="AQ290" i="13"/>
  <c r="AT290" i="13" s="1"/>
  <c r="AU290" i="13" s="1"/>
  <c r="AL290" i="13"/>
  <c r="AO290" i="13" s="1"/>
  <c r="AP290" i="13" s="1"/>
  <c r="CQ288" i="13"/>
  <c r="CO288" i="13"/>
  <c r="BZ288" i="13"/>
  <c r="CC288" i="13" s="1"/>
  <c r="CD288" i="13" s="1"/>
  <c r="BU288" i="13"/>
  <c r="BX288" i="13" s="1"/>
  <c r="BY288" i="13" s="1"/>
  <c r="BP288" i="13"/>
  <c r="BS288" i="13" s="1"/>
  <c r="BT288" i="13" s="1"/>
  <c r="BK288" i="13"/>
  <c r="BN288" i="13" s="1"/>
  <c r="BO288" i="13" s="1"/>
  <c r="BF288" i="13"/>
  <c r="BI288" i="13" s="1"/>
  <c r="BJ288" i="13" s="1"/>
  <c r="BA288" i="13"/>
  <c r="BD288" i="13" s="1"/>
  <c r="BE288" i="13" s="1"/>
  <c r="AV288" i="13"/>
  <c r="AY288" i="13" s="1"/>
  <c r="AZ288" i="13" s="1"/>
  <c r="AQ288" i="13"/>
  <c r="AT288" i="13" s="1"/>
  <c r="AU288" i="13" s="1"/>
  <c r="AL288" i="13"/>
  <c r="AO288" i="13" s="1"/>
  <c r="AP288" i="13" s="1"/>
  <c r="CQ286" i="13"/>
  <c r="CO286" i="13"/>
  <c r="BZ286" i="13"/>
  <c r="CC286" i="13" s="1"/>
  <c r="CD286" i="13" s="1"/>
  <c r="BU286" i="13"/>
  <c r="BX286" i="13" s="1"/>
  <c r="BY286" i="13" s="1"/>
  <c r="BP286" i="13"/>
  <c r="BS286" i="13" s="1"/>
  <c r="BT286" i="13" s="1"/>
  <c r="BK286" i="13"/>
  <c r="BN286" i="13" s="1"/>
  <c r="BO286" i="13" s="1"/>
  <c r="BF286" i="13"/>
  <c r="BI286" i="13" s="1"/>
  <c r="BJ286" i="13" s="1"/>
  <c r="BA286" i="13"/>
  <c r="BD286" i="13" s="1"/>
  <c r="BE286" i="13" s="1"/>
  <c r="AV286" i="13"/>
  <c r="AY286" i="13" s="1"/>
  <c r="AZ286" i="13" s="1"/>
  <c r="AQ286" i="13"/>
  <c r="AT286" i="13" s="1"/>
  <c r="AU286" i="13" s="1"/>
  <c r="AL286" i="13"/>
  <c r="AO286" i="13" s="1"/>
  <c r="AP286" i="13" s="1"/>
  <c r="CQ285" i="13"/>
  <c r="CO285" i="13"/>
  <c r="BZ285" i="13"/>
  <c r="CC285" i="13" s="1"/>
  <c r="CD285" i="13" s="1"/>
  <c r="BU285" i="13"/>
  <c r="BX285" i="13" s="1"/>
  <c r="BY285" i="13" s="1"/>
  <c r="BP285" i="13"/>
  <c r="BS285" i="13" s="1"/>
  <c r="BT285" i="13" s="1"/>
  <c r="BK285" i="13"/>
  <c r="BN285" i="13" s="1"/>
  <c r="BO285" i="13" s="1"/>
  <c r="BF285" i="13"/>
  <c r="BI285" i="13" s="1"/>
  <c r="BJ285" i="13" s="1"/>
  <c r="BA285" i="13"/>
  <c r="BD285" i="13" s="1"/>
  <c r="BE285" i="13" s="1"/>
  <c r="AV285" i="13"/>
  <c r="AY285" i="13" s="1"/>
  <c r="AZ285" i="13" s="1"/>
  <c r="AQ285" i="13"/>
  <c r="AT285" i="13" s="1"/>
  <c r="AU285" i="13" s="1"/>
  <c r="AL285" i="13"/>
  <c r="AO285" i="13" s="1"/>
  <c r="AP285" i="13" s="1"/>
  <c r="CQ284" i="13"/>
  <c r="CO284" i="13"/>
  <c r="BZ284" i="13"/>
  <c r="CC284" i="13" s="1"/>
  <c r="CD284" i="13" s="1"/>
  <c r="BU284" i="13"/>
  <c r="BX284" i="13" s="1"/>
  <c r="BY284" i="13" s="1"/>
  <c r="BP284" i="13"/>
  <c r="BS284" i="13" s="1"/>
  <c r="BT284" i="13" s="1"/>
  <c r="BK284" i="13"/>
  <c r="BN284" i="13" s="1"/>
  <c r="BO284" i="13" s="1"/>
  <c r="BF284" i="13"/>
  <c r="BI284" i="13" s="1"/>
  <c r="BJ284" i="13" s="1"/>
  <c r="BA284" i="13"/>
  <c r="BD284" i="13" s="1"/>
  <c r="BE284" i="13" s="1"/>
  <c r="AV284" i="13"/>
  <c r="AY284" i="13" s="1"/>
  <c r="AZ284" i="13" s="1"/>
  <c r="AQ284" i="13"/>
  <c r="AT284" i="13" s="1"/>
  <c r="AU284" i="13" s="1"/>
  <c r="AL284" i="13"/>
  <c r="AO284" i="13" s="1"/>
  <c r="AP284" i="13" s="1"/>
  <c r="CQ283" i="13"/>
  <c r="CO283" i="13"/>
  <c r="BZ283" i="13"/>
  <c r="CC283" i="13" s="1"/>
  <c r="CD283" i="13" s="1"/>
  <c r="BU283" i="13"/>
  <c r="BX283" i="13" s="1"/>
  <c r="BY283" i="13" s="1"/>
  <c r="BP283" i="13"/>
  <c r="BS283" i="13" s="1"/>
  <c r="BT283" i="13" s="1"/>
  <c r="BK283" i="13"/>
  <c r="BN283" i="13" s="1"/>
  <c r="BO283" i="13" s="1"/>
  <c r="BF283" i="13"/>
  <c r="BI283" i="13" s="1"/>
  <c r="BJ283" i="13" s="1"/>
  <c r="BA283" i="13"/>
  <c r="BD283" i="13" s="1"/>
  <c r="BE283" i="13" s="1"/>
  <c r="AV283" i="13"/>
  <c r="AY283" i="13" s="1"/>
  <c r="AZ283" i="13" s="1"/>
  <c r="AQ283" i="13"/>
  <c r="AT283" i="13" s="1"/>
  <c r="AU283" i="13" s="1"/>
  <c r="AL283" i="13"/>
  <c r="AO283" i="13" s="1"/>
  <c r="AP283" i="13" s="1"/>
  <c r="CQ282" i="13"/>
  <c r="CO282" i="13"/>
  <c r="BZ282" i="13"/>
  <c r="CC282" i="13" s="1"/>
  <c r="CD282" i="13" s="1"/>
  <c r="BU282" i="13"/>
  <c r="BX282" i="13" s="1"/>
  <c r="BY282" i="13" s="1"/>
  <c r="BP282" i="13"/>
  <c r="BS282" i="13" s="1"/>
  <c r="BT282" i="13" s="1"/>
  <c r="BK282" i="13"/>
  <c r="BN282" i="13" s="1"/>
  <c r="BO282" i="13" s="1"/>
  <c r="BF282" i="13"/>
  <c r="BI282" i="13" s="1"/>
  <c r="BJ282" i="13" s="1"/>
  <c r="BA282" i="13"/>
  <c r="BD282" i="13" s="1"/>
  <c r="BE282" i="13" s="1"/>
  <c r="AV282" i="13"/>
  <c r="AY282" i="13" s="1"/>
  <c r="AZ282" i="13" s="1"/>
  <c r="AQ282" i="13"/>
  <c r="AT282" i="13" s="1"/>
  <c r="AU282" i="13" s="1"/>
  <c r="AL282" i="13"/>
  <c r="AO282" i="13" s="1"/>
  <c r="AP282" i="13" s="1"/>
  <c r="CQ280" i="13"/>
  <c r="CO280" i="13"/>
  <c r="BZ280" i="13"/>
  <c r="CC280" i="13" s="1"/>
  <c r="CD280" i="13" s="1"/>
  <c r="BU280" i="13"/>
  <c r="BX280" i="13" s="1"/>
  <c r="BY280" i="13" s="1"/>
  <c r="BP280" i="13"/>
  <c r="BS280" i="13" s="1"/>
  <c r="BT280" i="13" s="1"/>
  <c r="BK280" i="13"/>
  <c r="BN280" i="13" s="1"/>
  <c r="BO280" i="13" s="1"/>
  <c r="BF280" i="13"/>
  <c r="BI280" i="13" s="1"/>
  <c r="BJ280" i="13" s="1"/>
  <c r="BA280" i="13"/>
  <c r="BD280" i="13" s="1"/>
  <c r="BE280" i="13" s="1"/>
  <c r="AV280" i="13"/>
  <c r="AY280" i="13" s="1"/>
  <c r="AZ280" i="13" s="1"/>
  <c r="AQ280" i="13"/>
  <c r="AT280" i="13" s="1"/>
  <c r="AU280" i="13" s="1"/>
  <c r="AL280" i="13"/>
  <c r="AO280" i="13" s="1"/>
  <c r="AP280" i="13" s="1"/>
  <c r="CQ279" i="13"/>
  <c r="CO279" i="13"/>
  <c r="BZ279" i="13"/>
  <c r="CC279" i="13" s="1"/>
  <c r="CD279" i="13" s="1"/>
  <c r="BU279" i="13"/>
  <c r="BX279" i="13" s="1"/>
  <c r="BY279" i="13" s="1"/>
  <c r="BP279" i="13"/>
  <c r="BS279" i="13" s="1"/>
  <c r="BT279" i="13" s="1"/>
  <c r="BK279" i="13"/>
  <c r="BN279" i="13" s="1"/>
  <c r="BO279" i="13" s="1"/>
  <c r="BF279" i="13"/>
  <c r="BI279" i="13" s="1"/>
  <c r="BJ279" i="13" s="1"/>
  <c r="BA279" i="13"/>
  <c r="BD279" i="13" s="1"/>
  <c r="BE279" i="13" s="1"/>
  <c r="AV279" i="13"/>
  <c r="AY279" i="13" s="1"/>
  <c r="AZ279" i="13" s="1"/>
  <c r="AQ279" i="13"/>
  <c r="AT279" i="13" s="1"/>
  <c r="AU279" i="13" s="1"/>
  <c r="AL279" i="13"/>
  <c r="AO279" i="13" s="1"/>
  <c r="AP279" i="13" s="1"/>
  <c r="CQ278" i="13"/>
  <c r="CO278" i="13"/>
  <c r="BZ278" i="13"/>
  <c r="CC278" i="13" s="1"/>
  <c r="CD278" i="13" s="1"/>
  <c r="BU278" i="13"/>
  <c r="BX278" i="13" s="1"/>
  <c r="BY278" i="13" s="1"/>
  <c r="BP278" i="13"/>
  <c r="BS278" i="13" s="1"/>
  <c r="BT278" i="13" s="1"/>
  <c r="BK278" i="13"/>
  <c r="BN278" i="13" s="1"/>
  <c r="BO278" i="13" s="1"/>
  <c r="BF278" i="13"/>
  <c r="BI278" i="13" s="1"/>
  <c r="BJ278" i="13" s="1"/>
  <c r="BA278" i="13"/>
  <c r="BD278" i="13" s="1"/>
  <c r="BE278" i="13" s="1"/>
  <c r="AV278" i="13"/>
  <c r="AY278" i="13" s="1"/>
  <c r="AZ278" i="13" s="1"/>
  <c r="AQ278" i="13"/>
  <c r="AT278" i="13" s="1"/>
  <c r="AU278" i="13" s="1"/>
  <c r="AL278" i="13"/>
  <c r="AO278" i="13" s="1"/>
  <c r="AP278" i="13" s="1"/>
  <c r="CQ277" i="13"/>
  <c r="CO277" i="13"/>
  <c r="BZ277" i="13"/>
  <c r="CC277" i="13" s="1"/>
  <c r="CD277" i="13" s="1"/>
  <c r="BU277" i="13"/>
  <c r="BX277" i="13" s="1"/>
  <c r="BY277" i="13" s="1"/>
  <c r="BP277" i="13"/>
  <c r="BS277" i="13" s="1"/>
  <c r="BT277" i="13" s="1"/>
  <c r="BK277" i="13"/>
  <c r="BN277" i="13" s="1"/>
  <c r="BO277" i="13" s="1"/>
  <c r="BF277" i="13"/>
  <c r="BI277" i="13" s="1"/>
  <c r="BJ277" i="13" s="1"/>
  <c r="BA277" i="13"/>
  <c r="BD277" i="13" s="1"/>
  <c r="BE277" i="13" s="1"/>
  <c r="AV277" i="13"/>
  <c r="AY277" i="13" s="1"/>
  <c r="AZ277" i="13" s="1"/>
  <c r="AQ277" i="13"/>
  <c r="AT277" i="13" s="1"/>
  <c r="AU277" i="13" s="1"/>
  <c r="AL277" i="13"/>
  <c r="AO277" i="13" s="1"/>
  <c r="AP277" i="13" s="1"/>
  <c r="CQ276" i="13"/>
  <c r="CO276" i="13"/>
  <c r="BZ276" i="13"/>
  <c r="CC276" i="13" s="1"/>
  <c r="CD276" i="13" s="1"/>
  <c r="BU276" i="13"/>
  <c r="BX276" i="13" s="1"/>
  <c r="BY276" i="13" s="1"/>
  <c r="BP276" i="13"/>
  <c r="BS276" i="13" s="1"/>
  <c r="BT276" i="13" s="1"/>
  <c r="BK276" i="13"/>
  <c r="BN276" i="13" s="1"/>
  <c r="BO276" i="13" s="1"/>
  <c r="BF276" i="13"/>
  <c r="BI276" i="13" s="1"/>
  <c r="BJ276" i="13" s="1"/>
  <c r="BA276" i="13"/>
  <c r="BD276" i="13" s="1"/>
  <c r="BE276" i="13" s="1"/>
  <c r="AV276" i="13"/>
  <c r="AY276" i="13" s="1"/>
  <c r="AZ276" i="13" s="1"/>
  <c r="AQ276" i="13"/>
  <c r="AT276" i="13" s="1"/>
  <c r="AU276" i="13" s="1"/>
  <c r="AL276" i="13"/>
  <c r="AO276" i="13" s="1"/>
  <c r="AP276" i="13" s="1"/>
  <c r="CQ273" i="13"/>
  <c r="CO273" i="13"/>
  <c r="BZ273" i="13"/>
  <c r="CC273" i="13" s="1"/>
  <c r="CD273" i="13" s="1"/>
  <c r="BU273" i="13"/>
  <c r="BX273" i="13" s="1"/>
  <c r="BY273" i="13" s="1"/>
  <c r="BP273" i="13"/>
  <c r="BS273" i="13" s="1"/>
  <c r="BT273" i="13" s="1"/>
  <c r="BK273" i="13"/>
  <c r="BN273" i="13" s="1"/>
  <c r="BO273" i="13" s="1"/>
  <c r="BF273" i="13"/>
  <c r="BI273" i="13" s="1"/>
  <c r="BJ273" i="13" s="1"/>
  <c r="BA273" i="13"/>
  <c r="BD273" i="13" s="1"/>
  <c r="BE273" i="13" s="1"/>
  <c r="AV273" i="13"/>
  <c r="AY273" i="13" s="1"/>
  <c r="AZ273" i="13" s="1"/>
  <c r="AQ273" i="13"/>
  <c r="AT273" i="13" s="1"/>
  <c r="AU273" i="13" s="1"/>
  <c r="AL273" i="13"/>
  <c r="AO273" i="13" s="1"/>
  <c r="AP273" i="13" s="1"/>
  <c r="CQ272" i="13"/>
  <c r="CO272" i="13"/>
  <c r="BZ272" i="13"/>
  <c r="CC272" i="13" s="1"/>
  <c r="CD272" i="13" s="1"/>
  <c r="BU272" i="13"/>
  <c r="BX272" i="13" s="1"/>
  <c r="BY272" i="13" s="1"/>
  <c r="BP272" i="13"/>
  <c r="BS272" i="13" s="1"/>
  <c r="BT272" i="13" s="1"/>
  <c r="BK272" i="13"/>
  <c r="BN272" i="13" s="1"/>
  <c r="BO272" i="13" s="1"/>
  <c r="BF272" i="13"/>
  <c r="BI272" i="13" s="1"/>
  <c r="BJ272" i="13" s="1"/>
  <c r="BA272" i="13"/>
  <c r="BD272" i="13" s="1"/>
  <c r="BE272" i="13" s="1"/>
  <c r="AV272" i="13"/>
  <c r="AY272" i="13" s="1"/>
  <c r="AZ272" i="13" s="1"/>
  <c r="AQ272" i="13"/>
  <c r="AT272" i="13" s="1"/>
  <c r="AU272" i="13" s="1"/>
  <c r="AL272" i="13"/>
  <c r="AO272" i="13" s="1"/>
  <c r="AP272" i="13" s="1"/>
  <c r="CQ271" i="13"/>
  <c r="CO271" i="13"/>
  <c r="BZ271" i="13"/>
  <c r="CC271" i="13" s="1"/>
  <c r="CD271" i="13" s="1"/>
  <c r="BU271" i="13"/>
  <c r="BX271" i="13" s="1"/>
  <c r="BY271" i="13" s="1"/>
  <c r="BP271" i="13"/>
  <c r="BS271" i="13" s="1"/>
  <c r="BT271" i="13" s="1"/>
  <c r="BK271" i="13"/>
  <c r="BN271" i="13" s="1"/>
  <c r="BO271" i="13" s="1"/>
  <c r="BF271" i="13"/>
  <c r="BI271" i="13" s="1"/>
  <c r="BJ271" i="13" s="1"/>
  <c r="BA271" i="13"/>
  <c r="BD271" i="13" s="1"/>
  <c r="BE271" i="13" s="1"/>
  <c r="AV271" i="13"/>
  <c r="AY271" i="13" s="1"/>
  <c r="AZ271" i="13" s="1"/>
  <c r="AQ271" i="13"/>
  <c r="AT271" i="13" s="1"/>
  <c r="AU271" i="13" s="1"/>
  <c r="AL271" i="13"/>
  <c r="AO271" i="13" s="1"/>
  <c r="AP271" i="13" s="1"/>
  <c r="CQ270" i="13"/>
  <c r="CO270" i="13"/>
  <c r="BZ270" i="13"/>
  <c r="CC270" i="13" s="1"/>
  <c r="CD270" i="13" s="1"/>
  <c r="BU270" i="13"/>
  <c r="BX270" i="13" s="1"/>
  <c r="BY270" i="13" s="1"/>
  <c r="BP270" i="13"/>
  <c r="BS270" i="13" s="1"/>
  <c r="BT270" i="13" s="1"/>
  <c r="BK270" i="13"/>
  <c r="BN270" i="13" s="1"/>
  <c r="BO270" i="13" s="1"/>
  <c r="BF270" i="13"/>
  <c r="BI270" i="13" s="1"/>
  <c r="BJ270" i="13" s="1"/>
  <c r="BA270" i="13"/>
  <c r="BD270" i="13" s="1"/>
  <c r="BE270" i="13" s="1"/>
  <c r="AV270" i="13"/>
  <c r="AY270" i="13" s="1"/>
  <c r="AZ270" i="13" s="1"/>
  <c r="AQ270" i="13"/>
  <c r="AT270" i="13" s="1"/>
  <c r="AU270" i="13" s="1"/>
  <c r="AL270" i="13"/>
  <c r="AO270" i="13" s="1"/>
  <c r="AP270" i="13" s="1"/>
  <c r="CQ269" i="13"/>
  <c r="CO269" i="13"/>
  <c r="BZ269" i="13"/>
  <c r="CC269" i="13" s="1"/>
  <c r="CD269" i="13" s="1"/>
  <c r="BU269" i="13"/>
  <c r="BX269" i="13" s="1"/>
  <c r="BY269" i="13" s="1"/>
  <c r="BP269" i="13"/>
  <c r="BS269" i="13" s="1"/>
  <c r="BT269" i="13" s="1"/>
  <c r="BK269" i="13"/>
  <c r="BN269" i="13" s="1"/>
  <c r="BO269" i="13" s="1"/>
  <c r="BF269" i="13"/>
  <c r="BI269" i="13" s="1"/>
  <c r="BJ269" i="13" s="1"/>
  <c r="BA269" i="13"/>
  <c r="BD269" i="13" s="1"/>
  <c r="BE269" i="13" s="1"/>
  <c r="AV269" i="13"/>
  <c r="AY269" i="13" s="1"/>
  <c r="AZ269" i="13" s="1"/>
  <c r="AQ269" i="13"/>
  <c r="AT269" i="13" s="1"/>
  <c r="AU269" i="13" s="1"/>
  <c r="AL269" i="13"/>
  <c r="AO269" i="13" s="1"/>
  <c r="AP269" i="13" s="1"/>
  <c r="CQ267" i="13"/>
  <c r="CO267" i="13"/>
  <c r="BZ267" i="13"/>
  <c r="CC267" i="13" s="1"/>
  <c r="CD267" i="13" s="1"/>
  <c r="BU267" i="13"/>
  <c r="BX267" i="13" s="1"/>
  <c r="BY267" i="13" s="1"/>
  <c r="BP267" i="13"/>
  <c r="BS267" i="13" s="1"/>
  <c r="BT267" i="13" s="1"/>
  <c r="BK267" i="13"/>
  <c r="BN267" i="13" s="1"/>
  <c r="BO267" i="13" s="1"/>
  <c r="BF267" i="13"/>
  <c r="BI267" i="13" s="1"/>
  <c r="BJ267" i="13" s="1"/>
  <c r="BA267" i="13"/>
  <c r="BD267" i="13" s="1"/>
  <c r="BE267" i="13" s="1"/>
  <c r="AV267" i="13"/>
  <c r="AY267" i="13" s="1"/>
  <c r="AZ267" i="13" s="1"/>
  <c r="AQ267" i="13"/>
  <c r="AT267" i="13" s="1"/>
  <c r="AU267" i="13" s="1"/>
  <c r="AL267" i="13"/>
  <c r="AO267" i="13" s="1"/>
  <c r="AP267" i="13" s="1"/>
  <c r="CQ266" i="13"/>
  <c r="CO266" i="13"/>
  <c r="BZ266" i="13"/>
  <c r="CC266" i="13" s="1"/>
  <c r="CD266" i="13" s="1"/>
  <c r="BU266" i="13"/>
  <c r="BX266" i="13" s="1"/>
  <c r="BY266" i="13" s="1"/>
  <c r="BP266" i="13"/>
  <c r="BS266" i="13" s="1"/>
  <c r="BT266" i="13" s="1"/>
  <c r="BK266" i="13"/>
  <c r="BN266" i="13" s="1"/>
  <c r="BO266" i="13" s="1"/>
  <c r="BF266" i="13"/>
  <c r="BI266" i="13" s="1"/>
  <c r="BJ266" i="13" s="1"/>
  <c r="BA266" i="13"/>
  <c r="BD266" i="13" s="1"/>
  <c r="BE266" i="13" s="1"/>
  <c r="AV266" i="13"/>
  <c r="AY266" i="13" s="1"/>
  <c r="AZ266" i="13" s="1"/>
  <c r="AQ266" i="13"/>
  <c r="AT266" i="13" s="1"/>
  <c r="AU266" i="13" s="1"/>
  <c r="AL266" i="13"/>
  <c r="AO266" i="13" s="1"/>
  <c r="AP266" i="13" s="1"/>
  <c r="CQ265" i="13"/>
  <c r="CO265" i="13"/>
  <c r="BZ265" i="13"/>
  <c r="CC265" i="13" s="1"/>
  <c r="CD265" i="13" s="1"/>
  <c r="BU265" i="13"/>
  <c r="BX265" i="13" s="1"/>
  <c r="BY265" i="13" s="1"/>
  <c r="BP265" i="13"/>
  <c r="BS265" i="13" s="1"/>
  <c r="BT265" i="13" s="1"/>
  <c r="BK265" i="13"/>
  <c r="BN265" i="13" s="1"/>
  <c r="BO265" i="13" s="1"/>
  <c r="BF265" i="13"/>
  <c r="BI265" i="13" s="1"/>
  <c r="BJ265" i="13" s="1"/>
  <c r="BA265" i="13"/>
  <c r="BD265" i="13" s="1"/>
  <c r="BE265" i="13" s="1"/>
  <c r="AV265" i="13"/>
  <c r="AY265" i="13" s="1"/>
  <c r="AZ265" i="13" s="1"/>
  <c r="AQ265" i="13"/>
  <c r="AT265" i="13" s="1"/>
  <c r="AU265" i="13" s="1"/>
  <c r="AL265" i="13"/>
  <c r="AO265" i="13" s="1"/>
  <c r="AP265" i="13" s="1"/>
  <c r="CQ264" i="13"/>
  <c r="CO264" i="13"/>
  <c r="BZ264" i="13"/>
  <c r="CC264" i="13" s="1"/>
  <c r="CD264" i="13" s="1"/>
  <c r="BU264" i="13"/>
  <c r="BX264" i="13" s="1"/>
  <c r="BY264" i="13" s="1"/>
  <c r="BP264" i="13"/>
  <c r="BS264" i="13" s="1"/>
  <c r="BT264" i="13" s="1"/>
  <c r="BK264" i="13"/>
  <c r="BN264" i="13" s="1"/>
  <c r="BO264" i="13" s="1"/>
  <c r="BF264" i="13"/>
  <c r="BI264" i="13" s="1"/>
  <c r="BJ264" i="13" s="1"/>
  <c r="BA264" i="13"/>
  <c r="BD264" i="13" s="1"/>
  <c r="BE264" i="13" s="1"/>
  <c r="AV264" i="13"/>
  <c r="AY264" i="13" s="1"/>
  <c r="AZ264" i="13" s="1"/>
  <c r="AQ264" i="13"/>
  <c r="AT264" i="13" s="1"/>
  <c r="AU264" i="13" s="1"/>
  <c r="AL264" i="13"/>
  <c r="AO264" i="13" s="1"/>
  <c r="AP264" i="13" s="1"/>
  <c r="CQ263" i="13"/>
  <c r="CO263" i="13"/>
  <c r="BZ263" i="13"/>
  <c r="CC263" i="13" s="1"/>
  <c r="CD263" i="13" s="1"/>
  <c r="BU263" i="13"/>
  <c r="BX263" i="13" s="1"/>
  <c r="BY263" i="13" s="1"/>
  <c r="BP263" i="13"/>
  <c r="BS263" i="13" s="1"/>
  <c r="BT263" i="13" s="1"/>
  <c r="BK263" i="13"/>
  <c r="BN263" i="13" s="1"/>
  <c r="BO263" i="13" s="1"/>
  <c r="BF263" i="13"/>
  <c r="BI263" i="13" s="1"/>
  <c r="BJ263" i="13" s="1"/>
  <c r="BA263" i="13"/>
  <c r="BD263" i="13" s="1"/>
  <c r="BE263" i="13" s="1"/>
  <c r="AV263" i="13"/>
  <c r="AY263" i="13" s="1"/>
  <c r="AZ263" i="13" s="1"/>
  <c r="AQ263" i="13"/>
  <c r="AT263" i="13" s="1"/>
  <c r="AU263" i="13" s="1"/>
  <c r="AL263" i="13"/>
  <c r="AO263" i="13" s="1"/>
  <c r="AP263" i="13" s="1"/>
  <c r="CQ262" i="13"/>
  <c r="CO262" i="13"/>
  <c r="BZ262" i="13"/>
  <c r="CC262" i="13" s="1"/>
  <c r="CD262" i="13" s="1"/>
  <c r="BU262" i="13"/>
  <c r="BX262" i="13" s="1"/>
  <c r="BY262" i="13" s="1"/>
  <c r="BP262" i="13"/>
  <c r="BS262" i="13" s="1"/>
  <c r="BT262" i="13" s="1"/>
  <c r="BK262" i="13"/>
  <c r="BN262" i="13" s="1"/>
  <c r="BO262" i="13" s="1"/>
  <c r="BF262" i="13"/>
  <c r="BI262" i="13" s="1"/>
  <c r="BJ262" i="13" s="1"/>
  <c r="BA262" i="13"/>
  <c r="BD262" i="13" s="1"/>
  <c r="BE262" i="13" s="1"/>
  <c r="AV262" i="13"/>
  <c r="AY262" i="13" s="1"/>
  <c r="AZ262" i="13" s="1"/>
  <c r="AQ262" i="13"/>
  <c r="AT262" i="13" s="1"/>
  <c r="AU262" i="13" s="1"/>
  <c r="AL262" i="13"/>
  <c r="AO262" i="13" s="1"/>
  <c r="AP262" i="13" s="1"/>
  <c r="CQ261" i="13"/>
  <c r="CO261" i="13"/>
  <c r="BZ261" i="13"/>
  <c r="CC261" i="13" s="1"/>
  <c r="CD261" i="13" s="1"/>
  <c r="BU261" i="13"/>
  <c r="BX261" i="13" s="1"/>
  <c r="BY261" i="13" s="1"/>
  <c r="BP261" i="13"/>
  <c r="BS261" i="13" s="1"/>
  <c r="BT261" i="13" s="1"/>
  <c r="BK261" i="13"/>
  <c r="BN261" i="13" s="1"/>
  <c r="BO261" i="13" s="1"/>
  <c r="BF261" i="13"/>
  <c r="BI261" i="13" s="1"/>
  <c r="BJ261" i="13" s="1"/>
  <c r="BA261" i="13"/>
  <c r="BD261" i="13" s="1"/>
  <c r="BE261" i="13" s="1"/>
  <c r="AV261" i="13"/>
  <c r="AY261" i="13" s="1"/>
  <c r="AZ261" i="13" s="1"/>
  <c r="AQ261" i="13"/>
  <c r="AT261" i="13" s="1"/>
  <c r="AU261" i="13" s="1"/>
  <c r="AL261" i="13"/>
  <c r="AO261" i="13" s="1"/>
  <c r="AP261" i="13" s="1"/>
  <c r="CQ260" i="13"/>
  <c r="CO260" i="13"/>
  <c r="BZ260" i="13"/>
  <c r="CC260" i="13" s="1"/>
  <c r="CD260" i="13" s="1"/>
  <c r="BU260" i="13"/>
  <c r="BX260" i="13" s="1"/>
  <c r="BY260" i="13" s="1"/>
  <c r="BP260" i="13"/>
  <c r="BS260" i="13" s="1"/>
  <c r="BT260" i="13" s="1"/>
  <c r="BK260" i="13"/>
  <c r="BN260" i="13" s="1"/>
  <c r="BO260" i="13" s="1"/>
  <c r="BF260" i="13"/>
  <c r="BI260" i="13" s="1"/>
  <c r="BJ260" i="13" s="1"/>
  <c r="BA260" i="13"/>
  <c r="BD260" i="13" s="1"/>
  <c r="BE260" i="13" s="1"/>
  <c r="AV260" i="13"/>
  <c r="AY260" i="13" s="1"/>
  <c r="AZ260" i="13" s="1"/>
  <c r="AQ260" i="13"/>
  <c r="AT260" i="13" s="1"/>
  <c r="AU260" i="13" s="1"/>
  <c r="AL260" i="13"/>
  <c r="AO260" i="13" s="1"/>
  <c r="AP260" i="13" s="1"/>
  <c r="CQ259" i="13"/>
  <c r="CO259" i="13"/>
  <c r="BZ259" i="13"/>
  <c r="CC259" i="13" s="1"/>
  <c r="CD259" i="13" s="1"/>
  <c r="BU259" i="13"/>
  <c r="BX259" i="13" s="1"/>
  <c r="BY259" i="13" s="1"/>
  <c r="BP259" i="13"/>
  <c r="BS259" i="13" s="1"/>
  <c r="BT259" i="13" s="1"/>
  <c r="BK259" i="13"/>
  <c r="BN259" i="13" s="1"/>
  <c r="BO259" i="13" s="1"/>
  <c r="BF259" i="13"/>
  <c r="BI259" i="13" s="1"/>
  <c r="BJ259" i="13" s="1"/>
  <c r="BA259" i="13"/>
  <c r="BD259" i="13" s="1"/>
  <c r="BE259" i="13" s="1"/>
  <c r="AV259" i="13"/>
  <c r="AY259" i="13" s="1"/>
  <c r="AZ259" i="13" s="1"/>
  <c r="AQ259" i="13"/>
  <c r="AT259" i="13" s="1"/>
  <c r="AU259" i="13" s="1"/>
  <c r="AL259" i="13"/>
  <c r="AO259" i="13" s="1"/>
  <c r="AP259" i="13" s="1"/>
  <c r="CQ258" i="13"/>
  <c r="CO258" i="13"/>
  <c r="BZ258" i="13"/>
  <c r="CC258" i="13" s="1"/>
  <c r="CD258" i="13" s="1"/>
  <c r="BU258" i="13"/>
  <c r="BX258" i="13" s="1"/>
  <c r="BY258" i="13" s="1"/>
  <c r="BP258" i="13"/>
  <c r="BS258" i="13" s="1"/>
  <c r="BT258" i="13" s="1"/>
  <c r="BK258" i="13"/>
  <c r="BN258" i="13" s="1"/>
  <c r="BO258" i="13" s="1"/>
  <c r="BF258" i="13"/>
  <c r="BI258" i="13" s="1"/>
  <c r="BJ258" i="13" s="1"/>
  <c r="BA258" i="13"/>
  <c r="BD258" i="13" s="1"/>
  <c r="BE258" i="13" s="1"/>
  <c r="AV258" i="13"/>
  <c r="AY258" i="13" s="1"/>
  <c r="AZ258" i="13" s="1"/>
  <c r="AQ258" i="13"/>
  <c r="AT258" i="13" s="1"/>
  <c r="AU258" i="13" s="1"/>
  <c r="AL258" i="13"/>
  <c r="AO258" i="13" s="1"/>
  <c r="AP258" i="13" s="1"/>
  <c r="CQ257" i="13"/>
  <c r="CO257" i="13"/>
  <c r="BZ257" i="13"/>
  <c r="CC257" i="13" s="1"/>
  <c r="CD257" i="13" s="1"/>
  <c r="BU257" i="13"/>
  <c r="BX257" i="13" s="1"/>
  <c r="BY257" i="13" s="1"/>
  <c r="BP257" i="13"/>
  <c r="BS257" i="13" s="1"/>
  <c r="BT257" i="13" s="1"/>
  <c r="BK257" i="13"/>
  <c r="BN257" i="13" s="1"/>
  <c r="BO257" i="13" s="1"/>
  <c r="BF257" i="13"/>
  <c r="BI257" i="13" s="1"/>
  <c r="BJ257" i="13" s="1"/>
  <c r="BA257" i="13"/>
  <c r="BD257" i="13" s="1"/>
  <c r="BE257" i="13" s="1"/>
  <c r="AV257" i="13"/>
  <c r="AY257" i="13" s="1"/>
  <c r="AZ257" i="13" s="1"/>
  <c r="AQ257" i="13"/>
  <c r="AT257" i="13" s="1"/>
  <c r="AU257" i="13" s="1"/>
  <c r="AL257" i="13"/>
  <c r="AO257" i="13" s="1"/>
  <c r="AP257" i="13" s="1"/>
  <c r="CQ256" i="13"/>
  <c r="CO256" i="13"/>
  <c r="BZ256" i="13"/>
  <c r="CC256" i="13" s="1"/>
  <c r="CD256" i="13" s="1"/>
  <c r="BU256" i="13"/>
  <c r="BX256" i="13" s="1"/>
  <c r="BY256" i="13" s="1"/>
  <c r="BP256" i="13"/>
  <c r="BS256" i="13" s="1"/>
  <c r="BT256" i="13" s="1"/>
  <c r="BK256" i="13"/>
  <c r="BN256" i="13" s="1"/>
  <c r="BO256" i="13" s="1"/>
  <c r="BF256" i="13"/>
  <c r="BI256" i="13" s="1"/>
  <c r="BJ256" i="13" s="1"/>
  <c r="BA256" i="13"/>
  <c r="BD256" i="13" s="1"/>
  <c r="BE256" i="13" s="1"/>
  <c r="AV256" i="13"/>
  <c r="AY256" i="13" s="1"/>
  <c r="AZ256" i="13" s="1"/>
  <c r="AQ256" i="13"/>
  <c r="AT256" i="13" s="1"/>
  <c r="AU256" i="13" s="1"/>
  <c r="AL256" i="13"/>
  <c r="AO256" i="13" s="1"/>
  <c r="AP256" i="13" s="1"/>
  <c r="CQ255" i="13"/>
  <c r="CO255" i="13"/>
  <c r="BZ255" i="13"/>
  <c r="CC255" i="13" s="1"/>
  <c r="CD255" i="13" s="1"/>
  <c r="BU255" i="13"/>
  <c r="BX255" i="13" s="1"/>
  <c r="BY255" i="13" s="1"/>
  <c r="BP255" i="13"/>
  <c r="BS255" i="13" s="1"/>
  <c r="BT255" i="13" s="1"/>
  <c r="BK255" i="13"/>
  <c r="BN255" i="13" s="1"/>
  <c r="BO255" i="13" s="1"/>
  <c r="BF255" i="13"/>
  <c r="BI255" i="13" s="1"/>
  <c r="BJ255" i="13" s="1"/>
  <c r="BA255" i="13"/>
  <c r="BD255" i="13" s="1"/>
  <c r="BE255" i="13" s="1"/>
  <c r="AV255" i="13"/>
  <c r="AY255" i="13" s="1"/>
  <c r="AZ255" i="13" s="1"/>
  <c r="AQ255" i="13"/>
  <c r="AT255" i="13" s="1"/>
  <c r="AU255" i="13" s="1"/>
  <c r="AL255" i="13"/>
  <c r="AO255" i="13" s="1"/>
  <c r="AP255" i="13" s="1"/>
  <c r="CQ254" i="13"/>
  <c r="CO254" i="13"/>
  <c r="BZ254" i="13"/>
  <c r="CC254" i="13" s="1"/>
  <c r="CD254" i="13" s="1"/>
  <c r="BU254" i="13"/>
  <c r="BX254" i="13" s="1"/>
  <c r="BY254" i="13" s="1"/>
  <c r="BP254" i="13"/>
  <c r="BS254" i="13" s="1"/>
  <c r="BT254" i="13" s="1"/>
  <c r="BK254" i="13"/>
  <c r="BN254" i="13" s="1"/>
  <c r="BO254" i="13" s="1"/>
  <c r="BF254" i="13"/>
  <c r="BI254" i="13" s="1"/>
  <c r="BJ254" i="13" s="1"/>
  <c r="BA254" i="13"/>
  <c r="BD254" i="13" s="1"/>
  <c r="BE254" i="13" s="1"/>
  <c r="AV254" i="13"/>
  <c r="AY254" i="13" s="1"/>
  <c r="AZ254" i="13" s="1"/>
  <c r="AQ254" i="13"/>
  <c r="AT254" i="13" s="1"/>
  <c r="AU254" i="13" s="1"/>
  <c r="AL254" i="13"/>
  <c r="AO254" i="13" s="1"/>
  <c r="AP254" i="13" s="1"/>
  <c r="CQ253" i="13"/>
  <c r="CO253" i="13"/>
  <c r="BZ253" i="13"/>
  <c r="CC253" i="13" s="1"/>
  <c r="CD253" i="13" s="1"/>
  <c r="BU253" i="13"/>
  <c r="BX253" i="13" s="1"/>
  <c r="BY253" i="13" s="1"/>
  <c r="BP253" i="13"/>
  <c r="BS253" i="13" s="1"/>
  <c r="BT253" i="13" s="1"/>
  <c r="BK253" i="13"/>
  <c r="BN253" i="13" s="1"/>
  <c r="BO253" i="13" s="1"/>
  <c r="BF253" i="13"/>
  <c r="BI253" i="13" s="1"/>
  <c r="BJ253" i="13" s="1"/>
  <c r="BA253" i="13"/>
  <c r="BD253" i="13" s="1"/>
  <c r="BE253" i="13" s="1"/>
  <c r="AV253" i="13"/>
  <c r="AY253" i="13" s="1"/>
  <c r="AZ253" i="13" s="1"/>
  <c r="AQ253" i="13"/>
  <c r="AT253" i="13" s="1"/>
  <c r="AU253" i="13" s="1"/>
  <c r="AL253" i="13"/>
  <c r="AO253" i="13" s="1"/>
  <c r="AP253" i="13" s="1"/>
  <c r="CQ252" i="13"/>
  <c r="CO252" i="13"/>
  <c r="BZ252" i="13"/>
  <c r="CC252" i="13" s="1"/>
  <c r="CD252" i="13" s="1"/>
  <c r="BU252" i="13"/>
  <c r="BX252" i="13" s="1"/>
  <c r="BY252" i="13" s="1"/>
  <c r="BP252" i="13"/>
  <c r="BS252" i="13" s="1"/>
  <c r="BT252" i="13" s="1"/>
  <c r="BK252" i="13"/>
  <c r="BN252" i="13" s="1"/>
  <c r="BO252" i="13" s="1"/>
  <c r="BF252" i="13"/>
  <c r="BI252" i="13" s="1"/>
  <c r="BJ252" i="13" s="1"/>
  <c r="BA252" i="13"/>
  <c r="BD252" i="13" s="1"/>
  <c r="BE252" i="13" s="1"/>
  <c r="AV252" i="13"/>
  <c r="AY252" i="13" s="1"/>
  <c r="AZ252" i="13" s="1"/>
  <c r="AQ252" i="13"/>
  <c r="AT252" i="13" s="1"/>
  <c r="AU252" i="13" s="1"/>
  <c r="AL252" i="13"/>
  <c r="AO252" i="13" s="1"/>
  <c r="AP252" i="13" s="1"/>
  <c r="CQ251" i="13"/>
  <c r="CO251" i="13"/>
  <c r="BZ251" i="13"/>
  <c r="CC251" i="13" s="1"/>
  <c r="CD251" i="13" s="1"/>
  <c r="BU251" i="13"/>
  <c r="BX251" i="13" s="1"/>
  <c r="BY251" i="13" s="1"/>
  <c r="BP251" i="13"/>
  <c r="BS251" i="13" s="1"/>
  <c r="BT251" i="13" s="1"/>
  <c r="BK251" i="13"/>
  <c r="BN251" i="13" s="1"/>
  <c r="BO251" i="13" s="1"/>
  <c r="BF251" i="13"/>
  <c r="BI251" i="13" s="1"/>
  <c r="BJ251" i="13" s="1"/>
  <c r="BA251" i="13"/>
  <c r="BD251" i="13" s="1"/>
  <c r="BE251" i="13" s="1"/>
  <c r="AV251" i="13"/>
  <c r="AY251" i="13" s="1"/>
  <c r="AZ251" i="13" s="1"/>
  <c r="AQ251" i="13"/>
  <c r="AT251" i="13" s="1"/>
  <c r="AU251" i="13" s="1"/>
  <c r="AL251" i="13"/>
  <c r="AO251" i="13" s="1"/>
  <c r="AP251" i="13" s="1"/>
  <c r="CQ250" i="13"/>
  <c r="CO250" i="13"/>
  <c r="BZ250" i="13"/>
  <c r="CC250" i="13" s="1"/>
  <c r="CD250" i="13" s="1"/>
  <c r="BU250" i="13"/>
  <c r="BX250" i="13" s="1"/>
  <c r="BY250" i="13" s="1"/>
  <c r="BP250" i="13"/>
  <c r="BS250" i="13" s="1"/>
  <c r="BT250" i="13" s="1"/>
  <c r="BK250" i="13"/>
  <c r="BN250" i="13" s="1"/>
  <c r="BO250" i="13" s="1"/>
  <c r="BF250" i="13"/>
  <c r="BI250" i="13" s="1"/>
  <c r="BJ250" i="13" s="1"/>
  <c r="BA250" i="13"/>
  <c r="BD250" i="13" s="1"/>
  <c r="BE250" i="13" s="1"/>
  <c r="AV250" i="13"/>
  <c r="AY250" i="13" s="1"/>
  <c r="AZ250" i="13" s="1"/>
  <c r="AQ250" i="13"/>
  <c r="AT250" i="13" s="1"/>
  <c r="AU250" i="13" s="1"/>
  <c r="AL250" i="13"/>
  <c r="AO250" i="13" s="1"/>
  <c r="AP250" i="13" s="1"/>
  <c r="CQ248" i="13"/>
  <c r="CO248" i="13"/>
  <c r="BZ248" i="13"/>
  <c r="CC248" i="13" s="1"/>
  <c r="CD248" i="13" s="1"/>
  <c r="BU248" i="13"/>
  <c r="BX248" i="13" s="1"/>
  <c r="BY248" i="13" s="1"/>
  <c r="BP248" i="13"/>
  <c r="BS248" i="13" s="1"/>
  <c r="BT248" i="13" s="1"/>
  <c r="BK248" i="13"/>
  <c r="BN248" i="13" s="1"/>
  <c r="BO248" i="13" s="1"/>
  <c r="BF248" i="13"/>
  <c r="BI248" i="13" s="1"/>
  <c r="BJ248" i="13" s="1"/>
  <c r="BA248" i="13"/>
  <c r="BD248" i="13" s="1"/>
  <c r="BE248" i="13" s="1"/>
  <c r="AV248" i="13"/>
  <c r="AY248" i="13" s="1"/>
  <c r="AZ248" i="13" s="1"/>
  <c r="AQ248" i="13"/>
  <c r="AT248" i="13" s="1"/>
  <c r="AU248" i="13" s="1"/>
  <c r="AL248" i="13"/>
  <c r="AO248" i="13" s="1"/>
  <c r="AP248" i="13" s="1"/>
  <c r="CQ247" i="13"/>
  <c r="CO247" i="13"/>
  <c r="BZ247" i="13"/>
  <c r="CC247" i="13" s="1"/>
  <c r="CD247" i="13" s="1"/>
  <c r="BU247" i="13"/>
  <c r="BX247" i="13" s="1"/>
  <c r="BY247" i="13" s="1"/>
  <c r="BP247" i="13"/>
  <c r="BS247" i="13" s="1"/>
  <c r="BT247" i="13" s="1"/>
  <c r="BK247" i="13"/>
  <c r="BN247" i="13" s="1"/>
  <c r="BO247" i="13" s="1"/>
  <c r="BF247" i="13"/>
  <c r="BI247" i="13" s="1"/>
  <c r="BJ247" i="13" s="1"/>
  <c r="BA247" i="13"/>
  <c r="BD247" i="13" s="1"/>
  <c r="BE247" i="13" s="1"/>
  <c r="AV247" i="13"/>
  <c r="AY247" i="13" s="1"/>
  <c r="AZ247" i="13" s="1"/>
  <c r="AQ247" i="13"/>
  <c r="AT247" i="13" s="1"/>
  <c r="AU247" i="13" s="1"/>
  <c r="AL247" i="13"/>
  <c r="AO247" i="13" s="1"/>
  <c r="AP247" i="13" s="1"/>
  <c r="CQ246" i="13"/>
  <c r="CO246" i="13"/>
  <c r="BZ246" i="13"/>
  <c r="CC246" i="13" s="1"/>
  <c r="CD246" i="13" s="1"/>
  <c r="BU246" i="13"/>
  <c r="BX246" i="13" s="1"/>
  <c r="BY246" i="13" s="1"/>
  <c r="BP246" i="13"/>
  <c r="BS246" i="13" s="1"/>
  <c r="BT246" i="13" s="1"/>
  <c r="BK246" i="13"/>
  <c r="BN246" i="13" s="1"/>
  <c r="BO246" i="13" s="1"/>
  <c r="BF246" i="13"/>
  <c r="BI246" i="13" s="1"/>
  <c r="BJ246" i="13" s="1"/>
  <c r="BA246" i="13"/>
  <c r="BD246" i="13" s="1"/>
  <c r="BE246" i="13" s="1"/>
  <c r="AV246" i="13"/>
  <c r="AY246" i="13" s="1"/>
  <c r="AZ246" i="13" s="1"/>
  <c r="AQ246" i="13"/>
  <c r="AT246" i="13" s="1"/>
  <c r="AU246" i="13" s="1"/>
  <c r="AL246" i="13"/>
  <c r="AO246" i="13" s="1"/>
  <c r="AP246" i="13" s="1"/>
  <c r="CQ245" i="13"/>
  <c r="CO245" i="13"/>
  <c r="BZ245" i="13"/>
  <c r="CC245" i="13" s="1"/>
  <c r="CD245" i="13" s="1"/>
  <c r="BU245" i="13"/>
  <c r="BX245" i="13" s="1"/>
  <c r="BY245" i="13" s="1"/>
  <c r="BP245" i="13"/>
  <c r="BS245" i="13" s="1"/>
  <c r="BT245" i="13" s="1"/>
  <c r="BK245" i="13"/>
  <c r="BN245" i="13" s="1"/>
  <c r="BO245" i="13" s="1"/>
  <c r="BF245" i="13"/>
  <c r="BI245" i="13" s="1"/>
  <c r="BJ245" i="13" s="1"/>
  <c r="BA245" i="13"/>
  <c r="BD245" i="13" s="1"/>
  <c r="BE245" i="13" s="1"/>
  <c r="AV245" i="13"/>
  <c r="AY245" i="13" s="1"/>
  <c r="AZ245" i="13" s="1"/>
  <c r="AQ245" i="13"/>
  <c r="AT245" i="13" s="1"/>
  <c r="AU245" i="13" s="1"/>
  <c r="AL245" i="13"/>
  <c r="AO245" i="13" s="1"/>
  <c r="AP245" i="13" s="1"/>
  <c r="CQ244" i="13"/>
  <c r="CO244" i="13"/>
  <c r="BZ244" i="13"/>
  <c r="CC244" i="13" s="1"/>
  <c r="CD244" i="13" s="1"/>
  <c r="BU244" i="13"/>
  <c r="BX244" i="13" s="1"/>
  <c r="BY244" i="13" s="1"/>
  <c r="BP244" i="13"/>
  <c r="BS244" i="13" s="1"/>
  <c r="BT244" i="13" s="1"/>
  <c r="BK244" i="13"/>
  <c r="BN244" i="13" s="1"/>
  <c r="BO244" i="13" s="1"/>
  <c r="BF244" i="13"/>
  <c r="BI244" i="13" s="1"/>
  <c r="BJ244" i="13" s="1"/>
  <c r="BA244" i="13"/>
  <c r="BD244" i="13" s="1"/>
  <c r="BE244" i="13" s="1"/>
  <c r="AV244" i="13"/>
  <c r="AY244" i="13" s="1"/>
  <c r="AZ244" i="13" s="1"/>
  <c r="AQ244" i="13"/>
  <c r="AT244" i="13" s="1"/>
  <c r="AU244" i="13" s="1"/>
  <c r="AL244" i="13"/>
  <c r="AO244" i="13" s="1"/>
  <c r="AP244" i="13" s="1"/>
  <c r="CQ242" i="13"/>
  <c r="CO242" i="13"/>
  <c r="BZ242" i="13"/>
  <c r="CC242" i="13" s="1"/>
  <c r="CD242" i="13" s="1"/>
  <c r="BU242" i="13"/>
  <c r="BX242" i="13" s="1"/>
  <c r="BY242" i="13" s="1"/>
  <c r="BP242" i="13"/>
  <c r="BS242" i="13" s="1"/>
  <c r="BT242" i="13" s="1"/>
  <c r="BK242" i="13"/>
  <c r="BN242" i="13" s="1"/>
  <c r="BO242" i="13" s="1"/>
  <c r="BF242" i="13"/>
  <c r="BI242" i="13" s="1"/>
  <c r="BJ242" i="13" s="1"/>
  <c r="BA242" i="13"/>
  <c r="BD242" i="13" s="1"/>
  <c r="BE242" i="13" s="1"/>
  <c r="AV242" i="13"/>
  <c r="AY242" i="13" s="1"/>
  <c r="AZ242" i="13" s="1"/>
  <c r="AQ242" i="13"/>
  <c r="AT242" i="13" s="1"/>
  <c r="AU242" i="13" s="1"/>
  <c r="AL242" i="13"/>
  <c r="AO242" i="13" s="1"/>
  <c r="AP242" i="13" s="1"/>
  <c r="CQ241" i="13"/>
  <c r="CO241" i="13"/>
  <c r="BZ241" i="13"/>
  <c r="CC241" i="13" s="1"/>
  <c r="CD241" i="13" s="1"/>
  <c r="BU241" i="13"/>
  <c r="BX241" i="13" s="1"/>
  <c r="BY241" i="13" s="1"/>
  <c r="BP241" i="13"/>
  <c r="BS241" i="13" s="1"/>
  <c r="BT241" i="13" s="1"/>
  <c r="BK241" i="13"/>
  <c r="BN241" i="13" s="1"/>
  <c r="BO241" i="13" s="1"/>
  <c r="BF241" i="13"/>
  <c r="BI241" i="13" s="1"/>
  <c r="BJ241" i="13" s="1"/>
  <c r="BA241" i="13"/>
  <c r="BD241" i="13" s="1"/>
  <c r="BE241" i="13" s="1"/>
  <c r="AV241" i="13"/>
  <c r="AY241" i="13" s="1"/>
  <c r="AZ241" i="13" s="1"/>
  <c r="AQ241" i="13"/>
  <c r="AT241" i="13" s="1"/>
  <c r="AU241" i="13" s="1"/>
  <c r="AL241" i="13"/>
  <c r="AO241" i="13" s="1"/>
  <c r="AP241" i="13" s="1"/>
  <c r="CQ240" i="13"/>
  <c r="CO240" i="13"/>
  <c r="BZ240" i="13"/>
  <c r="CC240" i="13" s="1"/>
  <c r="CD240" i="13" s="1"/>
  <c r="BU240" i="13"/>
  <c r="BX240" i="13" s="1"/>
  <c r="BY240" i="13" s="1"/>
  <c r="BP240" i="13"/>
  <c r="BS240" i="13" s="1"/>
  <c r="BT240" i="13" s="1"/>
  <c r="BK240" i="13"/>
  <c r="BN240" i="13" s="1"/>
  <c r="BO240" i="13" s="1"/>
  <c r="BF240" i="13"/>
  <c r="BI240" i="13" s="1"/>
  <c r="BJ240" i="13" s="1"/>
  <c r="BA240" i="13"/>
  <c r="BD240" i="13" s="1"/>
  <c r="BE240" i="13" s="1"/>
  <c r="AV240" i="13"/>
  <c r="AY240" i="13" s="1"/>
  <c r="AZ240" i="13" s="1"/>
  <c r="AQ240" i="13"/>
  <c r="AT240" i="13" s="1"/>
  <c r="AU240" i="13" s="1"/>
  <c r="AL240" i="13"/>
  <c r="AO240" i="13" s="1"/>
  <c r="AP240" i="13" s="1"/>
  <c r="CQ239" i="13"/>
  <c r="CO239" i="13"/>
  <c r="BZ239" i="13"/>
  <c r="CC239" i="13" s="1"/>
  <c r="CD239" i="13" s="1"/>
  <c r="BU239" i="13"/>
  <c r="BX239" i="13" s="1"/>
  <c r="BY239" i="13" s="1"/>
  <c r="BP239" i="13"/>
  <c r="BS239" i="13" s="1"/>
  <c r="BT239" i="13" s="1"/>
  <c r="BK239" i="13"/>
  <c r="BN239" i="13" s="1"/>
  <c r="BO239" i="13" s="1"/>
  <c r="BF239" i="13"/>
  <c r="BI239" i="13" s="1"/>
  <c r="BJ239" i="13" s="1"/>
  <c r="BA239" i="13"/>
  <c r="BD239" i="13" s="1"/>
  <c r="BE239" i="13" s="1"/>
  <c r="AV239" i="13"/>
  <c r="AY239" i="13" s="1"/>
  <c r="AZ239" i="13" s="1"/>
  <c r="AQ239" i="13"/>
  <c r="AT239" i="13" s="1"/>
  <c r="AU239" i="13" s="1"/>
  <c r="AL239" i="13"/>
  <c r="AO239" i="13" s="1"/>
  <c r="AP239" i="13" s="1"/>
  <c r="CQ237" i="13"/>
  <c r="CO237" i="13"/>
  <c r="BZ237" i="13"/>
  <c r="CC237" i="13" s="1"/>
  <c r="CD237" i="13" s="1"/>
  <c r="BU237" i="13"/>
  <c r="BX237" i="13" s="1"/>
  <c r="BY237" i="13" s="1"/>
  <c r="BP237" i="13"/>
  <c r="BS237" i="13" s="1"/>
  <c r="BT237" i="13" s="1"/>
  <c r="BK237" i="13"/>
  <c r="BN237" i="13" s="1"/>
  <c r="BO237" i="13" s="1"/>
  <c r="BF237" i="13"/>
  <c r="BI237" i="13" s="1"/>
  <c r="BJ237" i="13" s="1"/>
  <c r="BA237" i="13"/>
  <c r="BD237" i="13" s="1"/>
  <c r="BE237" i="13" s="1"/>
  <c r="AV237" i="13"/>
  <c r="AY237" i="13" s="1"/>
  <c r="AZ237" i="13" s="1"/>
  <c r="AQ237" i="13"/>
  <c r="AT237" i="13" s="1"/>
  <c r="AU237" i="13" s="1"/>
  <c r="AL237" i="13"/>
  <c r="AO237" i="13" s="1"/>
  <c r="AP237" i="13" s="1"/>
  <c r="CQ236" i="13"/>
  <c r="CO236" i="13"/>
  <c r="BZ236" i="13"/>
  <c r="CC236" i="13" s="1"/>
  <c r="CD236" i="13" s="1"/>
  <c r="BU236" i="13"/>
  <c r="BX236" i="13" s="1"/>
  <c r="BY236" i="13" s="1"/>
  <c r="BP236" i="13"/>
  <c r="BS236" i="13" s="1"/>
  <c r="BT236" i="13" s="1"/>
  <c r="BK236" i="13"/>
  <c r="BN236" i="13" s="1"/>
  <c r="BO236" i="13" s="1"/>
  <c r="BF236" i="13"/>
  <c r="BI236" i="13" s="1"/>
  <c r="BJ236" i="13" s="1"/>
  <c r="BA236" i="13"/>
  <c r="BD236" i="13" s="1"/>
  <c r="BE236" i="13" s="1"/>
  <c r="AV236" i="13"/>
  <c r="AY236" i="13" s="1"/>
  <c r="AZ236" i="13" s="1"/>
  <c r="AQ236" i="13"/>
  <c r="AT236" i="13" s="1"/>
  <c r="AU236" i="13" s="1"/>
  <c r="AL236" i="13"/>
  <c r="AO236" i="13" s="1"/>
  <c r="AP236" i="13" s="1"/>
  <c r="CQ235" i="13"/>
  <c r="CO235" i="13"/>
  <c r="BZ235" i="13"/>
  <c r="CC235" i="13" s="1"/>
  <c r="CD235" i="13" s="1"/>
  <c r="BU235" i="13"/>
  <c r="BX235" i="13" s="1"/>
  <c r="BY235" i="13" s="1"/>
  <c r="BP235" i="13"/>
  <c r="BS235" i="13" s="1"/>
  <c r="BT235" i="13" s="1"/>
  <c r="BK235" i="13"/>
  <c r="BN235" i="13" s="1"/>
  <c r="BO235" i="13" s="1"/>
  <c r="BF235" i="13"/>
  <c r="BI235" i="13" s="1"/>
  <c r="BJ235" i="13" s="1"/>
  <c r="BA235" i="13"/>
  <c r="BD235" i="13" s="1"/>
  <c r="BE235" i="13" s="1"/>
  <c r="AV235" i="13"/>
  <c r="AY235" i="13" s="1"/>
  <c r="AZ235" i="13" s="1"/>
  <c r="AQ235" i="13"/>
  <c r="AT235" i="13" s="1"/>
  <c r="AU235" i="13" s="1"/>
  <c r="AL235" i="13"/>
  <c r="AO235" i="13" s="1"/>
  <c r="AP235" i="13" s="1"/>
  <c r="CQ234" i="13"/>
  <c r="CO234" i="13"/>
  <c r="BZ234" i="13"/>
  <c r="CC234" i="13" s="1"/>
  <c r="CD234" i="13" s="1"/>
  <c r="BU234" i="13"/>
  <c r="BX234" i="13" s="1"/>
  <c r="BY234" i="13" s="1"/>
  <c r="BP234" i="13"/>
  <c r="BS234" i="13" s="1"/>
  <c r="BT234" i="13" s="1"/>
  <c r="BK234" i="13"/>
  <c r="BN234" i="13" s="1"/>
  <c r="BO234" i="13" s="1"/>
  <c r="BF234" i="13"/>
  <c r="BI234" i="13" s="1"/>
  <c r="BJ234" i="13" s="1"/>
  <c r="BA234" i="13"/>
  <c r="BD234" i="13" s="1"/>
  <c r="BE234" i="13" s="1"/>
  <c r="AV234" i="13"/>
  <c r="AY234" i="13" s="1"/>
  <c r="AZ234" i="13" s="1"/>
  <c r="AQ234" i="13"/>
  <c r="AT234" i="13" s="1"/>
  <c r="AU234" i="13" s="1"/>
  <c r="AL234" i="13"/>
  <c r="AO234" i="13" s="1"/>
  <c r="AP234" i="13" s="1"/>
  <c r="CQ233" i="13"/>
  <c r="CO233" i="13"/>
  <c r="BZ233" i="13"/>
  <c r="CC233" i="13" s="1"/>
  <c r="CD233" i="13" s="1"/>
  <c r="BU233" i="13"/>
  <c r="BX233" i="13" s="1"/>
  <c r="BY233" i="13" s="1"/>
  <c r="BP233" i="13"/>
  <c r="BS233" i="13" s="1"/>
  <c r="BT233" i="13" s="1"/>
  <c r="BK233" i="13"/>
  <c r="BN233" i="13" s="1"/>
  <c r="BO233" i="13" s="1"/>
  <c r="BF233" i="13"/>
  <c r="BI233" i="13" s="1"/>
  <c r="BJ233" i="13" s="1"/>
  <c r="BA233" i="13"/>
  <c r="BD233" i="13" s="1"/>
  <c r="BE233" i="13" s="1"/>
  <c r="AV233" i="13"/>
  <c r="AY233" i="13" s="1"/>
  <c r="AZ233" i="13" s="1"/>
  <c r="AQ233" i="13"/>
  <c r="AT233" i="13" s="1"/>
  <c r="AU233" i="13" s="1"/>
  <c r="AL233" i="13"/>
  <c r="AO233" i="13" s="1"/>
  <c r="AP233" i="13" s="1"/>
  <c r="CQ230" i="13"/>
  <c r="CO230" i="13"/>
  <c r="BZ230" i="13"/>
  <c r="CC230" i="13" s="1"/>
  <c r="CD230" i="13" s="1"/>
  <c r="BU230" i="13"/>
  <c r="BX230" i="13" s="1"/>
  <c r="BY230" i="13" s="1"/>
  <c r="BP230" i="13"/>
  <c r="BS230" i="13" s="1"/>
  <c r="BT230" i="13" s="1"/>
  <c r="BK230" i="13"/>
  <c r="BN230" i="13" s="1"/>
  <c r="BO230" i="13" s="1"/>
  <c r="BF230" i="13"/>
  <c r="BI230" i="13" s="1"/>
  <c r="BJ230" i="13" s="1"/>
  <c r="BA230" i="13"/>
  <c r="BD230" i="13" s="1"/>
  <c r="BE230" i="13" s="1"/>
  <c r="AV230" i="13"/>
  <c r="AY230" i="13" s="1"/>
  <c r="AZ230" i="13" s="1"/>
  <c r="AQ230" i="13"/>
  <c r="AT230" i="13" s="1"/>
  <c r="AU230" i="13" s="1"/>
  <c r="AL230" i="13"/>
  <c r="AO230" i="13" s="1"/>
  <c r="AP230" i="13" s="1"/>
  <c r="CQ229" i="13"/>
  <c r="CO229" i="13"/>
  <c r="BZ229" i="13"/>
  <c r="CC229" i="13" s="1"/>
  <c r="CD229" i="13" s="1"/>
  <c r="BU229" i="13"/>
  <c r="BX229" i="13" s="1"/>
  <c r="BY229" i="13" s="1"/>
  <c r="BP229" i="13"/>
  <c r="BS229" i="13" s="1"/>
  <c r="BT229" i="13" s="1"/>
  <c r="BK229" i="13"/>
  <c r="BN229" i="13" s="1"/>
  <c r="BO229" i="13" s="1"/>
  <c r="BF229" i="13"/>
  <c r="BI229" i="13" s="1"/>
  <c r="BJ229" i="13" s="1"/>
  <c r="BA229" i="13"/>
  <c r="BD229" i="13" s="1"/>
  <c r="BE229" i="13" s="1"/>
  <c r="AV229" i="13"/>
  <c r="AY229" i="13" s="1"/>
  <c r="AZ229" i="13" s="1"/>
  <c r="AQ229" i="13"/>
  <c r="AT229" i="13" s="1"/>
  <c r="AU229" i="13" s="1"/>
  <c r="AL229" i="13"/>
  <c r="AO229" i="13" s="1"/>
  <c r="AP229" i="13" s="1"/>
  <c r="CQ228" i="13"/>
  <c r="CO228" i="13"/>
  <c r="BZ228" i="13"/>
  <c r="CC228" i="13" s="1"/>
  <c r="CD228" i="13" s="1"/>
  <c r="BU228" i="13"/>
  <c r="BX228" i="13" s="1"/>
  <c r="BY228" i="13" s="1"/>
  <c r="BP228" i="13"/>
  <c r="BS228" i="13" s="1"/>
  <c r="BT228" i="13" s="1"/>
  <c r="BK228" i="13"/>
  <c r="BN228" i="13" s="1"/>
  <c r="BO228" i="13" s="1"/>
  <c r="BF228" i="13"/>
  <c r="BI228" i="13" s="1"/>
  <c r="BJ228" i="13" s="1"/>
  <c r="BA228" i="13"/>
  <c r="BD228" i="13" s="1"/>
  <c r="BE228" i="13" s="1"/>
  <c r="AV228" i="13"/>
  <c r="AY228" i="13" s="1"/>
  <c r="AZ228" i="13" s="1"/>
  <c r="AQ228" i="13"/>
  <c r="AT228" i="13" s="1"/>
  <c r="AU228" i="13" s="1"/>
  <c r="AL228" i="13"/>
  <c r="AO228" i="13" s="1"/>
  <c r="AP228" i="13" s="1"/>
  <c r="CQ227" i="13"/>
  <c r="CO227" i="13"/>
  <c r="BZ227" i="13"/>
  <c r="CC227" i="13" s="1"/>
  <c r="CD227" i="13" s="1"/>
  <c r="BU227" i="13"/>
  <c r="BX227" i="13" s="1"/>
  <c r="BY227" i="13" s="1"/>
  <c r="BP227" i="13"/>
  <c r="BS227" i="13" s="1"/>
  <c r="BT227" i="13" s="1"/>
  <c r="BK227" i="13"/>
  <c r="BN227" i="13" s="1"/>
  <c r="BO227" i="13" s="1"/>
  <c r="BF227" i="13"/>
  <c r="BI227" i="13" s="1"/>
  <c r="BJ227" i="13" s="1"/>
  <c r="BA227" i="13"/>
  <c r="BD227" i="13" s="1"/>
  <c r="BE227" i="13" s="1"/>
  <c r="AV227" i="13"/>
  <c r="AY227" i="13" s="1"/>
  <c r="AZ227" i="13" s="1"/>
  <c r="AQ227" i="13"/>
  <c r="AT227" i="13" s="1"/>
  <c r="AU227" i="13" s="1"/>
  <c r="AL227" i="13"/>
  <c r="AO227" i="13" s="1"/>
  <c r="AP227" i="13" s="1"/>
  <c r="CQ226" i="13"/>
  <c r="CO226" i="13"/>
  <c r="BZ226" i="13"/>
  <c r="CC226" i="13" s="1"/>
  <c r="CD226" i="13" s="1"/>
  <c r="BU226" i="13"/>
  <c r="BX226" i="13" s="1"/>
  <c r="BY226" i="13" s="1"/>
  <c r="BP226" i="13"/>
  <c r="BS226" i="13" s="1"/>
  <c r="BT226" i="13" s="1"/>
  <c r="BK226" i="13"/>
  <c r="BN226" i="13" s="1"/>
  <c r="BO226" i="13" s="1"/>
  <c r="BF226" i="13"/>
  <c r="BI226" i="13" s="1"/>
  <c r="BJ226" i="13" s="1"/>
  <c r="BA226" i="13"/>
  <c r="BD226" i="13" s="1"/>
  <c r="BE226" i="13" s="1"/>
  <c r="AV226" i="13"/>
  <c r="AY226" i="13" s="1"/>
  <c r="AZ226" i="13" s="1"/>
  <c r="AQ226" i="13"/>
  <c r="AT226" i="13" s="1"/>
  <c r="AU226" i="13" s="1"/>
  <c r="AL226" i="13"/>
  <c r="AO226" i="13" s="1"/>
  <c r="AP226" i="13" s="1"/>
  <c r="CQ224" i="13"/>
  <c r="CO224" i="13"/>
  <c r="BZ224" i="13"/>
  <c r="CC224" i="13" s="1"/>
  <c r="CD224" i="13" s="1"/>
  <c r="BU224" i="13"/>
  <c r="BX224" i="13" s="1"/>
  <c r="BY224" i="13" s="1"/>
  <c r="BP224" i="13"/>
  <c r="BS224" i="13" s="1"/>
  <c r="BT224" i="13" s="1"/>
  <c r="BK224" i="13"/>
  <c r="BN224" i="13" s="1"/>
  <c r="BO224" i="13" s="1"/>
  <c r="BF224" i="13"/>
  <c r="BI224" i="13" s="1"/>
  <c r="BJ224" i="13" s="1"/>
  <c r="BA224" i="13"/>
  <c r="BD224" i="13" s="1"/>
  <c r="BE224" i="13" s="1"/>
  <c r="AV224" i="13"/>
  <c r="AY224" i="13" s="1"/>
  <c r="AZ224" i="13" s="1"/>
  <c r="AQ224" i="13"/>
  <c r="AT224" i="13" s="1"/>
  <c r="AU224" i="13" s="1"/>
  <c r="AL224" i="13"/>
  <c r="AO224" i="13" s="1"/>
  <c r="AP224" i="13" s="1"/>
  <c r="CQ223" i="13"/>
  <c r="CO223" i="13"/>
  <c r="BZ223" i="13"/>
  <c r="CC223" i="13" s="1"/>
  <c r="CD223" i="13" s="1"/>
  <c r="BU223" i="13"/>
  <c r="BX223" i="13" s="1"/>
  <c r="BY223" i="13" s="1"/>
  <c r="BP223" i="13"/>
  <c r="BS223" i="13" s="1"/>
  <c r="BT223" i="13" s="1"/>
  <c r="BK223" i="13"/>
  <c r="BN223" i="13" s="1"/>
  <c r="BO223" i="13" s="1"/>
  <c r="BF223" i="13"/>
  <c r="BI223" i="13" s="1"/>
  <c r="BJ223" i="13" s="1"/>
  <c r="BA223" i="13"/>
  <c r="BD223" i="13" s="1"/>
  <c r="BE223" i="13" s="1"/>
  <c r="AV223" i="13"/>
  <c r="AY223" i="13" s="1"/>
  <c r="AZ223" i="13" s="1"/>
  <c r="AQ223" i="13"/>
  <c r="AT223" i="13" s="1"/>
  <c r="AU223" i="13" s="1"/>
  <c r="AL223" i="13"/>
  <c r="AO223" i="13" s="1"/>
  <c r="AP223" i="13" s="1"/>
  <c r="CQ222" i="13"/>
  <c r="CO222" i="13"/>
  <c r="BZ222" i="13"/>
  <c r="CC222" i="13" s="1"/>
  <c r="CD222" i="13" s="1"/>
  <c r="BU222" i="13"/>
  <c r="BX222" i="13" s="1"/>
  <c r="BY222" i="13" s="1"/>
  <c r="BP222" i="13"/>
  <c r="BS222" i="13" s="1"/>
  <c r="BT222" i="13" s="1"/>
  <c r="BK222" i="13"/>
  <c r="BN222" i="13" s="1"/>
  <c r="BO222" i="13" s="1"/>
  <c r="BF222" i="13"/>
  <c r="BI222" i="13" s="1"/>
  <c r="BJ222" i="13" s="1"/>
  <c r="BA222" i="13"/>
  <c r="BD222" i="13" s="1"/>
  <c r="BE222" i="13" s="1"/>
  <c r="AV222" i="13"/>
  <c r="AY222" i="13" s="1"/>
  <c r="AZ222" i="13" s="1"/>
  <c r="AQ222" i="13"/>
  <c r="AT222" i="13" s="1"/>
  <c r="AU222" i="13" s="1"/>
  <c r="AL222" i="13"/>
  <c r="AO222" i="13" s="1"/>
  <c r="AP222" i="13" s="1"/>
  <c r="CQ221" i="13"/>
  <c r="CO221" i="13"/>
  <c r="BZ221" i="13"/>
  <c r="CC221" i="13" s="1"/>
  <c r="CD221" i="13" s="1"/>
  <c r="BU221" i="13"/>
  <c r="BX221" i="13" s="1"/>
  <c r="BY221" i="13" s="1"/>
  <c r="BP221" i="13"/>
  <c r="BS221" i="13" s="1"/>
  <c r="BT221" i="13" s="1"/>
  <c r="BK221" i="13"/>
  <c r="BN221" i="13" s="1"/>
  <c r="BO221" i="13" s="1"/>
  <c r="BF221" i="13"/>
  <c r="BI221" i="13" s="1"/>
  <c r="BJ221" i="13" s="1"/>
  <c r="BA221" i="13"/>
  <c r="BD221" i="13" s="1"/>
  <c r="BE221" i="13" s="1"/>
  <c r="AV221" i="13"/>
  <c r="AY221" i="13" s="1"/>
  <c r="AZ221" i="13" s="1"/>
  <c r="AQ221" i="13"/>
  <c r="AT221" i="13" s="1"/>
  <c r="AU221" i="13" s="1"/>
  <c r="AL221" i="13"/>
  <c r="AO221" i="13" s="1"/>
  <c r="AP221" i="13" s="1"/>
  <c r="CQ220" i="13"/>
  <c r="CO220" i="13"/>
  <c r="BZ220" i="13"/>
  <c r="CC220" i="13" s="1"/>
  <c r="CD220" i="13" s="1"/>
  <c r="BU220" i="13"/>
  <c r="BX220" i="13" s="1"/>
  <c r="BY220" i="13" s="1"/>
  <c r="BP220" i="13"/>
  <c r="BS220" i="13" s="1"/>
  <c r="BT220" i="13" s="1"/>
  <c r="BK220" i="13"/>
  <c r="BN220" i="13" s="1"/>
  <c r="BO220" i="13" s="1"/>
  <c r="BF220" i="13"/>
  <c r="BI220" i="13" s="1"/>
  <c r="BJ220" i="13" s="1"/>
  <c r="BA220" i="13"/>
  <c r="BD220" i="13" s="1"/>
  <c r="BE220" i="13" s="1"/>
  <c r="AV220" i="13"/>
  <c r="AY220" i="13" s="1"/>
  <c r="AZ220" i="13" s="1"/>
  <c r="AQ220" i="13"/>
  <c r="AT220" i="13" s="1"/>
  <c r="AU220" i="13" s="1"/>
  <c r="AL220" i="13"/>
  <c r="AO220" i="13" s="1"/>
  <c r="AP220" i="13" s="1"/>
  <c r="CQ219" i="13"/>
  <c r="CO219" i="13"/>
  <c r="BZ219" i="13"/>
  <c r="CC219" i="13" s="1"/>
  <c r="CD219" i="13" s="1"/>
  <c r="BU219" i="13"/>
  <c r="BX219" i="13" s="1"/>
  <c r="BY219" i="13" s="1"/>
  <c r="BP219" i="13"/>
  <c r="BS219" i="13" s="1"/>
  <c r="BT219" i="13" s="1"/>
  <c r="BK219" i="13"/>
  <c r="BN219" i="13" s="1"/>
  <c r="BO219" i="13" s="1"/>
  <c r="BF219" i="13"/>
  <c r="BI219" i="13" s="1"/>
  <c r="BJ219" i="13" s="1"/>
  <c r="BA219" i="13"/>
  <c r="BD219" i="13" s="1"/>
  <c r="BE219" i="13" s="1"/>
  <c r="AV219" i="13"/>
  <c r="AY219" i="13" s="1"/>
  <c r="AZ219" i="13" s="1"/>
  <c r="AQ219" i="13"/>
  <c r="AT219" i="13" s="1"/>
  <c r="AU219" i="13" s="1"/>
  <c r="AL219" i="13"/>
  <c r="AO219" i="13" s="1"/>
  <c r="AP219" i="13" s="1"/>
  <c r="CQ217" i="13"/>
  <c r="CO217" i="13"/>
  <c r="BZ217" i="13"/>
  <c r="CC217" i="13" s="1"/>
  <c r="CD217" i="13" s="1"/>
  <c r="BU217" i="13"/>
  <c r="BX217" i="13" s="1"/>
  <c r="BY217" i="13" s="1"/>
  <c r="BP217" i="13"/>
  <c r="BS217" i="13" s="1"/>
  <c r="BT217" i="13" s="1"/>
  <c r="BK217" i="13"/>
  <c r="BN217" i="13" s="1"/>
  <c r="BO217" i="13" s="1"/>
  <c r="BF217" i="13"/>
  <c r="BI217" i="13" s="1"/>
  <c r="BJ217" i="13" s="1"/>
  <c r="BA217" i="13"/>
  <c r="BD217" i="13" s="1"/>
  <c r="BE217" i="13" s="1"/>
  <c r="AV217" i="13"/>
  <c r="AY217" i="13" s="1"/>
  <c r="AZ217" i="13" s="1"/>
  <c r="AQ217" i="13"/>
  <c r="AT217" i="13" s="1"/>
  <c r="AU217" i="13" s="1"/>
  <c r="AL217" i="13"/>
  <c r="AO217" i="13" s="1"/>
  <c r="AP217" i="13" s="1"/>
  <c r="CQ216" i="13"/>
  <c r="CO216" i="13"/>
  <c r="BZ216" i="13"/>
  <c r="CC216" i="13" s="1"/>
  <c r="CD216" i="13" s="1"/>
  <c r="BU216" i="13"/>
  <c r="BX216" i="13" s="1"/>
  <c r="BY216" i="13" s="1"/>
  <c r="BP216" i="13"/>
  <c r="BS216" i="13" s="1"/>
  <c r="BT216" i="13" s="1"/>
  <c r="BK216" i="13"/>
  <c r="BN216" i="13" s="1"/>
  <c r="BO216" i="13" s="1"/>
  <c r="BF216" i="13"/>
  <c r="BI216" i="13" s="1"/>
  <c r="BJ216" i="13" s="1"/>
  <c r="BA216" i="13"/>
  <c r="BD216" i="13" s="1"/>
  <c r="BE216" i="13" s="1"/>
  <c r="AV216" i="13"/>
  <c r="AY216" i="13" s="1"/>
  <c r="AZ216" i="13" s="1"/>
  <c r="AQ216" i="13"/>
  <c r="AT216" i="13" s="1"/>
  <c r="AU216" i="13" s="1"/>
  <c r="AL216" i="13"/>
  <c r="AO216" i="13" s="1"/>
  <c r="AP216" i="13" s="1"/>
  <c r="CQ215" i="13"/>
  <c r="CO215" i="13"/>
  <c r="BZ215" i="13"/>
  <c r="CC215" i="13" s="1"/>
  <c r="CD215" i="13" s="1"/>
  <c r="BU215" i="13"/>
  <c r="BX215" i="13" s="1"/>
  <c r="BY215" i="13" s="1"/>
  <c r="BP215" i="13"/>
  <c r="BS215" i="13" s="1"/>
  <c r="BT215" i="13" s="1"/>
  <c r="BK215" i="13"/>
  <c r="BN215" i="13" s="1"/>
  <c r="BO215" i="13" s="1"/>
  <c r="BF215" i="13"/>
  <c r="BI215" i="13" s="1"/>
  <c r="BJ215" i="13" s="1"/>
  <c r="BA215" i="13"/>
  <c r="BD215" i="13" s="1"/>
  <c r="BE215" i="13" s="1"/>
  <c r="AV215" i="13"/>
  <c r="AY215" i="13" s="1"/>
  <c r="AZ215" i="13" s="1"/>
  <c r="AQ215" i="13"/>
  <c r="AT215" i="13" s="1"/>
  <c r="AU215" i="13" s="1"/>
  <c r="AL215" i="13"/>
  <c r="AO215" i="13" s="1"/>
  <c r="AP215" i="13" s="1"/>
  <c r="CQ214" i="13"/>
  <c r="CO214" i="13"/>
  <c r="BZ214" i="13"/>
  <c r="CC214" i="13" s="1"/>
  <c r="CD214" i="13" s="1"/>
  <c r="BU214" i="13"/>
  <c r="BX214" i="13" s="1"/>
  <c r="BY214" i="13" s="1"/>
  <c r="BP214" i="13"/>
  <c r="BS214" i="13" s="1"/>
  <c r="BT214" i="13" s="1"/>
  <c r="BK214" i="13"/>
  <c r="BN214" i="13" s="1"/>
  <c r="BO214" i="13" s="1"/>
  <c r="BF214" i="13"/>
  <c r="BI214" i="13" s="1"/>
  <c r="BJ214" i="13" s="1"/>
  <c r="BA214" i="13"/>
  <c r="BD214" i="13" s="1"/>
  <c r="BE214" i="13" s="1"/>
  <c r="AV214" i="13"/>
  <c r="AY214" i="13" s="1"/>
  <c r="AZ214" i="13" s="1"/>
  <c r="AQ214" i="13"/>
  <c r="AT214" i="13" s="1"/>
  <c r="AU214" i="13" s="1"/>
  <c r="AL214" i="13"/>
  <c r="AO214" i="13" s="1"/>
  <c r="AP214" i="13" s="1"/>
  <c r="CQ213" i="13"/>
  <c r="CO213" i="13"/>
  <c r="BZ213" i="13"/>
  <c r="CC213" i="13" s="1"/>
  <c r="CD213" i="13" s="1"/>
  <c r="BU213" i="13"/>
  <c r="BX213" i="13" s="1"/>
  <c r="BY213" i="13" s="1"/>
  <c r="BP213" i="13"/>
  <c r="BS213" i="13" s="1"/>
  <c r="BT213" i="13" s="1"/>
  <c r="BK213" i="13"/>
  <c r="BN213" i="13" s="1"/>
  <c r="BO213" i="13" s="1"/>
  <c r="BF213" i="13"/>
  <c r="BI213" i="13" s="1"/>
  <c r="BJ213" i="13" s="1"/>
  <c r="BA213" i="13"/>
  <c r="BD213" i="13" s="1"/>
  <c r="BE213" i="13" s="1"/>
  <c r="AV213" i="13"/>
  <c r="AY213" i="13" s="1"/>
  <c r="AZ213" i="13" s="1"/>
  <c r="AQ213" i="13"/>
  <c r="AT213" i="13" s="1"/>
  <c r="AU213" i="13" s="1"/>
  <c r="AL213" i="13"/>
  <c r="AO213" i="13" s="1"/>
  <c r="AP213" i="13" s="1"/>
  <c r="CQ211" i="13"/>
  <c r="CO211" i="13"/>
  <c r="BZ211" i="13"/>
  <c r="CC211" i="13" s="1"/>
  <c r="CD211" i="13" s="1"/>
  <c r="BU211" i="13"/>
  <c r="BX211" i="13" s="1"/>
  <c r="BY211" i="13" s="1"/>
  <c r="BP211" i="13"/>
  <c r="BS211" i="13" s="1"/>
  <c r="BT211" i="13" s="1"/>
  <c r="BK211" i="13"/>
  <c r="BN211" i="13" s="1"/>
  <c r="BO211" i="13" s="1"/>
  <c r="BF211" i="13"/>
  <c r="BI211" i="13" s="1"/>
  <c r="BJ211" i="13" s="1"/>
  <c r="BA211" i="13"/>
  <c r="BD211" i="13" s="1"/>
  <c r="BE211" i="13" s="1"/>
  <c r="AV211" i="13"/>
  <c r="AY211" i="13" s="1"/>
  <c r="AZ211" i="13" s="1"/>
  <c r="AQ211" i="13"/>
  <c r="AT211" i="13" s="1"/>
  <c r="AU211" i="13" s="1"/>
  <c r="AL211" i="13"/>
  <c r="AO211" i="13" s="1"/>
  <c r="AP211" i="13" s="1"/>
  <c r="CQ210" i="13"/>
  <c r="CO210" i="13"/>
  <c r="BZ210" i="13"/>
  <c r="CC210" i="13" s="1"/>
  <c r="CD210" i="13" s="1"/>
  <c r="BU210" i="13"/>
  <c r="BX210" i="13" s="1"/>
  <c r="BY210" i="13" s="1"/>
  <c r="BP210" i="13"/>
  <c r="BS210" i="13" s="1"/>
  <c r="BT210" i="13" s="1"/>
  <c r="BK210" i="13"/>
  <c r="BN210" i="13" s="1"/>
  <c r="BO210" i="13" s="1"/>
  <c r="BF210" i="13"/>
  <c r="BI210" i="13" s="1"/>
  <c r="BJ210" i="13" s="1"/>
  <c r="BA210" i="13"/>
  <c r="BD210" i="13" s="1"/>
  <c r="BE210" i="13" s="1"/>
  <c r="AV210" i="13"/>
  <c r="AY210" i="13" s="1"/>
  <c r="AZ210" i="13" s="1"/>
  <c r="AQ210" i="13"/>
  <c r="AT210" i="13" s="1"/>
  <c r="AU210" i="13" s="1"/>
  <c r="AL210" i="13"/>
  <c r="AO210" i="13" s="1"/>
  <c r="AP210" i="13" s="1"/>
  <c r="CQ209" i="13"/>
  <c r="CO209" i="13"/>
  <c r="BZ209" i="13"/>
  <c r="CC209" i="13" s="1"/>
  <c r="CD209" i="13" s="1"/>
  <c r="BU209" i="13"/>
  <c r="BX209" i="13" s="1"/>
  <c r="BY209" i="13" s="1"/>
  <c r="BP209" i="13"/>
  <c r="BS209" i="13" s="1"/>
  <c r="BT209" i="13" s="1"/>
  <c r="BK209" i="13"/>
  <c r="BN209" i="13" s="1"/>
  <c r="BO209" i="13" s="1"/>
  <c r="BF209" i="13"/>
  <c r="BI209" i="13" s="1"/>
  <c r="BJ209" i="13" s="1"/>
  <c r="BA209" i="13"/>
  <c r="BD209" i="13" s="1"/>
  <c r="BE209" i="13" s="1"/>
  <c r="AV209" i="13"/>
  <c r="AY209" i="13" s="1"/>
  <c r="AZ209" i="13" s="1"/>
  <c r="AQ209" i="13"/>
  <c r="AT209" i="13" s="1"/>
  <c r="AU209" i="13" s="1"/>
  <c r="AL209" i="13"/>
  <c r="AO209" i="13" s="1"/>
  <c r="AP209" i="13" s="1"/>
  <c r="CQ208" i="13"/>
  <c r="CO208" i="13"/>
  <c r="BZ208" i="13"/>
  <c r="CC208" i="13" s="1"/>
  <c r="CD208" i="13" s="1"/>
  <c r="BU208" i="13"/>
  <c r="BX208" i="13" s="1"/>
  <c r="BY208" i="13" s="1"/>
  <c r="BP208" i="13"/>
  <c r="BS208" i="13" s="1"/>
  <c r="BT208" i="13" s="1"/>
  <c r="BK208" i="13"/>
  <c r="BN208" i="13" s="1"/>
  <c r="BO208" i="13" s="1"/>
  <c r="BF208" i="13"/>
  <c r="BI208" i="13" s="1"/>
  <c r="BJ208" i="13" s="1"/>
  <c r="BA208" i="13"/>
  <c r="BD208" i="13" s="1"/>
  <c r="BE208" i="13" s="1"/>
  <c r="AV208" i="13"/>
  <c r="AY208" i="13" s="1"/>
  <c r="AZ208" i="13" s="1"/>
  <c r="AQ208" i="13"/>
  <c r="AT208" i="13" s="1"/>
  <c r="AU208" i="13" s="1"/>
  <c r="AL208" i="13"/>
  <c r="AO208" i="13" s="1"/>
  <c r="AP208" i="13" s="1"/>
  <c r="CQ207" i="13"/>
  <c r="CO207" i="13"/>
  <c r="BZ207" i="13"/>
  <c r="CC207" i="13" s="1"/>
  <c r="CD207" i="13" s="1"/>
  <c r="BU207" i="13"/>
  <c r="BX207" i="13" s="1"/>
  <c r="BY207" i="13" s="1"/>
  <c r="BP207" i="13"/>
  <c r="BS207" i="13" s="1"/>
  <c r="BT207" i="13" s="1"/>
  <c r="BK207" i="13"/>
  <c r="BN207" i="13" s="1"/>
  <c r="BO207" i="13" s="1"/>
  <c r="BF207" i="13"/>
  <c r="BI207" i="13" s="1"/>
  <c r="BJ207" i="13" s="1"/>
  <c r="BA207" i="13"/>
  <c r="BD207" i="13" s="1"/>
  <c r="BE207" i="13" s="1"/>
  <c r="AV207" i="13"/>
  <c r="AY207" i="13" s="1"/>
  <c r="AZ207" i="13" s="1"/>
  <c r="AQ207" i="13"/>
  <c r="AT207" i="13" s="1"/>
  <c r="AU207" i="13" s="1"/>
  <c r="AL207" i="13"/>
  <c r="AO207" i="13" s="1"/>
  <c r="AP207" i="13" s="1"/>
  <c r="CQ206" i="13"/>
  <c r="CO206" i="13"/>
  <c r="BZ206" i="13"/>
  <c r="CC206" i="13" s="1"/>
  <c r="CD206" i="13" s="1"/>
  <c r="BU206" i="13"/>
  <c r="BX206" i="13" s="1"/>
  <c r="BY206" i="13" s="1"/>
  <c r="BP206" i="13"/>
  <c r="BS206" i="13" s="1"/>
  <c r="BT206" i="13" s="1"/>
  <c r="BK206" i="13"/>
  <c r="BN206" i="13" s="1"/>
  <c r="BO206" i="13" s="1"/>
  <c r="BF206" i="13"/>
  <c r="BI206" i="13" s="1"/>
  <c r="BJ206" i="13" s="1"/>
  <c r="BA206" i="13"/>
  <c r="BD206" i="13" s="1"/>
  <c r="BE206" i="13" s="1"/>
  <c r="AV206" i="13"/>
  <c r="AY206" i="13" s="1"/>
  <c r="AZ206" i="13" s="1"/>
  <c r="AQ206" i="13"/>
  <c r="AT206" i="13" s="1"/>
  <c r="AU206" i="13" s="1"/>
  <c r="AL206" i="13"/>
  <c r="AO206" i="13" s="1"/>
  <c r="AP206" i="13" s="1"/>
  <c r="CQ205" i="13"/>
  <c r="CO205" i="13"/>
  <c r="BZ205" i="13"/>
  <c r="CC205" i="13" s="1"/>
  <c r="CD205" i="13" s="1"/>
  <c r="BU205" i="13"/>
  <c r="BX205" i="13" s="1"/>
  <c r="BY205" i="13" s="1"/>
  <c r="BP205" i="13"/>
  <c r="BS205" i="13" s="1"/>
  <c r="BT205" i="13" s="1"/>
  <c r="BK205" i="13"/>
  <c r="BN205" i="13" s="1"/>
  <c r="BO205" i="13" s="1"/>
  <c r="BF205" i="13"/>
  <c r="BI205" i="13" s="1"/>
  <c r="BJ205" i="13" s="1"/>
  <c r="BA205" i="13"/>
  <c r="BD205" i="13" s="1"/>
  <c r="BE205" i="13" s="1"/>
  <c r="AV205" i="13"/>
  <c r="AY205" i="13" s="1"/>
  <c r="AZ205" i="13" s="1"/>
  <c r="AQ205" i="13"/>
  <c r="AT205" i="13" s="1"/>
  <c r="AU205" i="13" s="1"/>
  <c r="AL205" i="13"/>
  <c r="AO205" i="13" s="1"/>
  <c r="AP205" i="13" s="1"/>
  <c r="CQ204" i="13"/>
  <c r="CO204" i="13"/>
  <c r="BZ204" i="13"/>
  <c r="CC204" i="13" s="1"/>
  <c r="CD204" i="13" s="1"/>
  <c r="BU204" i="13"/>
  <c r="BX204" i="13" s="1"/>
  <c r="BY204" i="13" s="1"/>
  <c r="BP204" i="13"/>
  <c r="BS204" i="13" s="1"/>
  <c r="BT204" i="13" s="1"/>
  <c r="BK204" i="13"/>
  <c r="BN204" i="13" s="1"/>
  <c r="BO204" i="13" s="1"/>
  <c r="BF204" i="13"/>
  <c r="BI204" i="13" s="1"/>
  <c r="BJ204" i="13" s="1"/>
  <c r="BA204" i="13"/>
  <c r="BD204" i="13" s="1"/>
  <c r="BE204" i="13" s="1"/>
  <c r="AV204" i="13"/>
  <c r="AY204" i="13" s="1"/>
  <c r="AZ204" i="13" s="1"/>
  <c r="AQ204" i="13"/>
  <c r="AT204" i="13" s="1"/>
  <c r="AU204" i="13" s="1"/>
  <c r="AL204" i="13"/>
  <c r="AO204" i="13" s="1"/>
  <c r="AP204" i="13" s="1"/>
  <c r="CQ203" i="13"/>
  <c r="CO203" i="13"/>
  <c r="BZ203" i="13"/>
  <c r="CC203" i="13" s="1"/>
  <c r="CD203" i="13" s="1"/>
  <c r="BU203" i="13"/>
  <c r="BX203" i="13" s="1"/>
  <c r="BY203" i="13" s="1"/>
  <c r="BP203" i="13"/>
  <c r="BS203" i="13" s="1"/>
  <c r="BT203" i="13" s="1"/>
  <c r="BK203" i="13"/>
  <c r="BN203" i="13" s="1"/>
  <c r="BO203" i="13" s="1"/>
  <c r="BF203" i="13"/>
  <c r="BI203" i="13" s="1"/>
  <c r="BJ203" i="13" s="1"/>
  <c r="BA203" i="13"/>
  <c r="BD203" i="13" s="1"/>
  <c r="BE203" i="13" s="1"/>
  <c r="AV203" i="13"/>
  <c r="AY203" i="13" s="1"/>
  <c r="AZ203" i="13" s="1"/>
  <c r="AQ203" i="13"/>
  <c r="AT203" i="13" s="1"/>
  <c r="AU203" i="13" s="1"/>
  <c r="AL203" i="13"/>
  <c r="AO203" i="13" s="1"/>
  <c r="AP203" i="13" s="1"/>
  <c r="CQ202" i="13"/>
  <c r="CO202" i="13"/>
  <c r="BZ202" i="13"/>
  <c r="CC202" i="13" s="1"/>
  <c r="CD202" i="13" s="1"/>
  <c r="BU202" i="13"/>
  <c r="BX202" i="13" s="1"/>
  <c r="BY202" i="13" s="1"/>
  <c r="BP202" i="13"/>
  <c r="BS202" i="13" s="1"/>
  <c r="BT202" i="13" s="1"/>
  <c r="BK202" i="13"/>
  <c r="BN202" i="13" s="1"/>
  <c r="BO202" i="13" s="1"/>
  <c r="BF202" i="13"/>
  <c r="BI202" i="13" s="1"/>
  <c r="BJ202" i="13" s="1"/>
  <c r="BA202" i="13"/>
  <c r="BD202" i="13" s="1"/>
  <c r="BE202" i="13" s="1"/>
  <c r="AV202" i="13"/>
  <c r="AY202" i="13" s="1"/>
  <c r="AZ202" i="13" s="1"/>
  <c r="AQ202" i="13"/>
  <c r="AT202" i="13" s="1"/>
  <c r="AU202" i="13" s="1"/>
  <c r="AL202" i="13"/>
  <c r="AO202" i="13" s="1"/>
  <c r="AP202" i="13" s="1"/>
  <c r="CQ200" i="13"/>
  <c r="CO200" i="13"/>
  <c r="BZ200" i="13"/>
  <c r="CC200" i="13" s="1"/>
  <c r="CD200" i="13" s="1"/>
  <c r="BU200" i="13"/>
  <c r="BX200" i="13" s="1"/>
  <c r="BY200" i="13" s="1"/>
  <c r="BP200" i="13"/>
  <c r="BS200" i="13" s="1"/>
  <c r="BT200" i="13" s="1"/>
  <c r="BK200" i="13"/>
  <c r="BN200" i="13" s="1"/>
  <c r="BO200" i="13" s="1"/>
  <c r="BF200" i="13"/>
  <c r="BI200" i="13" s="1"/>
  <c r="BJ200" i="13" s="1"/>
  <c r="BA200" i="13"/>
  <c r="BD200" i="13" s="1"/>
  <c r="BE200" i="13" s="1"/>
  <c r="AV200" i="13"/>
  <c r="AY200" i="13" s="1"/>
  <c r="AZ200" i="13" s="1"/>
  <c r="AQ200" i="13"/>
  <c r="AT200" i="13" s="1"/>
  <c r="AU200" i="13" s="1"/>
  <c r="AL200" i="13"/>
  <c r="AO200" i="13" s="1"/>
  <c r="AP200" i="13" s="1"/>
  <c r="CQ199" i="13"/>
  <c r="CO199" i="13"/>
  <c r="BZ199" i="13"/>
  <c r="CC199" i="13" s="1"/>
  <c r="CD199" i="13" s="1"/>
  <c r="BU199" i="13"/>
  <c r="BX199" i="13" s="1"/>
  <c r="BY199" i="13" s="1"/>
  <c r="BP199" i="13"/>
  <c r="BS199" i="13" s="1"/>
  <c r="BT199" i="13" s="1"/>
  <c r="BK199" i="13"/>
  <c r="BN199" i="13" s="1"/>
  <c r="BO199" i="13" s="1"/>
  <c r="BF199" i="13"/>
  <c r="BI199" i="13" s="1"/>
  <c r="BJ199" i="13" s="1"/>
  <c r="BA199" i="13"/>
  <c r="BD199" i="13" s="1"/>
  <c r="BE199" i="13" s="1"/>
  <c r="AV199" i="13"/>
  <c r="AY199" i="13" s="1"/>
  <c r="AZ199" i="13" s="1"/>
  <c r="AQ199" i="13"/>
  <c r="AT199" i="13" s="1"/>
  <c r="AU199" i="13" s="1"/>
  <c r="AL199" i="13"/>
  <c r="AO199" i="13" s="1"/>
  <c r="AP199" i="13" s="1"/>
  <c r="CQ198" i="13"/>
  <c r="CO198" i="13"/>
  <c r="BZ198" i="13"/>
  <c r="CC198" i="13" s="1"/>
  <c r="CD198" i="13" s="1"/>
  <c r="BU198" i="13"/>
  <c r="BX198" i="13" s="1"/>
  <c r="BY198" i="13" s="1"/>
  <c r="BP198" i="13"/>
  <c r="BS198" i="13" s="1"/>
  <c r="BT198" i="13" s="1"/>
  <c r="BK198" i="13"/>
  <c r="BN198" i="13" s="1"/>
  <c r="BO198" i="13" s="1"/>
  <c r="BF198" i="13"/>
  <c r="BI198" i="13" s="1"/>
  <c r="BJ198" i="13" s="1"/>
  <c r="BA198" i="13"/>
  <c r="BD198" i="13" s="1"/>
  <c r="BE198" i="13" s="1"/>
  <c r="AV198" i="13"/>
  <c r="AY198" i="13" s="1"/>
  <c r="AZ198" i="13" s="1"/>
  <c r="AQ198" i="13"/>
  <c r="AT198" i="13" s="1"/>
  <c r="AU198" i="13" s="1"/>
  <c r="AL198" i="13"/>
  <c r="AO198" i="13" s="1"/>
  <c r="AP198" i="13" s="1"/>
  <c r="CQ197" i="13"/>
  <c r="CO197" i="13"/>
  <c r="BZ197" i="13"/>
  <c r="CC197" i="13" s="1"/>
  <c r="CD197" i="13" s="1"/>
  <c r="BU197" i="13"/>
  <c r="BX197" i="13" s="1"/>
  <c r="BY197" i="13" s="1"/>
  <c r="BP197" i="13"/>
  <c r="BS197" i="13" s="1"/>
  <c r="BT197" i="13" s="1"/>
  <c r="BK197" i="13"/>
  <c r="BN197" i="13" s="1"/>
  <c r="BO197" i="13" s="1"/>
  <c r="BF197" i="13"/>
  <c r="BI197" i="13" s="1"/>
  <c r="BJ197" i="13" s="1"/>
  <c r="BA197" i="13"/>
  <c r="BD197" i="13" s="1"/>
  <c r="BE197" i="13" s="1"/>
  <c r="AV197" i="13"/>
  <c r="AY197" i="13" s="1"/>
  <c r="AZ197" i="13" s="1"/>
  <c r="AQ197" i="13"/>
  <c r="AT197" i="13" s="1"/>
  <c r="AU197" i="13" s="1"/>
  <c r="AL197" i="13"/>
  <c r="AO197" i="13" s="1"/>
  <c r="AP197" i="13" s="1"/>
  <c r="CQ196" i="13"/>
  <c r="CO196" i="13"/>
  <c r="BZ196" i="13"/>
  <c r="CC196" i="13" s="1"/>
  <c r="CD196" i="13" s="1"/>
  <c r="BU196" i="13"/>
  <c r="BX196" i="13" s="1"/>
  <c r="BY196" i="13" s="1"/>
  <c r="BP196" i="13"/>
  <c r="BS196" i="13" s="1"/>
  <c r="BT196" i="13" s="1"/>
  <c r="BK196" i="13"/>
  <c r="BN196" i="13" s="1"/>
  <c r="BO196" i="13" s="1"/>
  <c r="BF196" i="13"/>
  <c r="BI196" i="13" s="1"/>
  <c r="BJ196" i="13" s="1"/>
  <c r="BA196" i="13"/>
  <c r="BD196" i="13" s="1"/>
  <c r="BE196" i="13" s="1"/>
  <c r="AV196" i="13"/>
  <c r="AY196" i="13" s="1"/>
  <c r="AZ196" i="13" s="1"/>
  <c r="AQ196" i="13"/>
  <c r="AT196" i="13" s="1"/>
  <c r="AU196" i="13" s="1"/>
  <c r="AL196" i="13"/>
  <c r="AO196" i="13" s="1"/>
  <c r="AP196" i="13" s="1"/>
  <c r="CQ194" i="13"/>
  <c r="CO194" i="13"/>
  <c r="BZ194" i="13"/>
  <c r="CC194" i="13" s="1"/>
  <c r="CD194" i="13" s="1"/>
  <c r="BU194" i="13"/>
  <c r="BX194" i="13" s="1"/>
  <c r="BY194" i="13" s="1"/>
  <c r="BP194" i="13"/>
  <c r="BS194" i="13" s="1"/>
  <c r="BT194" i="13" s="1"/>
  <c r="BK194" i="13"/>
  <c r="BN194" i="13" s="1"/>
  <c r="BO194" i="13" s="1"/>
  <c r="BF194" i="13"/>
  <c r="BI194" i="13" s="1"/>
  <c r="BJ194" i="13" s="1"/>
  <c r="BA194" i="13"/>
  <c r="BD194" i="13" s="1"/>
  <c r="BE194" i="13" s="1"/>
  <c r="AV194" i="13"/>
  <c r="AY194" i="13" s="1"/>
  <c r="AZ194" i="13" s="1"/>
  <c r="AQ194" i="13"/>
  <c r="AT194" i="13" s="1"/>
  <c r="AU194" i="13" s="1"/>
  <c r="AL194" i="13"/>
  <c r="AO194" i="13" s="1"/>
  <c r="AP194" i="13" s="1"/>
  <c r="CQ193" i="13"/>
  <c r="CO193" i="13"/>
  <c r="BZ193" i="13"/>
  <c r="CC193" i="13" s="1"/>
  <c r="CD193" i="13" s="1"/>
  <c r="BU193" i="13"/>
  <c r="BX193" i="13" s="1"/>
  <c r="BY193" i="13" s="1"/>
  <c r="BP193" i="13"/>
  <c r="BS193" i="13" s="1"/>
  <c r="BT193" i="13" s="1"/>
  <c r="BK193" i="13"/>
  <c r="BN193" i="13" s="1"/>
  <c r="BO193" i="13" s="1"/>
  <c r="BF193" i="13"/>
  <c r="BI193" i="13" s="1"/>
  <c r="BJ193" i="13" s="1"/>
  <c r="BA193" i="13"/>
  <c r="BD193" i="13" s="1"/>
  <c r="BE193" i="13" s="1"/>
  <c r="AV193" i="13"/>
  <c r="AY193" i="13" s="1"/>
  <c r="AZ193" i="13" s="1"/>
  <c r="AQ193" i="13"/>
  <c r="AT193" i="13" s="1"/>
  <c r="AU193" i="13" s="1"/>
  <c r="AL193" i="13"/>
  <c r="AO193" i="13" s="1"/>
  <c r="AP193" i="13" s="1"/>
  <c r="CQ192" i="13"/>
  <c r="CO192" i="13"/>
  <c r="BZ192" i="13"/>
  <c r="CC192" i="13" s="1"/>
  <c r="CD192" i="13" s="1"/>
  <c r="BU192" i="13"/>
  <c r="BX192" i="13" s="1"/>
  <c r="BY192" i="13" s="1"/>
  <c r="BP192" i="13"/>
  <c r="BS192" i="13" s="1"/>
  <c r="BT192" i="13" s="1"/>
  <c r="BK192" i="13"/>
  <c r="BN192" i="13" s="1"/>
  <c r="BO192" i="13" s="1"/>
  <c r="BF192" i="13"/>
  <c r="BI192" i="13" s="1"/>
  <c r="BJ192" i="13" s="1"/>
  <c r="BA192" i="13"/>
  <c r="BD192" i="13" s="1"/>
  <c r="BE192" i="13" s="1"/>
  <c r="AV192" i="13"/>
  <c r="AY192" i="13" s="1"/>
  <c r="AZ192" i="13" s="1"/>
  <c r="AQ192" i="13"/>
  <c r="AT192" i="13" s="1"/>
  <c r="AU192" i="13" s="1"/>
  <c r="AL192" i="13"/>
  <c r="AO192" i="13" s="1"/>
  <c r="AP192" i="13" s="1"/>
  <c r="AA199" i="13" l="1"/>
  <c r="CP199" i="13" s="1"/>
  <c r="AA204" i="13"/>
  <c r="CP204" i="13" s="1"/>
  <c r="AA208" i="13"/>
  <c r="CP208" i="13" s="1"/>
  <c r="AA216" i="13"/>
  <c r="CP216" i="13" s="1"/>
  <c r="AA221" i="13"/>
  <c r="CP221" i="13" s="1"/>
  <c r="AA229" i="13"/>
  <c r="CP229" i="13" s="1"/>
  <c r="AA234" i="13"/>
  <c r="CP234" i="13" s="1"/>
  <c r="AA239" i="13"/>
  <c r="CP239" i="13" s="1"/>
  <c r="AA247" i="13"/>
  <c r="CP247" i="13" s="1"/>
  <c r="AA252" i="13"/>
  <c r="CP252" i="13" s="1"/>
  <c r="AA256" i="13"/>
  <c r="CP256" i="13" s="1"/>
  <c r="AA260" i="13"/>
  <c r="CP260" i="13" s="1"/>
  <c r="AA264" i="13"/>
  <c r="CP264" i="13" s="1"/>
  <c r="AA272" i="13"/>
  <c r="CP272" i="13" s="1"/>
  <c r="AA277" i="13"/>
  <c r="CP277" i="13" s="1"/>
  <c r="AA282" i="13"/>
  <c r="CP282" i="13" s="1"/>
  <c r="AA286" i="13"/>
  <c r="CP286" i="13" s="1"/>
  <c r="AA291" i="13"/>
  <c r="CP291" i="13" s="1"/>
  <c r="AA296" i="13"/>
  <c r="CP296" i="13" s="1"/>
  <c r="AA300" i="13"/>
  <c r="CP300" i="13" s="1"/>
  <c r="AA304" i="13"/>
  <c r="CP304" i="13" s="1"/>
  <c r="AA308" i="13"/>
  <c r="CP308" i="13" s="1"/>
  <c r="AA312" i="13"/>
  <c r="CP312" i="13" s="1"/>
  <c r="AA316" i="13"/>
  <c r="CP316" i="13" s="1"/>
  <c r="AA320" i="13"/>
  <c r="CP320" i="13" s="1"/>
  <c r="AA324" i="13"/>
  <c r="CP324" i="13" s="1"/>
  <c r="AA328" i="13"/>
  <c r="CP328" i="13" s="1"/>
  <c r="AA333" i="13"/>
  <c r="CP333" i="13" s="1"/>
  <c r="Y337" i="13"/>
  <c r="CI337" i="13" s="1"/>
  <c r="AC337" i="13"/>
  <c r="CW337" i="13" s="1"/>
  <c r="AA192" i="13"/>
  <c r="CP192" i="13" s="1"/>
  <c r="AA196" i="13"/>
  <c r="CP196" i="13" s="1"/>
  <c r="AA200" i="13"/>
  <c r="CP200" i="13" s="1"/>
  <c r="AA205" i="13"/>
  <c r="CP205" i="13" s="1"/>
  <c r="AA209" i="13"/>
  <c r="CP209" i="13" s="1"/>
  <c r="AA213" i="13"/>
  <c r="CP213" i="13" s="1"/>
  <c r="AA217" i="13"/>
  <c r="CP217" i="13" s="1"/>
  <c r="AA222" i="13"/>
  <c r="CP222" i="13" s="1"/>
  <c r="AA226" i="13"/>
  <c r="CP226" i="13" s="1"/>
  <c r="AA230" i="13"/>
  <c r="CP230" i="13" s="1"/>
  <c r="AA235" i="13"/>
  <c r="CP235" i="13" s="1"/>
  <c r="AA240" i="13"/>
  <c r="CP240" i="13" s="1"/>
  <c r="AA244" i="13"/>
  <c r="CP244" i="13" s="1"/>
  <c r="AA248" i="13"/>
  <c r="CP248" i="13" s="1"/>
  <c r="AA253" i="13"/>
  <c r="CP253" i="13" s="1"/>
  <c r="AA257" i="13"/>
  <c r="CP257" i="13" s="1"/>
  <c r="AA261" i="13"/>
  <c r="CP261" i="13" s="1"/>
  <c r="AA265" i="13"/>
  <c r="CP265" i="13" s="1"/>
  <c r="AA269" i="13"/>
  <c r="CP269" i="13" s="1"/>
  <c r="AA273" i="13"/>
  <c r="CP273" i="13" s="1"/>
  <c r="AA278" i="13"/>
  <c r="CP278" i="13" s="1"/>
  <c r="AA283" i="13"/>
  <c r="CP283" i="13" s="1"/>
  <c r="AA288" i="13"/>
  <c r="CP288" i="13" s="1"/>
  <c r="AA292" i="13"/>
  <c r="CP292" i="13" s="1"/>
  <c r="AA297" i="13"/>
  <c r="CP297" i="13" s="1"/>
  <c r="AA301" i="13"/>
  <c r="CP301" i="13" s="1"/>
  <c r="AA305" i="13"/>
  <c r="CP305" i="13" s="1"/>
  <c r="AA309" i="13"/>
  <c r="CP309" i="13" s="1"/>
  <c r="AA313" i="13"/>
  <c r="CP313" i="13" s="1"/>
  <c r="AA317" i="13"/>
  <c r="CP317" i="13" s="1"/>
  <c r="AA321" i="13"/>
  <c r="CP321" i="13" s="1"/>
  <c r="AA329" i="13"/>
  <c r="CP329" i="13" s="1"/>
  <c r="AA334" i="13"/>
  <c r="CP334" i="13" s="1"/>
  <c r="AA193" i="13"/>
  <c r="CP193" i="13" s="1"/>
  <c r="AA197" i="13"/>
  <c r="CP197" i="13" s="1"/>
  <c r="AA202" i="13"/>
  <c r="CP202" i="13" s="1"/>
  <c r="AA206" i="13"/>
  <c r="CP206" i="13" s="1"/>
  <c r="AA210" i="13"/>
  <c r="CP210" i="13" s="1"/>
  <c r="AA214" i="13"/>
  <c r="CP214" i="13" s="1"/>
  <c r="AA219" i="13"/>
  <c r="CP219" i="13" s="1"/>
  <c r="AA223" i="13"/>
  <c r="CP223" i="13" s="1"/>
  <c r="AA227" i="13"/>
  <c r="CP227" i="13" s="1"/>
  <c r="AA236" i="13"/>
  <c r="CP236" i="13" s="1"/>
  <c r="AA241" i="13"/>
  <c r="CP241" i="13" s="1"/>
  <c r="AA245" i="13"/>
  <c r="CP245" i="13" s="1"/>
  <c r="AA250" i="13"/>
  <c r="CP250" i="13" s="1"/>
  <c r="AA254" i="13"/>
  <c r="CP254" i="13" s="1"/>
  <c r="AA258" i="13"/>
  <c r="CP258" i="13" s="1"/>
  <c r="AA262" i="13"/>
  <c r="CP262" i="13" s="1"/>
  <c r="AA266" i="13"/>
  <c r="CP266" i="13" s="1"/>
  <c r="AA270" i="13"/>
  <c r="CP270" i="13" s="1"/>
  <c r="AA279" i="13"/>
  <c r="CP279" i="13" s="1"/>
  <c r="AA284" i="13"/>
  <c r="CP284" i="13" s="1"/>
  <c r="AA293" i="13"/>
  <c r="CP293" i="13" s="1"/>
  <c r="AA298" i="13"/>
  <c r="CP298" i="13" s="1"/>
  <c r="AA302" i="13"/>
  <c r="CP302" i="13" s="1"/>
  <c r="AA306" i="13"/>
  <c r="CP306" i="13" s="1"/>
  <c r="AA310" i="13"/>
  <c r="CP310" i="13" s="1"/>
  <c r="AA314" i="13"/>
  <c r="CP314" i="13" s="1"/>
  <c r="AA318" i="13"/>
  <c r="CP318" i="13" s="1"/>
  <c r="AA322" i="13"/>
  <c r="CP322" i="13" s="1"/>
  <c r="AA326" i="13"/>
  <c r="CP326" i="13" s="1"/>
  <c r="AA330" i="13"/>
  <c r="CP330" i="13" s="1"/>
  <c r="AA335" i="13"/>
  <c r="CP335" i="13" s="1"/>
  <c r="AA337" i="13"/>
  <c r="CP337" i="13" s="1"/>
  <c r="AA194" i="13"/>
  <c r="CP194" i="13" s="1"/>
  <c r="AA198" i="13"/>
  <c r="CP198" i="13" s="1"/>
  <c r="AA203" i="13"/>
  <c r="CP203" i="13" s="1"/>
  <c r="AA207" i="13"/>
  <c r="CP207" i="13" s="1"/>
  <c r="AA211" i="13"/>
  <c r="CP211" i="13" s="1"/>
  <c r="AA215" i="13"/>
  <c r="CP215" i="13" s="1"/>
  <c r="AA220" i="13"/>
  <c r="CP220" i="13" s="1"/>
  <c r="AA224" i="13"/>
  <c r="CP224" i="13" s="1"/>
  <c r="AA228" i="13"/>
  <c r="CP228" i="13" s="1"/>
  <c r="AA233" i="13"/>
  <c r="CP233" i="13" s="1"/>
  <c r="AA237" i="13"/>
  <c r="CP237" i="13" s="1"/>
  <c r="AA242" i="13"/>
  <c r="CP242" i="13" s="1"/>
  <c r="AA246" i="13"/>
  <c r="CP246" i="13" s="1"/>
  <c r="AA251" i="13"/>
  <c r="CP251" i="13" s="1"/>
  <c r="AA255" i="13"/>
  <c r="CP255" i="13" s="1"/>
  <c r="AA259" i="13"/>
  <c r="CP259" i="13" s="1"/>
  <c r="AA263" i="13"/>
  <c r="CP263" i="13" s="1"/>
  <c r="AA267" i="13"/>
  <c r="CP267" i="13" s="1"/>
  <c r="AA271" i="13"/>
  <c r="CP271" i="13" s="1"/>
  <c r="AA276" i="13"/>
  <c r="CP276" i="13" s="1"/>
  <c r="AA280" i="13"/>
  <c r="CP280" i="13" s="1"/>
  <c r="AA285" i="13"/>
  <c r="CP285" i="13" s="1"/>
  <c r="AA290" i="13"/>
  <c r="CP290" i="13" s="1"/>
  <c r="AA294" i="13"/>
  <c r="CP294" i="13" s="1"/>
  <c r="AA299" i="13"/>
  <c r="CP299" i="13" s="1"/>
  <c r="AA303" i="13"/>
  <c r="CP303" i="13" s="1"/>
  <c r="AA307" i="13"/>
  <c r="CP307" i="13" s="1"/>
  <c r="AA311" i="13"/>
  <c r="CP311" i="13" s="1"/>
  <c r="AA315" i="13"/>
  <c r="CP315" i="13" s="1"/>
  <c r="AA319" i="13"/>
  <c r="CP319" i="13" s="1"/>
  <c r="AA323" i="13"/>
  <c r="CP323" i="13" s="1"/>
  <c r="AA327" i="13"/>
  <c r="CP327" i="13" s="1"/>
  <c r="AA336" i="13"/>
  <c r="CP336" i="13" s="1"/>
  <c r="Z337" i="13"/>
  <c r="CN337" i="13" s="1"/>
  <c r="G77" i="20"/>
  <c r="AE337" i="13" l="1"/>
  <c r="Z81" i="12" l="1"/>
  <c r="G84" i="13" l="1"/>
  <c r="G87" i="6"/>
  <c r="H87" i="6" s="1"/>
  <c r="Z13" i="12"/>
  <c r="Z15" i="12"/>
  <c r="Z16" i="12"/>
  <c r="Z17" i="12"/>
  <c r="Z97" i="12"/>
  <c r="Z113" i="12"/>
  <c r="Z129" i="12"/>
  <c r="Z133" i="12"/>
  <c r="Z137" i="12"/>
  <c r="Z138" i="12"/>
  <c r="Z141" i="12"/>
  <c r="Z142" i="12"/>
  <c r="Z143" i="12"/>
  <c r="Z144" i="12"/>
  <c r="Z161" i="12"/>
  <c r="Z177" i="12"/>
  <c r="Z33" i="12"/>
  <c r="Z53" i="12"/>
  <c r="Z49" i="12"/>
  <c r="Z65" i="12"/>
  <c r="Z73" i="12"/>
  <c r="Z77" i="12"/>
  <c r="Z79" i="12"/>
  <c r="Z80" i="12"/>
  <c r="Z145" i="12"/>
  <c r="Z38" i="12"/>
  <c r="Z57" i="12"/>
  <c r="Z61" i="12"/>
  <c r="Z64" i="12"/>
  <c r="Z117" i="12"/>
  <c r="Z125" i="12"/>
  <c r="Z127" i="12"/>
  <c r="Z41" i="12"/>
  <c r="Z45" i="12"/>
  <c r="Z47" i="12"/>
  <c r="Z48" i="12"/>
  <c r="Z70" i="12"/>
  <c r="Z85" i="12"/>
  <c r="Z101" i="12"/>
  <c r="Z105" i="12"/>
  <c r="Z109" i="12"/>
  <c r="Z110" i="12"/>
  <c r="Z111" i="12"/>
  <c r="Z112" i="12"/>
  <c r="Z165" i="12"/>
  <c r="Z169" i="12"/>
  <c r="Z173" i="12"/>
  <c r="Z174" i="12"/>
  <c r="Z175" i="12"/>
  <c r="Z176" i="12"/>
  <c r="Z22" i="12"/>
  <c r="Z37" i="12"/>
  <c r="Z63" i="12"/>
  <c r="Z121" i="12"/>
  <c r="Z126" i="12"/>
  <c r="Z128" i="12"/>
  <c r="Z21" i="12"/>
  <c r="Z25" i="12"/>
  <c r="Z29" i="12"/>
  <c r="Z31" i="12"/>
  <c r="Z32" i="12"/>
  <c r="Z54" i="12"/>
  <c r="Z69" i="12"/>
  <c r="Z89" i="12"/>
  <c r="Z93" i="12"/>
  <c r="Z94" i="12"/>
  <c r="Z96" i="12"/>
  <c r="Z149" i="12"/>
  <c r="Z153" i="12"/>
  <c r="Z154" i="12"/>
  <c r="Z157" i="12"/>
  <c r="Z158" i="12"/>
  <c r="Z159" i="12"/>
  <c r="Z160" i="12"/>
  <c r="Z18" i="12"/>
  <c r="Z44" i="12"/>
  <c r="Z60" i="12"/>
  <c r="Z71" i="12"/>
  <c r="Z87" i="12"/>
  <c r="Z92" i="12"/>
  <c r="Z107" i="12"/>
  <c r="Z123" i="12"/>
  <c r="Z14" i="12"/>
  <c r="Z24" i="12"/>
  <c r="Z30" i="12"/>
  <c r="Z40" i="12"/>
  <c r="Z46" i="12"/>
  <c r="Z56" i="12"/>
  <c r="Z62" i="12"/>
  <c r="Z72" i="12"/>
  <c r="Z78" i="12"/>
  <c r="Z83" i="12"/>
  <c r="Z88" i="12"/>
  <c r="Z104" i="12"/>
  <c r="Z120" i="12"/>
  <c r="Z136" i="12"/>
  <c r="Z152" i="12"/>
  <c r="Z168" i="12"/>
  <c r="Z12" i="12"/>
  <c r="Z28" i="12"/>
  <c r="Z34" i="12"/>
  <c r="Z39" i="12"/>
  <c r="Z75" i="12"/>
  <c r="Z90" i="12"/>
  <c r="Z106" i="12"/>
  <c r="Z10" i="12"/>
  <c r="Z20" i="12"/>
  <c r="Z26" i="12"/>
  <c r="Z36" i="12"/>
  <c r="Z42" i="12"/>
  <c r="Z52" i="12"/>
  <c r="Z58" i="12"/>
  <c r="Z68" i="12"/>
  <c r="Z74" i="12"/>
  <c r="Z84" i="12"/>
  <c r="Z100" i="12"/>
  <c r="Z116" i="12"/>
  <c r="Z132" i="12"/>
  <c r="Z148" i="12"/>
  <c r="Z164" i="12"/>
  <c r="Z50" i="12"/>
  <c r="Z76" i="12"/>
  <c r="Z91" i="12"/>
  <c r="Z122" i="12"/>
  <c r="Z140" i="12"/>
  <c r="Z156" i="12"/>
  <c r="Z170" i="12"/>
  <c r="Z172" i="12"/>
  <c r="Z124" i="12"/>
  <c r="Z95" i="12"/>
  <c r="Z108" i="12"/>
  <c r="Z66" i="12"/>
  <c r="Z11" i="12"/>
  <c r="Z23" i="12"/>
  <c r="Z55" i="12"/>
  <c r="Z86" i="12"/>
  <c r="Z102" i="12"/>
  <c r="Z103" i="12"/>
  <c r="Z118" i="12"/>
  <c r="Z119" i="12"/>
  <c r="Z134" i="12"/>
  <c r="Z135" i="12"/>
  <c r="Z150" i="12"/>
  <c r="Z151" i="12"/>
  <c r="Z166" i="12"/>
  <c r="Z167" i="12"/>
  <c r="Z19" i="12"/>
  <c r="Z35" i="12"/>
  <c r="Z51" i="12"/>
  <c r="Z67" i="12"/>
  <c r="Z82" i="12"/>
  <c r="Z98" i="12"/>
  <c r="Z99" i="12"/>
  <c r="Z114" i="12"/>
  <c r="Z115" i="12"/>
  <c r="Z130" i="12"/>
  <c r="Z131" i="12"/>
  <c r="Z146" i="12"/>
  <c r="Z147" i="12"/>
  <c r="Z162" i="12"/>
  <c r="Z163" i="12"/>
  <c r="Z178" i="12"/>
  <c r="Z179" i="12"/>
  <c r="Z27" i="12"/>
  <c r="Z43" i="12"/>
  <c r="Z59" i="12"/>
  <c r="Z139" i="12"/>
  <c r="Z155" i="12"/>
  <c r="Z171" i="12"/>
  <c r="G62" i="13" l="1"/>
  <c r="G65" i="6"/>
  <c r="H65" i="6" s="1"/>
  <c r="G117" i="13"/>
  <c r="G120" i="6"/>
  <c r="H120" i="6" s="1"/>
  <c r="G170" i="13"/>
  <c r="G173" i="6"/>
  <c r="H173" i="6" s="1"/>
  <c r="G106" i="13"/>
  <c r="G109" i="6"/>
  <c r="H109" i="6" s="1"/>
  <c r="G98" i="13"/>
  <c r="G101" i="6"/>
  <c r="H101" i="6" s="1"/>
  <c r="G142" i="13"/>
  <c r="G145" i="6"/>
  <c r="H145" i="6" s="1"/>
  <c r="G150" i="13"/>
  <c r="G153" i="6"/>
  <c r="H153" i="6" s="1"/>
  <c r="G118" i="13"/>
  <c r="G121" i="6"/>
  <c r="H121" i="6" s="1"/>
  <c r="G85" i="13"/>
  <c r="G88" i="6"/>
  <c r="H88" i="6" s="1"/>
  <c r="G22" i="13"/>
  <c r="G25" i="6"/>
  <c r="H25" i="6" s="1"/>
  <c r="G153" i="13"/>
  <c r="G156" i="6"/>
  <c r="H156" i="6" s="1"/>
  <c r="G121" i="13"/>
  <c r="G124" i="6"/>
  <c r="H124" i="6" s="1"/>
  <c r="G58" i="13"/>
  <c r="G61" i="6"/>
  <c r="H61" i="6" s="1"/>
  <c r="G111" i="13"/>
  <c r="G114" i="6"/>
  <c r="H114" i="6" s="1"/>
  <c r="G173" i="13"/>
  <c r="G176" i="6"/>
  <c r="H176" i="6" s="1"/>
  <c r="G94" i="13"/>
  <c r="G97" i="6"/>
  <c r="H97" i="6" s="1"/>
  <c r="G151" i="13"/>
  <c r="G154" i="6"/>
  <c r="H154" i="6" s="1"/>
  <c r="G87" i="13"/>
  <c r="G90" i="6"/>
  <c r="H90" i="6" s="1"/>
  <c r="G55" i="13"/>
  <c r="G58" i="6"/>
  <c r="H58" i="6" s="1"/>
  <c r="G23" i="13"/>
  <c r="G26" i="6"/>
  <c r="H26" i="6" s="1"/>
  <c r="G78" i="13"/>
  <c r="G81" i="6"/>
  <c r="H81" i="6" s="1"/>
  <c r="G15" i="13"/>
  <c r="G18" i="6"/>
  <c r="H18" i="6" s="1"/>
  <c r="G123" i="13"/>
  <c r="G126" i="6"/>
  <c r="H126" i="6" s="1"/>
  <c r="G81" i="13"/>
  <c r="G84" i="6"/>
  <c r="H84" i="6" s="1"/>
  <c r="G49" i="13"/>
  <c r="G52" i="6"/>
  <c r="H52" i="6" s="1"/>
  <c r="G17" i="13"/>
  <c r="G20" i="6"/>
  <c r="H20" i="6" s="1"/>
  <c r="G90" i="13"/>
  <c r="G93" i="6"/>
  <c r="H93" i="6" s="1"/>
  <c r="G21" i="13"/>
  <c r="G24" i="6"/>
  <c r="H24" i="6" s="1"/>
  <c r="G160" i="13"/>
  <c r="G163" i="6"/>
  <c r="H163" i="6" s="1"/>
  <c r="G99" i="13"/>
  <c r="G102" i="6"/>
  <c r="H102" i="6" s="1"/>
  <c r="G72" i="13"/>
  <c r="G75" i="6"/>
  <c r="H75" i="6" s="1"/>
  <c r="G32" i="13"/>
  <c r="G35" i="6"/>
  <c r="H35" i="6" s="1"/>
  <c r="G129" i="13"/>
  <c r="G132" i="6"/>
  <c r="H132" i="6" s="1"/>
  <c r="G25" i="13"/>
  <c r="G28" i="6"/>
  <c r="H28" i="6" s="1"/>
  <c r="G176" i="13"/>
  <c r="G179" i="6"/>
  <c r="H179" i="6" s="1"/>
  <c r="G114" i="13"/>
  <c r="G117" i="6"/>
  <c r="H117" i="6" s="1"/>
  <c r="G104" i="13"/>
  <c r="G107" i="6"/>
  <c r="H107" i="6" s="1"/>
  <c r="G50" i="13"/>
  <c r="G53" i="6"/>
  <c r="H53" i="6" s="1"/>
  <c r="G128" i="13"/>
  <c r="G131" i="6"/>
  <c r="H131" i="6" s="1"/>
  <c r="G60" i="13"/>
  <c r="G63" i="6"/>
  <c r="H63" i="6" s="1"/>
  <c r="G82" i="13"/>
  <c r="G85" i="6"/>
  <c r="H85" i="6" s="1"/>
  <c r="G52" i="13"/>
  <c r="G55" i="6"/>
  <c r="H55" i="6" s="1"/>
  <c r="G164" i="13"/>
  <c r="G167" i="6"/>
  <c r="H167" i="6" s="1"/>
  <c r="G144" i="13"/>
  <c r="G147" i="6"/>
  <c r="H147" i="6" s="1"/>
  <c r="G132" i="13"/>
  <c r="G135" i="6"/>
  <c r="H135" i="6" s="1"/>
  <c r="G19" i="13"/>
  <c r="G22" i="6"/>
  <c r="H22" i="6" s="1"/>
  <c r="G30" i="13"/>
  <c r="G33" i="6"/>
  <c r="H33" i="6" s="1"/>
  <c r="G133" i="13"/>
  <c r="G136" i="6"/>
  <c r="H136" i="6" s="1"/>
  <c r="G38" i="13"/>
  <c r="G41" i="6"/>
  <c r="H41" i="6" s="1"/>
  <c r="G122" i="13"/>
  <c r="G125" i="6"/>
  <c r="H125" i="6" s="1"/>
  <c r="G69" i="13"/>
  <c r="G72" i="6"/>
  <c r="H72" i="6" s="1"/>
  <c r="G125" i="13"/>
  <c r="G128" i="6"/>
  <c r="H128" i="6" s="1"/>
  <c r="G167" i="13"/>
  <c r="G170" i="6"/>
  <c r="H170" i="6" s="1"/>
  <c r="G103" i="13"/>
  <c r="G106" i="6"/>
  <c r="H106" i="6" s="1"/>
  <c r="G61" i="13"/>
  <c r="G64" i="6"/>
  <c r="H64" i="6" s="1"/>
  <c r="G29" i="13"/>
  <c r="G32" i="6"/>
  <c r="H32" i="6" s="1"/>
  <c r="G93" i="13"/>
  <c r="G96" i="6"/>
  <c r="H96" i="6" s="1"/>
  <c r="G31" i="13"/>
  <c r="G34" i="6"/>
  <c r="H34" i="6" s="1"/>
  <c r="G139" i="13"/>
  <c r="G142" i="6"/>
  <c r="H142" i="6" s="1"/>
  <c r="G86" i="13"/>
  <c r="G89" i="6"/>
  <c r="H89" i="6" s="1"/>
  <c r="G59" i="13"/>
  <c r="G62" i="6"/>
  <c r="H62" i="6" s="1"/>
  <c r="G27" i="13"/>
  <c r="G30" i="6"/>
  <c r="H30" i="6" s="1"/>
  <c r="G95" i="13"/>
  <c r="G98" i="6"/>
  <c r="H98" i="6" s="1"/>
  <c r="G47" i="13"/>
  <c r="G50" i="6"/>
  <c r="H50" i="6" s="1"/>
  <c r="G161" i="13"/>
  <c r="G164" i="6"/>
  <c r="H164" i="6" s="1"/>
  <c r="G152" i="13"/>
  <c r="G155" i="6"/>
  <c r="H155" i="6" s="1"/>
  <c r="G92" i="13"/>
  <c r="G95" i="6"/>
  <c r="H95" i="6" s="1"/>
  <c r="G34" i="13"/>
  <c r="G37" i="6"/>
  <c r="H37" i="6" s="1"/>
  <c r="G131" i="13"/>
  <c r="G134" i="6"/>
  <c r="H134" i="6" s="1"/>
  <c r="G40" i="13"/>
  <c r="G43" i="6"/>
  <c r="H43" i="6" s="1"/>
  <c r="G177" i="13"/>
  <c r="G180" i="6"/>
  <c r="H180" i="6" s="1"/>
  <c r="G115" i="13"/>
  <c r="G118" i="6"/>
  <c r="H118" i="6" s="1"/>
  <c r="G108" i="13"/>
  <c r="G111" i="6"/>
  <c r="H111" i="6" s="1"/>
  <c r="G51" i="13"/>
  <c r="G54" i="6"/>
  <c r="H54" i="6" s="1"/>
  <c r="G130" i="13"/>
  <c r="G133" i="6"/>
  <c r="H133" i="6" s="1"/>
  <c r="G64" i="13"/>
  <c r="G67" i="6"/>
  <c r="H67" i="6" s="1"/>
  <c r="G83" i="13"/>
  <c r="G86" i="6"/>
  <c r="H86" i="6" s="1"/>
  <c r="G68" i="13"/>
  <c r="G71" i="6"/>
  <c r="H71" i="6" s="1"/>
  <c r="G145" i="13"/>
  <c r="G148" i="6"/>
  <c r="H148" i="6" s="1"/>
  <c r="G136" i="13"/>
  <c r="G139" i="6"/>
  <c r="H139" i="6" s="1"/>
  <c r="G20" i="13"/>
  <c r="G23" i="6"/>
  <c r="H23" i="6" s="1"/>
  <c r="G158" i="13"/>
  <c r="G161" i="6"/>
  <c r="H161" i="6" s="1"/>
  <c r="G165" i="13"/>
  <c r="G168" i="6"/>
  <c r="H168" i="6" s="1"/>
  <c r="G101" i="13"/>
  <c r="G104" i="6"/>
  <c r="H104" i="6" s="1"/>
  <c r="G154" i="13"/>
  <c r="G157" i="6"/>
  <c r="H157" i="6" s="1"/>
  <c r="G89" i="13"/>
  <c r="G92" i="6"/>
  <c r="H92" i="6" s="1"/>
  <c r="G175" i="13"/>
  <c r="G178" i="6"/>
  <c r="H178" i="6" s="1"/>
  <c r="G174" i="13"/>
  <c r="G177" i="6"/>
  <c r="H177" i="6" s="1"/>
  <c r="G46" i="13"/>
  <c r="G49" i="6"/>
  <c r="H49" i="6" s="1"/>
  <c r="G166" i="13"/>
  <c r="G169" i="6"/>
  <c r="H169" i="6" s="1"/>
  <c r="G134" i="13"/>
  <c r="G137" i="6"/>
  <c r="H137" i="6" s="1"/>
  <c r="G102" i="13"/>
  <c r="G105" i="6"/>
  <c r="H105" i="6" s="1"/>
  <c r="G54" i="13"/>
  <c r="G57" i="6"/>
  <c r="H57" i="6" s="1"/>
  <c r="G169" i="13"/>
  <c r="G172" i="6"/>
  <c r="H172" i="6" s="1"/>
  <c r="G137" i="13"/>
  <c r="G140" i="6"/>
  <c r="H140" i="6" s="1"/>
  <c r="G105" i="13"/>
  <c r="G108" i="6"/>
  <c r="H108" i="6" s="1"/>
  <c r="G14" i="13"/>
  <c r="G17" i="6"/>
  <c r="H17" i="6" s="1"/>
  <c r="G127" i="13"/>
  <c r="G130" i="6"/>
  <c r="H130" i="6" s="1"/>
  <c r="G143" i="13"/>
  <c r="G146" i="6"/>
  <c r="H146" i="6" s="1"/>
  <c r="G53" i="13"/>
  <c r="G56" i="6"/>
  <c r="H56" i="6" s="1"/>
  <c r="G119" i="13"/>
  <c r="G122" i="6"/>
  <c r="H122" i="6" s="1"/>
  <c r="G71" i="13"/>
  <c r="G74" i="6"/>
  <c r="H74" i="6" s="1"/>
  <c r="G39" i="13"/>
  <c r="G42" i="6"/>
  <c r="H42" i="6" s="1"/>
  <c r="G109" i="13"/>
  <c r="G112" i="6"/>
  <c r="H112" i="6" s="1"/>
  <c r="G37" i="13"/>
  <c r="G40" i="6"/>
  <c r="H40" i="6" s="1"/>
  <c r="G155" i="13"/>
  <c r="G158" i="6"/>
  <c r="H158" i="6" s="1"/>
  <c r="G91" i="13"/>
  <c r="G94" i="6"/>
  <c r="H94" i="6" s="1"/>
  <c r="G65" i="13"/>
  <c r="G68" i="6"/>
  <c r="H68" i="6" s="1"/>
  <c r="G33" i="13"/>
  <c r="G36" i="6"/>
  <c r="H36" i="6" s="1"/>
  <c r="G110" i="13"/>
  <c r="G113" i="6"/>
  <c r="H113" i="6" s="1"/>
  <c r="G63" i="13"/>
  <c r="G66" i="6"/>
  <c r="H66" i="6" s="1"/>
  <c r="G162" i="13"/>
  <c r="G165" i="6"/>
  <c r="H165" i="6" s="1"/>
  <c r="G156" i="13"/>
  <c r="G159" i="6"/>
  <c r="H159" i="6" s="1"/>
  <c r="G96" i="13"/>
  <c r="G99" i="6"/>
  <c r="H99" i="6" s="1"/>
  <c r="G35" i="13"/>
  <c r="G38" i="6"/>
  <c r="H38" i="6" s="1"/>
  <c r="G24" i="13"/>
  <c r="G27" i="6"/>
  <c r="H27" i="6" s="1"/>
  <c r="G66" i="13"/>
  <c r="G69" i="6"/>
  <c r="H69" i="6" s="1"/>
  <c r="G178" i="13"/>
  <c r="G181" i="6"/>
  <c r="H181" i="6" s="1"/>
  <c r="G168" i="13"/>
  <c r="G171" i="6"/>
  <c r="H171" i="6" s="1"/>
  <c r="G112" i="13"/>
  <c r="G115" i="6"/>
  <c r="H115" i="6" s="1"/>
  <c r="G73" i="13"/>
  <c r="G76" i="6"/>
  <c r="H76" i="6" s="1"/>
  <c r="G44" i="13"/>
  <c r="G47" i="6"/>
  <c r="H47" i="6" s="1"/>
  <c r="G67" i="13"/>
  <c r="G70" i="6"/>
  <c r="H70" i="6" s="1"/>
  <c r="G148" i="13"/>
  <c r="G151" i="6"/>
  <c r="H151" i="6" s="1"/>
  <c r="G76" i="13"/>
  <c r="G79" i="6"/>
  <c r="H79" i="6" s="1"/>
  <c r="G36" i="13"/>
  <c r="G39" i="6"/>
  <c r="H39" i="6" s="1"/>
  <c r="G146" i="13"/>
  <c r="G149" i="6"/>
  <c r="H149" i="6" s="1"/>
  <c r="G140" i="13"/>
  <c r="G143" i="6"/>
  <c r="H143" i="6" s="1"/>
  <c r="G100" i="13"/>
  <c r="G103" i="6"/>
  <c r="H103" i="6" s="1"/>
  <c r="G16" i="13"/>
  <c r="G19" i="6"/>
  <c r="H19" i="6" s="1"/>
  <c r="G149" i="13"/>
  <c r="G152" i="6"/>
  <c r="H152" i="6" s="1"/>
  <c r="G70" i="13"/>
  <c r="G73" i="6"/>
  <c r="H73" i="6" s="1"/>
  <c r="G138" i="13"/>
  <c r="G141" i="6"/>
  <c r="H141" i="6" s="1"/>
  <c r="G26" i="13"/>
  <c r="G29" i="6"/>
  <c r="H29" i="6" s="1"/>
  <c r="G159" i="13"/>
  <c r="G162" i="6"/>
  <c r="H162" i="6" s="1"/>
  <c r="G79" i="13"/>
  <c r="G82" i="6"/>
  <c r="H82" i="6" s="1"/>
  <c r="G135" i="13"/>
  <c r="G138" i="6"/>
  <c r="H138" i="6" s="1"/>
  <c r="G77" i="13"/>
  <c r="G80" i="6"/>
  <c r="H80" i="6" s="1"/>
  <c r="G45" i="13"/>
  <c r="G48" i="6"/>
  <c r="H48" i="6" s="1"/>
  <c r="G13" i="13"/>
  <c r="G16" i="6"/>
  <c r="H16" i="6" s="1"/>
  <c r="G42" i="13"/>
  <c r="G45" i="6"/>
  <c r="H45" i="6" s="1"/>
  <c r="G171" i="13"/>
  <c r="G174" i="6"/>
  <c r="H174" i="6" s="1"/>
  <c r="G107" i="13"/>
  <c r="G110" i="6"/>
  <c r="H110" i="6" s="1"/>
  <c r="G75" i="13"/>
  <c r="G78" i="6"/>
  <c r="H78" i="6" s="1"/>
  <c r="G43" i="13"/>
  <c r="G46" i="6"/>
  <c r="H46" i="6" s="1"/>
  <c r="G126" i="13"/>
  <c r="G129" i="6"/>
  <c r="H129" i="6" s="1"/>
  <c r="G74" i="13"/>
  <c r="G77" i="6"/>
  <c r="H77" i="6" s="1"/>
  <c r="G163" i="13"/>
  <c r="G166" i="6"/>
  <c r="H166" i="6" s="1"/>
  <c r="G157" i="13"/>
  <c r="G160" i="6"/>
  <c r="H160" i="6" s="1"/>
  <c r="G97" i="13"/>
  <c r="G100" i="6"/>
  <c r="H100" i="6" s="1"/>
  <c r="G57" i="13"/>
  <c r="G60" i="6"/>
  <c r="H60" i="6" s="1"/>
  <c r="G28" i="13"/>
  <c r="G31" i="6"/>
  <c r="H31" i="6" s="1"/>
  <c r="G124" i="13"/>
  <c r="G127" i="6"/>
  <c r="H127" i="6" s="1"/>
  <c r="G172" i="13"/>
  <c r="G175" i="6"/>
  <c r="H175" i="6" s="1"/>
  <c r="G113" i="13"/>
  <c r="G116" i="6"/>
  <c r="H116" i="6" s="1"/>
  <c r="G88" i="13"/>
  <c r="G91" i="6"/>
  <c r="H91" i="6" s="1"/>
  <c r="G48" i="13"/>
  <c r="G51" i="6"/>
  <c r="H51" i="6" s="1"/>
  <c r="G120" i="13"/>
  <c r="G123" i="6"/>
  <c r="H123" i="6" s="1"/>
  <c r="G41" i="13"/>
  <c r="G44" i="6"/>
  <c r="H44" i="6" s="1"/>
  <c r="G80" i="13"/>
  <c r="G83" i="6"/>
  <c r="H83" i="6" s="1"/>
  <c r="G56" i="13"/>
  <c r="G59" i="6"/>
  <c r="H59" i="6" s="1"/>
  <c r="G147" i="13"/>
  <c r="G150" i="6"/>
  <c r="H150" i="6" s="1"/>
  <c r="G141" i="13"/>
  <c r="G144" i="6"/>
  <c r="H144" i="6" s="1"/>
  <c r="G116" i="13"/>
  <c r="G119" i="6"/>
  <c r="H119" i="6" s="1"/>
  <c r="G18" i="13"/>
  <c r="G21" i="6"/>
  <c r="H21" i="6" s="1"/>
  <c r="S154" i="5"/>
  <c r="S118" i="5"/>
  <c r="S110" i="5"/>
  <c r="S104" i="5"/>
  <c r="S97" i="5"/>
  <c r="S72" i="5"/>
  <c r="S61" i="5"/>
  <c r="S54" i="5"/>
  <c r="S41" i="5"/>
  <c r="S24" i="5"/>
  <c r="G155" i="20"/>
  <c r="E160" i="5" s="1"/>
  <c r="G154" i="20"/>
  <c r="E159" i="5" s="1"/>
  <c r="G153" i="20"/>
  <c r="E158" i="5" s="1"/>
  <c r="G152" i="20"/>
  <c r="E157" i="5" s="1"/>
  <c r="G151" i="20"/>
  <c r="E156" i="5" s="1"/>
  <c r="G150" i="20"/>
  <c r="E155" i="5" s="1"/>
  <c r="G148" i="20"/>
  <c r="E153" i="5" s="1"/>
  <c r="G147" i="20"/>
  <c r="E152" i="5" s="1"/>
  <c r="G146" i="20"/>
  <c r="E151" i="5" s="1"/>
  <c r="G145" i="20"/>
  <c r="E150" i="5" s="1"/>
  <c r="G144" i="20"/>
  <c r="E149" i="5" s="1"/>
  <c r="G143" i="20"/>
  <c r="E148" i="5" s="1"/>
  <c r="G142" i="20"/>
  <c r="E147" i="5" s="1"/>
  <c r="G141" i="20"/>
  <c r="E146" i="5" s="1"/>
  <c r="G140" i="20"/>
  <c r="E145" i="5" s="1"/>
  <c r="G139" i="20"/>
  <c r="E144" i="5" s="1"/>
  <c r="G138" i="20"/>
  <c r="E143" i="5" s="1"/>
  <c r="G137" i="20"/>
  <c r="E142" i="5" s="1"/>
  <c r="G136" i="20"/>
  <c r="E141" i="5" s="1"/>
  <c r="G135" i="20"/>
  <c r="E140" i="5" s="1"/>
  <c r="G134" i="20"/>
  <c r="E139" i="5" s="1"/>
  <c r="G133" i="20"/>
  <c r="E138" i="5" s="1"/>
  <c r="G132" i="20"/>
  <c r="E137" i="5" s="1"/>
  <c r="G131" i="20"/>
  <c r="E136" i="5" s="1"/>
  <c r="G130" i="20"/>
  <c r="E135" i="5" s="1"/>
  <c r="G129" i="20"/>
  <c r="E134" i="5" s="1"/>
  <c r="G128" i="20"/>
  <c r="E133" i="5" s="1"/>
  <c r="G127" i="20"/>
  <c r="E132" i="5" s="1"/>
  <c r="G126" i="20"/>
  <c r="E131" i="5" s="1"/>
  <c r="G125" i="20"/>
  <c r="E130" i="5" s="1"/>
  <c r="G124" i="20"/>
  <c r="E129" i="5" s="1"/>
  <c r="G123" i="20"/>
  <c r="E128" i="5" s="1"/>
  <c r="G122" i="20"/>
  <c r="E127" i="5" s="1"/>
  <c r="G121" i="20"/>
  <c r="E126" i="5" s="1"/>
  <c r="G120" i="20"/>
  <c r="E125" i="5" s="1"/>
  <c r="G119" i="20"/>
  <c r="E124" i="5" s="1"/>
  <c r="G118" i="20"/>
  <c r="E123" i="5" s="1"/>
  <c r="G117" i="20"/>
  <c r="E122" i="5" s="1"/>
  <c r="G116" i="20"/>
  <c r="E121" i="5" s="1"/>
  <c r="G115" i="20"/>
  <c r="E120" i="5" s="1"/>
  <c r="G114" i="20"/>
  <c r="E119" i="5" s="1"/>
  <c r="G112" i="20"/>
  <c r="E117" i="5" s="1"/>
  <c r="G111" i="20"/>
  <c r="E116" i="5" s="1"/>
  <c r="G110" i="20"/>
  <c r="E115" i="5" s="1"/>
  <c r="G109" i="20"/>
  <c r="E114" i="5" s="1"/>
  <c r="G108" i="20"/>
  <c r="E113" i="5" s="1"/>
  <c r="G107" i="20"/>
  <c r="E112" i="5" s="1"/>
  <c r="G106" i="20"/>
  <c r="E111" i="5" s="1"/>
  <c r="G104" i="20"/>
  <c r="E109" i="5" s="1"/>
  <c r="G103" i="20"/>
  <c r="E108" i="5" s="1"/>
  <c r="G102" i="20"/>
  <c r="E107" i="5" s="1"/>
  <c r="G101" i="20"/>
  <c r="E106" i="5" s="1"/>
  <c r="G100" i="20"/>
  <c r="E105" i="5" s="1"/>
  <c r="G98" i="20"/>
  <c r="E103" i="5" s="1"/>
  <c r="G97" i="20"/>
  <c r="E102" i="5" s="1"/>
  <c r="G96" i="20"/>
  <c r="E101" i="5" s="1"/>
  <c r="G95" i="20"/>
  <c r="E100" i="5" s="1"/>
  <c r="G94" i="20"/>
  <c r="E99" i="5" s="1"/>
  <c r="G93" i="20"/>
  <c r="E98" i="5" s="1"/>
  <c r="G91" i="20"/>
  <c r="E96" i="5" s="1"/>
  <c r="G90" i="20"/>
  <c r="E95" i="5" s="1"/>
  <c r="G89" i="20"/>
  <c r="E94" i="5" s="1"/>
  <c r="G88" i="20"/>
  <c r="E93" i="5" s="1"/>
  <c r="G87" i="20"/>
  <c r="E92" i="5" s="1"/>
  <c r="G86" i="20"/>
  <c r="E91" i="5" s="1"/>
  <c r="G85" i="20"/>
  <c r="E90" i="5" s="1"/>
  <c r="G84" i="20"/>
  <c r="E89" i="5" s="1"/>
  <c r="G83" i="20"/>
  <c r="E88" i="5" s="1"/>
  <c r="G82" i="20"/>
  <c r="E87" i="5" s="1"/>
  <c r="G81" i="20"/>
  <c r="E86" i="5" s="1"/>
  <c r="G80" i="20"/>
  <c r="E85" i="5" s="1"/>
  <c r="G79" i="20"/>
  <c r="E84" i="5" s="1"/>
  <c r="G78" i="20"/>
  <c r="E83" i="5" s="1"/>
  <c r="E82" i="5"/>
  <c r="G76" i="20"/>
  <c r="E81" i="5" s="1"/>
  <c r="G75" i="20"/>
  <c r="E80" i="5" s="1"/>
  <c r="G74" i="20"/>
  <c r="E79" i="5" s="1"/>
  <c r="G73" i="20"/>
  <c r="E78" i="5" s="1"/>
  <c r="G72" i="20"/>
  <c r="E77" i="5" s="1"/>
  <c r="G71" i="20"/>
  <c r="E76" i="5" s="1"/>
  <c r="G70" i="20"/>
  <c r="E75" i="5" s="1"/>
  <c r="G69" i="20"/>
  <c r="E74" i="5" s="1"/>
  <c r="G68" i="20"/>
  <c r="E73" i="5" s="1"/>
  <c r="G66" i="20"/>
  <c r="E71" i="5" s="1"/>
  <c r="G65" i="20"/>
  <c r="E70" i="5" s="1"/>
  <c r="G64" i="20"/>
  <c r="E69" i="5" s="1"/>
  <c r="G63" i="20"/>
  <c r="E68" i="5" s="1"/>
  <c r="G62" i="20"/>
  <c r="E67" i="5" s="1"/>
  <c r="G61" i="20"/>
  <c r="E66" i="5" s="1"/>
  <c r="G60" i="20"/>
  <c r="E65" i="5" s="1"/>
  <c r="G59" i="20"/>
  <c r="E64" i="5" s="1"/>
  <c r="G58" i="20"/>
  <c r="E63" i="5" s="1"/>
  <c r="G57" i="20"/>
  <c r="E62" i="5" s="1"/>
  <c r="G55" i="20"/>
  <c r="E60" i="5" s="1"/>
  <c r="G54" i="20"/>
  <c r="E59" i="5" s="1"/>
  <c r="G53" i="20"/>
  <c r="E58" i="5" s="1"/>
  <c r="G52" i="20"/>
  <c r="E57" i="5" s="1"/>
  <c r="G51" i="20"/>
  <c r="E56" i="5" s="1"/>
  <c r="G50" i="20"/>
  <c r="E55" i="5" s="1"/>
  <c r="G48" i="20"/>
  <c r="E53" i="5" s="1"/>
  <c r="G47" i="20"/>
  <c r="E52" i="5" s="1"/>
  <c r="G46" i="20"/>
  <c r="E51" i="5" s="1"/>
  <c r="G45" i="20"/>
  <c r="E50" i="5" s="1"/>
  <c r="G44" i="20"/>
  <c r="E49" i="5" s="1"/>
  <c r="G43" i="20"/>
  <c r="E48" i="5" s="1"/>
  <c r="G42" i="20"/>
  <c r="E47" i="5" s="1"/>
  <c r="G41" i="20"/>
  <c r="E46" i="5" s="1"/>
  <c r="G40" i="20"/>
  <c r="E45" i="5" s="1"/>
  <c r="G39" i="20"/>
  <c r="E44" i="5" s="1"/>
  <c r="G38" i="20"/>
  <c r="E43" i="5" s="1"/>
  <c r="G37" i="20"/>
  <c r="E42" i="5" s="1"/>
  <c r="G35" i="20"/>
  <c r="E40" i="5" s="1"/>
  <c r="G34" i="20"/>
  <c r="E39" i="5" s="1"/>
  <c r="G33" i="20"/>
  <c r="E38" i="5" s="1"/>
  <c r="G32" i="20"/>
  <c r="E37" i="5" s="1"/>
  <c r="G31" i="20"/>
  <c r="E36" i="5" s="1"/>
  <c r="G30" i="20"/>
  <c r="E35" i="5" s="1"/>
  <c r="G29" i="20"/>
  <c r="E34" i="5" s="1"/>
  <c r="G28" i="20"/>
  <c r="E33" i="5" s="1"/>
  <c r="G27" i="20"/>
  <c r="E32" i="5" s="1"/>
  <c r="G26" i="20"/>
  <c r="E31" i="5" s="1"/>
  <c r="G25" i="20"/>
  <c r="E30" i="5" s="1"/>
  <c r="G24" i="20"/>
  <c r="E29" i="5" s="1"/>
  <c r="G23" i="20"/>
  <c r="E28" i="5" s="1"/>
  <c r="G22" i="20"/>
  <c r="E27" i="5" s="1"/>
  <c r="G21" i="20"/>
  <c r="E26" i="5" s="1"/>
  <c r="G20" i="20"/>
  <c r="E25" i="5" s="1"/>
  <c r="G18" i="20"/>
  <c r="E23" i="5" s="1"/>
  <c r="G17" i="20"/>
  <c r="E22" i="5" s="1"/>
  <c r="G16" i="20"/>
  <c r="E21" i="5" s="1"/>
  <c r="G15" i="20"/>
  <c r="E20" i="5" s="1"/>
  <c r="G14" i="20"/>
  <c r="E19" i="5" s="1"/>
  <c r="G13" i="20"/>
  <c r="E18" i="5" s="1"/>
  <c r="G12" i="20"/>
  <c r="E17" i="5" s="1"/>
  <c r="G11" i="20"/>
  <c r="E16" i="5" s="1"/>
  <c r="G10" i="20"/>
  <c r="E15" i="5" s="1"/>
  <c r="H9" i="19"/>
  <c r="F159" i="5" l="1"/>
  <c r="E330" i="13"/>
  <c r="F330" i="13" s="1"/>
  <c r="E331" i="13"/>
  <c r="F331" i="13" s="1"/>
  <c r="F160" i="5"/>
  <c r="E187" i="13"/>
  <c r="F187" i="13" s="1"/>
  <c r="E16" i="7"/>
  <c r="F16" i="7" s="1"/>
  <c r="H16" i="7" s="1"/>
  <c r="E20" i="7"/>
  <c r="F20" i="7" s="1"/>
  <c r="H20" i="7" s="1"/>
  <c r="E191" i="13"/>
  <c r="F191" i="13" s="1"/>
  <c r="E25" i="7"/>
  <c r="F25" i="7" s="1"/>
  <c r="H25" i="7" s="1"/>
  <c r="E196" i="13"/>
  <c r="F196" i="13" s="1"/>
  <c r="E200" i="13"/>
  <c r="F200" i="13" s="1"/>
  <c r="E29" i="7"/>
  <c r="F29" i="7" s="1"/>
  <c r="H29" i="7" s="1"/>
  <c r="E204" i="13"/>
  <c r="F204" i="13" s="1"/>
  <c r="E33" i="7"/>
  <c r="F33" i="7" s="1"/>
  <c r="H33" i="7" s="1"/>
  <c r="E208" i="13"/>
  <c r="F208" i="13" s="1"/>
  <c r="E37" i="7"/>
  <c r="F37" i="7" s="1"/>
  <c r="H37" i="7" s="1"/>
  <c r="E42" i="7"/>
  <c r="F42" i="7" s="1"/>
  <c r="H42" i="7" s="1"/>
  <c r="E213" i="13"/>
  <c r="F213" i="13" s="1"/>
  <c r="E217" i="13"/>
  <c r="F217" i="13" s="1"/>
  <c r="E46" i="7"/>
  <c r="F46" i="7" s="1"/>
  <c r="H46" i="7" s="1"/>
  <c r="E221" i="13"/>
  <c r="F221" i="13" s="1"/>
  <c r="E50" i="7"/>
  <c r="F50" i="7" s="1"/>
  <c r="H50" i="7" s="1"/>
  <c r="E55" i="7"/>
  <c r="F55" i="7" s="1"/>
  <c r="H55" i="7" s="1"/>
  <c r="E226" i="13"/>
  <c r="F226" i="13" s="1"/>
  <c r="E59" i="7"/>
  <c r="F59" i="7" s="1"/>
  <c r="H59" i="7" s="1"/>
  <c r="E230" i="13"/>
  <c r="F230" i="13" s="1"/>
  <c r="E64" i="7"/>
  <c r="F64" i="7" s="1"/>
  <c r="H64" i="7" s="1"/>
  <c r="E235" i="13"/>
  <c r="F235" i="13" s="1"/>
  <c r="E68" i="7"/>
  <c r="F68" i="7" s="1"/>
  <c r="H68" i="7" s="1"/>
  <c r="E239" i="13"/>
  <c r="F239" i="13" s="1"/>
  <c r="E73" i="7"/>
  <c r="F73" i="7" s="1"/>
  <c r="H73" i="7" s="1"/>
  <c r="E244" i="13"/>
  <c r="F244" i="13" s="1"/>
  <c r="E77" i="7"/>
  <c r="F77" i="7" s="1"/>
  <c r="H77" i="7" s="1"/>
  <c r="E248" i="13"/>
  <c r="F248" i="13" s="1"/>
  <c r="E81" i="7"/>
  <c r="F81" i="7" s="1"/>
  <c r="H81" i="7" s="1"/>
  <c r="E252" i="13"/>
  <c r="F252" i="13" s="1"/>
  <c r="E85" i="7"/>
  <c r="F85" i="7" s="1"/>
  <c r="H85" i="7" s="1"/>
  <c r="E256" i="13"/>
  <c r="F256" i="13" s="1"/>
  <c r="E89" i="7"/>
  <c r="F89" i="7" s="1"/>
  <c r="H89" i="7" s="1"/>
  <c r="E260" i="13"/>
  <c r="F260" i="13" s="1"/>
  <c r="E264" i="13"/>
  <c r="F264" i="13" s="1"/>
  <c r="E98" i="7"/>
  <c r="F98" i="7" s="1"/>
  <c r="H98" i="7" s="1"/>
  <c r="J98" i="7" s="1"/>
  <c r="E269" i="13"/>
  <c r="F269" i="13" s="1"/>
  <c r="E273" i="13"/>
  <c r="F273" i="13" s="1"/>
  <c r="E278" i="13"/>
  <c r="F278" i="13" s="1"/>
  <c r="E112" i="7"/>
  <c r="F112" i="7" s="1"/>
  <c r="H112" i="7" s="1"/>
  <c r="J112" i="7" s="1"/>
  <c r="E283" i="13"/>
  <c r="F283" i="13" s="1"/>
  <c r="E287" i="13"/>
  <c r="F287" i="13" s="1"/>
  <c r="E292" i="13"/>
  <c r="F292" i="13" s="1"/>
  <c r="E121" i="7"/>
  <c r="F121" i="7" s="1"/>
  <c r="H121" i="7" s="1"/>
  <c r="E296" i="13"/>
  <c r="F296" i="13" s="1"/>
  <c r="E125" i="7"/>
  <c r="F125" i="7" s="1"/>
  <c r="H125" i="7" s="1"/>
  <c r="E129" i="7"/>
  <c r="F129" i="7" s="1"/>
  <c r="H129" i="7" s="1"/>
  <c r="E300" i="13"/>
  <c r="F300" i="13" s="1"/>
  <c r="E304" i="13"/>
  <c r="F304" i="13" s="1"/>
  <c r="E133" i="7"/>
  <c r="F133" i="7" s="1"/>
  <c r="H133" i="7" s="1"/>
  <c r="E308" i="13"/>
  <c r="F308" i="13" s="1"/>
  <c r="E137" i="7"/>
  <c r="F137" i="7" s="1"/>
  <c r="H137" i="7" s="1"/>
  <c r="E312" i="13"/>
  <c r="F312" i="13" s="1"/>
  <c r="E141" i="7"/>
  <c r="F141" i="7" s="1"/>
  <c r="H141" i="7" s="1"/>
  <c r="E145" i="7"/>
  <c r="F145" i="7" s="1"/>
  <c r="H145" i="7" s="1"/>
  <c r="E316" i="13"/>
  <c r="F316" i="13" s="1"/>
  <c r="E149" i="7"/>
  <c r="F149" i="7" s="1"/>
  <c r="H149" i="7" s="1"/>
  <c r="E320" i="13"/>
  <c r="F320" i="13" s="1"/>
  <c r="E324" i="13"/>
  <c r="F324" i="13" s="1"/>
  <c r="E158" i="7"/>
  <c r="F158" i="7" s="1"/>
  <c r="H158" i="7" s="1"/>
  <c r="E329" i="13"/>
  <c r="F329" i="13" s="1"/>
  <c r="E15" i="7"/>
  <c r="E186" i="13"/>
  <c r="E19" i="7"/>
  <c r="F19" i="7" s="1"/>
  <c r="H19" i="7" s="1"/>
  <c r="E190" i="13"/>
  <c r="F190" i="13" s="1"/>
  <c r="E23" i="7"/>
  <c r="F23" i="7" s="1"/>
  <c r="H23" i="7" s="1"/>
  <c r="E194" i="13"/>
  <c r="F194" i="13" s="1"/>
  <c r="E199" i="13"/>
  <c r="F199" i="13" s="1"/>
  <c r="E28" i="7"/>
  <c r="F28" i="7" s="1"/>
  <c r="H28" i="7" s="1"/>
  <c r="E203" i="13"/>
  <c r="F203" i="13" s="1"/>
  <c r="E32" i="7"/>
  <c r="F32" i="7" s="1"/>
  <c r="H32" i="7" s="1"/>
  <c r="E36" i="7"/>
  <c r="F36" i="7" s="1"/>
  <c r="H36" i="7" s="1"/>
  <c r="E207" i="13"/>
  <c r="F207" i="13" s="1"/>
  <c r="E211" i="13"/>
  <c r="F211" i="13" s="1"/>
  <c r="E45" i="7"/>
  <c r="F45" i="7" s="1"/>
  <c r="H45" i="7" s="1"/>
  <c r="E216" i="13"/>
  <c r="F216" i="13" s="1"/>
  <c r="E49" i="7"/>
  <c r="F49" i="7" s="1"/>
  <c r="H49" i="7" s="1"/>
  <c r="E220" i="13"/>
  <c r="F220" i="13" s="1"/>
  <c r="E53" i="7"/>
  <c r="F53" i="7" s="1"/>
  <c r="H53" i="7" s="1"/>
  <c r="E224" i="13"/>
  <c r="F224" i="13" s="1"/>
  <c r="E229" i="13"/>
  <c r="F229" i="13" s="1"/>
  <c r="E58" i="7"/>
  <c r="F58" i="7" s="1"/>
  <c r="H58" i="7" s="1"/>
  <c r="E63" i="7"/>
  <c r="F63" i="7" s="1"/>
  <c r="H63" i="7" s="1"/>
  <c r="E234" i="13"/>
  <c r="F234" i="13" s="1"/>
  <c r="E67" i="7"/>
  <c r="F67" i="7" s="1"/>
  <c r="H67" i="7" s="1"/>
  <c r="E238" i="13"/>
  <c r="F238" i="13" s="1"/>
  <c r="E242" i="13"/>
  <c r="F242" i="13" s="1"/>
  <c r="E76" i="7"/>
  <c r="F76" i="7" s="1"/>
  <c r="H76" i="7" s="1"/>
  <c r="E247" i="13"/>
  <c r="F247" i="13" s="1"/>
  <c r="E80" i="7"/>
  <c r="F80" i="7" s="1"/>
  <c r="H80" i="7" s="1"/>
  <c r="E251" i="13"/>
  <c r="F251" i="13" s="1"/>
  <c r="E84" i="7"/>
  <c r="F84" i="7" s="1"/>
  <c r="H84" i="7" s="1"/>
  <c r="E255" i="13"/>
  <c r="F255" i="13" s="1"/>
  <c r="E88" i="7"/>
  <c r="F88" i="7" s="1"/>
  <c r="H88" i="7" s="1"/>
  <c r="E259" i="13"/>
  <c r="F259" i="13" s="1"/>
  <c r="E263" i="13"/>
  <c r="F263" i="13" s="1"/>
  <c r="E267" i="13"/>
  <c r="F267" i="13" s="1"/>
  <c r="E272" i="13"/>
  <c r="F272" i="13" s="1"/>
  <c r="E106" i="7"/>
  <c r="F106" i="7" s="1"/>
  <c r="H106" i="7" s="1"/>
  <c r="E277" i="13"/>
  <c r="F277" i="13" s="1"/>
  <c r="E111" i="7"/>
  <c r="F111" i="7" s="1"/>
  <c r="H111" i="7" s="1"/>
  <c r="E282" i="13"/>
  <c r="F282" i="13" s="1"/>
  <c r="E286" i="13"/>
  <c r="F286" i="13" s="1"/>
  <c r="E291" i="13"/>
  <c r="F291" i="13" s="1"/>
  <c r="E120" i="7"/>
  <c r="F120" i="7" s="1"/>
  <c r="H120" i="7" s="1"/>
  <c r="E124" i="7"/>
  <c r="F124" i="7" s="1"/>
  <c r="H124" i="7" s="1"/>
  <c r="E295" i="13"/>
  <c r="F295" i="13" s="1"/>
  <c r="E299" i="13"/>
  <c r="F299" i="13" s="1"/>
  <c r="E128" i="7"/>
  <c r="F128" i="7" s="1"/>
  <c r="H128" i="7" s="1"/>
  <c r="E303" i="13"/>
  <c r="F303" i="13" s="1"/>
  <c r="E132" i="7"/>
  <c r="F132" i="7" s="1"/>
  <c r="H132" i="7" s="1"/>
  <c r="E307" i="13"/>
  <c r="F307" i="13" s="1"/>
  <c r="E136" i="7"/>
  <c r="F136" i="7" s="1"/>
  <c r="H136" i="7" s="1"/>
  <c r="E140" i="7"/>
  <c r="F140" i="7" s="1"/>
  <c r="H140" i="7" s="1"/>
  <c r="E311" i="13"/>
  <c r="F311" i="13" s="1"/>
  <c r="E315" i="13"/>
  <c r="F315" i="13" s="1"/>
  <c r="E144" i="7"/>
  <c r="F144" i="7" s="1"/>
  <c r="H144" i="7" s="1"/>
  <c r="E148" i="7"/>
  <c r="F148" i="7" s="1"/>
  <c r="H148" i="7" s="1"/>
  <c r="J148" i="7" s="1"/>
  <c r="E319" i="13"/>
  <c r="F319" i="13" s="1"/>
  <c r="E323" i="13"/>
  <c r="F323" i="13" s="1"/>
  <c r="E157" i="7"/>
  <c r="F157" i="7" s="1"/>
  <c r="H157" i="7" s="1"/>
  <c r="E328" i="13"/>
  <c r="F328" i="13" s="1"/>
  <c r="E18" i="7"/>
  <c r="F18" i="7" s="1"/>
  <c r="H18" i="7" s="1"/>
  <c r="E189" i="13"/>
  <c r="F189" i="13" s="1"/>
  <c r="E193" i="13"/>
  <c r="F193" i="13" s="1"/>
  <c r="E22" i="7"/>
  <c r="F22" i="7" s="1"/>
  <c r="H22" i="7" s="1"/>
  <c r="E198" i="13"/>
  <c r="F198" i="13" s="1"/>
  <c r="E27" i="7"/>
  <c r="F27" i="7" s="1"/>
  <c r="H27" i="7" s="1"/>
  <c r="E202" i="13"/>
  <c r="F202" i="13" s="1"/>
  <c r="E31" i="7"/>
  <c r="F31" i="7" s="1"/>
  <c r="H31" i="7" s="1"/>
  <c r="E35" i="7"/>
  <c r="F35" i="7" s="1"/>
  <c r="H35" i="7" s="1"/>
  <c r="E206" i="13"/>
  <c r="F206" i="13" s="1"/>
  <c r="E210" i="13"/>
  <c r="F210" i="13" s="1"/>
  <c r="E39" i="7"/>
  <c r="F39" i="7" s="1"/>
  <c r="H39" i="7" s="1"/>
  <c r="E44" i="7"/>
  <c r="F44" i="7" s="1"/>
  <c r="H44" i="7" s="1"/>
  <c r="E215" i="13"/>
  <c r="F215" i="13" s="1"/>
  <c r="E48" i="7"/>
  <c r="F48" i="7" s="1"/>
  <c r="H48" i="7" s="1"/>
  <c r="E219" i="13"/>
  <c r="F219" i="13" s="1"/>
  <c r="E52" i="7"/>
  <c r="F52" i="7" s="1"/>
  <c r="H52" i="7" s="1"/>
  <c r="E223" i="13"/>
  <c r="F223" i="13" s="1"/>
  <c r="E228" i="13"/>
  <c r="F228" i="13" s="1"/>
  <c r="E57" i="7"/>
  <c r="F57" i="7" s="1"/>
  <c r="H57" i="7" s="1"/>
  <c r="E62" i="7"/>
  <c r="F62" i="7" s="1"/>
  <c r="H62" i="7" s="1"/>
  <c r="E233" i="13"/>
  <c r="F233" i="13" s="1"/>
  <c r="E66" i="7"/>
  <c r="F66" i="7" s="1"/>
  <c r="H66" i="7" s="1"/>
  <c r="J66" i="7" s="1"/>
  <c r="E237" i="13"/>
  <c r="F237" i="13" s="1"/>
  <c r="E241" i="13"/>
  <c r="F241" i="13" s="1"/>
  <c r="E75" i="7"/>
  <c r="F75" i="7" s="1"/>
  <c r="H75" i="7" s="1"/>
  <c r="E246" i="13"/>
  <c r="F246" i="13" s="1"/>
  <c r="E79" i="7"/>
  <c r="F79" i="7" s="1"/>
  <c r="H79" i="7" s="1"/>
  <c r="E250" i="13"/>
  <c r="F250" i="13" s="1"/>
  <c r="E83" i="7"/>
  <c r="F83" i="7" s="1"/>
  <c r="H83" i="7" s="1"/>
  <c r="E254" i="13"/>
  <c r="F254" i="13" s="1"/>
  <c r="E87" i="7"/>
  <c r="F87" i="7" s="1"/>
  <c r="H87" i="7" s="1"/>
  <c r="E258" i="13"/>
  <c r="F258" i="13" s="1"/>
  <c r="E91" i="7"/>
  <c r="F91" i="7" s="1"/>
  <c r="H91" i="7" s="1"/>
  <c r="J91" i="7" s="1"/>
  <c r="E262" i="13"/>
  <c r="F262" i="13" s="1"/>
  <c r="E266" i="13"/>
  <c r="F266" i="13" s="1"/>
  <c r="E100" i="7"/>
  <c r="F100" i="7" s="1"/>
  <c r="H100" i="7" s="1"/>
  <c r="E271" i="13"/>
  <c r="F271" i="13" s="1"/>
  <c r="E105" i="7"/>
  <c r="F105" i="7" s="1"/>
  <c r="H105" i="7" s="1"/>
  <c r="E276" i="13"/>
  <c r="F276" i="13" s="1"/>
  <c r="E280" i="13"/>
  <c r="F280" i="13" s="1"/>
  <c r="E285" i="13"/>
  <c r="F285" i="13" s="1"/>
  <c r="E114" i="7"/>
  <c r="F114" i="7" s="1"/>
  <c r="H114" i="7" s="1"/>
  <c r="E290" i="13"/>
  <c r="F290" i="13" s="1"/>
  <c r="E119" i="7"/>
  <c r="F119" i="7" s="1"/>
  <c r="H119" i="7" s="1"/>
  <c r="E123" i="7"/>
  <c r="F123" i="7" s="1"/>
  <c r="H123" i="7" s="1"/>
  <c r="E294" i="13"/>
  <c r="F294" i="13" s="1"/>
  <c r="E298" i="13"/>
  <c r="F298" i="13" s="1"/>
  <c r="E127" i="7"/>
  <c r="F127" i="7" s="1"/>
  <c r="H127" i="7" s="1"/>
  <c r="E302" i="13"/>
  <c r="F302" i="13" s="1"/>
  <c r="E131" i="7"/>
  <c r="F131" i="7" s="1"/>
  <c r="H131" i="7" s="1"/>
  <c r="E306" i="13"/>
  <c r="F306" i="13" s="1"/>
  <c r="E135" i="7"/>
  <c r="F135" i="7" s="1"/>
  <c r="H135" i="7" s="1"/>
  <c r="E139" i="7"/>
  <c r="F139" i="7" s="1"/>
  <c r="H139" i="7" s="1"/>
  <c r="E310" i="13"/>
  <c r="F310" i="13" s="1"/>
  <c r="E314" i="13"/>
  <c r="F314" i="13" s="1"/>
  <c r="E143" i="7"/>
  <c r="F143" i="7" s="1"/>
  <c r="H143" i="7" s="1"/>
  <c r="E147" i="7"/>
  <c r="F147" i="7" s="1"/>
  <c r="H147" i="7" s="1"/>
  <c r="E318" i="13"/>
  <c r="F318" i="13" s="1"/>
  <c r="E322" i="13"/>
  <c r="F322" i="13" s="1"/>
  <c r="E156" i="7"/>
  <c r="F156" i="7" s="1"/>
  <c r="H156" i="7" s="1"/>
  <c r="E327" i="13"/>
  <c r="F327" i="13" s="1"/>
  <c r="E188" i="13"/>
  <c r="F188" i="13" s="1"/>
  <c r="E17" i="7"/>
  <c r="F17" i="7" s="1"/>
  <c r="H17" i="7" s="1"/>
  <c r="E21" i="7"/>
  <c r="F21" i="7" s="1"/>
  <c r="H21" i="7" s="1"/>
  <c r="E192" i="13"/>
  <c r="F192" i="13" s="1"/>
  <c r="E197" i="13"/>
  <c r="F197" i="13" s="1"/>
  <c r="E26" i="7"/>
  <c r="F26" i="7" s="1"/>
  <c r="H26" i="7" s="1"/>
  <c r="E30" i="7"/>
  <c r="F30" i="7" s="1"/>
  <c r="H30" i="7" s="1"/>
  <c r="E201" i="13"/>
  <c r="F201" i="13" s="1"/>
  <c r="E205" i="13"/>
  <c r="F205" i="13" s="1"/>
  <c r="E34" i="7"/>
  <c r="F34" i="7" s="1"/>
  <c r="H34" i="7" s="1"/>
  <c r="E209" i="13"/>
  <c r="F209" i="13" s="1"/>
  <c r="E38" i="7"/>
  <c r="F38" i="7" s="1"/>
  <c r="H38" i="7" s="1"/>
  <c r="E214" i="13"/>
  <c r="F214" i="13" s="1"/>
  <c r="E43" i="7"/>
  <c r="F43" i="7" s="1"/>
  <c r="H43" i="7" s="1"/>
  <c r="E47" i="7"/>
  <c r="F47" i="7" s="1"/>
  <c r="H47" i="7" s="1"/>
  <c r="E218" i="13"/>
  <c r="F218" i="13" s="1"/>
  <c r="E222" i="13"/>
  <c r="F222" i="13" s="1"/>
  <c r="E51" i="7"/>
  <c r="F51" i="7" s="1"/>
  <c r="H51" i="7" s="1"/>
  <c r="E56" i="7"/>
  <c r="F56" i="7" s="1"/>
  <c r="H56" i="7" s="1"/>
  <c r="E227" i="13"/>
  <c r="F227" i="13" s="1"/>
  <c r="E60" i="7"/>
  <c r="F60" i="7" s="1"/>
  <c r="H60" i="7" s="1"/>
  <c r="E231" i="13"/>
  <c r="F231" i="13" s="1"/>
  <c r="E65" i="7"/>
  <c r="F65" i="7" s="1"/>
  <c r="H65" i="7" s="1"/>
  <c r="E236" i="13"/>
  <c r="F236" i="13" s="1"/>
  <c r="E69" i="7"/>
  <c r="F69" i="7" s="1"/>
  <c r="H69" i="7" s="1"/>
  <c r="E240" i="13"/>
  <c r="F240" i="13" s="1"/>
  <c r="E74" i="7"/>
  <c r="F74" i="7" s="1"/>
  <c r="H74" i="7" s="1"/>
  <c r="E245" i="13"/>
  <c r="F245" i="13" s="1"/>
  <c r="E78" i="7"/>
  <c r="F78" i="7" s="1"/>
  <c r="H78" i="7" s="1"/>
  <c r="E249" i="13"/>
  <c r="F249" i="13" s="1"/>
  <c r="E82" i="7"/>
  <c r="F82" i="7" s="1"/>
  <c r="H82" i="7" s="1"/>
  <c r="E253" i="13"/>
  <c r="F253" i="13" s="1"/>
  <c r="E86" i="7"/>
  <c r="F86" i="7" s="1"/>
  <c r="H86" i="7" s="1"/>
  <c r="E257" i="13"/>
  <c r="F257" i="13" s="1"/>
  <c r="E261" i="13"/>
  <c r="F261" i="13" s="1"/>
  <c r="E90" i="7"/>
  <c r="F90" i="7" s="1"/>
  <c r="H90" i="7" s="1"/>
  <c r="E265" i="13"/>
  <c r="F265" i="13" s="1"/>
  <c r="E99" i="7"/>
  <c r="F99" i="7" s="1"/>
  <c r="H99" i="7" s="1"/>
  <c r="E270" i="13"/>
  <c r="F270" i="13" s="1"/>
  <c r="E274" i="13"/>
  <c r="F274" i="13" s="1"/>
  <c r="E279" i="13"/>
  <c r="F279" i="13" s="1"/>
  <c r="E113" i="7"/>
  <c r="F113" i="7" s="1"/>
  <c r="H113" i="7" s="1"/>
  <c r="E284" i="13"/>
  <c r="F284" i="13" s="1"/>
  <c r="E288" i="13"/>
  <c r="F288" i="13" s="1"/>
  <c r="E293" i="13"/>
  <c r="F293" i="13" s="1"/>
  <c r="E122" i="7"/>
  <c r="F122" i="7" s="1"/>
  <c r="H122" i="7" s="1"/>
  <c r="E297" i="13"/>
  <c r="F297" i="13" s="1"/>
  <c r="E126" i="7"/>
  <c r="F126" i="7" s="1"/>
  <c r="H126" i="7" s="1"/>
  <c r="E301" i="13"/>
  <c r="F301" i="13" s="1"/>
  <c r="E130" i="7"/>
  <c r="F130" i="7" s="1"/>
  <c r="H130" i="7" s="1"/>
  <c r="E134" i="7"/>
  <c r="F134" i="7" s="1"/>
  <c r="H134" i="7" s="1"/>
  <c r="E305" i="13"/>
  <c r="F305" i="13" s="1"/>
  <c r="E309" i="13"/>
  <c r="F309" i="13" s="1"/>
  <c r="E138" i="7"/>
  <c r="F138" i="7" s="1"/>
  <c r="H138" i="7" s="1"/>
  <c r="E313" i="13"/>
  <c r="F313" i="13" s="1"/>
  <c r="E142" i="7"/>
  <c r="F142" i="7" s="1"/>
  <c r="H142" i="7" s="1"/>
  <c r="E317" i="13"/>
  <c r="F317" i="13" s="1"/>
  <c r="E146" i="7"/>
  <c r="F146" i="7" s="1"/>
  <c r="H146" i="7" s="1"/>
  <c r="E321" i="13"/>
  <c r="F321" i="13" s="1"/>
  <c r="E155" i="7"/>
  <c r="F155" i="7" s="1"/>
  <c r="H155" i="7" s="1"/>
  <c r="J155" i="7" s="1"/>
  <c r="E326" i="13"/>
  <c r="F326" i="13" s="1"/>
  <c r="E15" i="1"/>
  <c r="M11" i="6" l="1"/>
  <c r="M10" i="7" s="1"/>
  <c r="M10" i="6"/>
  <c r="M9" i="7" s="1"/>
  <c r="CS12" i="13"/>
  <c r="CQ12" i="13"/>
  <c r="I153" i="7" l="1"/>
  <c r="I152" i="7"/>
  <c r="I151" i="7"/>
  <c r="I150" i="7"/>
  <c r="I117" i="7"/>
  <c r="I116" i="7"/>
  <c r="I115" i="7"/>
  <c r="I109" i="7"/>
  <c r="I108" i="7"/>
  <c r="I107" i="7"/>
  <c r="I103" i="7"/>
  <c r="I102" i="7"/>
  <c r="I101" i="7"/>
  <c r="I96" i="7"/>
  <c r="I95" i="7"/>
  <c r="I94" i="7"/>
  <c r="I93" i="7"/>
  <c r="I92" i="7"/>
  <c r="I71" i="7"/>
  <c r="I70" i="7"/>
  <c r="I40" i="7"/>
  <c r="I15" i="7"/>
  <c r="E164" i="7" l="1"/>
  <c r="I15" i="6"/>
  <c r="E185" i="6"/>
  <c r="CR331" i="13" l="1"/>
  <c r="CT331" i="13" s="1"/>
  <c r="CU331" i="13" s="1"/>
  <c r="CR330" i="13"/>
  <c r="CT330" i="13" s="1"/>
  <c r="CU330" i="13" s="1"/>
  <c r="Z241" i="4"/>
  <c r="Z230" i="4"/>
  <c r="Z223" i="4"/>
  <c r="Z193" i="4"/>
  <c r="Z176" i="4"/>
  <c r="Z175" i="4"/>
  <c r="Z174" i="4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1" i="4"/>
  <c r="Z150" i="4"/>
  <c r="Z149" i="4"/>
  <c r="Z148" i="4"/>
  <c r="Z147" i="4"/>
  <c r="Z146" i="4"/>
  <c r="Z145" i="4"/>
  <c r="Z144" i="4"/>
  <c r="Z143" i="4"/>
  <c r="Z142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5" i="4"/>
  <c r="Z124" i="4"/>
  <c r="Z123" i="4"/>
  <c r="Z122" i="4"/>
  <c r="Z121" i="4"/>
  <c r="Z120" i="4"/>
  <c r="Z119" i="4"/>
  <c r="Z118" i="4"/>
  <c r="Z117" i="4"/>
  <c r="Z116" i="4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G16" i="1" l="1"/>
  <c r="CR13" i="13"/>
  <c r="CT13" i="13" s="1"/>
  <c r="CU13" i="13" s="1"/>
  <c r="G17" i="1"/>
  <c r="CR14" i="13"/>
  <c r="CT14" i="13" s="1"/>
  <c r="CU14" i="13" s="1"/>
  <c r="G18" i="1"/>
  <c r="CR15" i="13"/>
  <c r="CT15" i="13" s="1"/>
  <c r="CU15" i="13" s="1"/>
  <c r="G19" i="1"/>
  <c r="CR16" i="13"/>
  <c r="CT16" i="13" s="1"/>
  <c r="CU16" i="13" s="1"/>
  <c r="G20" i="1"/>
  <c r="CR17" i="13"/>
  <c r="CT17" i="13" s="1"/>
  <c r="CU17" i="13" s="1"/>
  <c r="G21" i="1"/>
  <c r="CR18" i="13"/>
  <c r="CT18" i="13" s="1"/>
  <c r="CU18" i="13" s="1"/>
  <c r="G22" i="1"/>
  <c r="CR19" i="13"/>
  <c r="CT19" i="13" s="1"/>
  <c r="CU19" i="13" s="1"/>
  <c r="G23" i="1"/>
  <c r="CR20" i="13"/>
  <c r="CT20" i="13" s="1"/>
  <c r="CU20" i="13" s="1"/>
  <c r="G24" i="1"/>
  <c r="CR21" i="13"/>
  <c r="CT21" i="13" s="1"/>
  <c r="CU21" i="13" s="1"/>
  <c r="G25" i="1"/>
  <c r="CR22" i="13"/>
  <c r="CT22" i="13" s="1"/>
  <c r="CU22" i="13" s="1"/>
  <c r="G26" i="1"/>
  <c r="CR23" i="13"/>
  <c r="CT23" i="13" s="1"/>
  <c r="CU23" i="13" s="1"/>
  <c r="G27" i="1"/>
  <c r="CR24" i="13"/>
  <c r="CT24" i="13" s="1"/>
  <c r="CU24" i="13" s="1"/>
  <c r="G28" i="1"/>
  <c r="CR25" i="13"/>
  <c r="CT25" i="13" s="1"/>
  <c r="CU25" i="13" s="1"/>
  <c r="G29" i="1"/>
  <c r="CR26" i="13"/>
  <c r="CT26" i="13" s="1"/>
  <c r="CU26" i="13" s="1"/>
  <c r="G30" i="1"/>
  <c r="CR27" i="13"/>
  <c r="CT27" i="13" s="1"/>
  <c r="CU27" i="13" s="1"/>
  <c r="G31" i="1"/>
  <c r="CR28" i="13"/>
  <c r="CT28" i="13" s="1"/>
  <c r="CU28" i="13" s="1"/>
  <c r="G32" i="1"/>
  <c r="CR29" i="13"/>
  <c r="CT29" i="13" s="1"/>
  <c r="CU29" i="13" s="1"/>
  <c r="G33" i="1"/>
  <c r="CR30" i="13"/>
  <c r="CT30" i="13" s="1"/>
  <c r="CU30" i="13" s="1"/>
  <c r="G34" i="1"/>
  <c r="CR31" i="13"/>
  <c r="CT31" i="13" s="1"/>
  <c r="CU31" i="13" s="1"/>
  <c r="G36" i="1"/>
  <c r="CR33" i="13"/>
  <c r="CT33" i="13" s="1"/>
  <c r="CU33" i="13" s="1"/>
  <c r="G37" i="1"/>
  <c r="CR34" i="13"/>
  <c r="CT34" i="13" s="1"/>
  <c r="CU34" i="13" s="1"/>
  <c r="G38" i="1"/>
  <c r="CR35" i="13"/>
  <c r="CT35" i="13" s="1"/>
  <c r="CU35" i="13" s="1"/>
  <c r="G39" i="1"/>
  <c r="CR36" i="13"/>
  <c r="CT36" i="13" s="1"/>
  <c r="CU36" i="13" s="1"/>
  <c r="G40" i="1"/>
  <c r="CR37" i="13"/>
  <c r="CT37" i="13" s="1"/>
  <c r="CU37" i="13" s="1"/>
  <c r="G41" i="1"/>
  <c r="CR38" i="13"/>
  <c r="CT38" i="13" s="1"/>
  <c r="CU38" i="13" s="1"/>
  <c r="G42" i="1"/>
  <c r="CR39" i="13"/>
  <c r="CT39" i="13" s="1"/>
  <c r="CU39" i="13" s="1"/>
  <c r="G43" i="1"/>
  <c r="CR40" i="13"/>
  <c r="CT40" i="13" s="1"/>
  <c r="CU40" i="13" s="1"/>
  <c r="G44" i="1"/>
  <c r="CR41" i="13"/>
  <c r="CT41" i="13" s="1"/>
  <c r="CU41" i="13" s="1"/>
  <c r="G45" i="1"/>
  <c r="CR42" i="13"/>
  <c r="CT42" i="13" s="1"/>
  <c r="CU42" i="13" s="1"/>
  <c r="G46" i="1"/>
  <c r="CR43" i="13"/>
  <c r="CT43" i="13" s="1"/>
  <c r="CU43" i="13" s="1"/>
  <c r="G47" i="1"/>
  <c r="CR44" i="13"/>
  <c r="CT44" i="13" s="1"/>
  <c r="CU44" i="13" s="1"/>
  <c r="G48" i="1"/>
  <c r="CR45" i="13"/>
  <c r="CT45" i="13" s="1"/>
  <c r="CU45" i="13" s="1"/>
  <c r="G49" i="1"/>
  <c r="CR46" i="13"/>
  <c r="CT46" i="13" s="1"/>
  <c r="CU46" i="13" s="1"/>
  <c r="G50" i="1"/>
  <c r="CR47" i="13"/>
  <c r="CT47" i="13" s="1"/>
  <c r="CU47" i="13" s="1"/>
  <c r="G51" i="1"/>
  <c r="CR48" i="13"/>
  <c r="CT48" i="13" s="1"/>
  <c r="CU48" i="13" s="1"/>
  <c r="G52" i="1"/>
  <c r="CR49" i="13"/>
  <c r="CT49" i="13" s="1"/>
  <c r="CU49" i="13" s="1"/>
  <c r="G53" i="1"/>
  <c r="CR50" i="13"/>
  <c r="CT50" i="13" s="1"/>
  <c r="CU50" i="13" s="1"/>
  <c r="G54" i="1"/>
  <c r="CR51" i="13"/>
  <c r="CT51" i="13" s="1"/>
  <c r="CU51" i="13" s="1"/>
  <c r="G55" i="1"/>
  <c r="CR52" i="13"/>
  <c r="CT52" i="13" s="1"/>
  <c r="CU52" i="13" s="1"/>
  <c r="G56" i="1"/>
  <c r="CR53" i="13"/>
  <c r="CT53" i="13" s="1"/>
  <c r="CU53" i="13" s="1"/>
  <c r="G57" i="1"/>
  <c r="CR54" i="13"/>
  <c r="CT54" i="13" s="1"/>
  <c r="CU54" i="13" s="1"/>
  <c r="G58" i="1"/>
  <c r="CR55" i="13"/>
  <c r="CT55" i="13" s="1"/>
  <c r="CU55" i="13" s="1"/>
  <c r="G59" i="1"/>
  <c r="CR56" i="13"/>
  <c r="CT56" i="13" s="1"/>
  <c r="CU56" i="13" s="1"/>
  <c r="G60" i="1"/>
  <c r="CR57" i="13"/>
  <c r="CT57" i="13" s="1"/>
  <c r="CU57" i="13" s="1"/>
  <c r="G61" i="1"/>
  <c r="CR58" i="13"/>
  <c r="CT58" i="13" s="1"/>
  <c r="CU58" i="13" s="1"/>
  <c r="G62" i="1"/>
  <c r="CR59" i="13"/>
  <c r="CT59" i="13" s="1"/>
  <c r="CU59" i="13" s="1"/>
  <c r="G63" i="1"/>
  <c r="CR60" i="13"/>
  <c r="CT60" i="13" s="1"/>
  <c r="CU60" i="13" s="1"/>
  <c r="G64" i="1"/>
  <c r="CR61" i="13"/>
  <c r="CT61" i="13" s="1"/>
  <c r="CU61" i="13" s="1"/>
  <c r="G65" i="1"/>
  <c r="CR62" i="13"/>
  <c r="CT62" i="13" s="1"/>
  <c r="CU62" i="13" s="1"/>
  <c r="G66" i="1"/>
  <c r="CR63" i="13"/>
  <c r="CT63" i="13" s="1"/>
  <c r="CU63" i="13" s="1"/>
  <c r="G67" i="1"/>
  <c r="CR64" i="13"/>
  <c r="CT64" i="13" s="1"/>
  <c r="CU64" i="13" s="1"/>
  <c r="G68" i="1"/>
  <c r="CR65" i="13"/>
  <c r="CT65" i="13" s="1"/>
  <c r="CU65" i="13" s="1"/>
  <c r="G69" i="1"/>
  <c r="CR66" i="13"/>
  <c r="CT66" i="13" s="1"/>
  <c r="CU66" i="13" s="1"/>
  <c r="G70" i="1"/>
  <c r="CR67" i="13"/>
  <c r="CT67" i="13" s="1"/>
  <c r="CU67" i="13" s="1"/>
  <c r="G71" i="1"/>
  <c r="CR68" i="13"/>
  <c r="CT68" i="13" s="1"/>
  <c r="CU68" i="13" s="1"/>
  <c r="G72" i="1"/>
  <c r="CR69" i="13"/>
  <c r="CT69" i="13" s="1"/>
  <c r="CU69" i="13" s="1"/>
  <c r="G73" i="1"/>
  <c r="CR70" i="13"/>
  <c r="CT70" i="13" s="1"/>
  <c r="CU70" i="13" s="1"/>
  <c r="G74" i="1"/>
  <c r="CR71" i="13"/>
  <c r="CT71" i="13" s="1"/>
  <c r="CU71" i="13" s="1"/>
  <c r="G75" i="1"/>
  <c r="CR72" i="13"/>
  <c r="CT72" i="13" s="1"/>
  <c r="CU72" i="13" s="1"/>
  <c r="G76" i="1"/>
  <c r="CR73" i="13"/>
  <c r="CT73" i="13" s="1"/>
  <c r="CU73" i="13" s="1"/>
  <c r="G77" i="1"/>
  <c r="CR74" i="13"/>
  <c r="CT74" i="13" s="1"/>
  <c r="CU74" i="13" s="1"/>
  <c r="G78" i="1"/>
  <c r="CR75" i="13"/>
  <c r="CT75" i="13" s="1"/>
  <c r="CU75" i="13" s="1"/>
  <c r="G79" i="1"/>
  <c r="CR76" i="13"/>
  <c r="CT76" i="13" s="1"/>
  <c r="CU76" i="13" s="1"/>
  <c r="G80" i="1"/>
  <c r="CR77" i="13"/>
  <c r="CT77" i="13" s="1"/>
  <c r="CU77" i="13" s="1"/>
  <c r="G81" i="1"/>
  <c r="CR78" i="13"/>
  <c r="CT78" i="13" s="1"/>
  <c r="CU78" i="13" s="1"/>
  <c r="G82" i="1"/>
  <c r="CR79" i="13"/>
  <c r="CT79" i="13" s="1"/>
  <c r="CU79" i="13" s="1"/>
  <c r="G83" i="1"/>
  <c r="CR80" i="13"/>
  <c r="CT80" i="13" s="1"/>
  <c r="CU80" i="13" s="1"/>
  <c r="G84" i="1"/>
  <c r="CR81" i="13"/>
  <c r="CT81" i="13" s="1"/>
  <c r="CU81" i="13" s="1"/>
  <c r="G85" i="1"/>
  <c r="CR82" i="13"/>
  <c r="CT82" i="13" s="1"/>
  <c r="CU82" i="13" s="1"/>
  <c r="G86" i="1"/>
  <c r="CR83" i="13"/>
  <c r="CT83" i="13" s="1"/>
  <c r="CU83" i="13" s="1"/>
  <c r="G87" i="1"/>
  <c r="CR84" i="13"/>
  <c r="CT84" i="13" s="1"/>
  <c r="CU84" i="13" s="1"/>
  <c r="G88" i="1"/>
  <c r="CR85" i="13"/>
  <c r="CT85" i="13" s="1"/>
  <c r="CU85" i="13" s="1"/>
  <c r="G89" i="1"/>
  <c r="CR86" i="13"/>
  <c r="CT86" i="13" s="1"/>
  <c r="CU86" i="13" s="1"/>
  <c r="G90" i="1"/>
  <c r="CR87" i="13"/>
  <c r="CT87" i="13" s="1"/>
  <c r="CU87" i="13" s="1"/>
  <c r="G91" i="1"/>
  <c r="CR88" i="13"/>
  <c r="CT88" i="13" s="1"/>
  <c r="CU88" i="13" s="1"/>
  <c r="G92" i="1"/>
  <c r="CR89" i="13"/>
  <c r="CT89" i="13" s="1"/>
  <c r="CU89" i="13" s="1"/>
  <c r="G93" i="1"/>
  <c r="CR90" i="13"/>
  <c r="CT90" i="13" s="1"/>
  <c r="CU90" i="13" s="1"/>
  <c r="G94" i="1"/>
  <c r="CR91" i="13"/>
  <c r="CT91" i="13" s="1"/>
  <c r="CU91" i="13" s="1"/>
  <c r="G95" i="1"/>
  <c r="CR92" i="13"/>
  <c r="CT92" i="13" s="1"/>
  <c r="CU92" i="13" s="1"/>
  <c r="G96" i="1"/>
  <c r="CR93" i="13"/>
  <c r="CT93" i="13" s="1"/>
  <c r="CU93" i="13" s="1"/>
  <c r="G97" i="1"/>
  <c r="CR94" i="13"/>
  <c r="CT94" i="13" s="1"/>
  <c r="CU94" i="13" s="1"/>
  <c r="G98" i="1"/>
  <c r="CR95" i="13"/>
  <c r="CT95" i="13" s="1"/>
  <c r="CU95" i="13" s="1"/>
  <c r="G99" i="1"/>
  <c r="CR96" i="13"/>
  <c r="CT96" i="13" s="1"/>
  <c r="CU96" i="13" s="1"/>
  <c r="G100" i="1"/>
  <c r="CR97" i="13"/>
  <c r="CT97" i="13" s="1"/>
  <c r="CU97" i="13" s="1"/>
  <c r="G101" i="1"/>
  <c r="CR98" i="13"/>
  <c r="CT98" i="13" s="1"/>
  <c r="CU98" i="13" s="1"/>
  <c r="G102" i="1"/>
  <c r="CR99" i="13"/>
  <c r="CT99" i="13" s="1"/>
  <c r="CU99" i="13" s="1"/>
  <c r="G103" i="1"/>
  <c r="CR100" i="13"/>
  <c r="CT100" i="13" s="1"/>
  <c r="CU100" i="13" s="1"/>
  <c r="G104" i="1"/>
  <c r="CR101" i="13"/>
  <c r="CT101" i="13" s="1"/>
  <c r="CU101" i="13" s="1"/>
  <c r="G105" i="1"/>
  <c r="CR102" i="13"/>
  <c r="CT102" i="13" s="1"/>
  <c r="CU102" i="13" s="1"/>
  <c r="G106" i="1"/>
  <c r="CR103" i="13"/>
  <c r="CT103" i="13" s="1"/>
  <c r="CU103" i="13" s="1"/>
  <c r="G107" i="1"/>
  <c r="CR104" i="13"/>
  <c r="CT104" i="13" s="1"/>
  <c r="CU104" i="13" s="1"/>
  <c r="G108" i="1"/>
  <c r="CR105" i="13"/>
  <c r="CT105" i="13" s="1"/>
  <c r="CU105" i="13" s="1"/>
  <c r="G109" i="1"/>
  <c r="CR106" i="13"/>
  <c r="CT106" i="13" s="1"/>
  <c r="CU106" i="13" s="1"/>
  <c r="G110" i="1"/>
  <c r="CR107" i="13"/>
  <c r="CT107" i="13" s="1"/>
  <c r="CU107" i="13" s="1"/>
  <c r="G111" i="1"/>
  <c r="CR108" i="13"/>
  <c r="CT108" i="13" s="1"/>
  <c r="CU108" i="13" s="1"/>
  <c r="G112" i="1"/>
  <c r="CR109" i="13"/>
  <c r="CT109" i="13" s="1"/>
  <c r="CU109" i="13" s="1"/>
  <c r="G113" i="1"/>
  <c r="CR110" i="13"/>
  <c r="CT110" i="13" s="1"/>
  <c r="CU110" i="13" s="1"/>
  <c r="G114" i="1"/>
  <c r="CR111" i="13"/>
  <c r="CT111" i="13" s="1"/>
  <c r="CU111" i="13" s="1"/>
  <c r="G115" i="1"/>
  <c r="CR112" i="13"/>
  <c r="CT112" i="13" s="1"/>
  <c r="CU112" i="13" s="1"/>
  <c r="G116" i="1"/>
  <c r="CR113" i="13"/>
  <c r="CT113" i="13" s="1"/>
  <c r="CU113" i="13" s="1"/>
  <c r="G117" i="1"/>
  <c r="CR114" i="13"/>
  <c r="CT114" i="13" s="1"/>
  <c r="CU114" i="13" s="1"/>
  <c r="G118" i="1"/>
  <c r="CR115" i="13"/>
  <c r="CT115" i="13" s="1"/>
  <c r="CU115" i="13" s="1"/>
  <c r="G119" i="1"/>
  <c r="CR116" i="13"/>
  <c r="CT116" i="13" s="1"/>
  <c r="CU116" i="13" s="1"/>
  <c r="G121" i="1"/>
  <c r="CR118" i="13"/>
  <c r="CT118" i="13" s="1"/>
  <c r="CU118" i="13" s="1"/>
  <c r="G122" i="1"/>
  <c r="CR119" i="13"/>
  <c r="CT119" i="13" s="1"/>
  <c r="CU119" i="13" s="1"/>
  <c r="G123" i="1"/>
  <c r="CR120" i="13"/>
  <c r="CT120" i="13" s="1"/>
  <c r="CU120" i="13" s="1"/>
  <c r="G124" i="1"/>
  <c r="CR121" i="13"/>
  <c r="CT121" i="13" s="1"/>
  <c r="CU121" i="13" s="1"/>
  <c r="G125" i="1"/>
  <c r="CR122" i="13"/>
  <c r="CT122" i="13" s="1"/>
  <c r="CU122" i="13" s="1"/>
  <c r="G126" i="1"/>
  <c r="CR123" i="13"/>
  <c r="CT123" i="13" s="1"/>
  <c r="CU123" i="13" s="1"/>
  <c r="G127" i="1"/>
  <c r="CR124" i="13"/>
  <c r="CT124" i="13" s="1"/>
  <c r="CU124" i="13" s="1"/>
  <c r="G128" i="1"/>
  <c r="CR125" i="13"/>
  <c r="CT125" i="13" s="1"/>
  <c r="CU125" i="13" s="1"/>
  <c r="G129" i="1"/>
  <c r="CR126" i="13"/>
  <c r="CT126" i="13" s="1"/>
  <c r="CU126" i="13" s="1"/>
  <c r="G130" i="1"/>
  <c r="CR127" i="13"/>
  <c r="CT127" i="13" s="1"/>
  <c r="CU127" i="13" s="1"/>
  <c r="G132" i="1"/>
  <c r="CR129" i="13"/>
  <c r="CT129" i="13" s="1"/>
  <c r="CU129" i="13" s="1"/>
  <c r="G133" i="1"/>
  <c r="CR130" i="13"/>
  <c r="CT130" i="13" s="1"/>
  <c r="CU130" i="13" s="1"/>
  <c r="G134" i="1"/>
  <c r="CR131" i="13"/>
  <c r="CT131" i="13" s="1"/>
  <c r="CU131" i="13" s="1"/>
  <c r="G135" i="1"/>
  <c r="CR132" i="13"/>
  <c r="CT132" i="13" s="1"/>
  <c r="CU132" i="13" s="1"/>
  <c r="G136" i="1"/>
  <c r="CR133" i="13"/>
  <c r="CT133" i="13" s="1"/>
  <c r="CU133" i="13" s="1"/>
  <c r="G137" i="1"/>
  <c r="CR134" i="13"/>
  <c r="CT134" i="13" s="1"/>
  <c r="CU134" i="13" s="1"/>
  <c r="G138" i="1"/>
  <c r="CR135" i="13"/>
  <c r="CT135" i="13" s="1"/>
  <c r="CU135" i="13" s="1"/>
  <c r="G139" i="1"/>
  <c r="CR136" i="13"/>
  <c r="CT136" i="13" s="1"/>
  <c r="CU136" i="13" s="1"/>
  <c r="G140" i="1"/>
  <c r="CR137" i="13"/>
  <c r="CT137" i="13" s="1"/>
  <c r="CU137" i="13" s="1"/>
  <c r="G141" i="1"/>
  <c r="CR138" i="13"/>
  <c r="CT138" i="13" s="1"/>
  <c r="CU138" i="13" s="1"/>
  <c r="G142" i="1"/>
  <c r="CR139" i="13"/>
  <c r="CT139" i="13" s="1"/>
  <c r="CU139" i="13" s="1"/>
  <c r="G143" i="1"/>
  <c r="CR140" i="13"/>
  <c r="CT140" i="13" s="1"/>
  <c r="CU140" i="13" s="1"/>
  <c r="G144" i="1"/>
  <c r="CR141" i="13"/>
  <c r="CT141" i="13" s="1"/>
  <c r="CU141" i="13" s="1"/>
  <c r="G145" i="1"/>
  <c r="CR142" i="13"/>
  <c r="CT142" i="13" s="1"/>
  <c r="CU142" i="13" s="1"/>
  <c r="G147" i="1"/>
  <c r="CR144" i="13"/>
  <c r="CT144" i="13" s="1"/>
  <c r="CU144" i="13" s="1"/>
  <c r="G148" i="1"/>
  <c r="CR145" i="13"/>
  <c r="CT145" i="13" s="1"/>
  <c r="CU145" i="13" s="1"/>
  <c r="G149" i="1"/>
  <c r="CR146" i="13"/>
  <c r="CT146" i="13" s="1"/>
  <c r="CU146" i="13" s="1"/>
  <c r="G150" i="1"/>
  <c r="CR147" i="13"/>
  <c r="CT147" i="13" s="1"/>
  <c r="CU147" i="13" s="1"/>
  <c r="G151" i="1"/>
  <c r="CR148" i="13"/>
  <c r="CT148" i="13" s="1"/>
  <c r="CU148" i="13" s="1"/>
  <c r="G152" i="1"/>
  <c r="CR149" i="13"/>
  <c r="CT149" i="13" s="1"/>
  <c r="CU149" i="13" s="1"/>
  <c r="G153" i="1"/>
  <c r="CR150" i="13"/>
  <c r="CT150" i="13" s="1"/>
  <c r="CU150" i="13" s="1"/>
  <c r="G154" i="1"/>
  <c r="CR151" i="13"/>
  <c r="CT151" i="13" s="1"/>
  <c r="CU151" i="13" s="1"/>
  <c r="G155" i="1"/>
  <c r="CR152" i="13"/>
  <c r="CT152" i="13" s="1"/>
  <c r="CU152" i="13" s="1"/>
  <c r="G156" i="1"/>
  <c r="CR153" i="13"/>
  <c r="CT153" i="13" s="1"/>
  <c r="CU153" i="13" s="1"/>
  <c r="G158" i="1"/>
  <c r="CR155" i="13"/>
  <c r="CT155" i="13" s="1"/>
  <c r="CU155" i="13" s="1"/>
  <c r="G159" i="1"/>
  <c r="CR156" i="13"/>
  <c r="CT156" i="13" s="1"/>
  <c r="CU156" i="13" s="1"/>
  <c r="G160" i="1"/>
  <c r="CR157" i="13"/>
  <c r="CT157" i="13" s="1"/>
  <c r="CU157" i="13" s="1"/>
  <c r="G161" i="1"/>
  <c r="CR158" i="13"/>
  <c r="CT158" i="13" s="1"/>
  <c r="CU158" i="13" s="1"/>
  <c r="G162" i="1"/>
  <c r="CR159" i="13"/>
  <c r="CT159" i="13" s="1"/>
  <c r="CU159" i="13" s="1"/>
  <c r="G163" i="1"/>
  <c r="CR160" i="13"/>
  <c r="CT160" i="13" s="1"/>
  <c r="CU160" i="13" s="1"/>
  <c r="G164" i="1"/>
  <c r="CR161" i="13"/>
  <c r="CT161" i="13" s="1"/>
  <c r="CU161" i="13" s="1"/>
  <c r="G165" i="1"/>
  <c r="CR162" i="13"/>
  <c r="CT162" i="13" s="1"/>
  <c r="CU162" i="13" s="1"/>
  <c r="G166" i="1"/>
  <c r="CR163" i="13"/>
  <c r="CT163" i="13" s="1"/>
  <c r="CU163" i="13" s="1"/>
  <c r="G167" i="1"/>
  <c r="CR164" i="13"/>
  <c r="CT164" i="13" s="1"/>
  <c r="CU164" i="13" s="1"/>
  <c r="G168" i="1"/>
  <c r="CR165" i="13"/>
  <c r="CT165" i="13" s="1"/>
  <c r="CU165" i="13" s="1"/>
  <c r="G169" i="1"/>
  <c r="CR166" i="13"/>
  <c r="CT166" i="13" s="1"/>
  <c r="CU166" i="13" s="1"/>
  <c r="G170" i="1"/>
  <c r="CR167" i="13"/>
  <c r="CT167" i="13" s="1"/>
  <c r="CU167" i="13" s="1"/>
  <c r="G171" i="1"/>
  <c r="CR168" i="13"/>
  <c r="CT168" i="13" s="1"/>
  <c r="CU168" i="13" s="1"/>
  <c r="G172" i="1"/>
  <c r="CR169" i="13"/>
  <c r="CT169" i="13" s="1"/>
  <c r="CU169" i="13" s="1"/>
  <c r="G173" i="1"/>
  <c r="CR170" i="13"/>
  <c r="CT170" i="13" s="1"/>
  <c r="CU170" i="13" s="1"/>
  <c r="G174" i="1"/>
  <c r="CR171" i="13"/>
  <c r="CT171" i="13" s="1"/>
  <c r="CU171" i="13" s="1"/>
  <c r="G175" i="1"/>
  <c r="CR172" i="13"/>
  <c r="CT172" i="13" s="1"/>
  <c r="CU172" i="13" s="1"/>
  <c r="G176" i="1"/>
  <c r="CR173" i="13"/>
  <c r="CT173" i="13" s="1"/>
  <c r="CU173" i="13" s="1"/>
  <c r="G177" i="1"/>
  <c r="CR174" i="13"/>
  <c r="CT174" i="13" s="1"/>
  <c r="CU174" i="13" s="1"/>
  <c r="G178" i="1"/>
  <c r="CR175" i="13"/>
  <c r="CT175" i="13" s="1"/>
  <c r="CU175" i="13" s="1"/>
  <c r="G179" i="1"/>
  <c r="CR176" i="13"/>
  <c r="CT176" i="13" s="1"/>
  <c r="CU176" i="13" s="1"/>
  <c r="G180" i="1"/>
  <c r="CR177" i="13"/>
  <c r="CT177" i="13" s="1"/>
  <c r="CU177" i="13" s="1"/>
  <c r="G181" i="1"/>
  <c r="CR178" i="13"/>
  <c r="CT178" i="13" s="1"/>
  <c r="CU178" i="13" s="1"/>
  <c r="Z184" i="4"/>
  <c r="CR186" i="13"/>
  <c r="CT186" i="13" s="1"/>
  <c r="CU186" i="13" s="1"/>
  <c r="Z185" i="4"/>
  <c r="CR187" i="13"/>
  <c r="CT187" i="13" s="1"/>
  <c r="CU187" i="13" s="1"/>
  <c r="Z186" i="4"/>
  <c r="CR188" i="13"/>
  <c r="CT188" i="13" s="1"/>
  <c r="CU188" i="13" s="1"/>
  <c r="Z187" i="4"/>
  <c r="CR189" i="13"/>
  <c r="CT189" i="13" s="1"/>
  <c r="CU189" i="13" s="1"/>
  <c r="Z188" i="4"/>
  <c r="CR190" i="13"/>
  <c r="CT190" i="13" s="1"/>
  <c r="CU190" i="13" s="1"/>
  <c r="Z189" i="4"/>
  <c r="CR191" i="13"/>
  <c r="CT191" i="13" s="1"/>
  <c r="CU191" i="13" s="1"/>
  <c r="Z190" i="4"/>
  <c r="CR192" i="13"/>
  <c r="CT192" i="13" s="1"/>
  <c r="CU192" i="13" s="1"/>
  <c r="Z191" i="4"/>
  <c r="CR193" i="13"/>
  <c r="CT193" i="13" s="1"/>
  <c r="CU193" i="13" s="1"/>
  <c r="Z192" i="4"/>
  <c r="CR194" i="13"/>
  <c r="CT194" i="13" s="1"/>
  <c r="CU194" i="13" s="1"/>
  <c r="Z194" i="4"/>
  <c r="CR196" i="13"/>
  <c r="CT196" i="13" s="1"/>
  <c r="CU196" i="13" s="1"/>
  <c r="Z195" i="4"/>
  <c r="CR197" i="13"/>
  <c r="CT197" i="13" s="1"/>
  <c r="CU197" i="13" s="1"/>
  <c r="Z196" i="4"/>
  <c r="CR198" i="13"/>
  <c r="CT198" i="13" s="1"/>
  <c r="CU198" i="13" s="1"/>
  <c r="Z197" i="4"/>
  <c r="CR199" i="13"/>
  <c r="CT199" i="13" s="1"/>
  <c r="CU199" i="13" s="1"/>
  <c r="Z198" i="4"/>
  <c r="CR200" i="13"/>
  <c r="CT200" i="13" s="1"/>
  <c r="CU200" i="13" s="1"/>
  <c r="Z199" i="4"/>
  <c r="CR201" i="13"/>
  <c r="CT201" i="13" s="1"/>
  <c r="CU201" i="13" s="1"/>
  <c r="Z200" i="4"/>
  <c r="CR202" i="13"/>
  <c r="CT202" i="13" s="1"/>
  <c r="CU202" i="13" s="1"/>
  <c r="Z201" i="4"/>
  <c r="CR203" i="13"/>
  <c r="CT203" i="13" s="1"/>
  <c r="CU203" i="13" s="1"/>
  <c r="Z202" i="4"/>
  <c r="CR204" i="13"/>
  <c r="CT204" i="13" s="1"/>
  <c r="CU204" i="13" s="1"/>
  <c r="Z203" i="4"/>
  <c r="CR205" i="13"/>
  <c r="CT205" i="13" s="1"/>
  <c r="CU205" i="13" s="1"/>
  <c r="Z204" i="4"/>
  <c r="CR206" i="13"/>
  <c r="CT206" i="13" s="1"/>
  <c r="CU206" i="13" s="1"/>
  <c r="Z205" i="4"/>
  <c r="CR207" i="13"/>
  <c r="CT207" i="13" s="1"/>
  <c r="CU207" i="13" s="1"/>
  <c r="Z206" i="4"/>
  <c r="CR208" i="13"/>
  <c r="CT208" i="13" s="1"/>
  <c r="CU208" i="13" s="1"/>
  <c r="Z207" i="4"/>
  <c r="CR209" i="13"/>
  <c r="CT209" i="13" s="1"/>
  <c r="CU209" i="13" s="1"/>
  <c r="Z208" i="4"/>
  <c r="CR210" i="13"/>
  <c r="CT210" i="13" s="1"/>
  <c r="CU210" i="13" s="1"/>
  <c r="Z209" i="4"/>
  <c r="CR211" i="13"/>
  <c r="CT211" i="13" s="1"/>
  <c r="CU211" i="13" s="1"/>
  <c r="Z211" i="4"/>
  <c r="CR213" i="13"/>
  <c r="CT213" i="13" s="1"/>
  <c r="CU213" i="13" s="1"/>
  <c r="Z212" i="4"/>
  <c r="CR214" i="13"/>
  <c r="CT214" i="13" s="1"/>
  <c r="CU214" i="13" s="1"/>
  <c r="Z213" i="4"/>
  <c r="CR215" i="13"/>
  <c r="CT215" i="13" s="1"/>
  <c r="CU215" i="13" s="1"/>
  <c r="Z214" i="4"/>
  <c r="CR216" i="13"/>
  <c r="CT216" i="13" s="1"/>
  <c r="CU216" i="13" s="1"/>
  <c r="Z215" i="4"/>
  <c r="CR217" i="13"/>
  <c r="CT217" i="13" s="1"/>
  <c r="CU217" i="13" s="1"/>
  <c r="Z216" i="4"/>
  <c r="CR218" i="13"/>
  <c r="CT218" i="13" s="1"/>
  <c r="CU218" i="13" s="1"/>
  <c r="Z217" i="4"/>
  <c r="CR219" i="13"/>
  <c r="CT219" i="13" s="1"/>
  <c r="CU219" i="13" s="1"/>
  <c r="Z218" i="4"/>
  <c r="CR220" i="13"/>
  <c r="CT220" i="13" s="1"/>
  <c r="CU220" i="13" s="1"/>
  <c r="Z219" i="4"/>
  <c r="CR221" i="13"/>
  <c r="CT221" i="13" s="1"/>
  <c r="CU221" i="13" s="1"/>
  <c r="Z220" i="4"/>
  <c r="CR222" i="13"/>
  <c r="CT222" i="13" s="1"/>
  <c r="CU222" i="13" s="1"/>
  <c r="Z221" i="4"/>
  <c r="CR223" i="13"/>
  <c r="CT223" i="13" s="1"/>
  <c r="CU223" i="13" s="1"/>
  <c r="Z222" i="4"/>
  <c r="CR224" i="13"/>
  <c r="CT224" i="13" s="1"/>
  <c r="CU224" i="13" s="1"/>
  <c r="Z224" i="4"/>
  <c r="CR226" i="13"/>
  <c r="CT226" i="13" s="1"/>
  <c r="CU226" i="13" s="1"/>
  <c r="Z225" i="4"/>
  <c r="CR227" i="13"/>
  <c r="CT227" i="13" s="1"/>
  <c r="CU227" i="13" s="1"/>
  <c r="Z226" i="4"/>
  <c r="CR228" i="13"/>
  <c r="CT228" i="13" s="1"/>
  <c r="CU228" i="13" s="1"/>
  <c r="Z227" i="4"/>
  <c r="CR229" i="13"/>
  <c r="CT229" i="13" s="1"/>
  <c r="CU229" i="13" s="1"/>
  <c r="Z228" i="4"/>
  <c r="CR230" i="13"/>
  <c r="CT230" i="13" s="1"/>
  <c r="CU230" i="13" s="1"/>
  <c r="Z229" i="4"/>
  <c r="CR231" i="13"/>
  <c r="CT231" i="13" s="1"/>
  <c r="CU231" i="13" s="1"/>
  <c r="Z231" i="4"/>
  <c r="CR233" i="13"/>
  <c r="CT233" i="13" s="1"/>
  <c r="CU233" i="13" s="1"/>
  <c r="Z232" i="4"/>
  <c r="CR234" i="13"/>
  <c r="CT234" i="13" s="1"/>
  <c r="CU234" i="13" s="1"/>
  <c r="Z233" i="4"/>
  <c r="CR235" i="13"/>
  <c r="CT235" i="13" s="1"/>
  <c r="CU235" i="13" s="1"/>
  <c r="Z234" i="4"/>
  <c r="CR236" i="13"/>
  <c r="CT236" i="13" s="1"/>
  <c r="CU236" i="13" s="1"/>
  <c r="Z235" i="4"/>
  <c r="CR237" i="13"/>
  <c r="CT237" i="13" s="1"/>
  <c r="CU237" i="13" s="1"/>
  <c r="Z236" i="4"/>
  <c r="CR238" i="13"/>
  <c r="CT238" i="13" s="1"/>
  <c r="CU238" i="13" s="1"/>
  <c r="Z237" i="4"/>
  <c r="CR239" i="13"/>
  <c r="CT239" i="13" s="1"/>
  <c r="CU239" i="13" s="1"/>
  <c r="Z238" i="4"/>
  <c r="CR240" i="13"/>
  <c r="CT240" i="13" s="1"/>
  <c r="CU240" i="13" s="1"/>
  <c r="Z239" i="4"/>
  <c r="CR241" i="13"/>
  <c r="CT241" i="13" s="1"/>
  <c r="CU241" i="13" s="1"/>
  <c r="Z240" i="4"/>
  <c r="CR242" i="13"/>
  <c r="CT242" i="13" s="1"/>
  <c r="CU242" i="13" s="1"/>
  <c r="Z242" i="4"/>
  <c r="CR244" i="13"/>
  <c r="CT244" i="13" s="1"/>
  <c r="CU244" i="13" s="1"/>
  <c r="Z243" i="4"/>
  <c r="CR245" i="13"/>
  <c r="CT245" i="13" s="1"/>
  <c r="CU245" i="13" s="1"/>
  <c r="Z244" i="4"/>
  <c r="CR246" i="13"/>
  <c r="CT246" i="13" s="1"/>
  <c r="CU246" i="13" s="1"/>
  <c r="Z245" i="4"/>
  <c r="CR247" i="13"/>
  <c r="CT247" i="13" s="1"/>
  <c r="CU247" i="13" s="1"/>
  <c r="Z246" i="4"/>
  <c r="CR248" i="13"/>
  <c r="CT248" i="13" s="1"/>
  <c r="CU248" i="13" s="1"/>
  <c r="Z247" i="4"/>
  <c r="CR249" i="13"/>
  <c r="CT249" i="13" s="1"/>
  <c r="CU249" i="13" s="1"/>
  <c r="Z248" i="4"/>
  <c r="CR250" i="13"/>
  <c r="CT250" i="13" s="1"/>
  <c r="CU250" i="13" s="1"/>
  <c r="Z249" i="4"/>
  <c r="CR251" i="13"/>
  <c r="CT251" i="13" s="1"/>
  <c r="CU251" i="13" s="1"/>
  <c r="Z250" i="4"/>
  <c r="CR252" i="13"/>
  <c r="CT252" i="13" s="1"/>
  <c r="CU252" i="13" s="1"/>
  <c r="Z251" i="4"/>
  <c r="CR253" i="13"/>
  <c r="CT253" i="13" s="1"/>
  <c r="CU253" i="13" s="1"/>
  <c r="Z252" i="4"/>
  <c r="CR254" i="13"/>
  <c r="CT254" i="13" s="1"/>
  <c r="CU254" i="13" s="1"/>
  <c r="Z253" i="4"/>
  <c r="CR255" i="13"/>
  <c r="CT255" i="13" s="1"/>
  <c r="CU255" i="13" s="1"/>
  <c r="Z254" i="4"/>
  <c r="CR256" i="13"/>
  <c r="CT256" i="13" s="1"/>
  <c r="CU256" i="13" s="1"/>
  <c r="Z255" i="4"/>
  <c r="CR257" i="13"/>
  <c r="CT257" i="13" s="1"/>
  <c r="CU257" i="13" s="1"/>
  <c r="Z256" i="4"/>
  <c r="CR258" i="13"/>
  <c r="CT258" i="13" s="1"/>
  <c r="CU258" i="13" s="1"/>
  <c r="Z257" i="4"/>
  <c r="CR259" i="13"/>
  <c r="CT259" i="13" s="1"/>
  <c r="CU259" i="13" s="1"/>
  <c r="Z258" i="4"/>
  <c r="CR260" i="13"/>
  <c r="CT260" i="13" s="1"/>
  <c r="CU260" i="13" s="1"/>
  <c r="Z259" i="4"/>
  <c r="CR261" i="13"/>
  <c r="CT261" i="13" s="1"/>
  <c r="CU261" i="13" s="1"/>
  <c r="Z260" i="4"/>
  <c r="CR262" i="13"/>
  <c r="CT262" i="13" s="1"/>
  <c r="CU262" i="13" s="1"/>
  <c r="Z261" i="4"/>
  <c r="CR263" i="13"/>
  <c r="CT263" i="13" s="1"/>
  <c r="CU263" i="13" s="1"/>
  <c r="Z262" i="4"/>
  <c r="CR264" i="13"/>
  <c r="CT264" i="13" s="1"/>
  <c r="CU264" i="13" s="1"/>
  <c r="Z263" i="4"/>
  <c r="CR265" i="13"/>
  <c r="CT265" i="13" s="1"/>
  <c r="CU265" i="13" s="1"/>
  <c r="Z264" i="4"/>
  <c r="CR266" i="13"/>
  <c r="CT266" i="13" s="1"/>
  <c r="CU266" i="13" s="1"/>
  <c r="Z265" i="4"/>
  <c r="CR267" i="13"/>
  <c r="CT267" i="13" s="1"/>
  <c r="CU267" i="13" s="1"/>
  <c r="Z267" i="4"/>
  <c r="CR269" i="13"/>
  <c r="CT269" i="13" s="1"/>
  <c r="CU269" i="13" s="1"/>
  <c r="Z268" i="4"/>
  <c r="CR270" i="13"/>
  <c r="CT270" i="13" s="1"/>
  <c r="CU270" i="13" s="1"/>
  <c r="Z269" i="4"/>
  <c r="CR271" i="13"/>
  <c r="CT271" i="13" s="1"/>
  <c r="CU271" i="13" s="1"/>
  <c r="Z270" i="4"/>
  <c r="CR272" i="13"/>
  <c r="CT272" i="13" s="1"/>
  <c r="CU272" i="13" s="1"/>
  <c r="Z271" i="4"/>
  <c r="CR273" i="13"/>
  <c r="CT273" i="13" s="1"/>
  <c r="CU273" i="13" s="1"/>
  <c r="Z272" i="4"/>
  <c r="CR274" i="13"/>
  <c r="CT274" i="13" s="1"/>
  <c r="CU274" i="13" s="1"/>
  <c r="Z274" i="4"/>
  <c r="CR276" i="13"/>
  <c r="CT276" i="13" s="1"/>
  <c r="CU276" i="13" s="1"/>
  <c r="Z275" i="4"/>
  <c r="CR277" i="13"/>
  <c r="CT277" i="13" s="1"/>
  <c r="CU277" i="13" s="1"/>
  <c r="Z276" i="4"/>
  <c r="CR278" i="13"/>
  <c r="CT278" i="13" s="1"/>
  <c r="CU278" i="13" s="1"/>
  <c r="Z277" i="4"/>
  <c r="CR279" i="13"/>
  <c r="CT279" i="13" s="1"/>
  <c r="CU279" i="13" s="1"/>
  <c r="Z278" i="4"/>
  <c r="CR280" i="13"/>
  <c r="CT280" i="13" s="1"/>
  <c r="CU280" i="13" s="1"/>
  <c r="Z280" i="4"/>
  <c r="CR282" i="13"/>
  <c r="CT282" i="13" s="1"/>
  <c r="CU282" i="13" s="1"/>
  <c r="Z281" i="4"/>
  <c r="CR283" i="13"/>
  <c r="CT283" i="13" s="1"/>
  <c r="CU283" i="13" s="1"/>
  <c r="Z282" i="4"/>
  <c r="CR284" i="13"/>
  <c r="CT284" i="13" s="1"/>
  <c r="CU284" i="13" s="1"/>
  <c r="Z283" i="4"/>
  <c r="CR285" i="13"/>
  <c r="CT285" i="13" s="1"/>
  <c r="CU285" i="13" s="1"/>
  <c r="Z284" i="4"/>
  <c r="CR286" i="13"/>
  <c r="CT286" i="13" s="1"/>
  <c r="CU286" i="13" s="1"/>
  <c r="Z285" i="4"/>
  <c r="CR287" i="13"/>
  <c r="CT287" i="13" s="1"/>
  <c r="CU287" i="13" s="1"/>
  <c r="Z286" i="4"/>
  <c r="CR288" i="13"/>
  <c r="CT288" i="13" s="1"/>
  <c r="CU288" i="13" s="1"/>
  <c r="Z288" i="4"/>
  <c r="CR290" i="13"/>
  <c r="CT290" i="13" s="1"/>
  <c r="CU290" i="13" s="1"/>
  <c r="Z289" i="4"/>
  <c r="CR291" i="13"/>
  <c r="CT291" i="13" s="1"/>
  <c r="CU291" i="13" s="1"/>
  <c r="Z290" i="4"/>
  <c r="CR292" i="13"/>
  <c r="CT292" i="13" s="1"/>
  <c r="CU292" i="13" s="1"/>
  <c r="Z291" i="4"/>
  <c r="CR293" i="13"/>
  <c r="CT293" i="13" s="1"/>
  <c r="CU293" i="13" s="1"/>
  <c r="Z292" i="4"/>
  <c r="CR294" i="13"/>
  <c r="CT294" i="13" s="1"/>
  <c r="CU294" i="13" s="1"/>
  <c r="Z293" i="4"/>
  <c r="CR295" i="13"/>
  <c r="CT295" i="13" s="1"/>
  <c r="CU295" i="13" s="1"/>
  <c r="Z294" i="4"/>
  <c r="CR296" i="13"/>
  <c r="CT296" i="13" s="1"/>
  <c r="CU296" i="13" s="1"/>
  <c r="Z295" i="4"/>
  <c r="CR297" i="13"/>
  <c r="CT297" i="13" s="1"/>
  <c r="CU297" i="13" s="1"/>
  <c r="Z296" i="4"/>
  <c r="CR298" i="13"/>
  <c r="CT298" i="13" s="1"/>
  <c r="CU298" i="13" s="1"/>
  <c r="Z297" i="4"/>
  <c r="CR299" i="13"/>
  <c r="CT299" i="13" s="1"/>
  <c r="CU299" i="13" s="1"/>
  <c r="Z298" i="4"/>
  <c r="CR300" i="13"/>
  <c r="CT300" i="13" s="1"/>
  <c r="CU300" i="13" s="1"/>
  <c r="Z299" i="4"/>
  <c r="CR301" i="13"/>
  <c r="CT301" i="13" s="1"/>
  <c r="CU301" i="13" s="1"/>
  <c r="Z300" i="4"/>
  <c r="CR302" i="13"/>
  <c r="CT302" i="13" s="1"/>
  <c r="CU302" i="13" s="1"/>
  <c r="Z301" i="4"/>
  <c r="CR303" i="13"/>
  <c r="CT303" i="13" s="1"/>
  <c r="CU303" i="13" s="1"/>
  <c r="Z302" i="4"/>
  <c r="CR304" i="13"/>
  <c r="CT304" i="13" s="1"/>
  <c r="CU304" i="13" s="1"/>
  <c r="Z303" i="4"/>
  <c r="CR305" i="13"/>
  <c r="CT305" i="13" s="1"/>
  <c r="CU305" i="13" s="1"/>
  <c r="Z304" i="4"/>
  <c r="CR306" i="13"/>
  <c r="CT306" i="13" s="1"/>
  <c r="CU306" i="13" s="1"/>
  <c r="Z305" i="4"/>
  <c r="CR307" i="13"/>
  <c r="CT307" i="13" s="1"/>
  <c r="CU307" i="13" s="1"/>
  <c r="Z306" i="4"/>
  <c r="CR308" i="13"/>
  <c r="CT308" i="13" s="1"/>
  <c r="CU308" i="13" s="1"/>
  <c r="Z307" i="4"/>
  <c r="CR309" i="13"/>
  <c r="CT309" i="13" s="1"/>
  <c r="CU309" i="13" s="1"/>
  <c r="Z308" i="4"/>
  <c r="CR310" i="13"/>
  <c r="CT310" i="13" s="1"/>
  <c r="CU310" i="13" s="1"/>
  <c r="Z309" i="4"/>
  <c r="CR311" i="13"/>
  <c r="CT311" i="13" s="1"/>
  <c r="CU311" i="13" s="1"/>
  <c r="Z310" i="4"/>
  <c r="CR312" i="13"/>
  <c r="CT312" i="13" s="1"/>
  <c r="CU312" i="13" s="1"/>
  <c r="Z311" i="4"/>
  <c r="CR313" i="13"/>
  <c r="CT313" i="13" s="1"/>
  <c r="CU313" i="13" s="1"/>
  <c r="Z312" i="4"/>
  <c r="CR314" i="13"/>
  <c r="CT314" i="13" s="1"/>
  <c r="CU314" i="13" s="1"/>
  <c r="Z313" i="4"/>
  <c r="CR315" i="13"/>
  <c r="CT315" i="13" s="1"/>
  <c r="CU315" i="13" s="1"/>
  <c r="Z314" i="4"/>
  <c r="CR316" i="13"/>
  <c r="CT316" i="13" s="1"/>
  <c r="CU316" i="13" s="1"/>
  <c r="Z315" i="4"/>
  <c r="CR317" i="13"/>
  <c r="CT317" i="13" s="1"/>
  <c r="CU317" i="13" s="1"/>
  <c r="Z316" i="4"/>
  <c r="CR318" i="13"/>
  <c r="CT318" i="13" s="1"/>
  <c r="CU318" i="13" s="1"/>
  <c r="Z317" i="4"/>
  <c r="CR319" i="13"/>
  <c r="CT319" i="13" s="1"/>
  <c r="CU319" i="13" s="1"/>
  <c r="Z318" i="4"/>
  <c r="CR320" i="13"/>
  <c r="CT320" i="13" s="1"/>
  <c r="CU320" i="13" s="1"/>
  <c r="Z319" i="4"/>
  <c r="CR321" i="13"/>
  <c r="CT321" i="13" s="1"/>
  <c r="CU321" i="13" s="1"/>
  <c r="Z320" i="4"/>
  <c r="CR322" i="13"/>
  <c r="CT322" i="13" s="1"/>
  <c r="CU322" i="13" s="1"/>
  <c r="Z321" i="4"/>
  <c r="CR323" i="13"/>
  <c r="CT323" i="13" s="1"/>
  <c r="CU323" i="13" s="1"/>
  <c r="Z322" i="4"/>
  <c r="CR324" i="13"/>
  <c r="CT324" i="13" s="1"/>
  <c r="CU324" i="13" s="1"/>
  <c r="Z324" i="4"/>
  <c r="CR326" i="13"/>
  <c r="CT326" i="13" s="1"/>
  <c r="CU326" i="13" s="1"/>
  <c r="Z325" i="4"/>
  <c r="CR327" i="13"/>
  <c r="CT327" i="13" s="1"/>
  <c r="CU327" i="13" s="1"/>
  <c r="Z326" i="4"/>
  <c r="CR328" i="13"/>
  <c r="CT328" i="13" s="1"/>
  <c r="CU328" i="13" s="1"/>
  <c r="Z327" i="4"/>
  <c r="CR329" i="13"/>
  <c r="CT329" i="13" s="1"/>
  <c r="CU329" i="13" s="1"/>
  <c r="H18" i="1"/>
  <c r="CX15" i="13"/>
  <c r="H22" i="1"/>
  <c r="CX19" i="13"/>
  <c r="H26" i="1"/>
  <c r="CX23" i="13"/>
  <c r="H30" i="1"/>
  <c r="CX27" i="13"/>
  <c r="H34" i="1"/>
  <c r="CX31" i="13"/>
  <c r="H39" i="1"/>
  <c r="CX36" i="13"/>
  <c r="H43" i="1"/>
  <c r="CX40" i="13"/>
  <c r="H47" i="1"/>
  <c r="CX44" i="13"/>
  <c r="H51" i="1"/>
  <c r="CX48" i="13"/>
  <c r="H55" i="1"/>
  <c r="CX52" i="13"/>
  <c r="H59" i="1"/>
  <c r="CX56" i="13"/>
  <c r="H63" i="1"/>
  <c r="CX60" i="13"/>
  <c r="H67" i="1"/>
  <c r="CX64" i="13"/>
  <c r="H71" i="1"/>
  <c r="CX68" i="13"/>
  <c r="H75" i="1"/>
  <c r="CX72" i="13"/>
  <c r="H79" i="1"/>
  <c r="CX76" i="13"/>
  <c r="H83" i="1"/>
  <c r="CX80" i="13"/>
  <c r="H87" i="1"/>
  <c r="CX84" i="13"/>
  <c r="H91" i="1"/>
  <c r="CX88" i="13"/>
  <c r="H95" i="1"/>
  <c r="CX92" i="13"/>
  <c r="H99" i="1"/>
  <c r="CX96" i="13"/>
  <c r="H103" i="1"/>
  <c r="CX100" i="13"/>
  <c r="H107" i="1"/>
  <c r="CX104" i="13"/>
  <c r="H111" i="1"/>
  <c r="CX108" i="13"/>
  <c r="H115" i="1"/>
  <c r="CX112" i="13"/>
  <c r="H119" i="1"/>
  <c r="CX116" i="13"/>
  <c r="H124" i="1"/>
  <c r="CX121" i="13"/>
  <c r="H128" i="1"/>
  <c r="CX125" i="13"/>
  <c r="H133" i="1"/>
  <c r="CX130" i="13"/>
  <c r="H137" i="1"/>
  <c r="CX134" i="13"/>
  <c r="H141" i="1"/>
  <c r="CX138" i="13"/>
  <c r="H145" i="1"/>
  <c r="CX142" i="13"/>
  <c r="H150" i="1"/>
  <c r="CX147" i="13"/>
  <c r="H154" i="1"/>
  <c r="CX151" i="13"/>
  <c r="H159" i="1"/>
  <c r="CX156" i="13"/>
  <c r="H163" i="1"/>
  <c r="CX160" i="13"/>
  <c r="H167" i="1"/>
  <c r="CX164" i="13"/>
  <c r="H171" i="1"/>
  <c r="CX168" i="13"/>
  <c r="H175" i="1"/>
  <c r="CX172" i="13"/>
  <c r="H179" i="1"/>
  <c r="CX176" i="13"/>
  <c r="H17" i="1"/>
  <c r="CX14" i="13"/>
  <c r="H21" i="1"/>
  <c r="CX18" i="13"/>
  <c r="H25" i="1"/>
  <c r="CX22" i="13"/>
  <c r="H29" i="1"/>
  <c r="CX26" i="13"/>
  <c r="H33" i="1"/>
  <c r="CX30" i="13"/>
  <c r="H38" i="1"/>
  <c r="CX35" i="13"/>
  <c r="H42" i="1"/>
  <c r="CX39" i="13"/>
  <c r="H46" i="1"/>
  <c r="CX43" i="13"/>
  <c r="H50" i="1"/>
  <c r="CX47" i="13"/>
  <c r="H54" i="1"/>
  <c r="CX51" i="13"/>
  <c r="H58" i="1"/>
  <c r="CX55" i="13"/>
  <c r="H62" i="1"/>
  <c r="CX59" i="13"/>
  <c r="H66" i="1"/>
  <c r="CX63" i="13"/>
  <c r="H70" i="1"/>
  <c r="CX67" i="13"/>
  <c r="H74" i="1"/>
  <c r="CX71" i="13"/>
  <c r="H78" i="1"/>
  <c r="CX75" i="13"/>
  <c r="H82" i="1"/>
  <c r="CX79" i="13"/>
  <c r="H86" i="1"/>
  <c r="CX83" i="13"/>
  <c r="H90" i="1"/>
  <c r="CX87" i="13"/>
  <c r="H94" i="1"/>
  <c r="CX91" i="13"/>
  <c r="H98" i="1"/>
  <c r="CX95" i="13"/>
  <c r="H102" i="1"/>
  <c r="CX99" i="13"/>
  <c r="H106" i="1"/>
  <c r="CX103" i="13"/>
  <c r="H110" i="1"/>
  <c r="CX107" i="13"/>
  <c r="H114" i="1"/>
  <c r="CX111" i="13"/>
  <c r="H118" i="1"/>
  <c r="CX115" i="13"/>
  <c r="H123" i="1"/>
  <c r="CX120" i="13"/>
  <c r="H127" i="1"/>
  <c r="CX124" i="13"/>
  <c r="H132" i="1"/>
  <c r="CX129" i="13"/>
  <c r="H136" i="1"/>
  <c r="CX133" i="13"/>
  <c r="H140" i="1"/>
  <c r="CX137" i="13"/>
  <c r="H144" i="1"/>
  <c r="CX141" i="13"/>
  <c r="H149" i="1"/>
  <c r="CX146" i="13"/>
  <c r="H153" i="1"/>
  <c r="CX150" i="13"/>
  <c r="H158" i="1"/>
  <c r="CX155" i="13"/>
  <c r="H162" i="1"/>
  <c r="CX159" i="13"/>
  <c r="H166" i="1"/>
  <c r="CX163" i="13"/>
  <c r="H170" i="1"/>
  <c r="CX167" i="13"/>
  <c r="H174" i="1"/>
  <c r="CX171" i="13"/>
  <c r="H178" i="1"/>
  <c r="CX175" i="13"/>
  <c r="H16" i="1"/>
  <c r="CX13" i="13"/>
  <c r="H20" i="1"/>
  <c r="CX17" i="13"/>
  <c r="H24" i="1"/>
  <c r="CX21" i="13"/>
  <c r="H28" i="1"/>
  <c r="CX25" i="13"/>
  <c r="H32" i="1"/>
  <c r="CX29" i="13"/>
  <c r="H37" i="1"/>
  <c r="CX34" i="13"/>
  <c r="H41" i="1"/>
  <c r="CX38" i="13"/>
  <c r="H45" i="1"/>
  <c r="CX42" i="13"/>
  <c r="H49" i="1"/>
  <c r="CX46" i="13"/>
  <c r="H53" i="1"/>
  <c r="CX50" i="13"/>
  <c r="H57" i="1"/>
  <c r="CX54" i="13"/>
  <c r="H61" i="1"/>
  <c r="CX58" i="13"/>
  <c r="H65" i="1"/>
  <c r="CX62" i="13"/>
  <c r="H69" i="1"/>
  <c r="CX66" i="13"/>
  <c r="H73" i="1"/>
  <c r="CX70" i="13"/>
  <c r="H77" i="1"/>
  <c r="CX74" i="13"/>
  <c r="H81" i="1"/>
  <c r="CX78" i="13"/>
  <c r="H85" i="1"/>
  <c r="CX82" i="13"/>
  <c r="H89" i="1"/>
  <c r="CX86" i="13"/>
  <c r="H93" i="1"/>
  <c r="CX90" i="13"/>
  <c r="H97" i="1"/>
  <c r="CX94" i="13"/>
  <c r="H101" i="1"/>
  <c r="CX98" i="13"/>
  <c r="H105" i="1"/>
  <c r="CX102" i="13"/>
  <c r="H109" i="1"/>
  <c r="CX106" i="13"/>
  <c r="H113" i="1"/>
  <c r="CX110" i="13"/>
  <c r="H117" i="1"/>
  <c r="CX114" i="13"/>
  <c r="H122" i="1"/>
  <c r="CX119" i="13"/>
  <c r="H126" i="1"/>
  <c r="CX123" i="13"/>
  <c r="H130" i="1"/>
  <c r="CX127" i="13"/>
  <c r="H135" i="1"/>
  <c r="CX132" i="13"/>
  <c r="H139" i="1"/>
  <c r="CX136" i="13"/>
  <c r="H143" i="1"/>
  <c r="CX140" i="13"/>
  <c r="H148" i="1"/>
  <c r="CX145" i="13"/>
  <c r="H152" i="1"/>
  <c r="CX149" i="13"/>
  <c r="H156" i="1"/>
  <c r="CX153" i="13"/>
  <c r="H161" i="1"/>
  <c r="CX158" i="13"/>
  <c r="H165" i="1"/>
  <c r="CX162" i="13"/>
  <c r="H169" i="1"/>
  <c r="CX166" i="13"/>
  <c r="H173" i="1"/>
  <c r="CX170" i="13"/>
  <c r="H177" i="1"/>
  <c r="CX174" i="13"/>
  <c r="H181" i="1"/>
  <c r="CX178" i="13"/>
  <c r="H19" i="1"/>
  <c r="CX16" i="13"/>
  <c r="H23" i="1"/>
  <c r="CX20" i="13"/>
  <c r="H27" i="1"/>
  <c r="CX24" i="13"/>
  <c r="H31" i="1"/>
  <c r="CX28" i="13"/>
  <c r="H36" i="1"/>
  <c r="CX33" i="13"/>
  <c r="H40" i="1"/>
  <c r="CX37" i="13"/>
  <c r="H44" i="1"/>
  <c r="CX41" i="13"/>
  <c r="H48" i="1"/>
  <c r="CX45" i="13"/>
  <c r="H52" i="1"/>
  <c r="CX49" i="13"/>
  <c r="H56" i="1"/>
  <c r="CX53" i="13"/>
  <c r="H60" i="1"/>
  <c r="CX57" i="13"/>
  <c r="H64" i="1"/>
  <c r="CX61" i="13"/>
  <c r="H68" i="1"/>
  <c r="CX65" i="13"/>
  <c r="H72" i="1"/>
  <c r="CX69" i="13"/>
  <c r="H76" i="1"/>
  <c r="CX73" i="13"/>
  <c r="H80" i="1"/>
  <c r="CX77" i="13"/>
  <c r="H84" i="1"/>
  <c r="CX81" i="13"/>
  <c r="H88" i="1"/>
  <c r="CX85" i="13"/>
  <c r="H92" i="1"/>
  <c r="CX89" i="13"/>
  <c r="H96" i="1"/>
  <c r="CX93" i="13"/>
  <c r="H100" i="1"/>
  <c r="CX97" i="13"/>
  <c r="H104" i="1"/>
  <c r="CX101" i="13"/>
  <c r="H108" i="1"/>
  <c r="CX105" i="13"/>
  <c r="H112" i="1"/>
  <c r="CX109" i="13"/>
  <c r="H116" i="1"/>
  <c r="CX113" i="13"/>
  <c r="H121" i="1"/>
  <c r="CX118" i="13"/>
  <c r="H125" i="1"/>
  <c r="CX122" i="13"/>
  <c r="H129" i="1"/>
  <c r="CX126" i="13"/>
  <c r="H134" i="1"/>
  <c r="CX131" i="13"/>
  <c r="H138" i="1"/>
  <c r="CX135" i="13"/>
  <c r="H142" i="1"/>
  <c r="CX139" i="13"/>
  <c r="H147" i="1"/>
  <c r="CX144" i="13"/>
  <c r="H151" i="1"/>
  <c r="CX148" i="13"/>
  <c r="H155" i="1"/>
  <c r="CX152" i="13"/>
  <c r="H160" i="1"/>
  <c r="CX157" i="13"/>
  <c r="H164" i="1"/>
  <c r="CX161" i="13"/>
  <c r="H168" i="1"/>
  <c r="CX165" i="13"/>
  <c r="H172" i="1"/>
  <c r="CX169" i="13"/>
  <c r="H176" i="1"/>
  <c r="CX173" i="13"/>
  <c r="H180" i="1"/>
  <c r="CX177" i="13"/>
  <c r="AB13" i="4"/>
  <c r="D11" i="22"/>
  <c r="AB17" i="4"/>
  <c r="D15" i="22"/>
  <c r="AB21" i="4"/>
  <c r="D19" i="22"/>
  <c r="AB25" i="4"/>
  <c r="D23" i="22"/>
  <c r="AB29" i="4"/>
  <c r="D27" i="22"/>
  <c r="AB34" i="4"/>
  <c r="D32" i="22"/>
  <c r="AB38" i="4"/>
  <c r="D36" i="22"/>
  <c r="AB42" i="4"/>
  <c r="D40" i="22"/>
  <c r="AB46" i="4"/>
  <c r="D44" i="22"/>
  <c r="AB50" i="4"/>
  <c r="D48" i="22"/>
  <c r="AB54" i="4"/>
  <c r="D52" i="22"/>
  <c r="AB58" i="4"/>
  <c r="D56" i="22"/>
  <c r="AB62" i="4"/>
  <c r="D60" i="22"/>
  <c r="AB66" i="4"/>
  <c r="D64" i="22"/>
  <c r="AB70" i="4"/>
  <c r="D68" i="22"/>
  <c r="AB74" i="4"/>
  <c r="D72" i="22"/>
  <c r="AB78" i="4"/>
  <c r="D76" i="22"/>
  <c r="AB82" i="4"/>
  <c r="D80" i="22"/>
  <c r="AB86" i="4"/>
  <c r="D84" i="22"/>
  <c r="AB90" i="4"/>
  <c r="D88" i="22"/>
  <c r="AB94" i="4"/>
  <c r="D92" i="22"/>
  <c r="AB98" i="4"/>
  <c r="D96" i="22"/>
  <c r="AB102" i="4"/>
  <c r="D100" i="22"/>
  <c r="AB106" i="4"/>
  <c r="D104" i="22"/>
  <c r="AB110" i="4"/>
  <c r="D108" i="22"/>
  <c r="AB114" i="4"/>
  <c r="D112" i="22"/>
  <c r="AB119" i="4"/>
  <c r="D117" i="22"/>
  <c r="AB123" i="4"/>
  <c r="D121" i="22"/>
  <c r="AB128" i="4"/>
  <c r="D126" i="22"/>
  <c r="AB132" i="4"/>
  <c r="D130" i="22"/>
  <c r="AB136" i="4"/>
  <c r="D134" i="22"/>
  <c r="AB140" i="4"/>
  <c r="D138" i="22"/>
  <c r="AB145" i="4"/>
  <c r="D143" i="22"/>
  <c r="AB149" i="4"/>
  <c r="D147" i="22"/>
  <c r="AB154" i="4"/>
  <c r="D152" i="22"/>
  <c r="AB158" i="4"/>
  <c r="D156" i="22"/>
  <c r="AB162" i="4"/>
  <c r="D160" i="22"/>
  <c r="AB166" i="4"/>
  <c r="D164" i="22"/>
  <c r="AB170" i="4"/>
  <c r="D168" i="22"/>
  <c r="AB174" i="4"/>
  <c r="D172" i="22"/>
  <c r="AB12" i="4"/>
  <c r="D10" i="22"/>
  <c r="AB16" i="4"/>
  <c r="D14" i="22"/>
  <c r="AB20" i="4"/>
  <c r="D18" i="22"/>
  <c r="AB24" i="4"/>
  <c r="D22" i="22"/>
  <c r="AB28" i="4"/>
  <c r="D26" i="22"/>
  <c r="AB33" i="4"/>
  <c r="D31" i="22"/>
  <c r="AB37" i="4"/>
  <c r="D35" i="22"/>
  <c r="AB41" i="4"/>
  <c r="D39" i="22"/>
  <c r="AB45" i="4"/>
  <c r="D43" i="22"/>
  <c r="AB49" i="4"/>
  <c r="D47" i="22"/>
  <c r="AB53" i="4"/>
  <c r="D51" i="22"/>
  <c r="AB57" i="4"/>
  <c r="D55" i="22"/>
  <c r="AB61" i="4"/>
  <c r="D59" i="22"/>
  <c r="AB65" i="4"/>
  <c r="D63" i="22"/>
  <c r="AB69" i="4"/>
  <c r="D67" i="22"/>
  <c r="AB73" i="4"/>
  <c r="D71" i="22"/>
  <c r="AB77" i="4"/>
  <c r="D75" i="22"/>
  <c r="AB81" i="4"/>
  <c r="D79" i="22"/>
  <c r="AB85" i="4"/>
  <c r="D83" i="22"/>
  <c r="AB89" i="4"/>
  <c r="D87" i="22"/>
  <c r="AB93" i="4"/>
  <c r="D91" i="22"/>
  <c r="AB97" i="4"/>
  <c r="D95" i="22"/>
  <c r="AB101" i="4"/>
  <c r="D99" i="22"/>
  <c r="AB105" i="4"/>
  <c r="D103" i="22"/>
  <c r="AB109" i="4"/>
  <c r="D107" i="22"/>
  <c r="AB113" i="4"/>
  <c r="D111" i="22"/>
  <c r="AB118" i="4"/>
  <c r="D116" i="22"/>
  <c r="AB122" i="4"/>
  <c r="D120" i="22"/>
  <c r="AB127" i="4"/>
  <c r="D125" i="22"/>
  <c r="AB131" i="4"/>
  <c r="D129" i="22"/>
  <c r="AB135" i="4"/>
  <c r="D133" i="22"/>
  <c r="AB139" i="4"/>
  <c r="D137" i="22"/>
  <c r="AB144" i="4"/>
  <c r="D142" i="22"/>
  <c r="AB148" i="4"/>
  <c r="D146" i="22"/>
  <c r="AB153" i="4"/>
  <c r="D151" i="22"/>
  <c r="AB157" i="4"/>
  <c r="D155" i="22"/>
  <c r="AB161" i="4"/>
  <c r="D159" i="22"/>
  <c r="AB165" i="4"/>
  <c r="D163" i="22"/>
  <c r="AB169" i="4"/>
  <c r="D167" i="22"/>
  <c r="AB173" i="4"/>
  <c r="D171" i="22"/>
  <c r="AB15" i="4"/>
  <c r="D13" i="22"/>
  <c r="AB19" i="4"/>
  <c r="D17" i="22"/>
  <c r="AB23" i="4"/>
  <c r="D21" i="22"/>
  <c r="AB27" i="4"/>
  <c r="D25" i="22"/>
  <c r="AB32" i="4"/>
  <c r="D30" i="22"/>
  <c r="AB36" i="4"/>
  <c r="D34" i="22"/>
  <c r="AB40" i="4"/>
  <c r="D38" i="22"/>
  <c r="AB44" i="4"/>
  <c r="D42" i="22"/>
  <c r="AB48" i="4"/>
  <c r="D46" i="22"/>
  <c r="AB52" i="4"/>
  <c r="D50" i="22"/>
  <c r="AB56" i="4"/>
  <c r="D54" i="22"/>
  <c r="AB60" i="4"/>
  <c r="AB64" i="4"/>
  <c r="D62" i="22"/>
  <c r="AB68" i="4"/>
  <c r="AB72" i="4"/>
  <c r="AB76" i="4"/>
  <c r="AB80" i="4"/>
  <c r="AB84" i="4"/>
  <c r="AB88" i="4"/>
  <c r="AB92" i="4"/>
  <c r="AB96" i="4"/>
  <c r="D98" i="22"/>
  <c r="AB108" i="4"/>
  <c r="AB112" i="4"/>
  <c r="D115" i="22"/>
  <c r="AB125" i="4"/>
  <c r="AB130" i="4"/>
  <c r="D132" i="22"/>
  <c r="D141" i="22"/>
  <c r="D149" i="22"/>
  <c r="D158" i="22"/>
  <c r="AB176" i="4"/>
  <c r="AB11" i="4"/>
  <c r="D9" i="22"/>
  <c r="AB67" i="4"/>
  <c r="AB133" i="4"/>
  <c r="Z329" i="4"/>
  <c r="G160" i="5" s="1"/>
  <c r="CX331" i="13" s="1"/>
  <c r="Z328" i="4"/>
  <c r="G159" i="5" s="1"/>
  <c r="G39" i="5"/>
  <c r="CX210" i="13" s="1"/>
  <c r="G38" i="5"/>
  <c r="CX209" i="13" s="1"/>
  <c r="G33" i="5"/>
  <c r="CX204" i="13" s="1"/>
  <c r="G16" i="5"/>
  <c r="CX187" i="13" s="1"/>
  <c r="G20" i="5"/>
  <c r="CX191" i="13" s="1"/>
  <c r="G28" i="5"/>
  <c r="CX199" i="13" s="1"/>
  <c r="G32" i="5"/>
  <c r="CX203" i="13" s="1"/>
  <c r="G36" i="5"/>
  <c r="CX207" i="13" s="1"/>
  <c r="G15" i="5"/>
  <c r="CX186" i="13" s="1"/>
  <c r="G19" i="5"/>
  <c r="CX190" i="13" s="1"/>
  <c r="G23" i="5"/>
  <c r="CX194" i="13" s="1"/>
  <c r="G27" i="5"/>
  <c r="CX198" i="13" s="1"/>
  <c r="G31" i="5"/>
  <c r="CX202" i="13" s="1"/>
  <c r="G35" i="5"/>
  <c r="CX206" i="13" s="1"/>
  <c r="G18" i="5"/>
  <c r="CX189" i="13" s="1"/>
  <c r="G22" i="5"/>
  <c r="CX193" i="13" s="1"/>
  <c r="G26" i="5"/>
  <c r="CX197" i="13" s="1"/>
  <c r="G30" i="5"/>
  <c r="CX201" i="13" s="1"/>
  <c r="G34" i="5"/>
  <c r="CX205" i="13" s="1"/>
  <c r="G17" i="5"/>
  <c r="CX188" i="13" s="1"/>
  <c r="G21" i="5"/>
  <c r="CX192" i="13" s="1"/>
  <c r="G25" i="5"/>
  <c r="CX196" i="13" s="1"/>
  <c r="G29" i="5"/>
  <c r="CX200" i="13" s="1"/>
  <c r="G37" i="5"/>
  <c r="CX208" i="13" s="1"/>
  <c r="AI337" i="13"/>
  <c r="AJ337" i="13" s="1"/>
  <c r="AD177" i="13" l="1"/>
  <c r="AE177" i="13" s="1"/>
  <c r="H173" i="24"/>
  <c r="AD173" i="13"/>
  <c r="AE173" i="13" s="1"/>
  <c r="H169" i="24"/>
  <c r="AD165" i="13"/>
  <c r="AE165" i="13" s="1"/>
  <c r="H161" i="24"/>
  <c r="AD161" i="13"/>
  <c r="AE161" i="13" s="1"/>
  <c r="H157" i="24"/>
  <c r="AD157" i="13"/>
  <c r="AE157" i="13" s="1"/>
  <c r="H153" i="24"/>
  <c r="AD152" i="13"/>
  <c r="AE152" i="13" s="1"/>
  <c r="H148" i="24"/>
  <c r="AD148" i="13"/>
  <c r="AE148" i="13" s="1"/>
  <c r="H144" i="24"/>
  <c r="AD144" i="13"/>
  <c r="AE144" i="13" s="1"/>
  <c r="H140" i="24"/>
  <c r="AD135" i="13"/>
  <c r="AE135" i="13" s="1"/>
  <c r="H131" i="24"/>
  <c r="AD131" i="13"/>
  <c r="AE131" i="13" s="1"/>
  <c r="H127" i="24"/>
  <c r="AD126" i="13"/>
  <c r="AE126" i="13" s="1"/>
  <c r="H122" i="24"/>
  <c r="AD113" i="13"/>
  <c r="AE113" i="13" s="1"/>
  <c r="H109" i="24"/>
  <c r="AD105" i="13"/>
  <c r="AE105" i="13" s="1"/>
  <c r="H101" i="24"/>
  <c r="AD101" i="13"/>
  <c r="AE101" i="13" s="1"/>
  <c r="H97" i="24"/>
  <c r="AD93" i="13"/>
  <c r="AE93" i="13" s="1"/>
  <c r="H89" i="24"/>
  <c r="AD89" i="13"/>
  <c r="AE89" i="13" s="1"/>
  <c r="H85" i="24"/>
  <c r="AD85" i="13"/>
  <c r="AE85" i="13" s="1"/>
  <c r="H81" i="24"/>
  <c r="AD81" i="13"/>
  <c r="AE81" i="13" s="1"/>
  <c r="H77" i="24"/>
  <c r="AD77" i="13"/>
  <c r="AE77" i="13" s="1"/>
  <c r="H73" i="24"/>
  <c r="AD73" i="13"/>
  <c r="AE73" i="13" s="1"/>
  <c r="H69" i="24"/>
  <c r="AD69" i="13"/>
  <c r="AE69" i="13" s="1"/>
  <c r="H65" i="24"/>
  <c r="AD61" i="13"/>
  <c r="AE61" i="13" s="1"/>
  <c r="H57" i="24"/>
  <c r="AD57" i="13"/>
  <c r="AE57" i="13" s="1"/>
  <c r="H53" i="24"/>
  <c r="AD53" i="13"/>
  <c r="AE53" i="13" s="1"/>
  <c r="H49" i="24"/>
  <c r="AD45" i="13"/>
  <c r="AE45" i="13" s="1"/>
  <c r="H41" i="24"/>
  <c r="AD41" i="13"/>
  <c r="AE41" i="13" s="1"/>
  <c r="H37" i="24"/>
  <c r="AD37" i="13"/>
  <c r="AE37" i="13" s="1"/>
  <c r="H33" i="24"/>
  <c r="AD33" i="13"/>
  <c r="AE33" i="13" s="1"/>
  <c r="H29" i="24"/>
  <c r="AD28" i="13"/>
  <c r="AE28" i="13" s="1"/>
  <c r="H24" i="24"/>
  <c r="AD24" i="13"/>
  <c r="AE24" i="13" s="1"/>
  <c r="H20" i="24"/>
  <c r="AD178" i="13"/>
  <c r="AE178" i="13" s="1"/>
  <c r="H174" i="24"/>
  <c r="AD170" i="13"/>
  <c r="AE170" i="13" s="1"/>
  <c r="H166" i="24"/>
  <c r="AD166" i="13"/>
  <c r="AE166" i="13" s="1"/>
  <c r="H162" i="24"/>
  <c r="AD162" i="13"/>
  <c r="AE162" i="13" s="1"/>
  <c r="H158" i="24"/>
  <c r="AD158" i="13"/>
  <c r="AE158" i="13" s="1"/>
  <c r="H154" i="24"/>
  <c r="AD153" i="13"/>
  <c r="AE153" i="13" s="1"/>
  <c r="H149" i="24"/>
  <c r="AD149" i="13"/>
  <c r="AE149" i="13" s="1"/>
  <c r="H145" i="24"/>
  <c r="AD145" i="13"/>
  <c r="AE145" i="13" s="1"/>
  <c r="H141" i="24"/>
  <c r="AD140" i="13"/>
  <c r="AE140" i="13" s="1"/>
  <c r="H136" i="24"/>
  <c r="AD132" i="13"/>
  <c r="AE132" i="13" s="1"/>
  <c r="H128" i="24"/>
  <c r="AD127" i="13"/>
  <c r="AE127" i="13" s="1"/>
  <c r="H123" i="24"/>
  <c r="AD123" i="13"/>
  <c r="AE123" i="13" s="1"/>
  <c r="H119" i="24"/>
  <c r="AD119" i="13"/>
  <c r="AE119" i="13" s="1"/>
  <c r="H115" i="24"/>
  <c r="AD114" i="13"/>
  <c r="AE114" i="13" s="1"/>
  <c r="H110" i="24"/>
  <c r="AD110" i="13"/>
  <c r="AE110" i="13" s="1"/>
  <c r="H106" i="24"/>
  <c r="AD106" i="13"/>
  <c r="AE106" i="13" s="1"/>
  <c r="H102" i="24"/>
  <c r="AD98" i="13"/>
  <c r="AE98" i="13" s="1"/>
  <c r="H94" i="24"/>
  <c r="AD90" i="13"/>
  <c r="AE90" i="13" s="1"/>
  <c r="H86" i="24"/>
  <c r="AD82" i="13"/>
  <c r="AE82" i="13" s="1"/>
  <c r="H78" i="24"/>
  <c r="AD78" i="13"/>
  <c r="AE78" i="13" s="1"/>
  <c r="H74" i="24"/>
  <c r="AD74" i="13"/>
  <c r="AE74" i="13" s="1"/>
  <c r="H70" i="24"/>
  <c r="AD70" i="13"/>
  <c r="AE70" i="13" s="1"/>
  <c r="H66" i="24"/>
  <c r="AD66" i="13"/>
  <c r="AE66" i="13" s="1"/>
  <c r="H62" i="24"/>
  <c r="AD62" i="13"/>
  <c r="AE62" i="13" s="1"/>
  <c r="H58" i="24"/>
  <c r="AD58" i="13"/>
  <c r="AE58" i="13" s="1"/>
  <c r="H54" i="24"/>
  <c r="AD54" i="13"/>
  <c r="AE54" i="13" s="1"/>
  <c r="H50" i="24"/>
  <c r="AD50" i="13"/>
  <c r="AE50" i="13" s="1"/>
  <c r="H46" i="24"/>
  <c r="AD46" i="13"/>
  <c r="AE46" i="13" s="1"/>
  <c r="H42" i="24"/>
  <c r="AD42" i="13"/>
  <c r="AE42" i="13" s="1"/>
  <c r="H38" i="24"/>
  <c r="AD38" i="13"/>
  <c r="AE38" i="13" s="1"/>
  <c r="H34" i="24"/>
  <c r="AD34" i="13"/>
  <c r="AE34" i="13" s="1"/>
  <c r="H30" i="24"/>
  <c r="AD25" i="13"/>
  <c r="AE25" i="13" s="1"/>
  <c r="H21" i="24"/>
  <c r="AD17" i="13"/>
  <c r="AE17" i="13" s="1"/>
  <c r="H13" i="24"/>
  <c r="AD171" i="13"/>
  <c r="AE171" i="13" s="1"/>
  <c r="H167" i="24"/>
  <c r="AD167" i="13"/>
  <c r="AE167" i="13" s="1"/>
  <c r="H163" i="24"/>
  <c r="AD163" i="13"/>
  <c r="AE163" i="13" s="1"/>
  <c r="H159" i="24"/>
  <c r="AD159" i="13"/>
  <c r="AE159" i="13" s="1"/>
  <c r="H155" i="24"/>
  <c r="AD155" i="13"/>
  <c r="AE155" i="13" s="1"/>
  <c r="H151" i="24"/>
  <c r="AD150" i="13"/>
  <c r="AE150" i="13" s="1"/>
  <c r="H146" i="24"/>
  <c r="AD146" i="13"/>
  <c r="AE146" i="13" s="1"/>
  <c r="H142" i="24"/>
  <c r="AD141" i="13"/>
  <c r="AE141" i="13" s="1"/>
  <c r="H137" i="24"/>
  <c r="AD133" i="13"/>
  <c r="AE133" i="13" s="1"/>
  <c r="H129" i="24"/>
  <c r="AD129" i="13"/>
  <c r="AE129" i="13" s="1"/>
  <c r="H125" i="24"/>
  <c r="AD115" i="13"/>
  <c r="AE115" i="13" s="1"/>
  <c r="H111" i="24"/>
  <c r="AD111" i="13"/>
  <c r="AE111" i="13" s="1"/>
  <c r="H107" i="24"/>
  <c r="AD103" i="13"/>
  <c r="AE103" i="13" s="1"/>
  <c r="H99" i="24"/>
  <c r="AD99" i="13"/>
  <c r="AE99" i="13" s="1"/>
  <c r="H95" i="24"/>
  <c r="AD83" i="13"/>
  <c r="AE83" i="13" s="1"/>
  <c r="H79" i="24"/>
  <c r="AD79" i="13"/>
  <c r="AE79" i="13" s="1"/>
  <c r="H75" i="24"/>
  <c r="AD71" i="13"/>
  <c r="AE71" i="13" s="1"/>
  <c r="H67" i="24"/>
  <c r="AD63" i="13"/>
  <c r="AE63" i="13" s="1"/>
  <c r="H59" i="24"/>
  <c r="AD55" i="13"/>
  <c r="AE55" i="13" s="1"/>
  <c r="H51" i="24"/>
  <c r="AD51" i="13"/>
  <c r="AE51" i="13" s="1"/>
  <c r="H47" i="24"/>
  <c r="AD43" i="13"/>
  <c r="AE43" i="13" s="1"/>
  <c r="H39" i="24"/>
  <c r="AD39" i="13"/>
  <c r="AE39" i="13" s="1"/>
  <c r="H35" i="24"/>
  <c r="AD35" i="13"/>
  <c r="AE35" i="13" s="1"/>
  <c r="H31" i="24"/>
  <c r="AD30" i="13"/>
  <c r="AE30" i="13" s="1"/>
  <c r="H26" i="24"/>
  <c r="AD26" i="13"/>
  <c r="AE26" i="13" s="1"/>
  <c r="H22" i="24"/>
  <c r="AD22" i="13"/>
  <c r="AE22" i="13" s="1"/>
  <c r="H18" i="24"/>
  <c r="AD14" i="13"/>
  <c r="AE14" i="13" s="1"/>
  <c r="H10" i="24"/>
  <c r="AD172" i="13"/>
  <c r="AE172" i="13" s="1"/>
  <c r="H168" i="24"/>
  <c r="AD168" i="13"/>
  <c r="AE168" i="13" s="1"/>
  <c r="H164" i="24"/>
  <c r="AD164" i="13"/>
  <c r="AE164" i="13" s="1"/>
  <c r="H160" i="24"/>
  <c r="AD156" i="13"/>
  <c r="AE156" i="13" s="1"/>
  <c r="H152" i="24"/>
  <c r="AD151" i="13"/>
  <c r="AE151" i="13" s="1"/>
  <c r="H147" i="24"/>
  <c r="AD147" i="13"/>
  <c r="AE147" i="13" s="1"/>
  <c r="H143" i="24"/>
  <c r="AD138" i="13"/>
  <c r="AE138" i="13" s="1"/>
  <c r="H134" i="24"/>
  <c r="AD130" i="13"/>
  <c r="AE130" i="13" s="1"/>
  <c r="H126" i="24"/>
  <c r="AD125" i="13"/>
  <c r="AE125" i="13" s="1"/>
  <c r="H121" i="24"/>
  <c r="AD121" i="13"/>
  <c r="AE121" i="13" s="1"/>
  <c r="H117" i="24"/>
  <c r="AD112" i="13"/>
  <c r="AE112" i="13" s="1"/>
  <c r="H108" i="24"/>
  <c r="AD100" i="13"/>
  <c r="AE100" i="13" s="1"/>
  <c r="H96" i="24"/>
  <c r="AD96" i="13"/>
  <c r="AE96" i="13" s="1"/>
  <c r="H92" i="24"/>
  <c r="AD92" i="13"/>
  <c r="AE92" i="13" s="1"/>
  <c r="H88" i="24"/>
  <c r="AD88" i="13"/>
  <c r="AE88" i="13" s="1"/>
  <c r="H84" i="24"/>
  <c r="AD84" i="13"/>
  <c r="AE84" i="13" s="1"/>
  <c r="H80" i="24"/>
  <c r="AD76" i="13"/>
  <c r="AE76" i="13" s="1"/>
  <c r="H72" i="24"/>
  <c r="AD72" i="13"/>
  <c r="AE72" i="13" s="1"/>
  <c r="H68" i="24"/>
  <c r="AD68" i="13"/>
  <c r="AE68" i="13" s="1"/>
  <c r="H64" i="24"/>
  <c r="AD64" i="13"/>
  <c r="AE64" i="13" s="1"/>
  <c r="H60" i="24"/>
  <c r="AD60" i="13"/>
  <c r="AE60" i="13" s="1"/>
  <c r="H56" i="24"/>
  <c r="AD56" i="13"/>
  <c r="AE56" i="13" s="1"/>
  <c r="H52" i="24"/>
  <c r="AD52" i="13"/>
  <c r="AE52" i="13" s="1"/>
  <c r="H48" i="24"/>
  <c r="AD48" i="13"/>
  <c r="AE48" i="13" s="1"/>
  <c r="H44" i="24"/>
  <c r="AD44" i="13"/>
  <c r="AE44" i="13" s="1"/>
  <c r="H40" i="24"/>
  <c r="AD40" i="13"/>
  <c r="AE40" i="13" s="1"/>
  <c r="H36" i="24"/>
  <c r="AD36" i="13"/>
  <c r="AE36" i="13" s="1"/>
  <c r="H32" i="24"/>
  <c r="AD31" i="13"/>
  <c r="AE31" i="13" s="1"/>
  <c r="H27" i="24"/>
  <c r="AD23" i="13"/>
  <c r="AE23" i="13" s="1"/>
  <c r="H19" i="24"/>
  <c r="AD108" i="13"/>
  <c r="AE108" i="13" s="1"/>
  <c r="H104" i="24"/>
  <c r="AD19" i="13"/>
  <c r="AE19" i="13" s="1"/>
  <c r="H15" i="24"/>
  <c r="AD80" i="13"/>
  <c r="AE80" i="13" s="1"/>
  <c r="H76" i="24"/>
  <c r="AD176" i="13"/>
  <c r="AE176" i="13" s="1"/>
  <c r="H172" i="24"/>
  <c r="AD175" i="13"/>
  <c r="AE175" i="13" s="1"/>
  <c r="H171" i="24"/>
  <c r="AD174" i="13"/>
  <c r="AE174" i="13" s="1"/>
  <c r="H170" i="24"/>
  <c r="AD169" i="13"/>
  <c r="AE169" i="13" s="1"/>
  <c r="H165" i="24"/>
  <c r="AD160" i="13"/>
  <c r="AE160" i="13" s="1"/>
  <c r="H156" i="24"/>
  <c r="AD142" i="13"/>
  <c r="AE142" i="13" s="1"/>
  <c r="H138" i="24"/>
  <c r="AD139" i="13"/>
  <c r="AE139" i="13" s="1"/>
  <c r="H135" i="24"/>
  <c r="AD136" i="13"/>
  <c r="AE136" i="13" s="1"/>
  <c r="H132" i="24"/>
  <c r="AD137" i="13"/>
  <c r="AE137" i="13" s="1"/>
  <c r="H133" i="24"/>
  <c r="AD134" i="13"/>
  <c r="AE134" i="13" s="1"/>
  <c r="H130" i="24"/>
  <c r="AD124" i="13"/>
  <c r="AE124" i="13" s="1"/>
  <c r="H120" i="24"/>
  <c r="AD122" i="13"/>
  <c r="AE122" i="13" s="1"/>
  <c r="H118" i="24"/>
  <c r="AD120" i="13"/>
  <c r="AE120" i="13" s="1"/>
  <c r="H116" i="24"/>
  <c r="AD118" i="13"/>
  <c r="AE118" i="13" s="1"/>
  <c r="H114" i="24"/>
  <c r="AD116" i="13"/>
  <c r="AE116" i="13" s="1"/>
  <c r="H112" i="24"/>
  <c r="AD109" i="13"/>
  <c r="AE109" i="13" s="1"/>
  <c r="H105" i="24"/>
  <c r="AD107" i="13"/>
  <c r="AE107" i="13" s="1"/>
  <c r="H103" i="24"/>
  <c r="AD104" i="13"/>
  <c r="AE104" i="13" s="1"/>
  <c r="H100" i="24"/>
  <c r="AD102" i="13"/>
  <c r="AE102" i="13" s="1"/>
  <c r="H98" i="24"/>
  <c r="AD97" i="13"/>
  <c r="AE97" i="13" s="1"/>
  <c r="H93" i="24"/>
  <c r="AD95" i="13"/>
  <c r="AE95" i="13" s="1"/>
  <c r="H91" i="24"/>
  <c r="AD94" i="13"/>
  <c r="AE94" i="13" s="1"/>
  <c r="H90" i="24"/>
  <c r="AD91" i="13"/>
  <c r="AE91" i="13" s="1"/>
  <c r="H87" i="24"/>
  <c r="AD87" i="13"/>
  <c r="AE87" i="13" s="1"/>
  <c r="H83" i="24"/>
  <c r="AD86" i="13"/>
  <c r="AE86" i="13" s="1"/>
  <c r="H82" i="24"/>
  <c r="AD75" i="13"/>
  <c r="AE75" i="13" s="1"/>
  <c r="H71" i="24"/>
  <c r="AD67" i="13"/>
  <c r="AE67" i="13" s="1"/>
  <c r="H63" i="24"/>
  <c r="AD65" i="13"/>
  <c r="AE65" i="13" s="1"/>
  <c r="H61" i="24"/>
  <c r="AD59" i="13"/>
  <c r="AE59" i="13" s="1"/>
  <c r="H55" i="24"/>
  <c r="AD49" i="13"/>
  <c r="AE49" i="13" s="1"/>
  <c r="H45" i="24"/>
  <c r="AD47" i="13"/>
  <c r="AE47" i="13" s="1"/>
  <c r="H43" i="24"/>
  <c r="AD29" i="13"/>
  <c r="AE29" i="13" s="1"/>
  <c r="H25" i="24"/>
  <c r="AD27" i="13"/>
  <c r="AE27" i="13" s="1"/>
  <c r="H23" i="24"/>
  <c r="AD21" i="13"/>
  <c r="AE21" i="13" s="1"/>
  <c r="H17" i="24"/>
  <c r="AD20" i="13"/>
  <c r="AE20" i="13" s="1"/>
  <c r="H16" i="24"/>
  <c r="AD18" i="13"/>
  <c r="AE18" i="13" s="1"/>
  <c r="H14" i="24"/>
  <c r="AD16" i="13"/>
  <c r="AE16" i="13" s="1"/>
  <c r="H12" i="24"/>
  <c r="AD15" i="13"/>
  <c r="AE15" i="13" s="1"/>
  <c r="H11" i="24"/>
  <c r="AD13" i="13"/>
  <c r="AE13" i="13" s="1"/>
  <c r="H9" i="24"/>
  <c r="H159" i="5"/>
  <c r="CX330" i="13"/>
  <c r="AB167" i="4"/>
  <c r="AB35" i="4"/>
  <c r="AB168" i="4"/>
  <c r="AB99" i="4"/>
  <c r="AB150" i="4"/>
  <c r="AB83" i="4"/>
  <c r="AB18" i="4"/>
  <c r="D166" i="22"/>
  <c r="AB160" i="4"/>
  <c r="AB143" i="4"/>
  <c r="D123" i="22"/>
  <c r="AB117" i="4"/>
  <c r="AB104" i="4"/>
  <c r="D90" i="22"/>
  <c r="D82" i="22"/>
  <c r="D74" i="22"/>
  <c r="D66" i="22"/>
  <c r="D58" i="22"/>
  <c r="AB116" i="4"/>
  <c r="AB51" i="4"/>
  <c r="AB164" i="4"/>
  <c r="AB151" i="4"/>
  <c r="AB134" i="4"/>
  <c r="AB121" i="4"/>
  <c r="D106" i="22"/>
  <c r="AB100" i="4"/>
  <c r="D86" i="22"/>
  <c r="D78" i="22"/>
  <c r="D70" i="22"/>
  <c r="AB175" i="4"/>
  <c r="AB142" i="4"/>
  <c r="AB107" i="4"/>
  <c r="AB75" i="4"/>
  <c r="AB43" i="4"/>
  <c r="AB159" i="4"/>
  <c r="AB124" i="4"/>
  <c r="AB91" i="4"/>
  <c r="AB59" i="4"/>
  <c r="AB26" i="4"/>
  <c r="AB147" i="4"/>
  <c r="AB163" i="4"/>
  <c r="AB146" i="4"/>
  <c r="AB129" i="4"/>
  <c r="AB111" i="4"/>
  <c r="AB95" i="4"/>
  <c r="AB79" i="4"/>
  <c r="AB63" i="4"/>
  <c r="AB47" i="4"/>
  <c r="AB31" i="4"/>
  <c r="AB14" i="4"/>
  <c r="AB172" i="4"/>
  <c r="AB138" i="4"/>
  <c r="AB171" i="4"/>
  <c r="AB155" i="4"/>
  <c r="AB137" i="4"/>
  <c r="AB120" i="4"/>
  <c r="AB103" i="4"/>
  <c r="AB87" i="4"/>
  <c r="AB71" i="4"/>
  <c r="AB55" i="4"/>
  <c r="AB39" i="4"/>
  <c r="AB22" i="4"/>
  <c r="AB156" i="4"/>
  <c r="D119" i="22"/>
  <c r="D110" i="22"/>
  <c r="D102" i="22"/>
  <c r="D94" i="22"/>
  <c r="D169" i="22"/>
  <c r="D161" i="22"/>
  <c r="D153" i="22"/>
  <c r="D144" i="22"/>
  <c r="D135" i="22"/>
  <c r="D127" i="22"/>
  <c r="D118" i="22"/>
  <c r="D109" i="22"/>
  <c r="D101" i="22"/>
  <c r="D93" i="22"/>
  <c r="D85" i="22"/>
  <c r="D77" i="22"/>
  <c r="D69" i="22"/>
  <c r="D61" i="22"/>
  <c r="D53" i="22"/>
  <c r="D45" i="22"/>
  <c r="D37" i="22"/>
  <c r="D29" i="22"/>
  <c r="D20" i="22"/>
  <c r="D12" i="22"/>
  <c r="D174" i="22"/>
  <c r="D173" i="22"/>
  <c r="D165" i="22"/>
  <c r="D157" i="22"/>
  <c r="D148" i="22"/>
  <c r="D140" i="22"/>
  <c r="D131" i="22"/>
  <c r="D122" i="22"/>
  <c r="D114" i="22"/>
  <c r="D105" i="22"/>
  <c r="D97" i="22"/>
  <c r="D89" i="22"/>
  <c r="D81" i="22"/>
  <c r="D73" i="22"/>
  <c r="D65" i="22"/>
  <c r="D57" i="22"/>
  <c r="D49" i="22"/>
  <c r="D41" i="22"/>
  <c r="D33" i="22"/>
  <c r="D24" i="22"/>
  <c r="D16" i="22"/>
  <c r="D170" i="22"/>
  <c r="D162" i="22"/>
  <c r="D154" i="22"/>
  <c r="D145" i="22"/>
  <c r="D136" i="22"/>
  <c r="D128" i="22"/>
  <c r="CY177" i="13"/>
  <c r="CY169" i="13"/>
  <c r="CY161" i="13"/>
  <c r="CY152" i="13"/>
  <c r="CY144" i="13"/>
  <c r="CY135" i="13"/>
  <c r="CY126" i="13"/>
  <c r="CY118" i="13"/>
  <c r="CY109" i="13"/>
  <c r="CY101" i="13"/>
  <c r="CY93" i="13"/>
  <c r="CY85" i="13"/>
  <c r="CY77" i="13"/>
  <c r="CY69" i="13"/>
  <c r="CY61" i="13"/>
  <c r="CY53" i="13"/>
  <c r="CY45" i="13"/>
  <c r="CY37" i="13"/>
  <c r="CY28" i="13"/>
  <c r="CY20" i="13"/>
  <c r="CY178" i="13"/>
  <c r="CY170" i="13"/>
  <c r="CY162" i="13"/>
  <c r="CY153" i="13"/>
  <c r="CY145" i="13"/>
  <c r="CY136" i="13"/>
  <c r="CY127" i="13"/>
  <c r="CY119" i="13"/>
  <c r="CY110" i="13"/>
  <c r="CY102" i="13"/>
  <c r="CY94" i="13"/>
  <c r="CY86" i="13"/>
  <c r="CY78" i="13"/>
  <c r="CY70" i="13"/>
  <c r="CY62" i="13"/>
  <c r="CY54" i="13"/>
  <c r="CY46" i="13"/>
  <c r="CY38" i="13"/>
  <c r="CY29" i="13"/>
  <c r="CY21" i="13"/>
  <c r="CY13" i="13"/>
  <c r="CY171" i="13"/>
  <c r="CY163" i="13"/>
  <c r="CY155" i="13"/>
  <c r="CY146" i="13"/>
  <c r="CY137" i="13"/>
  <c r="CY129" i="13"/>
  <c r="CY120" i="13"/>
  <c r="CY111" i="13"/>
  <c r="CY103" i="13"/>
  <c r="CY95" i="13"/>
  <c r="CY87" i="13"/>
  <c r="CY79" i="13"/>
  <c r="CY71" i="13"/>
  <c r="CY63" i="13"/>
  <c r="CY55" i="13"/>
  <c r="CY47" i="13"/>
  <c r="CY39" i="13"/>
  <c r="CY30" i="13"/>
  <c r="CY22" i="13"/>
  <c r="CY14" i="13"/>
  <c r="CY172" i="13"/>
  <c r="CY164" i="13"/>
  <c r="CY156" i="13"/>
  <c r="CY147" i="13"/>
  <c r="CY138" i="13"/>
  <c r="CY130" i="13"/>
  <c r="CY121" i="13"/>
  <c r="CY112" i="13"/>
  <c r="CY104" i="13"/>
  <c r="CY96" i="13"/>
  <c r="CY88" i="13"/>
  <c r="CY80" i="13"/>
  <c r="CY72" i="13"/>
  <c r="CY64" i="13"/>
  <c r="CY56" i="13"/>
  <c r="CY48" i="13"/>
  <c r="CY40" i="13"/>
  <c r="CY31" i="13"/>
  <c r="CY23" i="13"/>
  <c r="CY15" i="13"/>
  <c r="CY173" i="13"/>
  <c r="CY165" i="13"/>
  <c r="CY157" i="13"/>
  <c r="CY148" i="13"/>
  <c r="CY139" i="13"/>
  <c r="CY131" i="13"/>
  <c r="CY122" i="13"/>
  <c r="CY113" i="13"/>
  <c r="CY105" i="13"/>
  <c r="CY97" i="13"/>
  <c r="CY89" i="13"/>
  <c r="CY81" i="13"/>
  <c r="CY73" i="13"/>
  <c r="CY65" i="13"/>
  <c r="CY57" i="13"/>
  <c r="CY49" i="13"/>
  <c r="CY41" i="13"/>
  <c r="CY33" i="13"/>
  <c r="CY24" i="13"/>
  <c r="CY16" i="13"/>
  <c r="CY174" i="13"/>
  <c r="CY166" i="13"/>
  <c r="CY158" i="13"/>
  <c r="CY149" i="13"/>
  <c r="CY140" i="13"/>
  <c r="CY132" i="13"/>
  <c r="CY123" i="13"/>
  <c r="CY114" i="13"/>
  <c r="CY106" i="13"/>
  <c r="CY98" i="13"/>
  <c r="CY90" i="13"/>
  <c r="CY82" i="13"/>
  <c r="CY74" i="13"/>
  <c r="CY66" i="13"/>
  <c r="CY58" i="13"/>
  <c r="CY50" i="13"/>
  <c r="CY42" i="13"/>
  <c r="CY34" i="13"/>
  <c r="CY25" i="13"/>
  <c r="CY17" i="13"/>
  <c r="CY175" i="13"/>
  <c r="CY167" i="13"/>
  <c r="CY159" i="13"/>
  <c r="CY150" i="13"/>
  <c r="CY141" i="13"/>
  <c r="CY133" i="13"/>
  <c r="CY124" i="13"/>
  <c r="CY115" i="13"/>
  <c r="CY107" i="13"/>
  <c r="CY99" i="13"/>
  <c r="CY91" i="13"/>
  <c r="CY83" i="13"/>
  <c r="CY75" i="13"/>
  <c r="CY67" i="13"/>
  <c r="CY59" i="13"/>
  <c r="CY51" i="13"/>
  <c r="CY43" i="13"/>
  <c r="CY35" i="13"/>
  <c r="CY26" i="13"/>
  <c r="CY18" i="13"/>
  <c r="CY176" i="13"/>
  <c r="CY168" i="13"/>
  <c r="CY160" i="13"/>
  <c r="CY151" i="13"/>
  <c r="CY142" i="13"/>
  <c r="CY134" i="13"/>
  <c r="CY125" i="13"/>
  <c r="CY116" i="13"/>
  <c r="CY108" i="13"/>
  <c r="CY100" i="13"/>
  <c r="CY92" i="13"/>
  <c r="CY84" i="13"/>
  <c r="CY76" i="13"/>
  <c r="CY68" i="13"/>
  <c r="CY60" i="13"/>
  <c r="CY52" i="13"/>
  <c r="CY44" i="13"/>
  <c r="CY36" i="13"/>
  <c r="CY27" i="13"/>
  <c r="CY19" i="13"/>
  <c r="H160" i="5"/>
  <c r="AD331" i="13" s="1"/>
  <c r="AE331" i="13" s="1"/>
  <c r="CY331" i="13" l="1"/>
  <c r="AB328" i="4"/>
  <c r="AD330" i="13"/>
  <c r="AB329" i="4"/>
  <c r="S160" i="5"/>
  <c r="DP331" i="13"/>
  <c r="DP295" i="13"/>
  <c r="CY330" i="13" l="1"/>
  <c r="AI331" i="13"/>
  <c r="G146" i="5"/>
  <c r="CX317" i="13" s="1"/>
  <c r="G144" i="5" l="1"/>
  <c r="CX315" i="13" s="1"/>
  <c r="G145" i="5"/>
  <c r="CX316" i="13" s="1"/>
  <c r="G155" i="5"/>
  <c r="CX326" i="13" s="1"/>
  <c r="G150" i="5"/>
  <c r="CX321" i="13" s="1"/>
  <c r="G147" i="5"/>
  <c r="CX318" i="13" s="1"/>
  <c r="G153" i="5"/>
  <c r="CX324" i="13" s="1"/>
  <c r="G158" i="5"/>
  <c r="CX329" i="13" s="1"/>
  <c r="G149" i="5"/>
  <c r="CX320" i="13" s="1"/>
  <c r="G152" i="5"/>
  <c r="CX323" i="13" s="1"/>
  <c r="G157" i="5"/>
  <c r="CX328" i="13" s="1"/>
  <c r="G143" i="5"/>
  <c r="CX314" i="13" s="1"/>
  <c r="G151" i="5"/>
  <c r="CX322" i="13" s="1"/>
  <c r="G156" i="5"/>
  <c r="CX327" i="13" s="1"/>
  <c r="G148" i="5"/>
  <c r="CX319" i="13" s="1"/>
  <c r="G140" i="5"/>
  <c r="CX311" i="13" s="1"/>
  <c r="G139" i="5"/>
  <c r="CX310" i="13" s="1"/>
  <c r="G138" i="5"/>
  <c r="CX309" i="13" s="1"/>
  <c r="G142" i="5"/>
  <c r="CX313" i="13" s="1"/>
  <c r="G141" i="5"/>
  <c r="CX312" i="13" s="1"/>
  <c r="A5" i="20"/>
  <c r="I84" i="20"/>
  <c r="AI336" i="13" l="1"/>
  <c r="AI327" i="13"/>
  <c r="AI328" i="13"/>
  <c r="AJ331" i="13"/>
  <c r="AI329" i="13" l="1"/>
  <c r="AI330" i="13"/>
  <c r="G137" i="5" l="1"/>
  <c r="CX308" i="13" s="1"/>
  <c r="Q5" i="12" l="1"/>
  <c r="AD5" i="13" s="1"/>
  <c r="G46" i="5"/>
  <c r="CX217" i="13" s="1"/>
  <c r="G50" i="5"/>
  <c r="CX221" i="13" s="1"/>
  <c r="G58" i="5"/>
  <c r="CX229" i="13" s="1"/>
  <c r="G62" i="5"/>
  <c r="CX233" i="13" s="1"/>
  <c r="G66" i="5"/>
  <c r="CX237" i="13" s="1"/>
  <c r="G70" i="5"/>
  <c r="CX241" i="13" s="1"/>
  <c r="G74" i="5"/>
  <c r="CX245" i="13" s="1"/>
  <c r="G78" i="5"/>
  <c r="CX249" i="13" s="1"/>
  <c r="G82" i="5"/>
  <c r="CX253" i="13" s="1"/>
  <c r="G86" i="5"/>
  <c r="CX257" i="13" s="1"/>
  <c r="G90" i="5"/>
  <c r="CX261" i="13" s="1"/>
  <c r="G94" i="5"/>
  <c r="CX265" i="13" s="1"/>
  <c r="G102" i="5"/>
  <c r="CX273" i="13" s="1"/>
  <c r="G106" i="5"/>
  <c r="CX277" i="13" s="1"/>
  <c r="G126" i="5"/>
  <c r="CX297" i="13" s="1"/>
  <c r="G130" i="5"/>
  <c r="CX301" i="13" s="1"/>
  <c r="G134" i="5"/>
  <c r="CX305" i="13" s="1"/>
  <c r="G45" i="5"/>
  <c r="CX216" i="13" s="1"/>
  <c r="G57" i="5"/>
  <c r="CX228" i="13" s="1"/>
  <c r="G65" i="5"/>
  <c r="CX236" i="13" s="1"/>
  <c r="G69" i="5"/>
  <c r="CX240" i="13" s="1"/>
  <c r="G73" i="5"/>
  <c r="CX244" i="13" s="1"/>
  <c r="G77" i="5"/>
  <c r="CX248" i="13" s="1"/>
  <c r="G81" i="5"/>
  <c r="CX252" i="13" s="1"/>
  <c r="G85" i="5"/>
  <c r="CX256" i="13" s="1"/>
  <c r="G89" i="5"/>
  <c r="CX260" i="13" s="1"/>
  <c r="G93" i="5"/>
  <c r="CX264" i="13" s="1"/>
  <c r="G101" i="5"/>
  <c r="CX272" i="13" s="1"/>
  <c r="G109" i="5"/>
  <c r="CX280" i="13" s="1"/>
  <c r="G113" i="5"/>
  <c r="CX284" i="13" s="1"/>
  <c r="G117" i="5"/>
  <c r="CX288" i="13" s="1"/>
  <c r="G121" i="5"/>
  <c r="CX292" i="13" s="1"/>
  <c r="G125" i="5"/>
  <c r="CX296" i="13" s="1"/>
  <c r="G129" i="5"/>
  <c r="CX300" i="13" s="1"/>
  <c r="G133" i="5"/>
  <c r="CX304" i="13" s="1"/>
  <c r="G40" i="5"/>
  <c r="CX211" i="13" s="1"/>
  <c r="G44" i="5"/>
  <c r="CX215" i="13" s="1"/>
  <c r="G52" i="5"/>
  <c r="CX223" i="13" s="1"/>
  <c r="G60" i="5"/>
  <c r="CX231" i="13" s="1"/>
  <c r="G64" i="5"/>
  <c r="CX235" i="13" s="1"/>
  <c r="G68" i="5"/>
  <c r="CX239" i="13" s="1"/>
  <c r="G76" i="5"/>
  <c r="CX247" i="13" s="1"/>
  <c r="G80" i="5"/>
  <c r="CX251" i="13" s="1"/>
  <c r="G84" i="5"/>
  <c r="CX255" i="13" s="1"/>
  <c r="G88" i="5"/>
  <c r="CX259" i="13" s="1"/>
  <c r="G92" i="5"/>
  <c r="CX263" i="13" s="1"/>
  <c r="G96" i="5"/>
  <c r="CX267" i="13" s="1"/>
  <c r="G100" i="5"/>
  <c r="CX271" i="13" s="1"/>
  <c r="G108" i="5"/>
  <c r="CX279" i="13" s="1"/>
  <c r="G112" i="5"/>
  <c r="CX283" i="13" s="1"/>
  <c r="G116" i="5"/>
  <c r="CX287" i="13" s="1"/>
  <c r="G120" i="5"/>
  <c r="CX291" i="13" s="1"/>
  <c r="G124" i="5"/>
  <c r="CX295" i="13" s="1"/>
  <c r="G128" i="5"/>
  <c r="CX299" i="13" s="1"/>
  <c r="G136" i="5"/>
  <c r="CX307" i="13" s="1"/>
  <c r="G47" i="5"/>
  <c r="CX218" i="13" s="1"/>
  <c r="G51" i="5"/>
  <c r="CX222" i="13" s="1"/>
  <c r="G59" i="5"/>
  <c r="CX230" i="13" s="1"/>
  <c r="G63" i="5"/>
  <c r="CX234" i="13" s="1"/>
  <c r="G67" i="5"/>
  <c r="CX238" i="13" s="1"/>
  <c r="G71" i="5"/>
  <c r="CX242" i="13" s="1"/>
  <c r="G75" i="5"/>
  <c r="CX246" i="13" s="1"/>
  <c r="G79" i="5"/>
  <c r="CX250" i="13" s="1"/>
  <c r="G83" i="5"/>
  <c r="CX254" i="13" s="1"/>
  <c r="G87" i="5"/>
  <c r="CX258" i="13" s="1"/>
  <c r="G91" i="5"/>
  <c r="CX262" i="13" s="1"/>
  <c r="G103" i="5"/>
  <c r="CX274" i="13" s="1"/>
  <c r="G107" i="5"/>
  <c r="CX278" i="13" s="1"/>
  <c r="G111" i="5"/>
  <c r="CX282" i="13" s="1"/>
  <c r="G115" i="5"/>
  <c r="CX286" i="13" s="1"/>
  <c r="G119" i="5"/>
  <c r="CX290" i="13" s="1"/>
  <c r="G123" i="5"/>
  <c r="CX294" i="13" s="1"/>
  <c r="G127" i="5"/>
  <c r="CX298" i="13" s="1"/>
  <c r="G131" i="5"/>
  <c r="CX302" i="13" s="1"/>
  <c r="G135" i="5"/>
  <c r="CX306" i="13" s="1"/>
  <c r="DP189" i="13"/>
  <c r="DP190" i="13"/>
  <c r="DP191" i="13"/>
  <c r="DP201" i="13"/>
  <c r="DP218" i="13"/>
  <c r="DP231" i="13"/>
  <c r="DP238" i="13"/>
  <c r="DP249" i="13"/>
  <c r="DP274" i="13"/>
  <c r="DP281" i="13"/>
  <c r="DP287" i="13"/>
  <c r="G43" i="5" l="1"/>
  <c r="CX214" i="13" s="1"/>
  <c r="G48" i="5"/>
  <c r="CX219" i="13" s="1"/>
  <c r="G132" i="5"/>
  <c r="CX303" i="13" s="1"/>
  <c r="G95" i="5"/>
  <c r="CX266" i="13" s="1"/>
  <c r="G55" i="5"/>
  <c r="CX226" i="13" s="1"/>
  <c r="G105" i="5"/>
  <c r="CX276" i="13" s="1"/>
  <c r="G49" i="5"/>
  <c r="CX220" i="13" s="1"/>
  <c r="G114" i="5"/>
  <c r="CX285" i="13" s="1"/>
  <c r="G42" i="5"/>
  <c r="CX213" i="13" s="1"/>
  <c r="G56" i="5"/>
  <c r="CX227" i="13" s="1"/>
  <c r="G99" i="5"/>
  <c r="CX270" i="13" s="1"/>
  <c r="G53" i="5"/>
  <c r="CX224" i="13" s="1"/>
  <c r="G122" i="5"/>
  <c r="CX293" i="13" s="1"/>
  <c r="G98" i="5"/>
  <c r="CX269" i="13" s="1"/>
  <c r="BZ12" i="13"/>
  <c r="CA12" i="13"/>
  <c r="CB12" i="13"/>
  <c r="BU12" i="13"/>
  <c r="BV12" i="13"/>
  <c r="BW12" i="13"/>
  <c r="BP12" i="13"/>
  <c r="BQ12" i="13"/>
  <c r="BR12" i="13"/>
  <c r="BK12" i="13"/>
  <c r="BL12" i="13"/>
  <c r="BM12" i="13"/>
  <c r="BF12" i="13"/>
  <c r="BG12" i="13"/>
  <c r="BH12" i="13"/>
  <c r="BB12" i="13"/>
  <c r="BC12" i="13"/>
  <c r="AW12" i="13"/>
  <c r="AX12" i="13"/>
  <c r="AR12" i="13"/>
  <c r="AS12" i="13"/>
  <c r="AN12" i="13"/>
  <c r="AL12" i="13"/>
  <c r="AM12" i="13"/>
  <c r="BS12" i="13" l="1"/>
  <c r="AO12" i="13"/>
  <c r="BN12" i="13"/>
  <c r="BI12" i="13"/>
  <c r="BX12" i="13"/>
  <c r="CC12" i="13"/>
  <c r="BM10" i="4"/>
  <c r="R10" i="4" s="1"/>
  <c r="Z10" i="4" s="1"/>
  <c r="G12" i="13" l="1"/>
  <c r="Z9" i="12"/>
  <c r="CR12" i="13"/>
  <c r="CT12" i="13" s="1"/>
  <c r="G15" i="1" l="1"/>
  <c r="CU12" i="13"/>
  <c r="CF12" i="13"/>
  <c r="CG12" i="13"/>
  <c r="CK12" i="13"/>
  <c r="CL12" i="13"/>
  <c r="D5" i="23"/>
  <c r="A4" i="23"/>
  <c r="M127" i="1"/>
  <c r="AI295" i="13"/>
  <c r="M181" i="1"/>
  <c r="M180" i="1"/>
  <c r="M116" i="1"/>
  <c r="M134" i="1"/>
  <c r="M142" i="1"/>
  <c r="M170" i="1"/>
  <c r="M27" i="1"/>
  <c r="M46" i="1"/>
  <c r="M85" i="1"/>
  <c r="M91" i="1"/>
  <c r="M106" i="1"/>
  <c r="M118" i="1"/>
  <c r="M132" i="1"/>
  <c r="M153" i="1"/>
  <c r="M161" i="1"/>
  <c r="M172" i="1"/>
  <c r="M176" i="1"/>
  <c r="M28" i="1"/>
  <c r="BT12" i="13"/>
  <c r="CD12" i="13"/>
  <c r="BO12" i="13"/>
  <c r="BJ12" i="13"/>
  <c r="M68" i="1"/>
  <c r="M171" i="1"/>
  <c r="M160" i="1"/>
  <c r="M155" i="1"/>
  <c r="M148" i="1"/>
  <c r="M143" i="1"/>
  <c r="M139" i="1"/>
  <c r="M174" i="1"/>
  <c r="M167" i="1"/>
  <c r="M163" i="1"/>
  <c r="M154" i="1"/>
  <c r="M149" i="1"/>
  <c r="M140" i="1"/>
  <c r="M36" i="1"/>
  <c r="M19" i="1"/>
  <c r="M82" i="1"/>
  <c r="M78" i="1"/>
  <c r="M65" i="1"/>
  <c r="M61" i="1"/>
  <c r="M57" i="1"/>
  <c r="M45" i="1"/>
  <c r="M16" i="1"/>
  <c r="M135" i="1"/>
  <c r="M117" i="1"/>
  <c r="M111" i="1"/>
  <c r="M105" i="1"/>
  <c r="M100" i="1"/>
  <c r="M90" i="1"/>
  <c r="M76" i="1"/>
  <c r="M72" i="1"/>
  <c r="M51" i="1"/>
  <c r="M47" i="1"/>
  <c r="M41" i="1"/>
  <c r="M37" i="1"/>
  <c r="M25" i="1"/>
  <c r="M21" i="1"/>
  <c r="M129" i="1"/>
  <c r="M121" i="1"/>
  <c r="M110" i="1"/>
  <c r="M104" i="1"/>
  <c r="M95" i="1"/>
  <c r="M83" i="1"/>
  <c r="M71" i="1"/>
  <c r="M64" i="1"/>
  <c r="M56" i="1"/>
  <c r="M48" i="1"/>
  <c r="M42" i="1"/>
  <c r="M20" i="1"/>
  <c r="M123" i="1"/>
  <c r="M101" i="1"/>
  <c r="M93" i="1"/>
  <c r="M87" i="1"/>
  <c r="M75" i="1"/>
  <c r="M69" i="1"/>
  <c r="M62" i="1"/>
  <c r="M54" i="1"/>
  <c r="M18" i="1"/>
  <c r="M156" i="1"/>
  <c r="M77" i="1"/>
  <c r="M147" i="1"/>
  <c r="M98" i="1"/>
  <c r="M177" i="1"/>
  <c r="M164" i="1"/>
  <c r="M150" i="1"/>
  <c r="M128" i="1"/>
  <c r="M124" i="1"/>
  <c r="M119" i="1"/>
  <c r="M109" i="1"/>
  <c r="M96" i="1"/>
  <c r="M138" i="1"/>
  <c r="M173" i="1"/>
  <c r="M169" i="1"/>
  <c r="M162" i="1"/>
  <c r="N162" i="1" s="1"/>
  <c r="M158" i="1"/>
  <c r="M145" i="1"/>
  <c r="N145" i="1" s="1"/>
  <c r="M141" i="1"/>
  <c r="M178" i="1"/>
  <c r="M168" i="1"/>
  <c r="M165" i="1"/>
  <c r="M159" i="1"/>
  <c r="M151" i="1"/>
  <c r="M144" i="1"/>
  <c r="M38" i="1"/>
  <c r="M33" i="1"/>
  <c r="N33" i="1" s="1"/>
  <c r="M17" i="1"/>
  <c r="M80" i="1"/>
  <c r="M70" i="1"/>
  <c r="M63" i="1"/>
  <c r="M59" i="1"/>
  <c r="M55" i="1"/>
  <c r="M30" i="1"/>
  <c r="M22" i="1"/>
  <c r="M137" i="1"/>
  <c r="M130" i="1"/>
  <c r="M113" i="1"/>
  <c r="M107" i="1"/>
  <c r="M103" i="1"/>
  <c r="M92" i="1"/>
  <c r="M88" i="1"/>
  <c r="M84" i="1"/>
  <c r="M74" i="1"/>
  <c r="M53" i="1"/>
  <c r="M49" i="1"/>
  <c r="M43" i="1"/>
  <c r="M39" i="1"/>
  <c r="M23" i="1"/>
  <c r="M125" i="1"/>
  <c r="M114" i="1"/>
  <c r="M108" i="1"/>
  <c r="M99" i="1"/>
  <c r="M81" i="1"/>
  <c r="M67" i="1"/>
  <c r="M60" i="1"/>
  <c r="M52" i="1"/>
  <c r="M44" i="1"/>
  <c r="M24" i="1"/>
  <c r="M136" i="1"/>
  <c r="M97" i="1"/>
  <c r="M89" i="1"/>
  <c r="M79" i="1"/>
  <c r="M73" i="1"/>
  <c r="M66" i="1"/>
  <c r="M58" i="1"/>
  <c r="M50" i="1"/>
  <c r="M94" i="1"/>
  <c r="M40" i="1"/>
  <c r="M112" i="1"/>
  <c r="M34" i="1"/>
  <c r="M179" i="1"/>
  <c r="M166" i="1"/>
  <c r="M152" i="1"/>
  <c r="M133" i="1"/>
  <c r="M126" i="1"/>
  <c r="M122" i="1"/>
  <c r="M115" i="1"/>
  <c r="M102" i="1"/>
  <c r="M86" i="1"/>
  <c r="M15" i="1"/>
  <c r="AP12" i="13"/>
  <c r="G15" i="6"/>
  <c r="M26" i="1"/>
  <c r="M31" i="1"/>
  <c r="M32" i="1"/>
  <c r="M175" i="1"/>
  <c r="M29" i="1"/>
  <c r="BY12" i="13"/>
  <c r="N160" i="1" l="1"/>
  <c r="N57" i="1"/>
  <c r="N82" i="1"/>
  <c r="N156" i="1"/>
  <c r="N153" i="1"/>
  <c r="N109" i="1"/>
  <c r="N138" i="1"/>
  <c r="N84" i="1"/>
  <c r="N79" i="1"/>
  <c r="N83" i="1"/>
  <c r="N121" i="1"/>
  <c r="N125" i="1"/>
  <c r="N154" i="1"/>
  <c r="N85" i="1"/>
  <c r="N152" i="1"/>
  <c r="N87" i="1"/>
  <c r="N126" i="1"/>
  <c r="N113" i="1"/>
  <c r="N158" i="1"/>
  <c r="N15" i="1"/>
  <c r="AI247" i="13"/>
  <c r="AI270" i="13"/>
  <c r="AI278" i="13"/>
  <c r="AI294" i="13"/>
  <c r="AI279" i="13"/>
  <c r="AI217" i="13"/>
  <c r="AI293" i="13"/>
  <c r="AI292" i="13"/>
  <c r="E12" i="13"/>
  <c r="N86" i="1"/>
  <c r="N142" i="1"/>
  <c r="N140" i="1"/>
  <c r="N49" i="1"/>
  <c r="N90" i="1"/>
  <c r="N43" i="1"/>
  <c r="N93" i="1"/>
  <c r="N47" i="1"/>
  <c r="N36" i="1"/>
  <c r="N52" i="1"/>
  <c r="N42" i="1"/>
  <c r="N56" i="1"/>
  <c r="N29" i="1"/>
  <c r="N27" i="1"/>
  <c r="N71" i="1"/>
  <c r="N180" i="1"/>
  <c r="N74" i="1"/>
  <c r="N176" i="1"/>
  <c r="N75" i="1"/>
  <c r="N70" i="1"/>
  <c r="N164" i="1"/>
  <c r="N44" i="1"/>
  <c r="N21" i="1"/>
  <c r="N20" i="1"/>
  <c r="N170" i="1"/>
  <c r="N141" i="1"/>
  <c r="N174" i="1"/>
  <c r="N175" i="1"/>
  <c r="N122" i="1"/>
  <c r="N76" i="1"/>
  <c r="N119" i="1"/>
  <c r="N139" i="1"/>
  <c r="N114" i="1"/>
  <c r="N151" i="1"/>
  <c r="N147" i="1"/>
  <c r="N150" i="1"/>
  <c r="N111" i="1"/>
  <c r="N81" i="1"/>
  <c r="N22" i="1"/>
  <c r="N155" i="1"/>
  <c r="N23" i="1"/>
  <c r="N101" i="1"/>
  <c r="N161" i="1"/>
  <c r="N163" i="1"/>
  <c r="N144" i="1"/>
  <c r="N89" i="1"/>
  <c r="N65" i="1"/>
  <c r="N129" i="1"/>
  <c r="N166" i="1"/>
  <c r="N167" i="1"/>
  <c r="N97" i="1"/>
  <c r="N58" i="1"/>
  <c r="N67" i="1"/>
  <c r="N108" i="1"/>
  <c r="N39" i="1"/>
  <c r="N130" i="1"/>
  <c r="N55" i="1"/>
  <c r="N165" i="1"/>
  <c r="N54" i="1"/>
  <c r="N41" i="1"/>
  <c r="N135" i="1"/>
  <c r="N66" i="1"/>
  <c r="N168" i="1"/>
  <c r="N134" i="1"/>
  <c r="N102" i="1"/>
  <c r="N133" i="1"/>
  <c r="N50" i="1"/>
  <c r="N60" i="1"/>
  <c r="N99" i="1"/>
  <c r="N128" i="1"/>
  <c r="N98" i="1"/>
  <c r="N18" i="1"/>
  <c r="N48" i="1"/>
  <c r="N37" i="1"/>
  <c r="N100" i="1"/>
  <c r="N28" i="1"/>
  <c r="N25" i="1"/>
  <c r="E15" i="6"/>
  <c r="N118" i="1"/>
  <c r="N117" i="1"/>
  <c r="N110" i="1"/>
  <c r="N124" i="1"/>
  <c r="N63" i="1"/>
  <c r="N112" i="1"/>
  <c r="N53" i="1"/>
  <c r="N115" i="1"/>
  <c r="N68" i="1"/>
  <c r="N116" i="1"/>
  <c r="N179" i="1"/>
  <c r="N171" i="1"/>
  <c r="N31" i="1"/>
  <c r="N137" i="1"/>
  <c r="N173" i="1"/>
  <c r="N77" i="1"/>
  <c r="N32" i="1"/>
  <c r="N172" i="1"/>
  <c r="AI285" i="13"/>
  <c r="N94" i="1"/>
  <c r="N104" i="1"/>
  <c r="N103" i="1"/>
  <c r="N95" i="1"/>
  <c r="N105" i="1"/>
  <c r="N61" i="1"/>
  <c r="N106" i="1"/>
  <c r="N136" i="1"/>
  <c r="N92" i="1"/>
  <c r="N96" i="1"/>
  <c r="N181" i="1"/>
  <c r="N34" i="1"/>
  <c r="N88" i="1"/>
  <c r="N17" i="1"/>
  <c r="N178" i="1"/>
  <c r="N177" i="1"/>
  <c r="N148" i="1"/>
  <c r="N132" i="1"/>
  <c r="N91" i="1"/>
  <c r="N30" i="1"/>
  <c r="N40" i="1"/>
  <c r="N45" i="1"/>
  <c r="N62" i="1"/>
  <c r="N64" i="1"/>
  <c r="N69" i="1"/>
  <c r="N73" i="1"/>
  <c r="N149" i="1"/>
  <c r="N24" i="1"/>
  <c r="N51" i="1"/>
  <c r="N80" i="1"/>
  <c r="N123" i="1"/>
  <c r="N16" i="1"/>
  <c r="N26" i="1"/>
  <c r="N38" i="1"/>
  <c r="N59" i="1"/>
  <c r="N72" i="1"/>
  <c r="N159" i="1"/>
  <c r="N107" i="1"/>
  <c r="N19" i="1"/>
  <c r="N78" i="1"/>
  <c r="N143" i="1"/>
  <c r="N169" i="1"/>
  <c r="N46" i="1"/>
  <c r="AI231" i="13"/>
  <c r="AI272" i="13"/>
  <c r="AI274" i="13"/>
  <c r="AI280" i="13"/>
  <c r="AI287" i="13"/>
  <c r="AI218" i="13"/>
  <c r="AI248" i="13"/>
  <c r="AI269" i="13"/>
  <c r="AI271" i="13"/>
  <c r="AI249" i="13"/>
  <c r="AI286" i="13"/>
  <c r="AI281" i="13"/>
  <c r="AI284" i="13"/>
  <c r="AI201" i="13"/>
  <c r="AI238" i="13"/>
  <c r="AI273" i="13"/>
  <c r="N127" i="1" l="1"/>
  <c r="AJ281" i="13" l="1"/>
  <c r="AI177" i="13" l="1"/>
  <c r="AV12" i="13" l="1"/>
  <c r="AY12" i="13" s="1"/>
  <c r="AZ12" i="13" s="1"/>
  <c r="CV336" i="13" l="1"/>
  <c r="CV335" i="13"/>
  <c r="CV334" i="13"/>
  <c r="CV333" i="13"/>
  <c r="CV330" i="13"/>
  <c r="CV329" i="13"/>
  <c r="CV328" i="13"/>
  <c r="CV327" i="13"/>
  <c r="CV326" i="13"/>
  <c r="CV324" i="13"/>
  <c r="CV323" i="13"/>
  <c r="CV322" i="13"/>
  <c r="CV321" i="13"/>
  <c r="CV320" i="13"/>
  <c r="CV319" i="13"/>
  <c r="CV318" i="13"/>
  <c r="CV317" i="13"/>
  <c r="CV316" i="13"/>
  <c r="CV315" i="13"/>
  <c r="CV314" i="13"/>
  <c r="CV313" i="13"/>
  <c r="CV312" i="13"/>
  <c r="CV311" i="13"/>
  <c r="CV310" i="13"/>
  <c r="CV309" i="13"/>
  <c r="CV308" i="13"/>
  <c r="CV307" i="13"/>
  <c r="CV306" i="13"/>
  <c r="CV305" i="13"/>
  <c r="CV304" i="13"/>
  <c r="CV303" i="13"/>
  <c r="CV302" i="13"/>
  <c r="CV301" i="13"/>
  <c r="CV300" i="13"/>
  <c r="CV299" i="13"/>
  <c r="CV298" i="13"/>
  <c r="CV297" i="13"/>
  <c r="CV296" i="13"/>
  <c r="CV294" i="13"/>
  <c r="CV293" i="13"/>
  <c r="CV292" i="13"/>
  <c r="CV291" i="13"/>
  <c r="CV290" i="13"/>
  <c r="CV288" i="13"/>
  <c r="CV286" i="13"/>
  <c r="CV285" i="13"/>
  <c r="CV284" i="13"/>
  <c r="CV283" i="13"/>
  <c r="CV282" i="13"/>
  <c r="CV280" i="13"/>
  <c r="CV279" i="13"/>
  <c r="CV278" i="13"/>
  <c r="CV277" i="13"/>
  <c r="CV276" i="13"/>
  <c r="CV273" i="13"/>
  <c r="CV272" i="13"/>
  <c r="CV271" i="13"/>
  <c r="CV270" i="13"/>
  <c r="CV269" i="13"/>
  <c r="CV267" i="13"/>
  <c r="CV266" i="13"/>
  <c r="CV265" i="13"/>
  <c r="CV264" i="13"/>
  <c r="CV263" i="13"/>
  <c r="CV262" i="13"/>
  <c r="CV261" i="13"/>
  <c r="CV260" i="13"/>
  <c r="CV259" i="13"/>
  <c r="CV258" i="13"/>
  <c r="CV257" i="13"/>
  <c r="CV256" i="13"/>
  <c r="CV255" i="13"/>
  <c r="CV254" i="13"/>
  <c r="CV253" i="13"/>
  <c r="CV252" i="13"/>
  <c r="CV251" i="13"/>
  <c r="CV250" i="13"/>
  <c r="CV248" i="13"/>
  <c r="CV247" i="13"/>
  <c r="CV246" i="13"/>
  <c r="CV245" i="13"/>
  <c r="CV244" i="13"/>
  <c r="CV242" i="13"/>
  <c r="CV241" i="13"/>
  <c r="CV240" i="13"/>
  <c r="CV239" i="13"/>
  <c r="CV237" i="13"/>
  <c r="CV236" i="13"/>
  <c r="CV235" i="13"/>
  <c r="CV234" i="13"/>
  <c r="CV233" i="13"/>
  <c r="CV230" i="13"/>
  <c r="CV229" i="13"/>
  <c r="CV228" i="13"/>
  <c r="CV227" i="13"/>
  <c r="CV226" i="13"/>
  <c r="CV224" i="13"/>
  <c r="CV223" i="13"/>
  <c r="CV222" i="13"/>
  <c r="CV221" i="13"/>
  <c r="CV220" i="13"/>
  <c r="CV219" i="13"/>
  <c r="CV217" i="13"/>
  <c r="CV216" i="13"/>
  <c r="CV215" i="13"/>
  <c r="CV214" i="13"/>
  <c r="CV213" i="13"/>
  <c r="CV211" i="13"/>
  <c r="CV210" i="13"/>
  <c r="CV209" i="13"/>
  <c r="CV208" i="13"/>
  <c r="CV207" i="13"/>
  <c r="CV206" i="13"/>
  <c r="CV205" i="13"/>
  <c r="CV204" i="13"/>
  <c r="CV203" i="13"/>
  <c r="CV202" i="13"/>
  <c r="CV200" i="13"/>
  <c r="CV199" i="13"/>
  <c r="CV198" i="13"/>
  <c r="CV197" i="13"/>
  <c r="CV196" i="13"/>
  <c r="CV194" i="13"/>
  <c r="AC194" i="13" l="1"/>
  <c r="CW194" i="13" s="1"/>
  <c r="AC203" i="13"/>
  <c r="CW203" i="13" s="1"/>
  <c r="AC207" i="13"/>
  <c r="CW207" i="13" s="1"/>
  <c r="AC211" i="13"/>
  <c r="CW211" i="13" s="1"/>
  <c r="AC215" i="13"/>
  <c r="CW215" i="13" s="1"/>
  <c r="AC220" i="13"/>
  <c r="CW220" i="13" s="1"/>
  <c r="AC224" i="13"/>
  <c r="CW224" i="13" s="1"/>
  <c r="AC228" i="13"/>
  <c r="CW228" i="13" s="1"/>
  <c r="AC233" i="13"/>
  <c r="CW233" i="13" s="1"/>
  <c r="AC237" i="13"/>
  <c r="CW237" i="13" s="1"/>
  <c r="AC242" i="13"/>
  <c r="CW242" i="13" s="1"/>
  <c r="AC246" i="13"/>
  <c r="CW246" i="13" s="1"/>
  <c r="AC251" i="13"/>
  <c r="CW251" i="13" s="1"/>
  <c r="AC255" i="13"/>
  <c r="CW255" i="13" s="1"/>
  <c r="AC259" i="13"/>
  <c r="CW259" i="13" s="1"/>
  <c r="AC263" i="13"/>
  <c r="CW263" i="13" s="1"/>
  <c r="AC267" i="13"/>
  <c r="CW267" i="13" s="1"/>
  <c r="AC271" i="13"/>
  <c r="CW271" i="13" s="1"/>
  <c r="AC276" i="13"/>
  <c r="CW276" i="13" s="1"/>
  <c r="AC280" i="13"/>
  <c r="CW280" i="13" s="1"/>
  <c r="AC285" i="13"/>
  <c r="CW285" i="13" s="1"/>
  <c r="AC290" i="13"/>
  <c r="CW290" i="13" s="1"/>
  <c r="AC294" i="13"/>
  <c r="CW294" i="13" s="1"/>
  <c r="AC299" i="13"/>
  <c r="CW299" i="13" s="1"/>
  <c r="AC303" i="13"/>
  <c r="CW303" i="13" s="1"/>
  <c r="AC307" i="13"/>
  <c r="CW307" i="13" s="1"/>
  <c r="AC311" i="13"/>
  <c r="CW311" i="13" s="1"/>
  <c r="AC315" i="13"/>
  <c r="CW315" i="13" s="1"/>
  <c r="AC319" i="13"/>
  <c r="CW319" i="13" s="1"/>
  <c r="AC323" i="13"/>
  <c r="CW323" i="13" s="1"/>
  <c r="AC327" i="13"/>
  <c r="CW327" i="13" s="1"/>
  <c r="AC336" i="13"/>
  <c r="CW336" i="13" s="1"/>
  <c r="AC197" i="13"/>
  <c r="CW197" i="13" s="1"/>
  <c r="AC206" i="13"/>
  <c r="CW206" i="13" s="1"/>
  <c r="AC210" i="13"/>
  <c r="CW210" i="13" s="1"/>
  <c r="AC214" i="13"/>
  <c r="CW214" i="13" s="1"/>
  <c r="AC219" i="13"/>
  <c r="CW219" i="13" s="1"/>
  <c r="AC223" i="13"/>
  <c r="CW223" i="13" s="1"/>
  <c r="AC227" i="13"/>
  <c r="CW227" i="13" s="1"/>
  <c r="AC236" i="13"/>
  <c r="CW236" i="13" s="1"/>
  <c r="AC241" i="13"/>
  <c r="CW241" i="13" s="1"/>
  <c r="AC245" i="13"/>
  <c r="CW245" i="13" s="1"/>
  <c r="AC250" i="13"/>
  <c r="CW250" i="13" s="1"/>
  <c r="AC254" i="13"/>
  <c r="CW254" i="13" s="1"/>
  <c r="AC258" i="13"/>
  <c r="CW258" i="13" s="1"/>
  <c r="AC262" i="13"/>
  <c r="CW262" i="13" s="1"/>
  <c r="AC266" i="13"/>
  <c r="CW266" i="13" s="1"/>
  <c r="AC270" i="13"/>
  <c r="CW270" i="13" s="1"/>
  <c r="AC279" i="13"/>
  <c r="CW279" i="13" s="1"/>
  <c r="AC284" i="13"/>
  <c r="CW284" i="13" s="1"/>
  <c r="AC293" i="13"/>
  <c r="CW293" i="13" s="1"/>
  <c r="AC298" i="13"/>
  <c r="CW298" i="13" s="1"/>
  <c r="AC302" i="13"/>
  <c r="CW302" i="13" s="1"/>
  <c r="AC306" i="13"/>
  <c r="CW306" i="13" s="1"/>
  <c r="AC310" i="13"/>
  <c r="CW310" i="13" s="1"/>
  <c r="AC314" i="13"/>
  <c r="CW314" i="13" s="1"/>
  <c r="AC318" i="13"/>
  <c r="CW318" i="13" s="1"/>
  <c r="AC322" i="13"/>
  <c r="CW322" i="13" s="1"/>
  <c r="AC326" i="13"/>
  <c r="CW326" i="13" s="1"/>
  <c r="AC330" i="13"/>
  <c r="CW330" i="13" s="1"/>
  <c r="AC335" i="13"/>
  <c r="CW335" i="13" s="1"/>
  <c r="AC198" i="13"/>
  <c r="CW198" i="13" s="1"/>
  <c r="AC196" i="13"/>
  <c r="CW196" i="13" s="1"/>
  <c r="AC200" i="13"/>
  <c r="CW200" i="13" s="1"/>
  <c r="AC205" i="13"/>
  <c r="CW205" i="13" s="1"/>
  <c r="AC209" i="13"/>
  <c r="CW209" i="13" s="1"/>
  <c r="AC213" i="13"/>
  <c r="CW213" i="13" s="1"/>
  <c r="AC217" i="13"/>
  <c r="CW217" i="13" s="1"/>
  <c r="AC222" i="13"/>
  <c r="CW222" i="13" s="1"/>
  <c r="AC226" i="13"/>
  <c r="CW226" i="13" s="1"/>
  <c r="AC230" i="13"/>
  <c r="CW230" i="13" s="1"/>
  <c r="AC235" i="13"/>
  <c r="CW235" i="13" s="1"/>
  <c r="AC240" i="13"/>
  <c r="CW240" i="13" s="1"/>
  <c r="AC244" i="13"/>
  <c r="CW244" i="13" s="1"/>
  <c r="AC248" i="13"/>
  <c r="CW248" i="13" s="1"/>
  <c r="AC253" i="13"/>
  <c r="CW253" i="13" s="1"/>
  <c r="AC257" i="13"/>
  <c r="CW257" i="13" s="1"/>
  <c r="AC261" i="13"/>
  <c r="CW261" i="13" s="1"/>
  <c r="AC265" i="13"/>
  <c r="CW265" i="13" s="1"/>
  <c r="AC269" i="13"/>
  <c r="CW269" i="13" s="1"/>
  <c r="AC273" i="13"/>
  <c r="CW273" i="13" s="1"/>
  <c r="AC278" i="13"/>
  <c r="CW278" i="13" s="1"/>
  <c r="AC283" i="13"/>
  <c r="CW283" i="13" s="1"/>
  <c r="AC288" i="13"/>
  <c r="CW288" i="13" s="1"/>
  <c r="AC292" i="13"/>
  <c r="CW292" i="13" s="1"/>
  <c r="AC297" i="13"/>
  <c r="CW297" i="13" s="1"/>
  <c r="AC301" i="13"/>
  <c r="CW301" i="13" s="1"/>
  <c r="AC305" i="13"/>
  <c r="CW305" i="13" s="1"/>
  <c r="AC309" i="13"/>
  <c r="CW309" i="13" s="1"/>
  <c r="AC313" i="13"/>
  <c r="CW313" i="13" s="1"/>
  <c r="AC317" i="13"/>
  <c r="CW317" i="13" s="1"/>
  <c r="AC321" i="13"/>
  <c r="CW321" i="13" s="1"/>
  <c r="AC329" i="13"/>
  <c r="CW329" i="13" s="1"/>
  <c r="AC334" i="13"/>
  <c r="CW334" i="13" s="1"/>
  <c r="AC202" i="13"/>
  <c r="CW202" i="13" s="1"/>
  <c r="AC199" i="13"/>
  <c r="CW199" i="13" s="1"/>
  <c r="AC204" i="13"/>
  <c r="CW204" i="13" s="1"/>
  <c r="AC208" i="13"/>
  <c r="CW208" i="13" s="1"/>
  <c r="AC216" i="13"/>
  <c r="CW216" i="13" s="1"/>
  <c r="AC221" i="13"/>
  <c r="CW221" i="13" s="1"/>
  <c r="AC229" i="13"/>
  <c r="CW229" i="13" s="1"/>
  <c r="AC234" i="13"/>
  <c r="CW234" i="13" s="1"/>
  <c r="AC239" i="13"/>
  <c r="CW239" i="13" s="1"/>
  <c r="AC247" i="13"/>
  <c r="CW247" i="13" s="1"/>
  <c r="AC252" i="13"/>
  <c r="CW252" i="13" s="1"/>
  <c r="AC256" i="13"/>
  <c r="CW256" i="13" s="1"/>
  <c r="AC260" i="13"/>
  <c r="CW260" i="13" s="1"/>
  <c r="AC264" i="13"/>
  <c r="CW264" i="13" s="1"/>
  <c r="AC272" i="13"/>
  <c r="CW272" i="13" s="1"/>
  <c r="AC277" i="13"/>
  <c r="CW277" i="13" s="1"/>
  <c r="AC282" i="13"/>
  <c r="CW282" i="13" s="1"/>
  <c r="AC286" i="13"/>
  <c r="CW286" i="13" s="1"/>
  <c r="AC291" i="13"/>
  <c r="CW291" i="13" s="1"/>
  <c r="AC296" i="13"/>
  <c r="CW296" i="13" s="1"/>
  <c r="AC300" i="13"/>
  <c r="CW300" i="13" s="1"/>
  <c r="AC304" i="13"/>
  <c r="CW304" i="13" s="1"/>
  <c r="AC308" i="13"/>
  <c r="CW308" i="13" s="1"/>
  <c r="AC312" i="13"/>
  <c r="CW312" i="13" s="1"/>
  <c r="AC316" i="13"/>
  <c r="CW316" i="13" s="1"/>
  <c r="AC320" i="13"/>
  <c r="CW320" i="13" s="1"/>
  <c r="AC324" i="13"/>
  <c r="CW324" i="13" s="1"/>
  <c r="AC328" i="13"/>
  <c r="CW328" i="13" s="1"/>
  <c r="AC333" i="13"/>
  <c r="CW333" i="13" s="1"/>
  <c r="CE197" i="13"/>
  <c r="CH197" i="13" s="1"/>
  <c r="CE309" i="13"/>
  <c r="CH309" i="13" s="1"/>
  <c r="CJ270" i="13"/>
  <c r="CM270" i="13" s="1"/>
  <c r="CE266" i="13"/>
  <c r="CH266" i="13" s="1"/>
  <c r="CJ240" i="13"/>
  <c r="CM240" i="13" s="1"/>
  <c r="CJ336" i="13"/>
  <c r="CM336" i="13" s="1"/>
  <c r="CE200" i="13"/>
  <c r="CH200" i="13" s="1"/>
  <c r="CJ257" i="13"/>
  <c r="CM257" i="13" s="1"/>
  <c r="CE314" i="13"/>
  <c r="CH314" i="13" s="1"/>
  <c r="CJ321" i="13"/>
  <c r="CM321" i="13" s="1"/>
  <c r="CE205" i="13"/>
  <c r="CH205" i="13" s="1"/>
  <c r="CE204" i="13"/>
  <c r="CH204" i="13" s="1"/>
  <c r="CE237" i="13"/>
  <c r="CH237" i="13" s="1"/>
  <c r="CE313" i="13"/>
  <c r="CH313" i="13" s="1"/>
  <c r="CE317" i="13"/>
  <c r="CH317" i="13" s="1"/>
  <c r="CE322" i="13"/>
  <c r="CH322" i="13" s="1"/>
  <c r="CJ227" i="13"/>
  <c r="CM227" i="13" s="1"/>
  <c r="CE230" i="13"/>
  <c r="CH230" i="13" s="1"/>
  <c r="CE265" i="13"/>
  <c r="CH265" i="13" s="1"/>
  <c r="CE269" i="13"/>
  <c r="CH269" i="13" s="1"/>
  <c r="CE270" i="13"/>
  <c r="CH270" i="13" s="1"/>
  <c r="CE279" i="13"/>
  <c r="CH279" i="13" s="1"/>
  <c r="CE301" i="13"/>
  <c r="CH301" i="13" s="1"/>
  <c r="CE217" i="13"/>
  <c r="CH217" i="13" s="1"/>
  <c r="CJ317" i="13"/>
  <c r="CM317" i="13" s="1"/>
  <c r="CE284" i="13"/>
  <c r="CH284" i="13" s="1"/>
  <c r="CE300" i="13"/>
  <c r="CH300" i="13" s="1"/>
  <c r="CJ313" i="13"/>
  <c r="CM313" i="13" s="1"/>
  <c r="CE206" i="13"/>
  <c r="CH206" i="13" s="1"/>
  <c r="CJ297" i="13"/>
  <c r="CM297" i="13" s="1"/>
  <c r="CJ314" i="13"/>
  <c r="CM314" i="13" s="1"/>
  <c r="CJ318" i="13"/>
  <c r="CM318" i="13" s="1"/>
  <c r="CJ266" i="13"/>
  <c r="CM266" i="13" s="1"/>
  <c r="CJ267" i="13"/>
  <c r="CM267" i="13" s="1"/>
  <c r="CJ271" i="13"/>
  <c r="CM271" i="13" s="1"/>
  <c r="CJ303" i="13"/>
  <c r="CM303" i="13" s="1"/>
  <c r="CE326" i="13"/>
  <c r="CH326" i="13" s="1"/>
  <c r="CJ234" i="13"/>
  <c r="CM234" i="13" s="1"/>
  <c r="CJ237" i="13"/>
  <c r="CM237" i="13" s="1"/>
  <c r="CJ269" i="13"/>
  <c r="CM269" i="13" s="1"/>
  <c r="CJ296" i="13"/>
  <c r="CM296" i="13" s="1"/>
  <c r="CJ319" i="13"/>
  <c r="CM319" i="13" s="1"/>
  <c r="CJ326" i="13"/>
  <c r="CM326" i="13" s="1"/>
  <c r="CE253" i="13"/>
  <c r="CH253" i="13" s="1"/>
  <c r="CJ302" i="13"/>
  <c r="CM302" i="13" s="1"/>
  <c r="CJ244" i="13"/>
  <c r="CM244" i="13" s="1"/>
  <c r="CJ260" i="13"/>
  <c r="CM260" i="13" s="1"/>
  <c r="CJ290" i="13"/>
  <c r="CM290" i="13" s="1"/>
  <c r="CJ294" i="13"/>
  <c r="CM294" i="13" s="1"/>
  <c r="CJ298" i="13"/>
  <c r="CM298" i="13" s="1"/>
  <c r="CJ315" i="13"/>
  <c r="CM315" i="13" s="1"/>
  <c r="CE333" i="13"/>
  <c r="CH333" i="13" s="1"/>
  <c r="CJ226" i="13"/>
  <c r="CM226" i="13" s="1"/>
  <c r="CE241" i="13"/>
  <c r="CH241" i="13" s="1"/>
  <c r="CE242" i="13"/>
  <c r="CH242" i="13" s="1"/>
  <c r="CE254" i="13"/>
  <c r="CH254" i="13" s="1"/>
  <c r="CE257" i="13"/>
  <c r="CH257" i="13" s="1"/>
  <c r="CE261" i="13"/>
  <c r="CH261" i="13" s="1"/>
  <c r="CE262" i="13"/>
  <c r="CH262" i="13" s="1"/>
  <c r="CE273" i="13"/>
  <c r="CH273" i="13" s="1"/>
  <c r="CJ280" i="13"/>
  <c r="CM280" i="13" s="1"/>
  <c r="CJ299" i="13"/>
  <c r="CM299" i="13" s="1"/>
  <c r="CE302" i="13"/>
  <c r="CH302" i="13" s="1"/>
  <c r="CE305" i="13"/>
  <c r="CH305" i="13" s="1"/>
  <c r="CJ306" i="13"/>
  <c r="CM306" i="13" s="1"/>
  <c r="CJ310" i="13"/>
  <c r="CM310" i="13" s="1"/>
  <c r="CE321" i="13"/>
  <c r="CH321" i="13" s="1"/>
  <c r="CJ322" i="13"/>
  <c r="CM322" i="13" s="1"/>
  <c r="CJ334" i="13"/>
  <c r="CM334" i="13" s="1"/>
  <c r="CJ222" i="13"/>
  <c r="CM222" i="13" s="1"/>
  <c r="CJ258" i="13"/>
  <c r="CM258" i="13" s="1"/>
  <c r="CJ262" i="13"/>
  <c r="CM262" i="13" s="1"/>
  <c r="CJ263" i="13"/>
  <c r="CM263" i="13" s="1"/>
  <c r="CE283" i="13"/>
  <c r="CH283" i="13" s="1"/>
  <c r="CJ284" i="13"/>
  <c r="CM284" i="13" s="1"/>
  <c r="CJ327" i="13"/>
  <c r="CM327" i="13" s="1"/>
  <c r="CJ205" i="13"/>
  <c r="CM205" i="13" s="1"/>
  <c r="CJ206" i="13"/>
  <c r="CM206" i="13" s="1"/>
  <c r="CJ208" i="13"/>
  <c r="CM208" i="13" s="1"/>
  <c r="CE210" i="13"/>
  <c r="CH210" i="13" s="1"/>
  <c r="CJ211" i="13"/>
  <c r="CM211" i="13" s="1"/>
  <c r="CE214" i="13"/>
  <c r="CH214" i="13" s="1"/>
  <c r="CJ216" i="13"/>
  <c r="CM216" i="13" s="1"/>
  <c r="CE221" i="13"/>
  <c r="CH221" i="13" s="1"/>
  <c r="CE226" i="13"/>
  <c r="CH226" i="13" s="1"/>
  <c r="CE229" i="13"/>
  <c r="CH229" i="13" s="1"/>
  <c r="CJ230" i="13"/>
  <c r="CM230" i="13" s="1"/>
  <c r="CJ233" i="13"/>
  <c r="CM233" i="13" s="1"/>
  <c r="CJ250" i="13"/>
  <c r="CM250" i="13" s="1"/>
  <c r="CJ251" i="13"/>
  <c r="CM251" i="13" s="1"/>
  <c r="CJ254" i="13"/>
  <c r="CM254" i="13" s="1"/>
  <c r="CE258" i="13"/>
  <c r="CH258" i="13" s="1"/>
  <c r="CJ259" i="13"/>
  <c r="CM259" i="13" s="1"/>
  <c r="CJ265" i="13"/>
  <c r="CM265" i="13" s="1"/>
  <c r="CE277" i="13"/>
  <c r="CH277" i="13" s="1"/>
  <c r="CE280" i="13"/>
  <c r="CH280" i="13" s="1"/>
  <c r="CE291" i="13"/>
  <c r="CH291" i="13" s="1"/>
  <c r="CJ292" i="13"/>
  <c r="CM292" i="13" s="1"/>
  <c r="CE293" i="13"/>
  <c r="CH293" i="13" s="1"/>
  <c r="CE298" i="13"/>
  <c r="CH298" i="13" s="1"/>
  <c r="CJ307" i="13"/>
  <c r="CM307" i="13" s="1"/>
  <c r="CJ311" i="13"/>
  <c r="CM311" i="13" s="1"/>
  <c r="CE318" i="13"/>
  <c r="CH318" i="13" s="1"/>
  <c r="CJ323" i="13"/>
  <c r="CM323" i="13" s="1"/>
  <c r="CE329" i="13"/>
  <c r="CH329" i="13" s="1"/>
  <c r="CJ330" i="13"/>
  <c r="CM330" i="13" s="1"/>
  <c r="CE208" i="13"/>
  <c r="CH208" i="13" s="1"/>
  <c r="CJ239" i="13"/>
  <c r="CM239" i="13" s="1"/>
  <c r="CJ335" i="13"/>
  <c r="CM335" i="13" s="1"/>
  <c r="CE196" i="13"/>
  <c r="CH196" i="13" s="1"/>
  <c r="CJ197" i="13"/>
  <c r="CM197" i="13" s="1"/>
  <c r="CJ207" i="13"/>
  <c r="CM207" i="13" s="1"/>
  <c r="CJ210" i="13"/>
  <c r="CM210" i="13" s="1"/>
  <c r="CE222" i="13"/>
  <c r="CH222" i="13" s="1"/>
  <c r="CE233" i="13"/>
  <c r="CH233" i="13" s="1"/>
  <c r="CJ242" i="13"/>
  <c r="CM242" i="13" s="1"/>
  <c r="CE245" i="13"/>
  <c r="CH245" i="13" s="1"/>
  <c r="CJ246" i="13"/>
  <c r="CM246" i="13" s="1"/>
  <c r="CE271" i="13"/>
  <c r="CH271" i="13" s="1"/>
  <c r="CJ288" i="13"/>
  <c r="CM288" i="13" s="1"/>
  <c r="CE327" i="13"/>
  <c r="CH327" i="13" s="1"/>
  <c r="CJ333" i="13"/>
  <c r="CM333" i="13" s="1"/>
  <c r="CJ261" i="13"/>
  <c r="CM261" i="13" s="1"/>
  <c r="CJ264" i="13"/>
  <c r="CM264" i="13" s="1"/>
  <c r="CJ276" i="13"/>
  <c r="CM276" i="13" s="1"/>
  <c r="CJ277" i="13"/>
  <c r="CM277" i="13" s="1"/>
  <c r="CE292" i="13"/>
  <c r="CH292" i="13" s="1"/>
  <c r="CJ293" i="13"/>
  <c r="CM293" i="13" s="1"/>
  <c r="CJ308" i="13"/>
  <c r="CM308" i="13" s="1"/>
  <c r="CJ329" i="13"/>
  <c r="CM329" i="13" s="1"/>
  <c r="CE330" i="13"/>
  <c r="CH330" i="13" s="1"/>
  <c r="CE194" i="13"/>
  <c r="CH194" i="13" s="1"/>
  <c r="CE198" i="13"/>
  <c r="CH198" i="13" s="1"/>
  <c r="CE202" i="13"/>
  <c r="CH202" i="13" s="1"/>
  <c r="CJ209" i="13"/>
  <c r="CM209" i="13" s="1"/>
  <c r="CJ220" i="13"/>
  <c r="CM220" i="13" s="1"/>
  <c r="CE304" i="13"/>
  <c r="CH304" i="13" s="1"/>
  <c r="CE335" i="13"/>
  <c r="CH335" i="13" s="1"/>
  <c r="CJ252" i="13"/>
  <c r="CM252" i="13" s="1"/>
  <c r="CJ278" i="13"/>
  <c r="CM278" i="13" s="1"/>
  <c r="CE303" i="13"/>
  <c r="CH303" i="13" s="1"/>
  <c r="CJ320" i="13"/>
  <c r="CM320" i="13" s="1"/>
  <c r="CE328" i="13"/>
  <c r="CH328" i="13" s="1"/>
  <c r="CJ228" i="13"/>
  <c r="CM228" i="13" s="1"/>
  <c r="CE299" i="13"/>
  <c r="CH299" i="13" s="1"/>
  <c r="CE211" i="13"/>
  <c r="CH211" i="13" s="1"/>
  <c r="CJ224" i="13"/>
  <c r="CM224" i="13" s="1"/>
  <c r="CE250" i="13"/>
  <c r="CH250" i="13" s="1"/>
  <c r="CE308" i="13"/>
  <c r="CH308" i="13" s="1"/>
  <c r="CJ316" i="13"/>
  <c r="CM316" i="13" s="1"/>
  <c r="CJ194" i="13"/>
  <c r="CM194" i="13" s="1"/>
  <c r="CJ198" i="13"/>
  <c r="CM198" i="13" s="1"/>
  <c r="CJ202" i="13"/>
  <c r="CM202" i="13" s="1"/>
  <c r="CE207" i="13"/>
  <c r="CH207" i="13" s="1"/>
  <c r="CE209" i="13"/>
  <c r="CH209" i="13" s="1"/>
  <c r="CJ217" i="13"/>
  <c r="CM217" i="13" s="1"/>
  <c r="CE219" i="13"/>
  <c r="CH219" i="13" s="1"/>
  <c r="CJ221" i="13"/>
  <c r="CM221" i="13" s="1"/>
  <c r="CJ223" i="13"/>
  <c r="CM223" i="13" s="1"/>
  <c r="CJ229" i="13"/>
  <c r="CM229" i="13" s="1"/>
  <c r="CE234" i="13"/>
  <c r="CH234" i="13" s="1"/>
  <c r="CJ235" i="13"/>
  <c r="CM235" i="13" s="1"/>
  <c r="CJ245" i="13"/>
  <c r="CM245" i="13" s="1"/>
  <c r="CE246" i="13"/>
  <c r="CH246" i="13" s="1"/>
  <c r="CJ247" i="13"/>
  <c r="CM247" i="13" s="1"/>
  <c r="CJ253" i="13"/>
  <c r="CM253" i="13" s="1"/>
  <c r="CJ255" i="13"/>
  <c r="CM255" i="13" s="1"/>
  <c r="CJ256" i="13"/>
  <c r="CM256" i="13" s="1"/>
  <c r="CE267" i="13"/>
  <c r="CH267" i="13" s="1"/>
  <c r="CJ272" i="13"/>
  <c r="CM272" i="13" s="1"/>
  <c r="CJ273" i="13"/>
  <c r="CM273" i="13" s="1"/>
  <c r="CJ279" i="13"/>
  <c r="CM279" i="13" s="1"/>
  <c r="CJ283" i="13"/>
  <c r="CM283" i="13" s="1"/>
  <c r="CE312" i="13"/>
  <c r="CH312" i="13" s="1"/>
  <c r="CE319" i="13"/>
  <c r="CH319" i="13" s="1"/>
  <c r="CE323" i="13"/>
  <c r="CH323" i="13" s="1"/>
  <c r="CE324" i="13"/>
  <c r="CH324" i="13" s="1"/>
  <c r="CJ328" i="13"/>
  <c r="CM328" i="13" s="1"/>
  <c r="CJ199" i="13"/>
  <c r="CM199" i="13" s="1"/>
  <c r="CJ215" i="13"/>
  <c r="CM215" i="13" s="1"/>
  <c r="CJ219" i="13"/>
  <c r="CM219" i="13" s="1"/>
  <c r="CE227" i="13"/>
  <c r="CH227" i="13" s="1"/>
  <c r="CJ236" i="13"/>
  <c r="CM236" i="13" s="1"/>
  <c r="CJ241" i="13"/>
  <c r="CM241" i="13" s="1"/>
  <c r="CJ248" i="13"/>
  <c r="CM248" i="13" s="1"/>
  <c r="CE259" i="13"/>
  <c r="CH259" i="13" s="1"/>
  <c r="CE263" i="13"/>
  <c r="CH263" i="13" s="1"/>
  <c r="CE264" i="13"/>
  <c r="CH264" i="13" s="1"/>
  <c r="CE278" i="13"/>
  <c r="CH278" i="13" s="1"/>
  <c r="CJ282" i="13"/>
  <c r="CM282" i="13" s="1"/>
  <c r="CE285" i="13"/>
  <c r="CH285" i="13" s="1"/>
  <c r="CE288" i="13"/>
  <c r="CH288" i="13" s="1"/>
  <c r="CE296" i="13"/>
  <c r="CH296" i="13" s="1"/>
  <c r="CE297" i="13"/>
  <c r="CH297" i="13" s="1"/>
  <c r="CE306" i="13"/>
  <c r="CH306" i="13" s="1"/>
  <c r="CE310" i="13"/>
  <c r="CH310" i="13" s="1"/>
  <c r="CJ312" i="13"/>
  <c r="CM312" i="13" s="1"/>
  <c r="CE315" i="13"/>
  <c r="CH315" i="13" s="1"/>
  <c r="CE316" i="13"/>
  <c r="CH316" i="13" s="1"/>
  <c r="CE320" i="13"/>
  <c r="CH320" i="13" s="1"/>
  <c r="CJ324" i="13"/>
  <c r="CM324" i="13" s="1"/>
  <c r="CJ285" i="13"/>
  <c r="CM285" i="13" s="1"/>
  <c r="CE286" i="13"/>
  <c r="CH286" i="13" s="1"/>
  <c r="CE290" i="13"/>
  <c r="CH290" i="13" s="1"/>
  <c r="CE294" i="13"/>
  <c r="CH294" i="13" s="1"/>
  <c r="CE336" i="13"/>
  <c r="CH336" i="13" s="1"/>
  <c r="CJ196" i="13"/>
  <c r="CM196" i="13" s="1"/>
  <c r="CE199" i="13"/>
  <c r="CH199" i="13" s="1"/>
  <c r="CJ200" i="13"/>
  <c r="CM200" i="13" s="1"/>
  <c r="CE203" i="13"/>
  <c r="CH203" i="13" s="1"/>
  <c r="CJ204" i="13"/>
  <c r="CM204" i="13" s="1"/>
  <c r="CE213" i="13"/>
  <c r="CH213" i="13" s="1"/>
  <c r="CE223" i="13"/>
  <c r="CH223" i="13" s="1"/>
  <c r="CE334" i="13"/>
  <c r="CH334" i="13" s="1"/>
  <c r="CJ213" i="13"/>
  <c r="CM213" i="13" s="1"/>
  <c r="CJ214" i="13"/>
  <c r="CM214" i="13" s="1"/>
  <c r="CJ203" i="13"/>
  <c r="CM203" i="13" s="1"/>
  <c r="CE215" i="13"/>
  <c r="CH215" i="13" s="1"/>
  <c r="CE216" i="13"/>
  <c r="CH216" i="13" s="1"/>
  <c r="CE220" i="13"/>
  <c r="CH220" i="13" s="1"/>
  <c r="CE224" i="13"/>
  <c r="CH224" i="13" s="1"/>
  <c r="CE272" i="13"/>
  <c r="CH272" i="13" s="1"/>
  <c r="CE276" i="13"/>
  <c r="CH276" i="13" s="1"/>
  <c r="CE235" i="13"/>
  <c r="CH235" i="13" s="1"/>
  <c r="CE239" i="13"/>
  <c r="CH239" i="13" s="1"/>
  <c r="CE247" i="13"/>
  <c r="CH247" i="13" s="1"/>
  <c r="CE248" i="13"/>
  <c r="CH248" i="13" s="1"/>
  <c r="CE251" i="13"/>
  <c r="CH251" i="13" s="1"/>
  <c r="CE252" i="13"/>
  <c r="CH252" i="13" s="1"/>
  <c r="CE255" i="13"/>
  <c r="CH255" i="13" s="1"/>
  <c r="CE228" i="13"/>
  <c r="CH228" i="13" s="1"/>
  <c r="CE236" i="13"/>
  <c r="CH236" i="13" s="1"/>
  <c r="CE240" i="13"/>
  <c r="CH240" i="13" s="1"/>
  <c r="CE244" i="13"/>
  <c r="CH244" i="13" s="1"/>
  <c r="CE256" i="13"/>
  <c r="CH256" i="13" s="1"/>
  <c r="CE260" i="13"/>
  <c r="CH260" i="13" s="1"/>
  <c r="CJ286" i="13"/>
  <c r="CM286" i="13" s="1"/>
  <c r="CJ291" i="13"/>
  <c r="CM291" i="13" s="1"/>
  <c r="CE282" i="13"/>
  <c r="CH282" i="13" s="1"/>
  <c r="CJ300" i="13"/>
  <c r="CM300" i="13" s="1"/>
  <c r="CJ301" i="13"/>
  <c r="CM301" i="13" s="1"/>
  <c r="CJ304" i="13"/>
  <c r="CM304" i="13" s="1"/>
  <c r="CJ309" i="13"/>
  <c r="CM309" i="13" s="1"/>
  <c r="CJ305" i="13"/>
  <c r="CM305" i="13" s="1"/>
  <c r="CE307" i="13"/>
  <c r="CH307" i="13" s="1"/>
  <c r="CE311" i="13"/>
  <c r="CH311" i="13" s="1"/>
  <c r="Y311" i="13" l="1"/>
  <c r="CI311" i="13" s="1"/>
  <c r="Z291" i="13"/>
  <c r="CN291" i="13" s="1"/>
  <c r="Y251" i="13"/>
  <c r="CI251" i="13" s="1"/>
  <c r="Y224" i="13"/>
  <c r="CI224" i="13" s="1"/>
  <c r="Y223" i="13"/>
  <c r="CI223" i="13" s="1"/>
  <c r="Y336" i="13"/>
  <c r="CI336" i="13" s="1"/>
  <c r="Y315" i="13"/>
  <c r="CI315" i="13" s="1"/>
  <c r="Y297" i="13"/>
  <c r="CI297" i="13" s="1"/>
  <c r="Y263" i="13"/>
  <c r="CI263" i="13" s="1"/>
  <c r="Z215" i="13"/>
  <c r="CN215" i="13" s="1"/>
  <c r="Z273" i="13"/>
  <c r="CN273" i="13" s="1"/>
  <c r="Z245" i="13"/>
  <c r="CN245" i="13" s="1"/>
  <c r="Z198" i="13"/>
  <c r="CN198" i="13" s="1"/>
  <c r="Z228" i="13"/>
  <c r="CN228" i="13" s="1"/>
  <c r="Y330" i="13"/>
  <c r="CI330" i="13" s="1"/>
  <c r="Z261" i="13"/>
  <c r="CN261" i="13" s="1"/>
  <c r="Z210" i="13"/>
  <c r="CN210" i="13" s="1"/>
  <c r="Y329" i="13"/>
  <c r="CI329" i="13" s="1"/>
  <c r="Z307" i="13"/>
  <c r="CN307" i="13"/>
  <c r="Z259" i="13"/>
  <c r="CN259" i="13" s="1"/>
  <c r="Y226" i="13"/>
  <c r="CI226" i="13" s="1"/>
  <c r="Z206" i="13"/>
  <c r="CN206" i="13" s="1"/>
  <c r="Z222" i="13"/>
  <c r="CN222" i="13" s="1"/>
  <c r="Z310" i="13"/>
  <c r="CN310" i="13" s="1"/>
  <c r="Y261" i="13"/>
  <c r="Z298" i="13"/>
  <c r="CN298" i="13" s="1"/>
  <c r="Z319" i="13"/>
  <c r="CN319" i="13" s="1"/>
  <c r="Z271" i="13"/>
  <c r="CN271" i="13" s="1"/>
  <c r="Y300" i="13"/>
  <c r="CI300" i="13" s="1"/>
  <c r="Y265" i="13"/>
  <c r="CI265" i="13" s="1"/>
  <c r="Z257" i="13"/>
  <c r="CN257" i="13" s="1"/>
  <c r="Z309" i="13"/>
  <c r="CN309" i="13" s="1"/>
  <c r="Y282" i="13"/>
  <c r="CI282" i="13" s="1"/>
  <c r="Y260" i="13"/>
  <c r="CI260" i="13" s="1"/>
  <c r="Y236" i="13"/>
  <c r="CI236" i="13" s="1"/>
  <c r="Y252" i="13"/>
  <c r="CI252" i="13" s="1"/>
  <c r="Y272" i="13"/>
  <c r="CI272" i="13" s="1"/>
  <c r="Y215" i="13"/>
  <c r="DU215" i="13" s="1"/>
  <c r="Y334" i="13"/>
  <c r="CI334" i="13" s="1"/>
  <c r="Y203" i="13"/>
  <c r="CI203" i="13" s="1"/>
  <c r="Y286" i="13"/>
  <c r="CI286" i="13" s="1"/>
  <c r="Y316" i="13"/>
  <c r="CI316" i="13" s="1"/>
  <c r="Y306" i="13"/>
  <c r="CI306" i="13" s="1"/>
  <c r="Y285" i="13"/>
  <c r="CI285" i="13" s="1"/>
  <c r="Y264" i="13"/>
  <c r="CI264" i="13" s="1"/>
  <c r="Z219" i="13"/>
  <c r="CN219" i="13" s="1"/>
  <c r="Y323" i="13"/>
  <c r="CI323" i="13" s="1"/>
  <c r="Z279" i="13"/>
  <c r="CN279" i="13" s="1"/>
  <c r="Z256" i="13"/>
  <c r="CN256" i="13" s="1"/>
  <c r="Y246" i="13"/>
  <c r="CI246" i="13" s="1"/>
  <c r="Z229" i="13"/>
  <c r="CN229" i="13" s="1"/>
  <c r="Y219" i="13"/>
  <c r="Z202" i="13"/>
  <c r="CN202" i="13" s="1"/>
  <c r="Y308" i="13"/>
  <c r="CI308" i="13" s="1"/>
  <c r="Y299" i="13"/>
  <c r="CI299" i="13" s="1"/>
  <c r="Z320" i="13"/>
  <c r="CN320" i="13" s="1"/>
  <c r="Y335" i="13"/>
  <c r="CI335" i="13" s="1"/>
  <c r="Z220" i="13"/>
  <c r="CN220" i="13" s="1"/>
  <c r="Y194" i="13"/>
  <c r="CI194" i="13" s="1"/>
  <c r="Z293" i="13"/>
  <c r="CN293" i="13" s="1"/>
  <c r="Z264" i="13"/>
  <c r="CN264" i="13" s="1"/>
  <c r="Z288" i="13"/>
  <c r="CN288" i="13" s="1"/>
  <c r="Y245" i="13"/>
  <c r="DU245" i="13" s="1"/>
  <c r="Y222" i="13"/>
  <c r="DU222" i="13" s="1"/>
  <c r="Y196" i="13"/>
  <c r="CI196" i="13" s="1"/>
  <c r="Z330" i="13"/>
  <c r="CN330" i="13" s="1"/>
  <c r="Z311" i="13"/>
  <c r="CN311" i="13" s="1"/>
  <c r="Z292" i="13"/>
  <c r="CN292" i="13" s="1"/>
  <c r="Z265" i="13"/>
  <c r="CN265" i="13" s="1"/>
  <c r="Z251" i="13"/>
  <c r="CN251" i="13" s="1"/>
  <c r="Y229" i="13"/>
  <c r="DU229" i="13" s="1"/>
  <c r="Z216" i="13"/>
  <c r="CN216" i="13" s="1"/>
  <c r="Z208" i="13"/>
  <c r="CN208" i="13" s="1"/>
  <c r="Z284" i="13"/>
  <c r="CN284" i="13"/>
  <c r="Z258" i="13"/>
  <c r="CN258" i="13" s="1"/>
  <c r="Y321" i="13"/>
  <c r="CI321" i="13" s="1"/>
  <c r="Y302" i="13"/>
  <c r="CI302" i="13" s="1"/>
  <c r="Y262" i="13"/>
  <c r="CI262" i="13" s="1"/>
  <c r="Y242" i="13"/>
  <c r="CI242" i="13" s="1"/>
  <c r="Z315" i="13"/>
  <c r="CN315" i="13" s="1"/>
  <c r="Z260" i="13"/>
  <c r="CN260" i="13" s="1"/>
  <c r="Z326" i="13"/>
  <c r="CN326" i="13" s="1"/>
  <c r="Z237" i="13"/>
  <c r="CN237" i="13" s="1"/>
  <c r="Z303" i="13"/>
  <c r="CN303" i="13" s="1"/>
  <c r="Z318" i="13"/>
  <c r="CN318" i="13" s="1"/>
  <c r="Z313" i="13"/>
  <c r="CN313" i="13" s="1"/>
  <c r="Y217" i="13"/>
  <c r="CI217" i="13" s="1"/>
  <c r="Y269" i="13"/>
  <c r="CI269" i="13" s="1"/>
  <c r="Y322" i="13"/>
  <c r="CI322" i="13" s="1"/>
  <c r="Y237" i="13"/>
  <c r="DU237" i="13" s="1"/>
  <c r="Y314" i="13"/>
  <c r="CI314" i="13" s="1"/>
  <c r="Z240" i="13"/>
  <c r="CN240" i="13" s="1"/>
  <c r="Z305" i="13"/>
  <c r="CN305" i="13" s="1"/>
  <c r="Y255" i="13"/>
  <c r="CI255" i="13" s="1"/>
  <c r="Y276" i="13"/>
  <c r="CI276" i="13" s="1"/>
  <c r="Z213" i="13"/>
  <c r="CN213" i="13" s="1"/>
  <c r="Z196" i="13"/>
  <c r="CN196" i="13" s="1"/>
  <c r="Y320" i="13"/>
  <c r="DU320" i="13" s="1"/>
  <c r="Y288" i="13"/>
  <c r="DU288" i="13" s="1"/>
  <c r="Z248" i="13"/>
  <c r="CN248" i="13" s="1"/>
  <c r="Y324" i="13"/>
  <c r="CI324" i="13" s="1"/>
  <c r="Z283" i="13"/>
  <c r="CN283" i="13" s="1"/>
  <c r="Z247" i="13"/>
  <c r="CN247" i="13" s="1"/>
  <c r="Y207" i="13"/>
  <c r="CI207" i="13" s="1"/>
  <c r="Y211" i="13"/>
  <c r="CI211" i="13" s="1"/>
  <c r="Z252" i="13"/>
  <c r="CN252" i="13" s="1"/>
  <c r="Z308" i="13"/>
  <c r="CN308" i="13" s="1"/>
  <c r="Y327" i="13"/>
  <c r="CI327" i="13" s="1"/>
  <c r="Y208" i="13"/>
  <c r="DU208" i="13" s="1"/>
  <c r="Y277" i="13"/>
  <c r="CI277" i="13" s="1"/>
  <c r="Z230" i="13"/>
  <c r="CN230" i="13" s="1"/>
  <c r="Y210" i="13"/>
  <c r="DU210" i="13" s="1"/>
  <c r="Z262" i="13"/>
  <c r="CN262" i="13" s="1"/>
  <c r="Y273" i="13"/>
  <c r="DU273" i="13" s="1"/>
  <c r="Y333" i="13"/>
  <c r="CI333" i="13" s="1"/>
  <c r="Y253" i="13"/>
  <c r="CI253" i="13" s="1"/>
  <c r="Z266" i="13"/>
  <c r="CN266" i="13" s="1"/>
  <c r="Z317" i="13"/>
  <c r="CN317" i="13" s="1"/>
  <c r="Z227" i="13"/>
  <c r="CN227" i="13" s="1"/>
  <c r="Z321" i="13"/>
  <c r="CN321" i="13" s="1"/>
  <c r="Z336" i="13"/>
  <c r="CN336" i="13" s="1"/>
  <c r="Z270" i="13"/>
  <c r="CN270" i="13" s="1"/>
  <c r="Z300" i="13"/>
  <c r="CN300" i="13" s="1"/>
  <c r="Y240" i="13"/>
  <c r="DU240" i="13" s="1"/>
  <c r="Y247" i="13"/>
  <c r="Y216" i="13"/>
  <c r="DU216" i="13" s="1"/>
  <c r="Z204" i="13"/>
  <c r="CN204" i="13" s="1"/>
  <c r="Y290" i="13"/>
  <c r="CI290" i="13" s="1"/>
  <c r="Y310" i="13"/>
  <c r="DU310" i="13" s="1"/>
  <c r="Y227" i="13"/>
  <c r="DU227" i="13" s="1"/>
  <c r="Z199" i="13"/>
  <c r="CN199" i="13" s="1"/>
  <c r="Y267" i="13"/>
  <c r="CI267" i="13" s="1"/>
  <c r="Y234" i="13"/>
  <c r="CI234" i="13" s="1"/>
  <c r="Z221" i="13"/>
  <c r="CN221" i="13" s="1"/>
  <c r="Z316" i="13"/>
  <c r="CN316" i="13" s="1"/>
  <c r="Y328" i="13"/>
  <c r="CI328" i="13" s="1"/>
  <c r="Y198" i="13"/>
  <c r="DU198" i="13" s="1"/>
  <c r="Z276" i="13"/>
  <c r="CN276" i="13" s="1"/>
  <c r="Z246" i="13"/>
  <c r="CN246" i="13" s="1"/>
  <c r="Z197" i="13"/>
  <c r="CN197" i="13" s="1"/>
  <c r="Y318" i="13"/>
  <c r="DU318" i="13" s="1"/>
  <c r="Y293" i="13"/>
  <c r="DU293" i="13" s="1"/>
  <c r="Z254" i="13"/>
  <c r="CN254" i="13" s="1"/>
  <c r="Y221" i="13"/>
  <c r="Z327" i="13"/>
  <c r="CN327" i="13" s="1"/>
  <c r="Z322" i="13"/>
  <c r="CN322" i="13" s="1"/>
  <c r="Y305" i="13"/>
  <c r="DU305" i="13" s="1"/>
  <c r="Y254" i="13"/>
  <c r="Z290" i="13"/>
  <c r="CN290" i="13" s="1"/>
  <c r="Z269" i="13"/>
  <c r="CN269" i="13" s="1"/>
  <c r="Y326" i="13"/>
  <c r="DU326" i="13" s="1"/>
  <c r="Y206" i="13"/>
  <c r="DU206" i="13" s="1"/>
  <c r="Y270" i="13"/>
  <c r="Y307" i="13"/>
  <c r="DU307" i="13" s="1"/>
  <c r="Z301" i="13"/>
  <c r="CN301" i="13" s="1"/>
  <c r="Z286" i="13"/>
  <c r="CN286" i="13" s="1"/>
  <c r="Y244" i="13"/>
  <c r="CI244" i="13" s="1"/>
  <c r="Y228" i="13"/>
  <c r="DU228" i="13" s="1"/>
  <c r="Y248" i="13"/>
  <c r="DU248" i="13" s="1"/>
  <c r="Y235" i="13"/>
  <c r="CI235" i="13" s="1"/>
  <c r="Y220" i="13"/>
  <c r="DU220" i="13" s="1"/>
  <c r="Z214" i="13"/>
  <c r="CN214" i="13" s="1"/>
  <c r="Y213" i="13"/>
  <c r="DU213" i="13" s="1"/>
  <c r="Y199" i="13"/>
  <c r="DU199" i="13" s="1"/>
  <c r="Y294" i="13"/>
  <c r="CI294" i="13" s="1"/>
  <c r="Z324" i="13"/>
  <c r="CN324" i="13" s="1"/>
  <c r="Z312" i="13"/>
  <c r="CN312" i="13" s="1"/>
  <c r="Y296" i="13"/>
  <c r="CI296" i="13" s="1"/>
  <c r="Y278" i="13"/>
  <c r="Y259" i="13"/>
  <c r="DU259" i="13" s="1"/>
  <c r="Z236" i="13"/>
  <c r="CN236" i="13" s="1"/>
  <c r="Z328" i="13"/>
  <c r="CN328" i="13" s="1"/>
  <c r="Y312" i="13"/>
  <c r="Z272" i="13"/>
  <c r="CN272" i="13" s="1"/>
  <c r="Z253" i="13"/>
  <c r="CN253" i="13" s="1"/>
  <c r="Z235" i="13"/>
  <c r="CN235" i="13" s="1"/>
  <c r="Z223" i="13"/>
  <c r="CN223" i="13" s="1"/>
  <c r="Y209" i="13"/>
  <c r="CI209" i="13" s="1"/>
  <c r="Z194" i="13"/>
  <c r="CN194" i="13" s="1"/>
  <c r="Z224" i="13"/>
  <c r="CN224" i="13" s="1"/>
  <c r="Z278" i="13"/>
  <c r="CN278" i="13" s="1"/>
  <c r="Y304" i="13"/>
  <c r="Y202" i="13"/>
  <c r="DU202" i="13" s="1"/>
  <c r="Z329" i="13"/>
  <c r="CN329" i="13" s="1"/>
  <c r="Z277" i="13"/>
  <c r="CN277" i="13" s="1"/>
  <c r="Z333" i="13"/>
  <c r="CN333" i="13" s="1"/>
  <c r="Y271" i="13"/>
  <c r="DU271" i="13" s="1"/>
  <c r="Y233" i="13"/>
  <c r="CI233" i="13" s="1"/>
  <c r="Z207" i="13"/>
  <c r="CN207" i="13" s="1"/>
  <c r="Z239" i="13"/>
  <c r="CN239" i="13" s="1"/>
  <c r="Z323" i="13"/>
  <c r="CN323" i="13" s="1"/>
  <c r="Y298" i="13"/>
  <c r="DU298" i="13" s="1"/>
  <c r="Y280" i="13"/>
  <c r="CI280" i="13" s="1"/>
  <c r="Y258" i="13"/>
  <c r="DU258" i="13" s="1"/>
  <c r="Z233" i="13"/>
  <c r="CN233" i="13" s="1"/>
  <c r="Z211" i="13"/>
  <c r="CN211" i="13" s="1"/>
  <c r="Z205" i="13"/>
  <c r="CN205" i="13" s="1"/>
  <c r="Z263" i="13"/>
  <c r="CN263" i="13" s="1"/>
  <c r="Z334" i="13"/>
  <c r="CN334" i="13" s="1"/>
  <c r="Z306" i="13"/>
  <c r="CN306" i="13" s="1"/>
  <c r="Z280" i="13"/>
  <c r="CN280" i="13" s="1"/>
  <c r="Y257" i="13"/>
  <c r="DU257" i="13" s="1"/>
  <c r="Z226" i="13"/>
  <c r="CN226" i="13" s="1"/>
  <c r="Z294" i="13"/>
  <c r="CN294" i="13" s="1"/>
  <c r="Z302" i="13"/>
  <c r="CN302" i="13" s="1"/>
  <c r="Z296" i="13"/>
  <c r="CN296" i="13" s="1"/>
  <c r="Z267" i="13"/>
  <c r="CN267" i="13" s="1"/>
  <c r="Z297" i="13"/>
  <c r="CN297" i="13" s="1"/>
  <c r="Y284" i="13"/>
  <c r="DU284" i="13" s="1"/>
  <c r="Y279" i="13"/>
  <c r="DU279" i="13" s="1"/>
  <c r="Y230" i="13"/>
  <c r="DU230" i="13" s="1"/>
  <c r="Y313" i="13"/>
  <c r="DU313" i="13" s="1"/>
  <c r="Y205" i="13"/>
  <c r="DU205" i="13" s="1"/>
  <c r="Y200" i="13"/>
  <c r="Y197" i="13"/>
  <c r="DU197" i="13" s="1"/>
  <c r="Z304" i="13"/>
  <c r="CN304" i="13" s="1"/>
  <c r="Y256" i="13"/>
  <c r="DU256" i="13" s="1"/>
  <c r="Y239" i="13"/>
  <c r="DU239" i="13" s="1"/>
  <c r="Z203" i="13"/>
  <c r="CN203" i="13" s="1"/>
  <c r="Z200" i="13"/>
  <c r="CN200" i="13" s="1"/>
  <c r="Z285" i="13"/>
  <c r="CN285" i="13" s="1"/>
  <c r="Z282" i="13"/>
  <c r="CN282" i="13" s="1"/>
  <c r="Z241" i="13"/>
  <c r="CN241" i="13" s="1"/>
  <c r="Y319" i="13"/>
  <c r="DU319" i="13" s="1"/>
  <c r="Z255" i="13"/>
  <c r="CN255" i="13" s="1"/>
  <c r="Z217" i="13"/>
  <c r="CN217" i="13" s="1"/>
  <c r="Y250" i="13"/>
  <c r="CI250" i="13" s="1"/>
  <c r="Y303" i="13"/>
  <c r="DU303" i="13" s="1"/>
  <c r="Z209" i="13"/>
  <c r="CN209" i="13" s="1"/>
  <c r="Y292" i="13"/>
  <c r="DU292" i="13" s="1"/>
  <c r="Z242" i="13"/>
  <c r="CN242" i="13" s="1"/>
  <c r="Z335" i="13"/>
  <c r="CN335" i="13" s="1"/>
  <c r="Y291" i="13"/>
  <c r="DU291" i="13" s="1"/>
  <c r="Z250" i="13"/>
  <c r="CN250" i="13" s="1"/>
  <c r="Y214" i="13"/>
  <c r="DU214" i="13" s="1"/>
  <c r="Y283" i="13"/>
  <c r="DU283" i="13" s="1"/>
  <c r="Z299" i="13"/>
  <c r="CN299" i="13" s="1"/>
  <c r="Y241" i="13"/>
  <c r="DU241" i="13" s="1"/>
  <c r="Z244" i="13"/>
  <c r="CN244" i="13" s="1"/>
  <c r="Z234" i="13"/>
  <c r="CN234" i="13" s="1"/>
  <c r="Z314" i="13"/>
  <c r="CN314" i="13" s="1"/>
  <c r="Y301" i="13"/>
  <c r="DU301" i="13" s="1"/>
  <c r="Y317" i="13"/>
  <c r="DU317" i="13" s="1"/>
  <c r="Y204" i="13"/>
  <c r="DU204" i="13" s="1"/>
  <c r="Y266" i="13"/>
  <c r="DU266" i="13" s="1"/>
  <c r="Y309" i="13"/>
  <c r="DU309" i="13" s="1"/>
  <c r="AQ12" i="13"/>
  <c r="AT12" i="13" s="1"/>
  <c r="AU12" i="13" s="1"/>
  <c r="DU270" i="13" l="1"/>
  <c r="DU254" i="13"/>
  <c r="DU312" i="13"/>
  <c r="DU247" i="13"/>
  <c r="DU221" i="13"/>
  <c r="DU219" i="13"/>
  <c r="DU278" i="13"/>
  <c r="DU261" i="13"/>
  <c r="DU200" i="13"/>
  <c r="DU304" i="13"/>
  <c r="CI266" i="13"/>
  <c r="CI317" i="13"/>
  <c r="CI214" i="13"/>
  <c r="CI291" i="13"/>
  <c r="CI256" i="13"/>
  <c r="CI197" i="13"/>
  <c r="CI205" i="13"/>
  <c r="CI230" i="13"/>
  <c r="CI284" i="13"/>
  <c r="CI271" i="13"/>
  <c r="CI202" i="13"/>
  <c r="CI312" i="13"/>
  <c r="CI278" i="13"/>
  <c r="CI213" i="13"/>
  <c r="CI220" i="13"/>
  <c r="CI248" i="13"/>
  <c r="CI270" i="13"/>
  <c r="CI326" i="13"/>
  <c r="CI305" i="13"/>
  <c r="CI318" i="13"/>
  <c r="CI198" i="13"/>
  <c r="CI310" i="13"/>
  <c r="CI247" i="13"/>
  <c r="CI208" i="13"/>
  <c r="CI288" i="13"/>
  <c r="CI229" i="13"/>
  <c r="CI245" i="13"/>
  <c r="CI261" i="13"/>
  <c r="AE333" i="13"/>
  <c r="J156" i="7" s="1"/>
  <c r="DU333" i="13"/>
  <c r="AE335" i="13"/>
  <c r="J158" i="7" s="1"/>
  <c r="DU335" i="13"/>
  <c r="AE334" i="13"/>
  <c r="J157" i="7" s="1"/>
  <c r="DU334" i="13"/>
  <c r="DU330" i="13"/>
  <c r="AE330" i="13"/>
  <c r="DU294" i="13"/>
  <c r="DU244" i="13"/>
  <c r="DU234" i="13"/>
  <c r="DU211" i="13"/>
  <c r="DU324" i="13"/>
  <c r="DU276" i="13"/>
  <c r="DU314" i="13"/>
  <c r="DU322" i="13"/>
  <c r="DU217" i="13"/>
  <c r="DU242" i="13"/>
  <c r="DU302" i="13"/>
  <c r="DU196" i="13"/>
  <c r="DU194" i="13"/>
  <c r="DU299" i="13"/>
  <c r="DU323" i="13"/>
  <c r="DU264" i="13"/>
  <c r="DU306" i="13"/>
  <c r="DU286" i="13"/>
  <c r="DU272" i="13"/>
  <c r="DU236" i="13"/>
  <c r="DU282" i="13"/>
  <c r="DU300" i="13"/>
  <c r="DU226" i="13"/>
  <c r="DU263" i="13"/>
  <c r="DU315" i="13"/>
  <c r="DU223" i="13"/>
  <c r="DU251" i="13"/>
  <c r="DU311" i="13"/>
  <c r="DU250" i="13"/>
  <c r="DU280" i="13"/>
  <c r="CI309" i="13"/>
  <c r="CI204" i="13"/>
  <c r="CI301" i="13"/>
  <c r="CI241" i="13"/>
  <c r="CI283" i="13"/>
  <c r="CI292" i="13"/>
  <c r="CI303" i="13"/>
  <c r="CI319" i="13"/>
  <c r="CI239" i="13"/>
  <c r="CI200" i="13"/>
  <c r="CI313" i="13"/>
  <c r="CI279" i="13"/>
  <c r="CI257" i="13"/>
  <c r="CI258" i="13"/>
  <c r="CI298" i="13"/>
  <c r="CI304" i="13"/>
  <c r="CI259" i="13"/>
  <c r="CI199" i="13"/>
  <c r="CI228" i="13"/>
  <c r="CI307" i="13"/>
  <c r="CI206" i="13"/>
  <c r="CI254" i="13"/>
  <c r="CI221" i="13"/>
  <c r="CI293" i="13"/>
  <c r="CI227" i="13"/>
  <c r="CI216" i="13"/>
  <c r="CI240" i="13"/>
  <c r="CI273" i="13"/>
  <c r="CI210" i="13"/>
  <c r="CI320" i="13"/>
  <c r="CI237" i="13"/>
  <c r="CI222" i="13"/>
  <c r="CI219" i="13"/>
  <c r="CI215" i="13"/>
  <c r="AE336" i="13"/>
  <c r="DU336" i="13"/>
  <c r="DU233" i="13"/>
  <c r="DU209" i="13"/>
  <c r="DU296" i="13"/>
  <c r="DU235" i="13"/>
  <c r="DU328" i="13"/>
  <c r="DU267" i="13"/>
  <c r="DU290" i="13"/>
  <c r="DU253" i="13"/>
  <c r="DU277" i="13"/>
  <c r="DU327" i="13"/>
  <c r="DU207" i="13"/>
  <c r="DU255" i="13"/>
  <c r="DU269" i="13"/>
  <c r="DU262" i="13"/>
  <c r="DU321" i="13"/>
  <c r="DU308" i="13"/>
  <c r="DU246" i="13"/>
  <c r="DU285" i="13"/>
  <c r="DU316" i="13"/>
  <c r="DU203" i="13"/>
  <c r="DU252" i="13"/>
  <c r="DU260" i="13"/>
  <c r="DU265" i="13"/>
  <c r="DU329" i="13"/>
  <c r="DU297" i="13"/>
  <c r="DU224" i="13"/>
  <c r="BA12" i="13"/>
  <c r="BD12" i="13" s="1"/>
  <c r="BE12" i="13" s="1"/>
  <c r="CW187" i="13" l="1"/>
  <c r="CN187" i="13" l="1"/>
  <c r="CP187" i="13"/>
  <c r="AI187" i="13" l="1"/>
  <c r="DU187" i="13" l="1"/>
  <c r="CI187" i="13"/>
  <c r="CV193" i="13" l="1"/>
  <c r="AC193" i="13" s="1"/>
  <c r="CE193" i="13"/>
  <c r="CH193" i="13" s="1"/>
  <c r="Y193" i="13" s="1"/>
  <c r="CJ193" i="13" l="1"/>
  <c r="CM193" i="13" s="1"/>
  <c r="Z193" i="13" s="1"/>
  <c r="CW193" i="13"/>
  <c r="DU135" i="13"/>
  <c r="DU66" i="13"/>
  <c r="DU161" i="13"/>
  <c r="DU82" i="13"/>
  <c r="DU178" i="13"/>
  <c r="DU114" i="13"/>
  <c r="DU99" i="13"/>
  <c r="DU67" i="13"/>
  <c r="DU23" i="13"/>
  <c r="DU171" i="13"/>
  <c r="DU142" i="13"/>
  <c r="DU42" i="13"/>
  <c r="DU27" i="13"/>
  <c r="DU148" i="13"/>
  <c r="DU147" i="13"/>
  <c r="DU122" i="13"/>
  <c r="DU98" i="13"/>
  <c r="DU179" i="13"/>
  <c r="DU143" i="13"/>
  <c r="DU69" i="13"/>
  <c r="DU32" i="13"/>
  <c r="DU137" i="13"/>
  <c r="DU145" i="13"/>
  <c r="DU113" i="13"/>
  <c r="DU80" i="13"/>
  <c r="DU180" i="13"/>
  <c r="DU117" i="13"/>
  <c r="DU132" i="13"/>
  <c r="DU128" i="13"/>
  <c r="DU94" i="13"/>
  <c r="DU160" i="13"/>
  <c r="DU109" i="13"/>
  <c r="DU44" i="13"/>
  <c r="DU173" i="13"/>
  <c r="DU149" i="13"/>
  <c r="DU93" i="13"/>
  <c r="DU162" i="13"/>
  <c r="DU167" i="13"/>
  <c r="DU70" i="13"/>
  <c r="DU47" i="13"/>
  <c r="DU50" i="13"/>
  <c r="DU146" i="13"/>
  <c r="DU103" i="13"/>
  <c r="DU74" i="13"/>
  <c r="DU54" i="13"/>
  <c r="DU34" i="13"/>
  <c r="DU150" i="13"/>
  <c r="DU123" i="13"/>
  <c r="DU30" i="13"/>
  <c r="DU175" i="13"/>
  <c r="DU140" i="13"/>
  <c r="DU104" i="13"/>
  <c r="DU102" i="13"/>
  <c r="DU58" i="13"/>
  <c r="DU53" i="13"/>
  <c r="DU22" i="13"/>
  <c r="DU92" i="13"/>
  <c r="DU26" i="13"/>
  <c r="DU136" i="13"/>
  <c r="DU181" i="13"/>
  <c r="DU165" i="13"/>
  <c r="DU156" i="13"/>
  <c r="DU133" i="13"/>
  <c r="DU159" i="13"/>
  <c r="DU121" i="13"/>
  <c r="DU63" i="13"/>
  <c r="DU46" i="13"/>
  <c r="DU68" i="13"/>
  <c r="DU155" i="13"/>
  <c r="DU177" i="13"/>
  <c r="DU37" i="13"/>
  <c r="DU154" i="13"/>
  <c r="DU119" i="13"/>
  <c r="DU174" i="13"/>
  <c r="DU75" i="13"/>
  <c r="DU55" i="13"/>
  <c r="DU127" i="13"/>
  <c r="DU182" i="13"/>
  <c r="DU126" i="13"/>
  <c r="DU78" i="13"/>
  <c r="DU59" i="13"/>
  <c r="DU153" i="13"/>
  <c r="DU131" i="13"/>
  <c r="DU111" i="13"/>
  <c r="DU90" i="13"/>
  <c r="DU35" i="13"/>
  <c r="DU14" i="13"/>
  <c r="DU151" i="13"/>
  <c r="DU116" i="13"/>
  <c r="DU97" i="13"/>
  <c r="DU95" i="13"/>
  <c r="DU25" i="13"/>
  <c r="DU13" i="13"/>
  <c r="DU89" i="13"/>
  <c r="DU79" i="13"/>
  <c r="DU48" i="13"/>
  <c r="DU41" i="13"/>
  <c r="DU40" i="13"/>
  <c r="DU38" i="13"/>
  <c r="DU20" i="13"/>
  <c r="DU157" i="13"/>
  <c r="DU112" i="13"/>
  <c r="DU61" i="13"/>
  <c r="DU21" i="13"/>
  <c r="DU141" i="13"/>
  <c r="DU31" i="13"/>
  <c r="DU77" i="13"/>
  <c r="DU105" i="13"/>
  <c r="DU52" i="13"/>
  <c r="DU72" i="13"/>
  <c r="DU49" i="13"/>
  <c r="DU186" i="13"/>
  <c r="DU86" i="13"/>
  <c r="DU130" i="13"/>
  <c r="DU83" i="13"/>
  <c r="DU62" i="13"/>
  <c r="DU19" i="13"/>
  <c r="DU166" i="13"/>
  <c r="DU139" i="13"/>
  <c r="DU118" i="13"/>
  <c r="DU39" i="13"/>
  <c r="DU176" i="13"/>
  <c r="DU172" i="13"/>
  <c r="DU168" i="13"/>
  <c r="DU164" i="13"/>
  <c r="DU152" i="13"/>
  <c r="DU134" i="13"/>
  <c r="DU124" i="13"/>
  <c r="DU110" i="13"/>
  <c r="DU108" i="13"/>
  <c r="DU100" i="13"/>
  <c r="DU120" i="13"/>
  <c r="DU107" i="13"/>
  <c r="DU71" i="13"/>
  <c r="DU51" i="13"/>
  <c r="DU88" i="13"/>
  <c r="DU57" i="13"/>
  <c r="DU15" i="13"/>
  <c r="DU91" i="13"/>
  <c r="DU85" i="13"/>
  <c r="DU64" i="13"/>
  <c r="DU43" i="13"/>
  <c r="DU36" i="13"/>
  <c r="DU163" i="13"/>
  <c r="DU56" i="13"/>
  <c r="DU81" i="13"/>
  <c r="DU60" i="13"/>
  <c r="DU45" i="13"/>
  <c r="DU84" i="13"/>
  <c r="DU16" i="13"/>
  <c r="DU184" i="13"/>
  <c r="DU138" i="13"/>
  <c r="DU18" i="13"/>
  <c r="DU87" i="13"/>
  <c r="DU129" i="13"/>
  <c r="DU125" i="13"/>
  <c r="DU185" i="13"/>
  <c r="DU65" i="13"/>
  <c r="DU96" i="13"/>
  <c r="DU169" i="13"/>
  <c r="DU17" i="13"/>
  <c r="DU101" i="13"/>
  <c r="CN193" i="13" l="1"/>
  <c r="DU193" i="13"/>
  <c r="CI193" i="13"/>
  <c r="DU115" i="13"/>
  <c r="DU106" i="13"/>
  <c r="DU144" i="13"/>
  <c r="DU183" i="13"/>
  <c r="DU29" i="13"/>
  <c r="DU28" i="13"/>
  <c r="DU76" i="13"/>
  <c r="DU73" i="13"/>
  <c r="DU158" i="13"/>
  <c r="DU170" i="13"/>
  <c r="DU24" i="13"/>
  <c r="CV192" i="13" l="1"/>
  <c r="AC192" i="13" s="1"/>
  <c r="CV12" i="13"/>
  <c r="AC12" i="13" s="1"/>
  <c r="CW192" i="13" l="1"/>
  <c r="CW12" i="13"/>
  <c r="AI199" i="13"/>
  <c r="AI198" i="13"/>
  <c r="AI200" i="13"/>
  <c r="CO12" i="13" l="1"/>
  <c r="AA12" i="13" s="1"/>
  <c r="CP12" i="13" l="1"/>
  <c r="CE192" i="13"/>
  <c r="CH192" i="13" s="1"/>
  <c r="Y192" i="13" s="1"/>
  <c r="CJ12" i="13"/>
  <c r="CM12" i="13" s="1"/>
  <c r="Z12" i="13" s="1"/>
  <c r="CJ192" i="13" l="1"/>
  <c r="CM192" i="13" s="1"/>
  <c r="Z192" i="13" s="1"/>
  <c r="CN12" i="13"/>
  <c r="CE12" i="13"/>
  <c r="CH12" i="13" s="1"/>
  <c r="Y12" i="13" s="1"/>
  <c r="DU12" i="13" s="1"/>
  <c r="CN192" i="13" l="1"/>
  <c r="DU192" i="13"/>
  <c r="CI192" i="13"/>
  <c r="CI12" i="13"/>
  <c r="AI320" i="13" l="1"/>
  <c r="AI325" i="13"/>
  <c r="AI332" i="13"/>
  <c r="AI324" i="13" l="1"/>
  <c r="AI326" i="13"/>
  <c r="AI321" i="13"/>
  <c r="AI335" i="13"/>
  <c r="AI318" i="13"/>
  <c r="AI316" i="13"/>
  <c r="AI319" i="13"/>
  <c r="AI317" i="13"/>
  <c r="AI323" i="13"/>
  <c r="AI322" i="13"/>
  <c r="AI266" i="13" l="1"/>
  <c r="AI264" i="13"/>
  <c r="AI314" i="13" l="1"/>
  <c r="AI313" i="13"/>
  <c r="AI203" i="13"/>
  <c r="AI312" i="13"/>
  <c r="AI196" i="13"/>
  <c r="AI206" i="13"/>
  <c r="AI253" i="13" l="1"/>
  <c r="AI308" i="13" l="1"/>
  <c r="AI306" i="13"/>
  <c r="AI255" i="13"/>
  <c r="AI258" i="13"/>
  <c r="AI230" i="13"/>
  <c r="AI288" i="13"/>
  <c r="AI222" i="13"/>
  <c r="AI220" i="13"/>
  <c r="AI305" i="13"/>
  <c r="AI307" i="13"/>
  <c r="AI289" i="13"/>
  <c r="AI298" i="13"/>
  <c r="AI297" i="13"/>
  <c r="AI215" i="13"/>
  <c r="AI228" i="13"/>
  <c r="AI283" i="13"/>
  <c r="AI277" i="13"/>
  <c r="AI245" i="13"/>
  <c r="AI282" i="13"/>
  <c r="AI259" i="13"/>
  <c r="AI235" i="13"/>
  <c r="AI256" i="13"/>
  <c r="AI243" i="13"/>
  <c r="AI267" i="13"/>
  <c r="AI276" i="13"/>
  <c r="AI193" i="13"/>
  <c r="AI225" i="13"/>
  <c r="AI240" i="13"/>
  <c r="AI300" i="13"/>
  <c r="AI291" i="13"/>
  <c r="AI236" i="13"/>
  <c r="AI251" i="13"/>
  <c r="AI242" i="13"/>
  <c r="AI244" i="13"/>
  <c r="AI223" i="13"/>
  <c r="AI303" i="13"/>
  <c r="AI302" i="13"/>
  <c r="AI309" i="13"/>
  <c r="AI233" i="13"/>
  <c r="AI213" i="13"/>
  <c r="AI246" i="13"/>
  <c r="AI275" i="13"/>
  <c r="AI261" i="13"/>
  <c r="AI257" i="13"/>
  <c r="AI290" i="13"/>
  <c r="AI311" i="13"/>
  <c r="AI301" i="13"/>
  <c r="AI299" i="13"/>
  <c r="AI304" i="13"/>
  <c r="AI265" i="13"/>
  <c r="AI252" i="13"/>
  <c r="AI227" i="13"/>
  <c r="AI260" i="13"/>
  <c r="AI219" i="13"/>
  <c r="AI224" i="13"/>
  <c r="AI234" i="13"/>
  <c r="AI214" i="13"/>
  <c r="AI194" i="13"/>
  <c r="AI250" i="13"/>
  <c r="AI262" i="13"/>
  <c r="AI237" i="13"/>
  <c r="AI239" i="13"/>
  <c r="AI268" i="13"/>
  <c r="AI229" i="13"/>
  <c r="AI310" i="13"/>
  <c r="AI296" i="13"/>
  <c r="AI216" i="13"/>
  <c r="AI254" i="13"/>
  <c r="AI221" i="13"/>
  <c r="AI241" i="13"/>
  <c r="AI209" i="13" l="1"/>
  <c r="AI204" i="13"/>
  <c r="AI210" i="13"/>
  <c r="AI195" i="13"/>
  <c r="AI197" i="13"/>
  <c r="AI212" i="13"/>
  <c r="AI208" i="13"/>
  <c r="AI211" i="13"/>
  <c r="AI205" i="13"/>
  <c r="AI202" i="13"/>
  <c r="F15" i="7"/>
  <c r="H15" i="7" s="1"/>
  <c r="AI207" i="13"/>
  <c r="AI315" i="13" l="1"/>
  <c r="AI333" i="13" l="1"/>
  <c r="AI334" i="13" l="1"/>
  <c r="AI226" i="13" l="1"/>
  <c r="AI263" i="13"/>
  <c r="AI232" i="13" l="1"/>
  <c r="F186" i="13" l="1"/>
  <c r="AI186" i="13" s="1"/>
  <c r="S159" i="5" l="1"/>
  <c r="F151" i="5"/>
  <c r="H151" i="5" s="1"/>
  <c r="F150" i="5"/>
  <c r="H150" i="5" s="1"/>
  <c r="AB320" i="4" l="1"/>
  <c r="AD322" i="13"/>
  <c r="D145" i="23"/>
  <c r="AB319" i="4"/>
  <c r="AD321" i="13"/>
  <c r="D144" i="23"/>
  <c r="AJ336" i="13"/>
  <c r="DP336" i="13"/>
  <c r="S151" i="5"/>
  <c r="S150" i="5"/>
  <c r="F143" i="5"/>
  <c r="H143" i="5" s="1"/>
  <c r="F142" i="5"/>
  <c r="H142" i="5" s="1"/>
  <c r="F138" i="5"/>
  <c r="H138" i="5" s="1"/>
  <c r="F146" i="5"/>
  <c r="H146" i="5" s="1"/>
  <c r="F139" i="5"/>
  <c r="H139" i="5" s="1"/>
  <c r="F155" i="5"/>
  <c r="H155" i="5" s="1"/>
  <c r="F147" i="5"/>
  <c r="H147" i="5" s="1"/>
  <c r="F140" i="5"/>
  <c r="H140" i="5" s="1"/>
  <c r="F145" i="5"/>
  <c r="H145" i="5" s="1"/>
  <c r="F148" i="5"/>
  <c r="H148" i="5" s="1"/>
  <c r="F149" i="5"/>
  <c r="H149" i="5" s="1"/>
  <c r="F144" i="5"/>
  <c r="H144" i="5" s="1"/>
  <c r="F152" i="5"/>
  <c r="H152" i="5" s="1"/>
  <c r="F153" i="5"/>
  <c r="H153" i="5" s="1"/>
  <c r="F158" i="5"/>
  <c r="H158" i="5" s="1"/>
  <c r="F141" i="5"/>
  <c r="H141" i="5" s="1"/>
  <c r="AB307" i="4" l="1"/>
  <c r="AD309" i="13"/>
  <c r="D132" i="23"/>
  <c r="AE321" i="13"/>
  <c r="J144" i="7" s="1"/>
  <c r="CY321" i="13"/>
  <c r="AB327" i="4"/>
  <c r="AD329" i="13"/>
  <c r="D152" i="23"/>
  <c r="AB310" i="4"/>
  <c r="AD312" i="13"/>
  <c r="D135" i="23"/>
  <c r="AB313" i="4"/>
  <c r="AD315" i="13"/>
  <c r="D138" i="23"/>
  <c r="AB309" i="4"/>
  <c r="AD311" i="13"/>
  <c r="D134" i="23"/>
  <c r="AB315" i="4"/>
  <c r="AD317" i="13"/>
  <c r="D140" i="23"/>
  <c r="AE322" i="13"/>
  <c r="J145" i="7" s="1"/>
  <c r="CY322" i="13"/>
  <c r="AB318" i="4"/>
  <c r="AD320" i="13"/>
  <c r="D143" i="23"/>
  <c r="AB321" i="4"/>
  <c r="AD323" i="13"/>
  <c r="D146" i="23"/>
  <c r="AB308" i="4"/>
  <c r="AD310" i="13"/>
  <c r="D133" i="23"/>
  <c r="AB312" i="4"/>
  <c r="AD314" i="13"/>
  <c r="D137" i="23"/>
  <c r="AB316" i="4"/>
  <c r="AD318" i="13"/>
  <c r="D141" i="23"/>
  <c r="AB314" i="4"/>
  <c r="AD316" i="13"/>
  <c r="D139" i="23"/>
  <c r="AB322" i="4"/>
  <c r="AD324" i="13"/>
  <c r="D147" i="23"/>
  <c r="AB317" i="4"/>
  <c r="AD319" i="13"/>
  <c r="D142" i="23"/>
  <c r="AB324" i="4"/>
  <c r="AD326" i="13"/>
  <c r="D149" i="23"/>
  <c r="AB311" i="4"/>
  <c r="AD313" i="13"/>
  <c r="D136" i="23"/>
  <c r="S144" i="5"/>
  <c r="DP328" i="13"/>
  <c r="S145" i="5"/>
  <c r="S139" i="5"/>
  <c r="S143" i="5"/>
  <c r="S141" i="5"/>
  <c r="S146" i="5"/>
  <c r="S152" i="5"/>
  <c r="S148" i="5"/>
  <c r="S155" i="5"/>
  <c r="S142" i="5"/>
  <c r="S140" i="5"/>
  <c r="S153" i="5"/>
  <c r="S158" i="5"/>
  <c r="S149" i="5"/>
  <c r="S147" i="5"/>
  <c r="S138" i="5"/>
  <c r="DP327" i="13"/>
  <c r="AE314" i="13" l="1"/>
  <c r="J137" i="7" s="1"/>
  <c r="CY314" i="13"/>
  <c r="AE315" i="13"/>
  <c r="J138" i="7" s="1"/>
  <c r="CY315" i="13"/>
  <c r="AE324" i="13"/>
  <c r="J147" i="7" s="1"/>
  <c r="CY324" i="13"/>
  <c r="AE310" i="13"/>
  <c r="J133" i="7" s="1"/>
  <c r="CY310" i="13"/>
  <c r="AE312" i="13"/>
  <c r="J135" i="7" s="1"/>
  <c r="CY312" i="13"/>
  <c r="AE309" i="13"/>
  <c r="J132" i="7" s="1"/>
  <c r="CY309" i="13"/>
  <c r="AE313" i="13"/>
  <c r="J136" i="7" s="1"/>
  <c r="CY313" i="13"/>
  <c r="AE316" i="13"/>
  <c r="J139" i="7" s="1"/>
  <c r="CY316" i="13"/>
  <c r="AE323" i="13"/>
  <c r="J146" i="7" s="1"/>
  <c r="CY323" i="13"/>
  <c r="AE317" i="13"/>
  <c r="J140" i="7" s="1"/>
  <c r="CY317" i="13"/>
  <c r="AE329" i="13"/>
  <c r="AJ329" i="13" s="1"/>
  <c r="CY329" i="13"/>
  <c r="AE319" i="13"/>
  <c r="J142" i="7" s="1"/>
  <c r="CY319" i="13"/>
  <c r="AE326" i="13"/>
  <c r="J149" i="7" s="1"/>
  <c r="CY326" i="13"/>
  <c r="AE318" i="13"/>
  <c r="J141" i="7" s="1"/>
  <c r="CY318" i="13"/>
  <c r="AE320" i="13"/>
  <c r="J143" i="7" s="1"/>
  <c r="CY320" i="13"/>
  <c r="AE311" i="13"/>
  <c r="J134" i="7" s="1"/>
  <c r="CY311" i="13"/>
  <c r="AJ315" i="13"/>
  <c r="AJ330" i="13"/>
  <c r="DP323" i="13"/>
  <c r="DP329" i="13"/>
  <c r="DP318" i="13"/>
  <c r="DP330" i="13"/>
  <c r="AJ325" i="13"/>
  <c r="DP332" i="13"/>
  <c r="DP320" i="13"/>
  <c r="DP325" i="13"/>
  <c r="DP326" i="13"/>
  <c r="DP335" i="13"/>
  <c r="DP324" i="13"/>
  <c r="DP315" i="13"/>
  <c r="DP316" i="13"/>
  <c r="DP319" i="13"/>
  <c r="DP317" i="13"/>
  <c r="DP321" i="13"/>
  <c r="DP322" i="13"/>
  <c r="AJ322" i="13"/>
  <c r="AJ326" i="13" l="1"/>
  <c r="AJ317" i="13"/>
  <c r="AJ318" i="13"/>
  <c r="AJ320" i="13"/>
  <c r="AJ323" i="13"/>
  <c r="AJ332" i="13"/>
  <c r="AJ324" i="13"/>
  <c r="AJ319" i="13"/>
  <c r="AJ321" i="13"/>
  <c r="AJ335" i="13"/>
  <c r="AJ316" i="13"/>
  <c r="F137" i="5"/>
  <c r="H137" i="5" s="1"/>
  <c r="AB306" i="4" l="1"/>
  <c r="AD308" i="13"/>
  <c r="D131" i="23"/>
  <c r="S137" i="5"/>
  <c r="AE308" i="13" l="1"/>
  <c r="J131" i="7" s="1"/>
  <c r="CY308" i="13"/>
  <c r="DP314" i="13"/>
  <c r="F68" i="5"/>
  <c r="H68" i="5" s="1"/>
  <c r="F135" i="5"/>
  <c r="H135" i="5" s="1"/>
  <c r="F127" i="5"/>
  <c r="H127" i="5" s="1"/>
  <c r="F119" i="5"/>
  <c r="H119" i="5" s="1"/>
  <c r="F111" i="5"/>
  <c r="H111" i="5" s="1"/>
  <c r="F103" i="5"/>
  <c r="H103" i="5" s="1"/>
  <c r="F124" i="5"/>
  <c r="H124" i="5" s="1"/>
  <c r="F116" i="5"/>
  <c r="H116" i="5" s="1"/>
  <c r="F108" i="5"/>
  <c r="H108" i="5" s="1"/>
  <c r="F80" i="5"/>
  <c r="H80" i="5" s="1"/>
  <c r="F60" i="5"/>
  <c r="H60" i="5" s="1"/>
  <c r="F52" i="5"/>
  <c r="H52" i="5" s="1"/>
  <c r="F44" i="5"/>
  <c r="H44" i="5" s="1"/>
  <c r="F36" i="5"/>
  <c r="H36" i="5" s="1"/>
  <c r="F28" i="5"/>
  <c r="H28" i="5" s="1"/>
  <c r="F16" i="5"/>
  <c r="H16" i="5" s="1"/>
  <c r="F129" i="5"/>
  <c r="H129" i="5" s="1"/>
  <c r="F121" i="5"/>
  <c r="H121" i="5" s="1"/>
  <c r="F113" i="5"/>
  <c r="H113" i="5" s="1"/>
  <c r="F85" i="5"/>
  <c r="H85" i="5" s="1"/>
  <c r="F79" i="5"/>
  <c r="H79" i="5" s="1"/>
  <c r="F71" i="5"/>
  <c r="H71" i="5" s="1"/>
  <c r="F63" i="5"/>
  <c r="H63" i="5" s="1"/>
  <c r="F47" i="5"/>
  <c r="H47" i="5" s="1"/>
  <c r="F39" i="5"/>
  <c r="H39" i="5" s="1"/>
  <c r="F31" i="5"/>
  <c r="H31" i="5" s="1"/>
  <c r="F23" i="5"/>
  <c r="H23" i="5" s="1"/>
  <c r="F77" i="5"/>
  <c r="H77" i="5" s="1"/>
  <c r="F69" i="5"/>
  <c r="H69" i="5" s="1"/>
  <c r="F57" i="5"/>
  <c r="H57" i="5" s="1"/>
  <c r="F37" i="5"/>
  <c r="H37" i="5" s="1"/>
  <c r="F29" i="5"/>
  <c r="H29" i="5" s="1"/>
  <c r="F21" i="5"/>
  <c r="H21" i="5" s="1"/>
  <c r="F134" i="5"/>
  <c r="H134" i="5" s="1"/>
  <c r="F126" i="5"/>
  <c r="H126" i="5" s="1"/>
  <c r="F102" i="5"/>
  <c r="H102" i="5" s="1"/>
  <c r="F78" i="5"/>
  <c r="H78" i="5" s="1"/>
  <c r="F70" i="5"/>
  <c r="H70" i="5" s="1"/>
  <c r="F62" i="5"/>
  <c r="H62" i="5" s="1"/>
  <c r="F50" i="5"/>
  <c r="H50" i="5" s="1"/>
  <c r="F34" i="5"/>
  <c r="H34" i="5" s="1"/>
  <c r="F26" i="5"/>
  <c r="H26" i="5" s="1"/>
  <c r="F18" i="5"/>
  <c r="H18" i="5" s="1"/>
  <c r="F131" i="5"/>
  <c r="H131" i="5" s="1"/>
  <c r="F123" i="5"/>
  <c r="H123" i="5" s="1"/>
  <c r="F115" i="5"/>
  <c r="H115" i="5" s="1"/>
  <c r="F107" i="5"/>
  <c r="H107" i="5" s="1"/>
  <c r="F136" i="5"/>
  <c r="H136" i="5" s="1"/>
  <c r="F128" i="5"/>
  <c r="H128" i="5" s="1"/>
  <c r="F120" i="5"/>
  <c r="H120" i="5" s="1"/>
  <c r="F112" i="5"/>
  <c r="H112" i="5" s="1"/>
  <c r="F100" i="5"/>
  <c r="H100" i="5" s="1"/>
  <c r="F84" i="5"/>
  <c r="H84" i="5" s="1"/>
  <c r="F76" i="5"/>
  <c r="H76" i="5" s="1"/>
  <c r="F64" i="5"/>
  <c r="H64" i="5" s="1"/>
  <c r="F40" i="5"/>
  <c r="H40" i="5" s="1"/>
  <c r="F32" i="5"/>
  <c r="H32" i="5" s="1"/>
  <c r="F133" i="5"/>
  <c r="H133" i="5" s="1"/>
  <c r="F125" i="5"/>
  <c r="H125" i="5" s="1"/>
  <c r="F117" i="5"/>
  <c r="H117" i="5" s="1"/>
  <c r="F109" i="5"/>
  <c r="H109" i="5" s="1"/>
  <c r="F101" i="5"/>
  <c r="H101" i="5" s="1"/>
  <c r="F83" i="5"/>
  <c r="H83" i="5" s="1"/>
  <c r="F75" i="5"/>
  <c r="H75" i="5" s="1"/>
  <c r="F67" i="5"/>
  <c r="H67" i="5" s="1"/>
  <c r="F59" i="5"/>
  <c r="H59" i="5" s="1"/>
  <c r="F51" i="5"/>
  <c r="H51" i="5" s="1"/>
  <c r="F27" i="5"/>
  <c r="H27" i="5" s="1"/>
  <c r="F81" i="5"/>
  <c r="H81" i="5" s="1"/>
  <c r="F73" i="5"/>
  <c r="H73" i="5" s="1"/>
  <c r="F65" i="5"/>
  <c r="H65" i="5" s="1"/>
  <c r="F45" i="5"/>
  <c r="H45" i="5" s="1"/>
  <c r="F25" i="5"/>
  <c r="H25" i="5" s="1"/>
  <c r="F130" i="5"/>
  <c r="H130" i="5" s="1"/>
  <c r="F106" i="5"/>
  <c r="H106" i="5" s="1"/>
  <c r="F82" i="5"/>
  <c r="H82" i="5" s="1"/>
  <c r="F74" i="5"/>
  <c r="H74" i="5" s="1"/>
  <c r="F66" i="5"/>
  <c r="H66" i="5" s="1"/>
  <c r="F58" i="5"/>
  <c r="H58" i="5" s="1"/>
  <c r="F46" i="5"/>
  <c r="H46" i="5" s="1"/>
  <c r="F38" i="5"/>
  <c r="H38" i="5" s="1"/>
  <c r="F30" i="5"/>
  <c r="H30" i="5" s="1"/>
  <c r="F22" i="5"/>
  <c r="H22" i="5" s="1"/>
  <c r="AB235" i="4" l="1"/>
  <c r="AD237" i="13"/>
  <c r="D60" i="23"/>
  <c r="AB299" i="4"/>
  <c r="AD301" i="13"/>
  <c r="D124" i="23"/>
  <c r="AB242" i="4"/>
  <c r="AD244" i="13"/>
  <c r="D67" i="23"/>
  <c r="AB228" i="4"/>
  <c r="AD230" i="13"/>
  <c r="D53" i="23"/>
  <c r="AB270" i="4"/>
  <c r="AD272" i="13"/>
  <c r="D95" i="23"/>
  <c r="AB302" i="4"/>
  <c r="AD304" i="13"/>
  <c r="D127" i="23"/>
  <c r="AB245" i="4"/>
  <c r="AD247" i="13"/>
  <c r="D70" i="23"/>
  <c r="AB289" i="4"/>
  <c r="AD291" i="13"/>
  <c r="D114" i="23"/>
  <c r="AB284" i="4"/>
  <c r="AD286" i="13"/>
  <c r="D109" i="23"/>
  <c r="AB195" i="4"/>
  <c r="AD197" i="13"/>
  <c r="D20" i="23"/>
  <c r="AB239" i="4"/>
  <c r="AD241" i="13"/>
  <c r="D64" i="23"/>
  <c r="AB303" i="4"/>
  <c r="AD305" i="13"/>
  <c r="D128" i="23"/>
  <c r="AB226" i="4"/>
  <c r="AD228" i="13"/>
  <c r="D51" i="23"/>
  <c r="AB200" i="4"/>
  <c r="AD202" i="13"/>
  <c r="D25" i="23"/>
  <c r="AB240" i="4"/>
  <c r="AD242" i="13"/>
  <c r="D65" i="23"/>
  <c r="AB290" i="4"/>
  <c r="AD292" i="13"/>
  <c r="D115" i="23"/>
  <c r="AB205" i="4"/>
  <c r="AD207" i="13"/>
  <c r="D30" i="23"/>
  <c r="AB249" i="4"/>
  <c r="AD251" i="13"/>
  <c r="D74" i="23"/>
  <c r="AB272" i="4"/>
  <c r="AD274" i="13"/>
  <c r="D97" i="23"/>
  <c r="AB304" i="4"/>
  <c r="AD306" i="13"/>
  <c r="D129" i="23"/>
  <c r="AB199" i="4"/>
  <c r="AD201" i="13"/>
  <c r="D24" i="23"/>
  <c r="AB227" i="4"/>
  <c r="AD229" i="13"/>
  <c r="D52" i="23"/>
  <c r="AB234" i="4"/>
  <c r="AD236" i="13"/>
  <c r="D59" i="23"/>
  <c r="AB220" i="4"/>
  <c r="AD222" i="13"/>
  <c r="D45" i="23"/>
  <c r="AB252" i="4"/>
  <c r="AD254" i="13"/>
  <c r="D77" i="23"/>
  <c r="AB294" i="4"/>
  <c r="AD296" i="13"/>
  <c r="D119" i="23"/>
  <c r="AB233" i="4"/>
  <c r="AD235" i="13"/>
  <c r="D58" i="23"/>
  <c r="AB281" i="4"/>
  <c r="AD283" i="13"/>
  <c r="D106" i="23"/>
  <c r="AB276" i="4"/>
  <c r="AD278" i="13"/>
  <c r="D101" i="23"/>
  <c r="AB187" i="4"/>
  <c r="AD189" i="13"/>
  <c r="D12" i="23"/>
  <c r="AB231" i="4"/>
  <c r="AD233" i="13"/>
  <c r="D56" i="23"/>
  <c r="AB295" i="4"/>
  <c r="AD297" i="13"/>
  <c r="D120" i="23"/>
  <c r="AB206" i="4"/>
  <c r="AD208" i="13"/>
  <c r="D31" i="23"/>
  <c r="AB192" i="4"/>
  <c r="AD194" i="13"/>
  <c r="D17" i="23"/>
  <c r="AB232" i="4"/>
  <c r="AD234" i="13"/>
  <c r="D57" i="23"/>
  <c r="AB282" i="4"/>
  <c r="AD284" i="13"/>
  <c r="D107" i="23"/>
  <c r="AB197" i="4"/>
  <c r="AD199" i="13"/>
  <c r="D22" i="23"/>
  <c r="AB229" i="4"/>
  <c r="AD231" i="13"/>
  <c r="D54" i="23"/>
  <c r="AB293" i="4"/>
  <c r="AD295" i="13"/>
  <c r="D118" i="23"/>
  <c r="AB296" i="4"/>
  <c r="AD298" i="13"/>
  <c r="D121" i="23"/>
  <c r="AB191" i="4"/>
  <c r="AD193" i="13"/>
  <c r="D16" i="23"/>
  <c r="AB275" i="4"/>
  <c r="AD277" i="13"/>
  <c r="D100" i="23"/>
  <c r="AB215" i="4"/>
  <c r="AD217" i="13"/>
  <c r="D40" i="23"/>
  <c r="AB251" i="4"/>
  <c r="AD253" i="13"/>
  <c r="D76" i="23"/>
  <c r="AB214" i="4"/>
  <c r="AD216" i="13"/>
  <c r="D39" i="23"/>
  <c r="AB196" i="4"/>
  <c r="AD198" i="13"/>
  <c r="D21" i="23"/>
  <c r="AB244" i="4"/>
  <c r="AD246" i="13"/>
  <c r="D69" i="23"/>
  <c r="AB286" i="4"/>
  <c r="AD288" i="13"/>
  <c r="D111" i="23"/>
  <c r="AB209" i="4"/>
  <c r="AD211" i="13"/>
  <c r="D34" i="23"/>
  <c r="AB269" i="4"/>
  <c r="AD271" i="13"/>
  <c r="D94" i="23"/>
  <c r="AB305" i="4"/>
  <c r="AD307" i="13"/>
  <c r="D130" i="23"/>
  <c r="AB300" i="4"/>
  <c r="AD302" i="13"/>
  <c r="D125" i="23"/>
  <c r="AB219" i="4"/>
  <c r="AD221" i="13"/>
  <c r="D44" i="23"/>
  <c r="AB271" i="4"/>
  <c r="AD273" i="13"/>
  <c r="D96" i="23"/>
  <c r="AB198" i="4"/>
  <c r="AD200" i="13"/>
  <c r="D23" i="23"/>
  <c r="AB246" i="4"/>
  <c r="AD248" i="13"/>
  <c r="D71" i="23"/>
  <c r="AB216" i="4"/>
  <c r="AD218" i="13"/>
  <c r="D41" i="23"/>
  <c r="AB254" i="4"/>
  <c r="AD256" i="13"/>
  <c r="D79" i="23"/>
  <c r="AB185" i="4"/>
  <c r="AD187" i="13"/>
  <c r="D10" i="23"/>
  <c r="AB221" i="4"/>
  <c r="AD223" i="13"/>
  <c r="D46" i="23"/>
  <c r="AB285" i="4"/>
  <c r="AD287" i="13"/>
  <c r="D110" i="23"/>
  <c r="AB288" i="4"/>
  <c r="AD290" i="13"/>
  <c r="D113" i="23"/>
  <c r="AB207" i="4"/>
  <c r="AD209" i="13"/>
  <c r="D32" i="23"/>
  <c r="AB243" i="4"/>
  <c r="AD245" i="13"/>
  <c r="D68" i="23"/>
  <c r="AB194" i="4"/>
  <c r="AD196" i="13"/>
  <c r="D19" i="23"/>
  <c r="AB250" i="4"/>
  <c r="AD252" i="13"/>
  <c r="D75" i="23"/>
  <c r="AB236" i="4"/>
  <c r="AD238" i="13"/>
  <c r="D61" i="23"/>
  <c r="AB278" i="4"/>
  <c r="AD280" i="13"/>
  <c r="D103" i="23"/>
  <c r="AB201" i="4"/>
  <c r="AD203" i="13"/>
  <c r="D26" i="23"/>
  <c r="AB253" i="4"/>
  <c r="AD255" i="13"/>
  <c r="D78" i="23"/>
  <c r="AB297" i="4"/>
  <c r="AD299" i="13"/>
  <c r="D122" i="23"/>
  <c r="AB292" i="4"/>
  <c r="AD294" i="13"/>
  <c r="D117" i="23"/>
  <c r="AB203" i="4"/>
  <c r="AD205" i="13"/>
  <c r="D28" i="23"/>
  <c r="AB247" i="4"/>
  <c r="AD249" i="13"/>
  <c r="D72" i="23"/>
  <c r="AB190" i="4"/>
  <c r="AD192" i="13"/>
  <c r="D15" i="23"/>
  <c r="AB238" i="4"/>
  <c r="AD240" i="13"/>
  <c r="D63" i="23"/>
  <c r="AB208" i="4"/>
  <c r="AD210" i="13"/>
  <c r="D33" i="23"/>
  <c r="AB248" i="4"/>
  <c r="AD250" i="13"/>
  <c r="D73" i="23"/>
  <c r="AB298" i="4"/>
  <c r="AD300" i="13"/>
  <c r="D123" i="23"/>
  <c r="AB213" i="4"/>
  <c r="AD215" i="13"/>
  <c r="D38" i="23"/>
  <c r="AB277" i="4"/>
  <c r="AD279" i="13"/>
  <c r="D102" i="23"/>
  <c r="AB280" i="4"/>
  <c r="AD282" i="13"/>
  <c r="D105" i="23"/>
  <c r="AB237" i="4"/>
  <c r="AD239" i="13"/>
  <c r="D62" i="23"/>
  <c r="AJ314" i="13"/>
  <c r="S22" i="5"/>
  <c r="S46" i="5"/>
  <c r="S30" i="5"/>
  <c r="S66" i="5"/>
  <c r="S130" i="5"/>
  <c r="S73" i="5"/>
  <c r="S59" i="5"/>
  <c r="S101" i="5"/>
  <c r="S133" i="5"/>
  <c r="S76" i="5"/>
  <c r="S120" i="5"/>
  <c r="S115" i="5"/>
  <c r="S26" i="5"/>
  <c r="S70" i="5"/>
  <c r="S134" i="5"/>
  <c r="S57" i="5"/>
  <c r="S31" i="5"/>
  <c r="S71" i="5"/>
  <c r="S121" i="5"/>
  <c r="S36" i="5"/>
  <c r="S80" i="5"/>
  <c r="S103" i="5"/>
  <c r="S135" i="5"/>
  <c r="S106" i="5"/>
  <c r="S65" i="5"/>
  <c r="S51" i="5"/>
  <c r="S83" i="5"/>
  <c r="S125" i="5"/>
  <c r="S64" i="5"/>
  <c r="S112" i="5"/>
  <c r="S107" i="5"/>
  <c r="S18" i="5"/>
  <c r="S62" i="5"/>
  <c r="S126" i="5"/>
  <c r="S37" i="5"/>
  <c r="S23" i="5"/>
  <c r="S63" i="5"/>
  <c r="S113" i="5"/>
  <c r="S28" i="5"/>
  <c r="S60" i="5"/>
  <c r="S124" i="5"/>
  <c r="S127" i="5"/>
  <c r="S58" i="5"/>
  <c r="S45" i="5"/>
  <c r="S75" i="5"/>
  <c r="S117" i="5"/>
  <c r="S40" i="5"/>
  <c r="S100" i="5"/>
  <c r="S136" i="5"/>
  <c r="S131" i="5"/>
  <c r="S50" i="5"/>
  <c r="S102" i="5"/>
  <c r="S29" i="5"/>
  <c r="S77" i="5"/>
  <c r="S47" i="5"/>
  <c r="S85" i="5"/>
  <c r="S16" i="5"/>
  <c r="S52" i="5"/>
  <c r="S116" i="5"/>
  <c r="S119" i="5"/>
  <c r="S82" i="5"/>
  <c r="S27" i="5"/>
  <c r="S38" i="5"/>
  <c r="S74" i="5"/>
  <c r="S25" i="5"/>
  <c r="S81" i="5"/>
  <c r="S67" i="5"/>
  <c r="S109" i="5"/>
  <c r="S32" i="5"/>
  <c r="S84" i="5"/>
  <c r="S128" i="5"/>
  <c r="S123" i="5"/>
  <c r="S34" i="5"/>
  <c r="S78" i="5"/>
  <c r="S21" i="5"/>
  <c r="S69" i="5"/>
  <c r="S39" i="5"/>
  <c r="S79" i="5"/>
  <c r="S129" i="5"/>
  <c r="S44" i="5"/>
  <c r="S108" i="5"/>
  <c r="S111" i="5"/>
  <c r="S68" i="5"/>
  <c r="F99" i="5"/>
  <c r="H99" i="5" s="1"/>
  <c r="F98" i="5"/>
  <c r="H98" i="5" s="1"/>
  <c r="F122" i="5"/>
  <c r="H122" i="5" s="1"/>
  <c r="F53" i="5"/>
  <c r="H53" i="5" s="1"/>
  <c r="F19" i="5"/>
  <c r="H19" i="5" s="1"/>
  <c r="F35" i="5"/>
  <c r="H35" i="5" s="1"/>
  <c r="F20" i="5"/>
  <c r="H20" i="5" s="1"/>
  <c r="F132" i="5"/>
  <c r="H132" i="5" s="1"/>
  <c r="F105" i="5"/>
  <c r="H105" i="5" s="1"/>
  <c r="F56" i="5"/>
  <c r="H56" i="5" s="1"/>
  <c r="F42" i="5"/>
  <c r="H42" i="5" s="1"/>
  <c r="F114" i="5"/>
  <c r="H114" i="5" s="1"/>
  <c r="AB283" i="4" l="1"/>
  <c r="AD285" i="13"/>
  <c r="D108" i="23"/>
  <c r="AB301" i="4"/>
  <c r="AD303" i="13"/>
  <c r="D126" i="23"/>
  <c r="AB222" i="4"/>
  <c r="AD224" i="13"/>
  <c r="D47" i="23"/>
  <c r="AE282" i="13"/>
  <c r="J105" i="7" s="1"/>
  <c r="CY282" i="13"/>
  <c r="AE250" i="13"/>
  <c r="J73" i="7" s="1"/>
  <c r="CY250" i="13"/>
  <c r="AE249" i="13"/>
  <c r="AJ249" i="13" s="1"/>
  <c r="CY249" i="13"/>
  <c r="AE255" i="13"/>
  <c r="J78" i="7" s="1"/>
  <c r="CY255" i="13"/>
  <c r="AE252" i="13"/>
  <c r="J75" i="7" s="1"/>
  <c r="CY252" i="13"/>
  <c r="AE290" i="13"/>
  <c r="J113" i="7" s="1"/>
  <c r="CY290" i="13"/>
  <c r="AE256" i="13"/>
  <c r="J79" i="7" s="1"/>
  <c r="CY256" i="13"/>
  <c r="AE273" i="13"/>
  <c r="CY273" i="13"/>
  <c r="AE271" i="13"/>
  <c r="CY271" i="13"/>
  <c r="AE198" i="13"/>
  <c r="AJ198" i="13" s="1"/>
  <c r="CY198" i="13"/>
  <c r="AE277" i="13"/>
  <c r="J100" i="7" s="1"/>
  <c r="CY277" i="13"/>
  <c r="AE231" i="13"/>
  <c r="AJ231" i="13" s="1"/>
  <c r="CY231" i="13"/>
  <c r="AE194" i="13"/>
  <c r="CY194" i="13"/>
  <c r="AE189" i="13"/>
  <c r="CY189" i="13"/>
  <c r="AE296" i="13"/>
  <c r="J119" i="7" s="1"/>
  <c r="CY296" i="13"/>
  <c r="AE229" i="13"/>
  <c r="CY229" i="13"/>
  <c r="AE251" i="13"/>
  <c r="J74" i="7" s="1"/>
  <c r="CY251" i="13"/>
  <c r="AE202" i="13"/>
  <c r="CY202" i="13"/>
  <c r="AE197" i="13"/>
  <c r="CY197" i="13"/>
  <c r="AE304" i="13"/>
  <c r="J127" i="7" s="1"/>
  <c r="CY304" i="13"/>
  <c r="AE301" i="13"/>
  <c r="J124" i="7" s="1"/>
  <c r="CY301" i="13"/>
  <c r="AB274" i="4"/>
  <c r="AD276" i="13"/>
  <c r="D99" i="23"/>
  <c r="AB188" i="4"/>
  <c r="AD190" i="13"/>
  <c r="D13" i="23"/>
  <c r="AB268" i="4"/>
  <c r="AD270" i="13"/>
  <c r="D93" i="23"/>
  <c r="AE279" i="13"/>
  <c r="CY279" i="13"/>
  <c r="AE210" i="13"/>
  <c r="CY210" i="13"/>
  <c r="AE205" i="13"/>
  <c r="CY205" i="13"/>
  <c r="AE203" i="13"/>
  <c r="CY203" i="13"/>
  <c r="AE196" i="13"/>
  <c r="CY196" i="13"/>
  <c r="AE287" i="13"/>
  <c r="AJ287" i="13" s="1"/>
  <c r="CY287" i="13"/>
  <c r="AE218" i="13"/>
  <c r="AJ218" i="13" s="1"/>
  <c r="CY218" i="13"/>
  <c r="AE221" i="13"/>
  <c r="J44" i="7" s="1"/>
  <c r="CY221" i="13"/>
  <c r="AE211" i="13"/>
  <c r="J34" i="7" s="1"/>
  <c r="CY211" i="13"/>
  <c r="AE216" i="13"/>
  <c r="AJ216" i="13" s="1"/>
  <c r="CY216" i="13"/>
  <c r="AE193" i="13"/>
  <c r="J16" i="7" s="1"/>
  <c r="CY193" i="13"/>
  <c r="AE199" i="13"/>
  <c r="J22" i="7" s="1"/>
  <c r="CY199" i="13"/>
  <c r="AE208" i="13"/>
  <c r="J31" i="7" s="1"/>
  <c r="CY208" i="13"/>
  <c r="AE278" i="13"/>
  <c r="AJ278" i="13" s="1"/>
  <c r="CY278" i="13"/>
  <c r="AE254" i="13"/>
  <c r="J77" i="7" s="1"/>
  <c r="CY254" i="13"/>
  <c r="AE201" i="13"/>
  <c r="AJ201" i="13" s="1"/>
  <c r="CY201" i="13"/>
  <c r="AE207" i="13"/>
  <c r="J30" i="7" s="1"/>
  <c r="CY207" i="13"/>
  <c r="AE228" i="13"/>
  <c r="J51" i="7" s="1"/>
  <c r="CY228" i="13"/>
  <c r="AE286" i="13"/>
  <c r="CY286" i="13"/>
  <c r="AE272" i="13"/>
  <c r="CY272" i="13"/>
  <c r="AE237" i="13"/>
  <c r="J60" i="7" s="1"/>
  <c r="CY237" i="13"/>
  <c r="AB225" i="4"/>
  <c r="AD227" i="13"/>
  <c r="D50" i="23"/>
  <c r="AB204" i="4"/>
  <c r="AD206" i="13"/>
  <c r="D29" i="23"/>
  <c r="AB267" i="4"/>
  <c r="AD269" i="13"/>
  <c r="D92" i="23"/>
  <c r="AE215" i="13"/>
  <c r="CY215" i="13"/>
  <c r="AE240" i="13"/>
  <c r="J63" i="7" s="1"/>
  <c r="CY240" i="13"/>
  <c r="AE294" i="13"/>
  <c r="AJ294" i="13" s="1"/>
  <c r="CY294" i="13"/>
  <c r="AE280" i="13"/>
  <c r="CY280" i="13"/>
  <c r="AE245" i="13"/>
  <c r="J68" i="7" s="1"/>
  <c r="CY245" i="13"/>
  <c r="AE223" i="13"/>
  <c r="CY223" i="13"/>
  <c r="AE248" i="13"/>
  <c r="CY248" i="13"/>
  <c r="AE302" i="13"/>
  <c r="J125" i="7" s="1"/>
  <c r="CY302" i="13"/>
  <c r="AE288" i="13"/>
  <c r="J111" i="7" s="1"/>
  <c r="CY288" i="13"/>
  <c r="AE253" i="13"/>
  <c r="J76" i="7" s="1"/>
  <c r="CY253" i="13"/>
  <c r="AE298" i="13"/>
  <c r="J121" i="7" s="1"/>
  <c r="CY298" i="13"/>
  <c r="AE284" i="13"/>
  <c r="CY284" i="13"/>
  <c r="AE297" i="13"/>
  <c r="J120" i="7" s="1"/>
  <c r="CY297" i="13"/>
  <c r="AE283" i="13"/>
  <c r="J106" i="7" s="1"/>
  <c r="CY283" i="13"/>
  <c r="AE222" i="13"/>
  <c r="AJ222" i="13" s="1"/>
  <c r="CY222" i="13"/>
  <c r="AE306" i="13"/>
  <c r="J129" i="7" s="1"/>
  <c r="CY306" i="13"/>
  <c r="AE292" i="13"/>
  <c r="CY292" i="13"/>
  <c r="AE305" i="13"/>
  <c r="J128" i="7" s="1"/>
  <c r="CY305" i="13"/>
  <c r="AE291" i="13"/>
  <c r="J114" i="7" s="1"/>
  <c r="CY291" i="13"/>
  <c r="AE230" i="13"/>
  <c r="CY230" i="13"/>
  <c r="AB211" i="4"/>
  <c r="AD213" i="13"/>
  <c r="D36" i="23"/>
  <c r="AB189" i="4"/>
  <c r="AD191" i="13"/>
  <c r="D14" i="23"/>
  <c r="AB291" i="4"/>
  <c r="AD293" i="13"/>
  <c r="D116" i="23"/>
  <c r="AE239" i="13"/>
  <c r="J62" i="7" s="1"/>
  <c r="CY239" i="13"/>
  <c r="AE300" i="13"/>
  <c r="J123" i="7" s="1"/>
  <c r="CY300" i="13"/>
  <c r="AE192" i="13"/>
  <c r="CY192" i="13"/>
  <c r="AE299" i="13"/>
  <c r="J122" i="7" s="1"/>
  <c r="CY299" i="13"/>
  <c r="AE238" i="13"/>
  <c r="AJ238" i="13" s="1"/>
  <c r="CY238" i="13"/>
  <c r="AE209" i="13"/>
  <c r="J32" i="7" s="1"/>
  <c r="CY209" i="13"/>
  <c r="AE187" i="13"/>
  <c r="AJ187" i="13" s="1"/>
  <c r="CY187" i="13"/>
  <c r="AE200" i="13"/>
  <c r="J23" i="7" s="1"/>
  <c r="CY200" i="13"/>
  <c r="AE307" i="13"/>
  <c r="J130" i="7" s="1"/>
  <c r="CY307" i="13"/>
  <c r="AE246" i="13"/>
  <c r="J69" i="7" s="1"/>
  <c r="CY246" i="13"/>
  <c r="AE217" i="13"/>
  <c r="AJ217" i="13" s="1"/>
  <c r="CY217" i="13"/>
  <c r="AE295" i="13"/>
  <c r="AJ295" i="13" s="1"/>
  <c r="CY295" i="13"/>
  <c r="AE234" i="13"/>
  <c r="AJ234" i="13" s="1"/>
  <c r="CY234" i="13"/>
  <c r="AE233" i="13"/>
  <c r="CY233" i="13"/>
  <c r="AE235" i="13"/>
  <c r="J58" i="7" s="1"/>
  <c r="CY235" i="13"/>
  <c r="AE236" i="13"/>
  <c r="J59" i="7" s="1"/>
  <c r="CY236" i="13"/>
  <c r="AE274" i="13"/>
  <c r="AJ274" i="13" s="1"/>
  <c r="CY274" i="13"/>
  <c r="AE242" i="13"/>
  <c r="J65" i="7" s="1"/>
  <c r="CY242" i="13"/>
  <c r="AE241" i="13"/>
  <c r="J64" i="7" s="1"/>
  <c r="CY241" i="13"/>
  <c r="AE247" i="13"/>
  <c r="AJ247" i="13" s="1"/>
  <c r="CY247" i="13"/>
  <c r="AE244" i="13"/>
  <c r="J67" i="7" s="1"/>
  <c r="CY244" i="13"/>
  <c r="J38" i="7"/>
  <c r="J52" i="7"/>
  <c r="AJ279" i="13"/>
  <c r="AJ280" i="13"/>
  <c r="AJ292" i="13"/>
  <c r="J26" i="7"/>
  <c r="AJ286" i="13"/>
  <c r="AJ284" i="13"/>
  <c r="J46" i="7"/>
  <c r="S98" i="5"/>
  <c r="S114" i="5"/>
  <c r="S132" i="5"/>
  <c r="S53" i="5"/>
  <c r="DP292" i="13"/>
  <c r="DP296" i="13"/>
  <c r="DP300" i="13"/>
  <c r="DP252" i="13"/>
  <c r="DP298" i="13"/>
  <c r="DP313" i="13"/>
  <c r="DP307" i="13"/>
  <c r="AJ245" i="13"/>
  <c r="AJ202" i="13"/>
  <c r="J25" i="7"/>
  <c r="AJ277" i="13"/>
  <c r="J45" i="7"/>
  <c r="AJ243" i="13"/>
  <c r="S56" i="5"/>
  <c r="S105" i="5"/>
  <c r="S19" i="5"/>
  <c r="S99" i="5"/>
  <c r="DP244" i="13"/>
  <c r="DP237" i="13"/>
  <c r="DP290" i="13"/>
  <c r="DP303" i="13"/>
  <c r="DP306" i="13"/>
  <c r="DP227" i="13"/>
  <c r="DP229" i="13"/>
  <c r="DP262" i="13"/>
  <c r="DP209" i="13"/>
  <c r="DP215" i="13"/>
  <c r="DP213" i="13"/>
  <c r="DP255" i="13"/>
  <c r="DP260" i="13"/>
  <c r="DP199" i="13"/>
  <c r="DP216" i="13"/>
  <c r="DP198" i="13"/>
  <c r="DP241" i="13"/>
  <c r="DP236" i="13"/>
  <c r="DP243" i="13"/>
  <c r="DP239" i="13"/>
  <c r="AJ306" i="13"/>
  <c r="J21" i="7"/>
  <c r="AJ251" i="13"/>
  <c r="AJ289" i="13"/>
  <c r="AJ302" i="13"/>
  <c r="AJ228" i="13"/>
  <c r="AJ207" i="13"/>
  <c r="DP251" i="13"/>
  <c r="DP245" i="13"/>
  <c r="DP288" i="13"/>
  <c r="DP193" i="13"/>
  <c r="DP224" i="13"/>
  <c r="DP297" i="13"/>
  <c r="DP286" i="13"/>
  <c r="DP301" i="13"/>
  <c r="DP205" i="13"/>
  <c r="DP200" i="13"/>
  <c r="DP254" i="13"/>
  <c r="DP214" i="13"/>
  <c r="DP247" i="13"/>
  <c r="DP211" i="13"/>
  <c r="DP305" i="13"/>
  <c r="DP261" i="13"/>
  <c r="DP217" i="13"/>
  <c r="DP294" i="13"/>
  <c r="DP204" i="13"/>
  <c r="DP259" i="13"/>
  <c r="DP223" i="13"/>
  <c r="DP312" i="13"/>
  <c r="DP285" i="13"/>
  <c r="DP248" i="13"/>
  <c r="DP234" i="13"/>
  <c r="DP284" i="13"/>
  <c r="DP289" i="13"/>
  <c r="DP278" i="13"/>
  <c r="DP250" i="13"/>
  <c r="DP283" i="13"/>
  <c r="DP207" i="13"/>
  <c r="DP246" i="13"/>
  <c r="DP203" i="13"/>
  <c r="DP258" i="13"/>
  <c r="DP304" i="13"/>
  <c r="DP257" i="13"/>
  <c r="DP240" i="13"/>
  <c r="DP208" i="13"/>
  <c r="DP311" i="13"/>
  <c r="DP308" i="13"/>
  <c r="DP277" i="13"/>
  <c r="DP302" i="13"/>
  <c r="DP228" i="13"/>
  <c r="DP242" i="13"/>
  <c r="DP235" i="13"/>
  <c r="DP280" i="13"/>
  <c r="DP221" i="13"/>
  <c r="DP279" i="13"/>
  <c r="DP195" i="13"/>
  <c r="DP310" i="13"/>
  <c r="DP202" i="13"/>
  <c r="DP293" i="13"/>
  <c r="DP256" i="13"/>
  <c r="DP206" i="13"/>
  <c r="DP253" i="13"/>
  <c r="DP222" i="13"/>
  <c r="AJ211" i="13"/>
  <c r="AJ252" i="13"/>
  <c r="AJ205" i="13"/>
  <c r="J28" i="7"/>
  <c r="AJ283" i="13"/>
  <c r="J71" i="7"/>
  <c r="AJ248" i="13"/>
  <c r="AJ253" i="13"/>
  <c r="S35" i="5"/>
  <c r="S42" i="5"/>
  <c r="S20" i="5"/>
  <c r="S122" i="5"/>
  <c r="AJ240" i="13"/>
  <c r="AJ195" i="13"/>
  <c r="J18" i="7"/>
  <c r="J70" i="7"/>
  <c r="J39" i="7" l="1"/>
  <c r="J101" i="7"/>
  <c r="AJ221" i="13"/>
  <c r="AJ250" i="13"/>
  <c r="J57" i="7"/>
  <c r="AJ254" i="13"/>
  <c r="AJ241" i="13"/>
  <c r="AE213" i="13"/>
  <c r="CY213" i="13"/>
  <c r="AE276" i="13"/>
  <c r="J99" i="7" s="1"/>
  <c r="CY276" i="13"/>
  <c r="AE303" i="13"/>
  <c r="J126" i="7" s="1"/>
  <c r="CY303" i="13"/>
  <c r="AE269" i="13"/>
  <c r="CY269" i="13"/>
  <c r="AE285" i="13"/>
  <c r="AJ285" i="13" s="1"/>
  <c r="CY285" i="13"/>
  <c r="AE293" i="13"/>
  <c r="AJ293" i="13" s="1"/>
  <c r="CY293" i="13"/>
  <c r="AE206" i="13"/>
  <c r="J29" i="7" s="1"/>
  <c r="CY206" i="13"/>
  <c r="AE270" i="13"/>
  <c r="CY270" i="13"/>
  <c r="AE191" i="13"/>
  <c r="CY191" i="13"/>
  <c r="AE227" i="13"/>
  <c r="CY227" i="13"/>
  <c r="AE190" i="13"/>
  <c r="CY190" i="13"/>
  <c r="AE224" i="13"/>
  <c r="J47" i="7" s="1"/>
  <c r="CY224" i="13"/>
  <c r="AJ312" i="13"/>
  <c r="AJ301" i="13"/>
  <c r="AJ313" i="13"/>
  <c r="AJ300" i="13"/>
  <c r="AJ303" i="13"/>
  <c r="AJ244" i="13"/>
  <c r="AJ297" i="13"/>
  <c r="AJ209" i="13"/>
  <c r="AJ236" i="13"/>
  <c r="AJ235" i="13"/>
  <c r="AJ229" i="13"/>
  <c r="AJ223" i="13"/>
  <c r="AJ307" i="13"/>
  <c r="AJ311" i="13"/>
  <c r="AJ203" i="13"/>
  <c r="AJ242" i="13"/>
  <c r="AJ208" i="13"/>
  <c r="AJ255" i="13"/>
  <c r="AJ310" i="13"/>
  <c r="AJ239" i="13"/>
  <c r="AJ237" i="13"/>
  <c r="AJ304" i="13"/>
  <c r="AJ193" i="13"/>
  <c r="J103" i="7"/>
  <c r="AJ200" i="13"/>
  <c r="AJ308" i="13"/>
  <c r="AJ215" i="13"/>
  <c r="AJ199" i="13"/>
  <c r="AJ305" i="13"/>
  <c r="AJ246" i="13"/>
  <c r="AJ298" i="13"/>
  <c r="AJ290" i="13"/>
  <c r="J40" i="7"/>
  <c r="J102" i="7"/>
  <c r="AJ296" i="13"/>
  <c r="AJ256" i="13"/>
  <c r="AJ288" i="13"/>
  <c r="J20" i="7"/>
  <c r="J53" i="7"/>
  <c r="AJ309" i="13"/>
  <c r="AJ212" i="13"/>
  <c r="J19" i="7"/>
  <c r="AJ282" i="13"/>
  <c r="AJ291" i="13"/>
  <c r="DP276" i="13"/>
  <c r="DP309" i="13"/>
  <c r="DP282" i="13"/>
  <c r="DP196" i="13"/>
  <c r="DP299" i="13"/>
  <c r="DP197" i="13"/>
  <c r="AJ197" i="13"/>
  <c r="DP275" i="13"/>
  <c r="DP219" i="13"/>
  <c r="DP230" i="13"/>
  <c r="DP233" i="13"/>
  <c r="DP291" i="13"/>
  <c r="DP212" i="13"/>
  <c r="AJ233" i="13"/>
  <c r="J56" i="7"/>
  <c r="AJ275" i="13"/>
  <c r="J36" i="7" l="1"/>
  <c r="AJ213" i="13"/>
  <c r="AJ224" i="13"/>
  <c r="AJ206" i="13"/>
  <c r="J50" i="7"/>
  <c r="AJ227" i="13"/>
  <c r="AJ299" i="13"/>
  <c r="AJ196" i="13"/>
  <c r="AJ276" i="13"/>
  <c r="AJ230" i="13"/>
  <c r="J35" i="7"/>
  <c r="AI35" i="13" l="1"/>
  <c r="F48" i="5"/>
  <c r="H48" i="5" s="1"/>
  <c r="F43" i="5"/>
  <c r="H43" i="5" s="1"/>
  <c r="F33" i="5"/>
  <c r="H33" i="5" s="1"/>
  <c r="AB212" i="4" l="1"/>
  <c r="AD214" i="13"/>
  <c r="D37" i="23"/>
  <c r="AB217" i="4"/>
  <c r="AD219" i="13"/>
  <c r="D42" i="23"/>
  <c r="AB202" i="4"/>
  <c r="AD204" i="13"/>
  <c r="D27" i="23"/>
  <c r="S33" i="5"/>
  <c r="S48" i="5"/>
  <c r="S43" i="5"/>
  <c r="F17" i="5"/>
  <c r="H17" i="5" s="1"/>
  <c r="AE219" i="13" l="1"/>
  <c r="CY219" i="13"/>
  <c r="AE214" i="13"/>
  <c r="CY214" i="13"/>
  <c r="AB186" i="4"/>
  <c r="AD188" i="13"/>
  <c r="D11" i="23"/>
  <c r="AE204" i="13"/>
  <c r="CY204" i="13"/>
  <c r="J33" i="7"/>
  <c r="J48" i="7"/>
  <c r="DP225" i="13"/>
  <c r="S17" i="5"/>
  <c r="DP210" i="13"/>
  <c r="DP220" i="13"/>
  <c r="J42" i="7" l="1"/>
  <c r="AJ219" i="13"/>
  <c r="AE188" i="13"/>
  <c r="CY188" i="13"/>
  <c r="J37" i="7"/>
  <c r="AJ214" i="13"/>
  <c r="J27" i="7"/>
  <c r="AJ204" i="13"/>
  <c r="AJ210" i="13"/>
  <c r="AJ225" i="13"/>
  <c r="J17" i="7"/>
  <c r="DP194" i="13"/>
  <c r="AJ194" i="13" l="1"/>
  <c r="F15" i="5"/>
  <c r="H15" i="5" s="1"/>
  <c r="AB184" i="4" l="1"/>
  <c r="AD186" i="13"/>
  <c r="D9" i="23"/>
  <c r="S15" i="5"/>
  <c r="AE186" i="13" l="1"/>
  <c r="AJ186" i="13" s="1"/>
  <c r="CY186" i="13"/>
  <c r="J15" i="7"/>
  <c r="DP192" i="13"/>
  <c r="F91" i="5" l="1"/>
  <c r="H91" i="5" s="1"/>
  <c r="F94" i="5"/>
  <c r="H94" i="5" s="1"/>
  <c r="F92" i="5"/>
  <c r="H92" i="5" s="1"/>
  <c r="F90" i="5"/>
  <c r="H90" i="5" s="1"/>
  <c r="F87" i="5"/>
  <c r="H87" i="5" s="1"/>
  <c r="F93" i="5"/>
  <c r="H93" i="5" s="1"/>
  <c r="F96" i="5"/>
  <c r="H96" i="5" s="1"/>
  <c r="F89" i="5"/>
  <c r="H89" i="5" s="1"/>
  <c r="F88" i="5"/>
  <c r="H88" i="5" s="1"/>
  <c r="F95" i="5"/>
  <c r="H95" i="5" s="1"/>
  <c r="AB260" i="4" l="1"/>
  <c r="AD262" i="13"/>
  <c r="D85" i="23"/>
  <c r="AB263" i="4"/>
  <c r="AD265" i="13"/>
  <c r="D88" i="23"/>
  <c r="AB256" i="4"/>
  <c r="AD258" i="13"/>
  <c r="D81" i="23"/>
  <c r="AB265" i="4"/>
  <c r="AD267" i="13"/>
  <c r="D90" i="23"/>
  <c r="AB261" i="4"/>
  <c r="AD263" i="13"/>
  <c r="D86" i="23"/>
  <c r="AB257" i="4"/>
  <c r="AD259" i="13"/>
  <c r="D82" i="23"/>
  <c r="AB264" i="4"/>
  <c r="AD266" i="13"/>
  <c r="D89" i="23"/>
  <c r="AB262" i="4"/>
  <c r="AD264" i="13"/>
  <c r="D87" i="23"/>
  <c r="AB258" i="4"/>
  <c r="AD260" i="13"/>
  <c r="D83" i="23"/>
  <c r="AB259" i="4"/>
  <c r="AD261" i="13"/>
  <c r="D84" i="23"/>
  <c r="S96" i="5"/>
  <c r="S88" i="5"/>
  <c r="S87" i="5"/>
  <c r="S91" i="5"/>
  <c r="S89" i="5"/>
  <c r="S95" i="5"/>
  <c r="S93" i="5"/>
  <c r="S94" i="5"/>
  <c r="S92" i="5"/>
  <c r="S90" i="5"/>
  <c r="AE265" i="13" l="1"/>
  <c r="J88" i="7" s="1"/>
  <c r="CY265" i="13"/>
  <c r="AE260" i="13"/>
  <c r="CY260" i="13"/>
  <c r="AE263" i="13"/>
  <c r="J86" i="7" s="1"/>
  <c r="CY263" i="13"/>
  <c r="AE262" i="13"/>
  <c r="CY262" i="13"/>
  <c r="AE259" i="13"/>
  <c r="CY259" i="13"/>
  <c r="AE264" i="13"/>
  <c r="J87" i="7" s="1"/>
  <c r="CY264" i="13"/>
  <c r="AE267" i="13"/>
  <c r="J90" i="7" s="1"/>
  <c r="CY267" i="13"/>
  <c r="AE261" i="13"/>
  <c r="CY261" i="13"/>
  <c r="AE266" i="13"/>
  <c r="J89" i="7" s="1"/>
  <c r="CY266" i="13"/>
  <c r="AE258" i="13"/>
  <c r="CY258" i="13"/>
  <c r="AJ269" i="13"/>
  <c r="AJ271" i="13"/>
  <c r="AJ272" i="13"/>
  <c r="AJ270" i="13"/>
  <c r="AJ265" i="13"/>
  <c r="AJ273" i="13"/>
  <c r="DP268" i="13"/>
  <c r="DP264" i="13"/>
  <c r="DP265" i="13"/>
  <c r="DP267" i="13"/>
  <c r="DP266" i="13"/>
  <c r="DP272" i="13"/>
  <c r="DP273" i="13"/>
  <c r="AJ264" i="13"/>
  <c r="J82" i="7" l="1"/>
  <c r="AJ259" i="13"/>
  <c r="J81" i="7"/>
  <c r="AJ258" i="13"/>
  <c r="J84" i="7"/>
  <c r="AJ261" i="13"/>
  <c r="J85" i="7"/>
  <c r="AJ262" i="13"/>
  <c r="J83" i="7"/>
  <c r="AJ260" i="13"/>
  <c r="AJ267" i="13"/>
  <c r="AJ266" i="13"/>
  <c r="AJ268" i="13"/>
  <c r="F156" i="5"/>
  <c r="H156" i="5" s="1"/>
  <c r="F157" i="5"/>
  <c r="H157" i="5" s="1"/>
  <c r="AB325" i="4" l="1"/>
  <c r="AD327" i="13"/>
  <c r="D150" i="23"/>
  <c r="AB326" i="4"/>
  <c r="AD328" i="13"/>
  <c r="D151" i="23"/>
  <c r="S157" i="5"/>
  <c r="S156" i="5"/>
  <c r="AE328" i="13" l="1"/>
  <c r="AJ328" i="13" s="1"/>
  <c r="CY328" i="13"/>
  <c r="AE327" i="13"/>
  <c r="AJ327" i="13" s="1"/>
  <c r="CY327" i="13"/>
  <c r="DP334" i="13"/>
  <c r="DP333" i="13"/>
  <c r="AJ334" i="13" l="1"/>
  <c r="AJ333" i="13"/>
  <c r="F86" i="5"/>
  <c r="H86" i="5" s="1"/>
  <c r="F49" i="5"/>
  <c r="H49" i="5" s="1"/>
  <c r="AB255" i="4" l="1"/>
  <c r="AD257" i="13"/>
  <c r="D80" i="23"/>
  <c r="AB218" i="4"/>
  <c r="AD220" i="13"/>
  <c r="D43" i="23"/>
  <c r="S49" i="5"/>
  <c r="S86" i="5"/>
  <c r="AE257" i="13" l="1"/>
  <c r="CY257" i="13"/>
  <c r="AE220" i="13"/>
  <c r="CY220" i="13"/>
  <c r="AJ263" i="13"/>
  <c r="DP263" i="13"/>
  <c r="DP226" i="13"/>
  <c r="J80" i="7" l="1"/>
  <c r="AJ257" i="13"/>
  <c r="AJ220" i="13"/>
  <c r="J43" i="7"/>
  <c r="F55" i="5"/>
  <c r="H55" i="5" s="1"/>
  <c r="AB224" i="4" l="1"/>
  <c r="AD226" i="13"/>
  <c r="D49" i="23"/>
  <c r="S55" i="5"/>
  <c r="AE226" i="13" l="1"/>
  <c r="CY226" i="13"/>
  <c r="J55" i="7"/>
  <c r="DP232" i="13"/>
  <c r="J49" i="7" l="1"/>
  <c r="AJ226" i="13"/>
  <c r="AJ232" i="13"/>
  <c r="D15" i="6" l="1"/>
  <c r="F15" i="6" s="1"/>
  <c r="H15" i="6" s="1"/>
  <c r="F12" i="13"/>
  <c r="AI12" i="13" s="1"/>
  <c r="AI66" i="13" l="1"/>
  <c r="J72" i="1"/>
  <c r="L72" i="1" s="1"/>
  <c r="AI120" i="13"/>
  <c r="AI171" i="13"/>
  <c r="AI138" i="13"/>
  <c r="AI92" i="13"/>
  <c r="AI153" i="13"/>
  <c r="AI45" i="13"/>
  <c r="AI53" i="13"/>
  <c r="AI121" i="13"/>
  <c r="AI113" i="13"/>
  <c r="AI49" i="13"/>
  <c r="AI144" i="13"/>
  <c r="AI82" i="13"/>
  <c r="AI90" i="13"/>
  <c r="AI124" i="13"/>
  <c r="AI169" i="13"/>
  <c r="AI145" i="13"/>
  <c r="AI110" i="13"/>
  <c r="AI13" i="13"/>
  <c r="AI48" i="13"/>
  <c r="AI149" i="13"/>
  <c r="AI63" i="13"/>
  <c r="AI148" i="13"/>
  <c r="AI183" i="13"/>
  <c r="AI104" i="13"/>
  <c r="AI57" i="13"/>
  <c r="AI84" i="13"/>
  <c r="AI179" i="13"/>
  <c r="AI96" i="13"/>
  <c r="AI62" i="13"/>
  <c r="AI51" i="13"/>
  <c r="AI161" i="13"/>
  <c r="AI164" i="13"/>
  <c r="AI24" i="13"/>
  <c r="AI158" i="13"/>
  <c r="AI68" i="13"/>
  <c r="AI114" i="13"/>
  <c r="AI155" i="13"/>
  <c r="AI182" i="13"/>
  <c r="AI174" i="13"/>
  <c r="AI59" i="13"/>
  <c r="AI77" i="13"/>
  <c r="AI61" i="13"/>
  <c r="AI58" i="13"/>
  <c r="AI139" i="13"/>
  <c r="AI118" i="13"/>
  <c r="AI151" i="13"/>
  <c r="AI97" i="13"/>
  <c r="AI116" i="13"/>
  <c r="AI130" i="13"/>
  <c r="AI81" i="13"/>
  <c r="AI46" i="13"/>
  <c r="AI131" i="13"/>
  <c r="AI43" i="13"/>
  <c r="AI102" i="13"/>
  <c r="AI31" i="13"/>
  <c r="AI112" i="13"/>
  <c r="AI127" i="13"/>
  <c r="AI132" i="13"/>
  <c r="AI166" i="13"/>
  <c r="AI154" i="13"/>
  <c r="AI23" i="13"/>
  <c r="AI122" i="13"/>
  <c r="AI180" i="13"/>
  <c r="AI29" i="13"/>
  <c r="AI126" i="13"/>
  <c r="AI86" i="13"/>
  <c r="AI101" i="13"/>
  <c r="AI30" i="13"/>
  <c r="AI18" i="13"/>
  <c r="AI107" i="13"/>
  <c r="AI103" i="13"/>
  <c r="AI42" i="13"/>
  <c r="AI83" i="13"/>
  <c r="AI67" i="13"/>
  <c r="AI70" i="13"/>
  <c r="AI44" i="13"/>
  <c r="AI75" i="13"/>
  <c r="AI106" i="13"/>
  <c r="AI40" i="13"/>
  <c r="AI85" i="13"/>
  <c r="AI89" i="13"/>
  <c r="AI21" i="13"/>
  <c r="AI141" i="13"/>
  <c r="AI39" i="13"/>
  <c r="AI150" i="13"/>
  <c r="AI133" i="13"/>
  <c r="AI109" i="13"/>
  <c r="AI95" i="13"/>
  <c r="AI17" i="13"/>
  <c r="AI26" i="13"/>
  <c r="AI41" i="13"/>
  <c r="AI146" i="13"/>
  <c r="AI54" i="13"/>
  <c r="AI88" i="13"/>
  <c r="AI32" i="13"/>
  <c r="AI52" i="13"/>
  <c r="AI50" i="13"/>
  <c r="AI123" i="13"/>
  <c r="AI78" i="13"/>
  <c r="AI173" i="13"/>
  <c r="AI128" i="13"/>
  <c r="AI73" i="13"/>
  <c r="AI34" i="13"/>
  <c r="AI47" i="13"/>
  <c r="AI115" i="13"/>
  <c r="AI142" i="13"/>
  <c r="AI129" i="13"/>
  <c r="AI147" i="13"/>
  <c r="AI170" i="13"/>
  <c r="AI119" i="13"/>
  <c r="AI108" i="13"/>
  <c r="AI64" i="13"/>
  <c r="AI137" i="13"/>
  <c r="AI140" i="13"/>
  <c r="AI143" i="13"/>
  <c r="AI105" i="13"/>
  <c r="AI76" i="13"/>
  <c r="AI80" i="13"/>
  <c r="AI135" i="13"/>
  <c r="AI19" i="13"/>
  <c r="AI111" i="13"/>
  <c r="AI178" i="13"/>
  <c r="AI136" i="13"/>
  <c r="AI156" i="13"/>
  <c r="AI37" i="13"/>
  <c r="AI157" i="13"/>
  <c r="AI160" i="13"/>
  <c r="AI36" i="13"/>
  <c r="AI162" i="13"/>
  <c r="AI134" i="13"/>
  <c r="AI152" i="13"/>
  <c r="AI55" i="13"/>
  <c r="AI14" i="13"/>
  <c r="AI98" i="13"/>
  <c r="AI117" i="13"/>
  <c r="AI125" i="13"/>
  <c r="AI33" i="13"/>
  <c r="AI72" i="13"/>
  <c r="AI20" i="13"/>
  <c r="AI165" i="13"/>
  <c r="AI99" i="13"/>
  <c r="AI93" i="13"/>
  <c r="AI168" i="13"/>
  <c r="AI159" i="13"/>
  <c r="AI176" i="13"/>
  <c r="AI22" i="13"/>
  <c r="AI94" i="13"/>
  <c r="AI74" i="13"/>
  <c r="AI38" i="13"/>
  <c r="AI25" i="13"/>
  <c r="AI71" i="13"/>
  <c r="AI60" i="13"/>
  <c r="AI175" i="13"/>
  <c r="AI91" i="13"/>
  <c r="AI56" i="13"/>
  <c r="AI167" i="13"/>
  <c r="AI28" i="13"/>
  <c r="AI16" i="13"/>
  <c r="AI181" i="13"/>
  <c r="AI15" i="13"/>
  <c r="AI87" i="13"/>
  <c r="AI69" i="13"/>
  <c r="AI100" i="13"/>
  <c r="AI65" i="13"/>
  <c r="AI172" i="13"/>
  <c r="AI79" i="13"/>
  <c r="AJ69" i="13" l="1"/>
  <c r="F15" i="1"/>
  <c r="H15" i="1" s="1"/>
  <c r="H8" i="24" s="1"/>
  <c r="D8" i="22" l="1"/>
  <c r="J15" i="1" s="1"/>
  <c r="L15" i="1" s="1"/>
  <c r="AD12" i="13"/>
  <c r="J74" i="1"/>
  <c r="L74" i="1" s="1"/>
  <c r="J105" i="1"/>
  <c r="L105" i="1" s="1"/>
  <c r="J53" i="1"/>
  <c r="L53" i="1" s="1"/>
  <c r="J145" i="1"/>
  <c r="L145" i="1" s="1"/>
  <c r="J175" i="1"/>
  <c r="L175" i="1" s="1"/>
  <c r="J108" i="1"/>
  <c r="L108" i="1" s="1"/>
  <c r="J57" i="1"/>
  <c r="L57" i="1" s="1"/>
  <c r="J121" i="1"/>
  <c r="L121" i="1" s="1"/>
  <c r="J71" i="1"/>
  <c r="L71" i="1" s="1"/>
  <c r="J23" i="1"/>
  <c r="L23" i="1" s="1"/>
  <c r="J179" i="1"/>
  <c r="L179" i="1" s="1"/>
  <c r="J172" i="1"/>
  <c r="L172" i="1" s="1"/>
  <c r="J154" i="1"/>
  <c r="L154" i="1" s="1"/>
  <c r="J106" i="1"/>
  <c r="L106" i="1" s="1"/>
  <c r="J140" i="1"/>
  <c r="L140" i="1" s="1"/>
  <c r="J122" i="1"/>
  <c r="L122" i="1" s="1"/>
  <c r="J116" i="1"/>
  <c r="L116" i="1" s="1"/>
  <c r="J164" i="1"/>
  <c r="L164" i="1" s="1"/>
  <c r="J150" i="1"/>
  <c r="L150" i="1" s="1"/>
  <c r="AB10" i="4"/>
  <c r="J147" i="1"/>
  <c r="L147" i="1" s="1"/>
  <c r="J34" i="1"/>
  <c r="L34" i="1" s="1"/>
  <c r="J61" i="1"/>
  <c r="L61" i="1" s="1"/>
  <c r="J76" i="1"/>
  <c r="L76" i="1" s="1"/>
  <c r="J19" i="1"/>
  <c r="L19" i="1" s="1"/>
  <c r="J97" i="1"/>
  <c r="L97" i="1" s="1"/>
  <c r="J42" i="1"/>
  <c r="L42" i="1" s="1"/>
  <c r="J45" i="1"/>
  <c r="L45" i="1" s="1"/>
  <c r="J165" i="1"/>
  <c r="L165" i="1" s="1"/>
  <c r="J38" i="1"/>
  <c r="L38" i="1" s="1"/>
  <c r="J103" i="1"/>
  <c r="L103" i="1" s="1"/>
  <c r="J161" i="1"/>
  <c r="L161" i="1" s="1"/>
  <c r="J85" i="1"/>
  <c r="L85" i="1" s="1"/>
  <c r="J40" i="1"/>
  <c r="L40" i="1" s="1"/>
  <c r="J67" i="1"/>
  <c r="L67" i="1" s="1"/>
  <c r="J26" i="1"/>
  <c r="L26" i="1" s="1"/>
  <c r="J28" i="1"/>
  <c r="L28" i="1" s="1"/>
  <c r="J135" i="1"/>
  <c r="L135" i="1" s="1"/>
  <c r="J54" i="1"/>
  <c r="L54" i="1" s="1"/>
  <c r="J64" i="1"/>
  <c r="L64" i="1" s="1"/>
  <c r="J100" i="1"/>
  <c r="L100" i="1" s="1"/>
  <c r="J148" i="1"/>
  <c r="L148" i="1" s="1"/>
  <c r="J152" i="1"/>
  <c r="L152" i="1" s="1"/>
  <c r="J144" i="1"/>
  <c r="L144" i="1" s="1"/>
  <c r="J151" i="1"/>
  <c r="L151" i="1" s="1"/>
  <c r="J176" i="1"/>
  <c r="L176" i="1" s="1"/>
  <c r="J171" i="1"/>
  <c r="L171" i="1" s="1"/>
  <c r="J44" i="1"/>
  <c r="L44" i="1" s="1"/>
  <c r="J89" i="1"/>
  <c r="L89" i="1" s="1"/>
  <c r="J124" i="1"/>
  <c r="L124" i="1" s="1"/>
  <c r="J21" i="1"/>
  <c r="L21" i="1" s="1"/>
  <c r="J137" i="1"/>
  <c r="L137" i="1" s="1"/>
  <c r="J163" i="1"/>
  <c r="L163" i="1" s="1"/>
  <c r="J113" i="1"/>
  <c r="L113" i="1" s="1"/>
  <c r="J43" i="1"/>
  <c r="L43" i="1" s="1"/>
  <c r="J22" i="1"/>
  <c r="L22" i="1" s="1"/>
  <c r="J31" i="1"/>
  <c r="L31" i="1" s="1"/>
  <c r="J123" i="1"/>
  <c r="L123" i="1" s="1"/>
  <c r="J50" i="1"/>
  <c r="L50" i="1" s="1"/>
  <c r="J81" i="1"/>
  <c r="L81" i="1" s="1"/>
  <c r="J96" i="1"/>
  <c r="L96" i="1" s="1"/>
  <c r="J126" i="1"/>
  <c r="L126" i="1" s="1"/>
  <c r="J155" i="1"/>
  <c r="L155" i="1" s="1"/>
  <c r="J49" i="1"/>
  <c r="L49" i="1" s="1"/>
  <c r="J83" i="1"/>
  <c r="L83" i="1" s="1"/>
  <c r="J143" i="1"/>
  <c r="L143" i="1" s="1"/>
  <c r="AI27" i="13"/>
  <c r="AI163" i="13"/>
  <c r="J101" i="1"/>
  <c r="L101" i="1" s="1"/>
  <c r="J117" i="1"/>
  <c r="L117" i="1" s="1"/>
  <c r="J159" i="1"/>
  <c r="L159" i="1" s="1"/>
  <c r="J17" i="1"/>
  <c r="L17" i="1" s="1"/>
  <c r="J169" i="1"/>
  <c r="L169" i="1" s="1"/>
  <c r="J115" i="1"/>
  <c r="L115" i="1" s="1"/>
  <c r="J128" i="1"/>
  <c r="L128" i="1" s="1"/>
  <c r="J66" i="1"/>
  <c r="L66" i="1" s="1"/>
  <c r="J73" i="1"/>
  <c r="L73" i="1" s="1"/>
  <c r="J88" i="1"/>
  <c r="L88" i="1" s="1"/>
  <c r="J170" i="1"/>
  <c r="L170" i="1" s="1"/>
  <c r="J82" i="1"/>
  <c r="L82" i="1" s="1"/>
  <c r="J48" i="1"/>
  <c r="L48" i="1" s="1"/>
  <c r="J84" i="1"/>
  <c r="L84" i="1" s="1"/>
  <c r="J180" i="1"/>
  <c r="L180" i="1" s="1"/>
  <c r="J79" i="1"/>
  <c r="L79" i="1" s="1"/>
  <c r="J92" i="1"/>
  <c r="L92" i="1" s="1"/>
  <c r="J18" i="1"/>
  <c r="L18" i="1" s="1"/>
  <c r="J46" i="1"/>
  <c r="L46" i="1" s="1"/>
  <c r="J25" i="1"/>
  <c r="L25" i="1" s="1"/>
  <c r="J56" i="1"/>
  <c r="L56" i="1" s="1"/>
  <c r="J158" i="1"/>
  <c r="L158" i="1" s="1"/>
  <c r="J127" i="1"/>
  <c r="L127" i="1" s="1"/>
  <c r="J95" i="1"/>
  <c r="L95" i="1" s="1"/>
  <c r="J70" i="1"/>
  <c r="L70" i="1" s="1"/>
  <c r="J75" i="1"/>
  <c r="L75" i="1" s="1"/>
  <c r="J86" i="1"/>
  <c r="L86" i="1" s="1"/>
  <c r="J90" i="1"/>
  <c r="L90" i="1" s="1"/>
  <c r="J36" i="1"/>
  <c r="L36" i="1" s="1"/>
  <c r="J166" i="1"/>
  <c r="L166" i="1" s="1"/>
  <c r="J78" i="1"/>
  <c r="L78" i="1" s="1"/>
  <c r="J141" i="1"/>
  <c r="L141" i="1" s="1"/>
  <c r="J37" i="1"/>
  <c r="L37" i="1" s="1"/>
  <c r="J33" i="1"/>
  <c r="L33" i="1" s="1"/>
  <c r="J174" i="1"/>
  <c r="L174" i="1" s="1"/>
  <c r="J65" i="1"/>
  <c r="L65" i="1" s="1"/>
  <c r="J39" i="1"/>
  <c r="L39" i="1" s="1"/>
  <c r="J109" i="1"/>
  <c r="L109" i="1" s="1"/>
  <c r="J167" i="1"/>
  <c r="L167" i="1" s="1"/>
  <c r="J24" i="1"/>
  <c r="L24" i="1" s="1"/>
  <c r="J118" i="1"/>
  <c r="L118" i="1" s="1"/>
  <c r="J68" i="1"/>
  <c r="L68" i="1" s="1"/>
  <c r="J112" i="1"/>
  <c r="L112" i="1" s="1"/>
  <c r="J99" i="1"/>
  <c r="L99" i="1" s="1"/>
  <c r="J77" i="1"/>
  <c r="L77" i="1" s="1"/>
  <c r="J91" i="1"/>
  <c r="L91" i="1" s="1"/>
  <c r="J32" i="1"/>
  <c r="L32" i="1" s="1"/>
  <c r="J119" i="1"/>
  <c r="L119" i="1" s="1"/>
  <c r="J59" i="1"/>
  <c r="L59" i="1" s="1"/>
  <c r="J181" i="1"/>
  <c r="L181" i="1" s="1"/>
  <c r="J94" i="1"/>
  <c r="L94" i="1" s="1"/>
  <c r="J133" i="1"/>
  <c r="L133" i="1" s="1"/>
  <c r="J52" i="1"/>
  <c r="L52" i="1" s="1"/>
  <c r="J134" i="1"/>
  <c r="L134" i="1" s="1"/>
  <c r="J125" i="1"/>
  <c r="L125" i="1" s="1"/>
  <c r="J168" i="1"/>
  <c r="L168" i="1" s="1"/>
  <c r="J110" i="1"/>
  <c r="L110" i="1" s="1"/>
  <c r="J162" i="1"/>
  <c r="L162" i="1" s="1"/>
  <c r="J98" i="1"/>
  <c r="L98" i="1" s="1"/>
  <c r="J111" i="1"/>
  <c r="L111" i="1" s="1"/>
  <c r="J27" i="1"/>
  <c r="L27" i="1" s="1"/>
  <c r="J107" i="1"/>
  <c r="L107" i="1" s="1"/>
  <c r="J178" i="1"/>
  <c r="L178" i="1" s="1"/>
  <c r="J20" i="1"/>
  <c r="L20" i="1" s="1"/>
  <c r="J160" i="1"/>
  <c r="L160" i="1" s="1"/>
  <c r="J47" i="1"/>
  <c r="L47" i="1" s="1"/>
  <c r="J153" i="1"/>
  <c r="L153" i="1" s="1"/>
  <c r="J132" i="1"/>
  <c r="L132" i="1" s="1"/>
  <c r="J51" i="1"/>
  <c r="L51" i="1" s="1"/>
  <c r="J142" i="1"/>
  <c r="L142" i="1" s="1"/>
  <c r="J136" i="1"/>
  <c r="L136" i="1" s="1"/>
  <c r="AJ47" i="13" l="1"/>
  <c r="AJ161" i="13"/>
  <c r="AJ170" i="13"/>
  <c r="AJ136" i="13"/>
  <c r="AJ135" i="13"/>
  <c r="AJ121" i="13"/>
  <c r="AJ90" i="13"/>
  <c r="AJ112" i="13"/>
  <c r="AJ21" i="13"/>
  <c r="AJ61" i="13"/>
  <c r="AJ176" i="13"/>
  <c r="AJ75" i="13"/>
  <c r="AJ167" i="13"/>
  <c r="AJ32" i="13"/>
  <c r="AJ52" i="13"/>
  <c r="AJ15" i="13"/>
  <c r="AJ76" i="13"/>
  <c r="AJ44" i="13"/>
  <c r="AJ115" i="13"/>
  <c r="AJ14" i="13"/>
  <c r="AJ100" i="13"/>
  <c r="AJ28" i="13"/>
  <c r="AJ19" i="13"/>
  <c r="AJ139" i="13"/>
  <c r="AJ18" i="13"/>
  <c r="AJ173" i="13"/>
  <c r="AJ153" i="13"/>
  <c r="AJ60" i="13"/>
  <c r="AJ83" i="13"/>
  <c r="AJ63" i="13"/>
  <c r="AJ16" i="13"/>
  <c r="AJ123" i="13"/>
  <c r="AJ156" i="13"/>
  <c r="AJ174" i="13"/>
  <c r="AE181" i="13"/>
  <c r="AJ181" i="13" s="1"/>
  <c r="AJ68" i="13"/>
  <c r="AJ108" i="13"/>
  <c r="AJ177" i="13"/>
  <c r="AE180" i="13"/>
  <c r="AJ180" i="13" s="1"/>
  <c r="AJ107" i="13"/>
  <c r="AJ24" i="13"/>
  <c r="AJ97" i="13"/>
  <c r="AJ163" i="13"/>
  <c r="AJ110" i="13"/>
  <c r="AJ126" i="13"/>
  <c r="AJ48" i="13"/>
  <c r="AJ93" i="13"/>
  <c r="AJ74" i="13"/>
  <c r="AJ155" i="13"/>
  <c r="AJ65" i="13"/>
  <c r="AJ168" i="13"/>
  <c r="AJ30" i="13"/>
  <c r="AJ85" i="13"/>
  <c r="AJ94" i="13"/>
  <c r="AJ42" i="13"/>
  <c r="AJ91" i="13"/>
  <c r="AJ160" i="13"/>
  <c r="AJ145" i="13"/>
  <c r="AJ45" i="13"/>
  <c r="AJ78" i="13"/>
  <c r="AJ46" i="13"/>
  <c r="AJ124" i="13"/>
  <c r="AJ40" i="13"/>
  <c r="AJ50" i="13"/>
  <c r="AJ64" i="13"/>
  <c r="AJ103" i="13"/>
  <c r="AJ166" i="13"/>
  <c r="AJ73" i="13"/>
  <c r="AJ148" i="13"/>
  <c r="AJ151" i="13"/>
  <c r="AJ116" i="13"/>
  <c r="AJ122" i="13"/>
  <c r="AJ53" i="13"/>
  <c r="AJ144" i="13"/>
  <c r="AJ134" i="13"/>
  <c r="AJ154" i="13"/>
  <c r="AJ17" i="13"/>
  <c r="AJ169" i="13"/>
  <c r="AJ111" i="13"/>
  <c r="AJ55" i="13"/>
  <c r="AJ89" i="13"/>
  <c r="AJ128" i="13"/>
  <c r="AJ159" i="13"/>
  <c r="AJ22" i="13"/>
  <c r="AE183" i="13"/>
  <c r="AJ183" i="13" s="1"/>
  <c r="AJ81" i="13"/>
  <c r="AJ79" i="13"/>
  <c r="AJ172" i="13"/>
  <c r="AJ87" i="13"/>
  <c r="AJ62" i="13"/>
  <c r="AJ120" i="13"/>
  <c r="AJ157" i="13"/>
  <c r="AJ127" i="13"/>
  <c r="AJ95" i="13"/>
  <c r="AJ39" i="13"/>
  <c r="AJ88" i="13"/>
  <c r="AJ152" i="13"/>
  <c r="AJ149" i="13"/>
  <c r="AJ25" i="13"/>
  <c r="AJ38" i="13"/>
  <c r="AJ102" i="13"/>
  <c r="AJ31" i="13"/>
  <c r="AJ165" i="13"/>
  <c r="AE182" i="13"/>
  <c r="AJ182" i="13" s="1"/>
  <c r="AJ142" i="13"/>
  <c r="AJ106" i="13"/>
  <c r="AJ119" i="13"/>
  <c r="AJ20" i="13"/>
  <c r="AJ147" i="13"/>
  <c r="AJ71" i="13"/>
  <c r="AJ138" i="13"/>
  <c r="AJ131" i="13"/>
  <c r="AJ43" i="13"/>
  <c r="AJ29" i="13"/>
  <c r="AJ98" i="13"/>
  <c r="AJ118" i="13"/>
  <c r="AJ109" i="13"/>
  <c r="AJ35" i="13"/>
  <c r="AJ33" i="13"/>
  <c r="AJ143" i="13"/>
  <c r="AJ84" i="13"/>
  <c r="AJ72" i="13"/>
  <c r="AJ67" i="13"/>
  <c r="AJ70" i="13"/>
  <c r="AJ129" i="13"/>
  <c r="AJ171" i="13"/>
  <c r="AJ117" i="13"/>
  <c r="AJ80" i="13"/>
  <c r="AJ113" i="13"/>
  <c r="AJ164" i="13"/>
  <c r="AJ125" i="13"/>
  <c r="AJ178" i="13"/>
  <c r="AJ146" i="13"/>
  <c r="AJ99" i="13"/>
  <c r="AJ137" i="13"/>
  <c r="AJ23" i="13"/>
  <c r="AJ36" i="13"/>
  <c r="AJ82" i="13"/>
  <c r="AJ162" i="13"/>
  <c r="AJ34" i="13"/>
  <c r="AJ41" i="13"/>
  <c r="AJ96" i="13"/>
  <c r="AJ57" i="13"/>
  <c r="AE12" i="13"/>
  <c r="AJ12" i="13" s="1"/>
  <c r="AJ132" i="13"/>
  <c r="AJ49" i="13"/>
  <c r="AJ105" i="13"/>
  <c r="DP19" i="13"/>
  <c r="J60" i="1"/>
  <c r="L60" i="1" s="1"/>
  <c r="J16" i="1"/>
  <c r="L16" i="1" s="1"/>
  <c r="DP23" i="13"/>
  <c r="CX12" i="13"/>
  <c r="CY12" i="13" s="1"/>
  <c r="DP12" i="13"/>
  <c r="DP17" i="13"/>
  <c r="DP24" i="13"/>
  <c r="DP30" i="13"/>
  <c r="DP15" i="13"/>
  <c r="J41" i="1"/>
  <c r="L41" i="1" s="1"/>
  <c r="J149" i="1"/>
  <c r="L149" i="1" s="1"/>
  <c r="J63" i="1"/>
  <c r="L63" i="1" s="1"/>
  <c r="DP28" i="13"/>
  <c r="DP18" i="13"/>
  <c r="DP31" i="13"/>
  <c r="DP20" i="13"/>
  <c r="DP29" i="13"/>
  <c r="DP21" i="13"/>
  <c r="DP32" i="13"/>
  <c r="DP22" i="13"/>
  <c r="DP14" i="13"/>
  <c r="J87" i="1"/>
  <c r="L87" i="1" s="1"/>
  <c r="J139" i="1"/>
  <c r="L139" i="1" s="1"/>
  <c r="DP25" i="13"/>
  <c r="DP16" i="13"/>
  <c r="AJ141" i="13" l="1"/>
  <c r="AJ59" i="13"/>
  <c r="AJ37" i="13"/>
  <c r="AJ56" i="13"/>
  <c r="AJ86" i="13"/>
  <c r="AJ150" i="13"/>
  <c r="AJ13" i="13"/>
  <c r="DP13" i="13"/>
  <c r="J130" i="1" l="1"/>
  <c r="L130" i="1" s="1"/>
  <c r="J102" i="1"/>
  <c r="L102" i="1" s="1"/>
  <c r="AJ101" i="13" l="1"/>
  <c r="AJ133" i="13"/>
  <c r="J177" i="1"/>
  <c r="L177" i="1" s="1"/>
  <c r="AE179" i="13" l="1"/>
  <c r="AJ179" i="13" s="1"/>
  <c r="J114" i="1" l="1"/>
  <c r="L114" i="1" s="1"/>
  <c r="J93" i="1"/>
  <c r="L93" i="1" s="1"/>
  <c r="J55" i="1"/>
  <c r="L55" i="1" s="1"/>
  <c r="J138" i="1"/>
  <c r="L138" i="1" s="1"/>
  <c r="AJ92" i="13" l="1"/>
  <c r="AJ114" i="13"/>
  <c r="AJ51" i="13"/>
  <c r="AJ140" i="13"/>
  <c r="J104" i="1" l="1"/>
  <c r="L104" i="1" s="1"/>
  <c r="J69" i="1"/>
  <c r="L69" i="1" s="1"/>
  <c r="J173" i="1"/>
  <c r="L173" i="1" s="1"/>
  <c r="AJ104" i="13" l="1"/>
  <c r="AJ175" i="13"/>
  <c r="AJ66" i="13"/>
  <c r="J30" i="1" l="1"/>
  <c r="L30" i="1" s="1"/>
  <c r="AJ27" i="13" l="1"/>
  <c r="DP27" i="13"/>
  <c r="J129" i="1"/>
  <c r="L129" i="1" s="1"/>
  <c r="AJ130" i="13" l="1"/>
  <c r="J80" i="1" l="1"/>
  <c r="L80" i="1" s="1"/>
  <c r="J58" i="1"/>
  <c r="L58" i="1" s="1"/>
  <c r="AJ77" i="13" l="1"/>
  <c r="AJ54" i="13"/>
  <c r="J62" i="1" l="1"/>
  <c r="L62" i="1" s="1"/>
  <c r="AJ58" i="13" l="1"/>
  <c r="J156" i="1" l="1"/>
  <c r="L156" i="1" s="1"/>
  <c r="AJ158" i="13" l="1"/>
  <c r="J29" i="1" l="1"/>
  <c r="L29" i="1" s="1"/>
  <c r="AJ26" i="13" l="1"/>
  <c r="DP26" i="13"/>
</calcChain>
</file>

<file path=xl/sharedStrings.xml><?xml version="1.0" encoding="utf-8"?>
<sst xmlns="http://schemas.openxmlformats.org/spreadsheetml/2006/main" count="4938" uniqueCount="492">
  <si>
    <t>NO</t>
  </si>
  <si>
    <t>Nama Obat</t>
  </si>
  <si>
    <t>SATUAN</t>
  </si>
  <si>
    <t>Air untuk injeksi amp 25 ml</t>
  </si>
  <si>
    <t>Ampul</t>
  </si>
  <si>
    <t>Alopurinol tab 300 mg</t>
  </si>
  <si>
    <t>Tablet</t>
  </si>
  <si>
    <t>Amlodipin tab 5 mg</t>
  </si>
  <si>
    <t>Amoksisilin sirup kering 125 mg/5 ml</t>
  </si>
  <si>
    <t>Amoksisilin tab 500 mg</t>
  </si>
  <si>
    <t xml:space="preserve">Antasida, kombinasi : aluminium  hidroksida 200 mg + magnesium hidroksida 200 mg  </t>
  </si>
  <si>
    <t xml:space="preserve">Antihemoroid, kombinasi: bismut subgalat 150 mg + heksaklorofen 2,5 mg +  lidokain lidokain 10 mg+  seng oksida 120 mg +  sup ad 2 g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</si>
  <si>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Asam asetilsalisilat tab 80 mg (Miniaspi)</t>
  </si>
  <si>
    <t>Asam askorbat (vitamin C) tab 50 mg</t>
  </si>
  <si>
    <t>Asam mefenamat kaps 500 mg</t>
  </si>
  <si>
    <t>Asam traneksamat inj 50 mg/ml</t>
  </si>
  <si>
    <t>Asering larutan infus</t>
  </si>
  <si>
    <t>Asiklovir tab 400 mg</t>
  </si>
  <si>
    <t>Atapulgit ( New Antides ) tab 600 mg</t>
  </si>
  <si>
    <t>Atropin inj 0,25 mg/ml  (i.m./i.v./s.k)</t>
  </si>
  <si>
    <t xml:space="preserve">Betametason krim 0,1% </t>
  </si>
  <si>
    <t>Bisakodil sup 5 mg ( Dulcolax )</t>
  </si>
  <si>
    <t>Bisakodil sup 10 mg ( Dulcolax )</t>
  </si>
  <si>
    <t>Colcitin 0.5 gr</t>
  </si>
  <si>
    <t>Deksametason inj 5 mg/ml  (i.v./i.m.)</t>
  </si>
  <si>
    <t>Deksametason  tab 0,5 mg</t>
  </si>
  <si>
    <t>Dextrose 40%</t>
  </si>
  <si>
    <t>Diazepam inj 10 mg/ 2 ml  ( i v./i.m .) stesolid</t>
  </si>
  <si>
    <t>Diazepam lar rektal 5 mg/2,5 ml ( Stesolid )</t>
  </si>
  <si>
    <t>Diazepam tab 2 mg</t>
  </si>
  <si>
    <t>Difenhidramin inj  10 mg/ml (i.v./i.m.)</t>
  </si>
  <si>
    <t>Dimenhidrinat tab 50 mg</t>
  </si>
  <si>
    <t>Doksisiklin kaps 100 mg</t>
  </si>
  <si>
    <t>Kapsul</t>
  </si>
  <si>
    <t>Domperidon susp 5 mg/5 ml</t>
  </si>
  <si>
    <t>Epinefrin (adrenalin) inj  0,1% (i.v./s.k./i.m.)</t>
  </si>
  <si>
    <t>Fenobarbital tablet</t>
  </si>
  <si>
    <t>Fitomenadion (vitamin K 1) tab sal 10 mg</t>
  </si>
  <si>
    <t>Fitomenadion (vitamin K 1) injeksi 2 mg/ ml</t>
  </si>
  <si>
    <t>Furosemida 40 mg tablet</t>
  </si>
  <si>
    <t>Garam Oralit</t>
  </si>
  <si>
    <t>Glimepirid tab 2 mg</t>
  </si>
  <si>
    <t>Glukosa Larutan Infus  5 % steril</t>
  </si>
  <si>
    <t>Haloperidol tab 1,5 mg</t>
  </si>
  <si>
    <t>Haloperidol tab 5 mg</t>
  </si>
  <si>
    <t>Hidrokortison krim 2,5%</t>
  </si>
  <si>
    <t>Hiosina butilbromida tab 10 mg ( Buscopan )</t>
  </si>
  <si>
    <t>Ibuprofen sir 100 mg/5 ml</t>
  </si>
  <si>
    <t>Botol</t>
  </si>
  <si>
    <t>Ibuprofen tab 400  mg</t>
  </si>
  <si>
    <t>Isosorbid dinitrat tab 5 mg</t>
  </si>
  <si>
    <t>Kalsium laktat (kalk) tab 500 mg</t>
  </si>
  <si>
    <t>Karbamazepin tab 200 mg</t>
  </si>
  <si>
    <t>Karbogliserin tts telinga 10 % ( Fenol gliserol )</t>
  </si>
  <si>
    <t>Ketokonazol  tab 200 mg</t>
  </si>
  <si>
    <t>Kloramfenikol Salep Kulit 2% ( Bufacetin )</t>
  </si>
  <si>
    <t>Kloramfenikol salep mata 1%</t>
  </si>
  <si>
    <t>Kloramfenikol susp 125 mg/5 ml</t>
  </si>
  <si>
    <t>Kloramfenikol tts mata 0,5% ( Decacetine)</t>
  </si>
  <si>
    <t>Kloramfenikol Tetes Telinga ( ERLAMYCETIN</t>
  </si>
  <si>
    <t>Klorfeniramin Maleat ( CTM ) tab 4 mg</t>
  </si>
  <si>
    <t>Kodein tab 10 mg</t>
  </si>
  <si>
    <t>Kotrimoksazol (dewasa) kombinasi tiap 5 ml suspensi  : sulfametoksazol 200 mg + trimetoprim 40 mg</t>
  </si>
  <si>
    <t>Lidokain inj 2% (hcl)</t>
  </si>
  <si>
    <t>Vial</t>
  </si>
  <si>
    <t>Metformin tab 500 mg</t>
  </si>
  <si>
    <t>Metilergometrin Maleat tab salut 0,125 mg</t>
  </si>
  <si>
    <t>Metilprednisolon tab 4 mg</t>
  </si>
  <si>
    <t>Metoklopramid  tab 10 mg</t>
  </si>
  <si>
    <t>Metronidazol tab 500 mg</t>
  </si>
  <si>
    <t xml:space="preserve">Mikonazol  krim 2% </t>
  </si>
  <si>
    <t>N-asetil sistein kaps 200 mg</t>
  </si>
  <si>
    <t>NaCl 0,9% Larutan</t>
  </si>
  <si>
    <t>Natrium diklofenak tab 50 mg</t>
  </si>
  <si>
    <t>Nifedipin kaps 10 mg</t>
  </si>
  <si>
    <t>Nistatin tab vaginal 100.000 UI</t>
  </si>
  <si>
    <t>Oksitosin inj 10 UI/ml</t>
  </si>
  <si>
    <t>Omeprazol inj 40 mg/10 ml</t>
  </si>
  <si>
    <t>Omeprazol kaps 20 mg</t>
  </si>
  <si>
    <t xml:space="preserve">Ondansetron Injeksi </t>
  </si>
  <si>
    <t>Ondansetron tablet 8 mg</t>
  </si>
  <si>
    <t>Parasetamol sir 120 mg/5 ml</t>
  </si>
  <si>
    <t>Parasetamol tab 500 mg</t>
  </si>
  <si>
    <t>Perak sulfadiazin krim 1% ( Burnazin )</t>
  </si>
  <si>
    <t>Permetrin krim 5 % ( Scabimite )</t>
  </si>
  <si>
    <t xml:space="preserve">Piridoksin (vitamin B6) tab 10 mg </t>
  </si>
  <si>
    <t>Prednison tab 5 mg</t>
  </si>
  <si>
    <t>Propiltiourasil tab 100 mg</t>
  </si>
  <si>
    <t xml:space="preserve">Propranolol tab 10 mg </t>
  </si>
  <si>
    <t>Ranitidin tab 150 mg</t>
  </si>
  <si>
    <t xml:space="preserve">Ringer Laktat Larutan </t>
  </si>
  <si>
    <t>Salbutamol tab 4 mg</t>
  </si>
  <si>
    <t xml:space="preserve">Salep 2-4, kombinasi :  asam salisilat 2 %+ belerang endap 4 %          </t>
  </si>
  <si>
    <t>Sefadroksil kapsul  500 mg</t>
  </si>
  <si>
    <t>Sefotaksim serb inj 1.000 mg/vial</t>
  </si>
  <si>
    <t>Setirisin sirup</t>
  </si>
  <si>
    <t>Setirisin Tablet</t>
  </si>
  <si>
    <t>Sianokobalamin (vitamin B12) inj 500 mcg/ml</t>
  </si>
  <si>
    <t>Sianokobalamin (vitamin B12) tab 50 mcg</t>
  </si>
  <si>
    <t>Siprofloksasin tab scored 500 mg</t>
  </si>
  <si>
    <t xml:space="preserve">Tiamin (vitamin B1) tab 50 mg </t>
  </si>
  <si>
    <t>Vitamin B kompleks tablet</t>
  </si>
  <si>
    <t xml:space="preserve">Zinc  tab disp 20 mg </t>
  </si>
  <si>
    <t>Zinc sirup</t>
  </si>
  <si>
    <t>Betahistin Mesilat tab 6 mg</t>
  </si>
  <si>
    <t>Gliseril guaiakolat tablet 100 mg  / Guaifenasin tablet</t>
  </si>
  <si>
    <t>Metamizol  Natrium (Norages) Injeksi</t>
  </si>
  <si>
    <t>Alat suntik sekali pakai 1 ml</t>
  </si>
  <si>
    <t>Pcs</t>
  </si>
  <si>
    <t>Alat suntik sekali pakai 3 ml</t>
  </si>
  <si>
    <t>Alat suntik sekali pakai 5 ml</t>
  </si>
  <si>
    <t>Alat suntik sekali pakai 10 ml</t>
  </si>
  <si>
    <t>Alkohol SWAB</t>
  </si>
  <si>
    <t>Aseptan 500 cc + Dispenser</t>
  </si>
  <si>
    <t>Catgut / Benang Bedah No.2/0-3/0</t>
  </si>
  <si>
    <t>Etakridin larutan 0,1%</t>
  </si>
  <si>
    <t>Etanol ( Alkohol ) 70%</t>
  </si>
  <si>
    <t>Folley Catheter No. 16</t>
  </si>
  <si>
    <t>Folley Catheter No. 18</t>
  </si>
  <si>
    <t>Infusion set anak</t>
  </si>
  <si>
    <t>IV Catheter No. 18</t>
  </si>
  <si>
    <t>IV Catheter No. 20</t>
  </si>
  <si>
    <t>IV Catheter No. 22</t>
  </si>
  <si>
    <t>IV Catheter No. 24</t>
  </si>
  <si>
    <t>IV Catheter No. 26</t>
  </si>
  <si>
    <t>Kapas Pembalut/absorben 250 mg</t>
  </si>
  <si>
    <t>Roll</t>
  </si>
  <si>
    <t>Kasa Kompres Steril 16 x 16</t>
  </si>
  <si>
    <t>Kasa Pembalut 40 y x 80 cm</t>
  </si>
  <si>
    <t>Kasa Pembalut Hidrofil 4 m x 15 cm</t>
  </si>
  <si>
    <t>Lisol, mengandung kresol tersabun 50%</t>
  </si>
  <si>
    <t>Masker Nebulizer Set Anak</t>
  </si>
  <si>
    <t>Masker nebulizer set dewasa</t>
  </si>
  <si>
    <t>Oxyflow Nasal Bayi</t>
  </si>
  <si>
    <t>Oxyflow Nasal Anak</t>
  </si>
  <si>
    <t xml:space="preserve">Nasal Oxygen Canula-Adult Straight </t>
  </si>
  <si>
    <t>Plaster (Leukoplast) 1625 H</t>
  </si>
  <si>
    <t>Povidon iodin lar 100 mg/ml</t>
  </si>
  <si>
    <t>Silk 2/0  150 Cm</t>
  </si>
  <si>
    <t>Surgical gloves No. 6,5</t>
  </si>
  <si>
    <t>Surgical gloves No. 7</t>
  </si>
  <si>
    <t>Surgical gloves No. 7,5</t>
  </si>
  <si>
    <t>Surgical gloves Tissue S</t>
  </si>
  <si>
    <t>Surgical gloves Tissue M</t>
  </si>
  <si>
    <t>Surgical gloves Tissue L</t>
  </si>
  <si>
    <t xml:space="preserve">Surgical Mask Plus-3 ply Plus Earloop </t>
  </si>
  <si>
    <t>Umbilcal Cord Klem Steril Nylon</t>
  </si>
  <si>
    <t>Urine Bag</t>
  </si>
  <si>
    <t>Mineral Mix</t>
  </si>
  <si>
    <t>LAPORAN PEMAKAIAN DAN LEMBAR PERMINTAAN OBAT</t>
  </si>
  <si>
    <t>(LPLPO)</t>
  </si>
  <si>
    <t>KODE PUSKESMAS</t>
  </si>
  <si>
    <t>: LPLPO GUDANG</t>
  </si>
  <si>
    <t>PUSKESMAS</t>
  </si>
  <si>
    <t>KECAMATAN</t>
  </si>
  <si>
    <t>KABUPATEN</t>
  </si>
  <si>
    <t>: LUWU UTARA</t>
  </si>
  <si>
    <t>PROPINSI</t>
  </si>
  <si>
    <t>: SULAWESI SELATAN</t>
  </si>
  <si>
    <t>BULAN</t>
  </si>
  <si>
    <t>TAHUN</t>
  </si>
  <si>
    <t>STOK AWAL</t>
  </si>
  <si>
    <t>PENERIMAAN</t>
  </si>
  <si>
    <t>PERSEDIAAN</t>
  </si>
  <si>
    <t>PEMAKAIAN</t>
  </si>
  <si>
    <t>SISA STOK</t>
  </si>
  <si>
    <t>PERMINTAAN</t>
  </si>
  <si>
    <t>PEMBERIAN</t>
  </si>
  <si>
    <t>KET</t>
  </si>
  <si>
    <t>PKD</t>
  </si>
  <si>
    <t>JKN</t>
  </si>
  <si>
    <t>PROG</t>
  </si>
  <si>
    <t>LAIN-LAIN</t>
  </si>
  <si>
    <t>JML</t>
  </si>
  <si>
    <t>A</t>
  </si>
  <si>
    <t>Vitamin A Merah 20000 iu</t>
  </si>
  <si>
    <t>Vitamin A Biru 10000 iu</t>
  </si>
  <si>
    <t>Sacshet</t>
  </si>
  <si>
    <t>OBAT KESEHATAN IBU ANAK</t>
  </si>
  <si>
    <t>Phenobarbital Injeksi</t>
  </si>
  <si>
    <t>Fitomenadion injeksi 2 mg/ ml</t>
  </si>
  <si>
    <t>Ampicilin injeksi</t>
  </si>
  <si>
    <t>vial</t>
  </si>
  <si>
    <t>Diazepam Injeksi</t>
  </si>
  <si>
    <t xml:space="preserve">Calsii Gluconas </t>
  </si>
  <si>
    <t>Methyl Ergometrine inje 2 mg</t>
  </si>
  <si>
    <t>Mgso4 40 %</t>
  </si>
  <si>
    <t>Oxytetra Salep mata 1 %</t>
  </si>
  <si>
    <t>Tube</t>
  </si>
  <si>
    <t>OBAT PROGRAM MALARIA</t>
  </si>
  <si>
    <t>Primaquin</t>
  </si>
  <si>
    <t>OBAT PROGRAM KECACINGAN</t>
  </si>
  <si>
    <t xml:space="preserve">Albendazole </t>
  </si>
  <si>
    <t>OBAT PROGRAM KESWA</t>
  </si>
  <si>
    <t>Amitriptilin 25</t>
  </si>
  <si>
    <t>Clobazam 10 mg</t>
  </si>
  <si>
    <t>Clozapine</t>
  </si>
  <si>
    <t>Trihexifenidil 2 mg</t>
  </si>
  <si>
    <t>tablet</t>
  </si>
  <si>
    <t>OBAT PROGRAM TB</t>
  </si>
  <si>
    <t>OAT Kategori Anak</t>
  </si>
  <si>
    <t>Paket</t>
  </si>
  <si>
    <t>Kombipak Kat 1</t>
  </si>
  <si>
    <t>Test</t>
  </si>
  <si>
    <t>Buah</t>
  </si>
  <si>
    <t>OBAT PROGRAM DIARE</t>
  </si>
  <si>
    <t>Garam oralit</t>
  </si>
  <si>
    <t>OBAT PROGRAM KUSTA</t>
  </si>
  <si>
    <t xml:space="preserve">MDT MB Adult </t>
  </si>
  <si>
    <t>Blister</t>
  </si>
  <si>
    <t>BMHP PROGRAM IMUNISASI</t>
  </si>
  <si>
    <t>ADS / Solosot ( spoit 0,5 ml )</t>
  </si>
  <si>
    <t>pcs</t>
  </si>
  <si>
    <t>ADS / Solosot ( spoit 0,05 ml )</t>
  </si>
  <si>
    <t>ADS / Solosot ( spoit 5 ml )</t>
  </si>
  <si>
    <t>Safety box 5 liter</t>
  </si>
  <si>
    <t xml:space="preserve"> PROGRAM HIV/AIDS DAN PMS</t>
  </si>
  <si>
    <t>K</t>
  </si>
  <si>
    <t>PENERIMAAN OBAT</t>
  </si>
  <si>
    <t>TOTAL</t>
  </si>
  <si>
    <t>MUNTE</t>
  </si>
  <si>
    <t>KARONDANG</t>
  </si>
  <si>
    <t>RAMPOANG</t>
  </si>
  <si>
    <t>SIDOBINANGUN</t>
  </si>
  <si>
    <t>BUNGADIDI</t>
  </si>
  <si>
    <t>BUNGAPATI</t>
  </si>
  <si>
    <t>POREANG</t>
  </si>
  <si>
    <t>SUMBER DADI</t>
  </si>
  <si>
    <t>SIDO MAKMUR</t>
  </si>
  <si>
    <t>PATILA</t>
  </si>
  <si>
    <t>USILA</t>
  </si>
  <si>
    <t>PUSKEL</t>
  </si>
  <si>
    <t>KAMAR OBAT</t>
  </si>
  <si>
    <t>DLL</t>
  </si>
  <si>
    <t>JUMLAH</t>
  </si>
  <si>
    <t>APOTIK</t>
  </si>
  <si>
    <t>LAPORAN DISTRIBUSI OBAT UNIT PELAYANAN</t>
  </si>
  <si>
    <t>: LPLPO REKAPAN</t>
  </si>
  <si>
    <t>: LPLPO REKAPAN PROGRAM</t>
  </si>
  <si>
    <t>SUMNERDADI</t>
  </si>
  <si>
    <t>SIDOMAKMUR</t>
  </si>
  <si>
    <t>GUDANG</t>
  </si>
  <si>
    <t>M</t>
  </si>
  <si>
    <t>S</t>
  </si>
  <si>
    <t>REKAPAN PEMAKAIAN DAN SISA STOK OBAT PUSTU DAN UNIT LAYANAN LAINNYA</t>
  </si>
  <si>
    <t>PERSEDIANN</t>
  </si>
  <si>
    <t>SISA STOK UNIT LAYANAN</t>
  </si>
  <si>
    <t>UMUM</t>
  </si>
  <si>
    <t>BPJS</t>
  </si>
  <si>
    <t>Mengetahui  :</t>
  </si>
  <si>
    <t xml:space="preserve">Anestetik lokal gigi kombinasi   :   lidokain hcl   2% + epinefrin 1 : 80.000       inj 2 ml                                                                    </t>
  </si>
  <si>
    <t>Kaptopril tab 25 mg</t>
  </si>
  <si>
    <t xml:space="preserve">Kloramfenikol  250 mg kapsul </t>
  </si>
  <si>
    <t xml:space="preserve">Kotrimoksazol (dewasa) kombinasi : sulfametoksazol        400 mg+ trimetoprim 80 mg                                                                                                                                </t>
  </si>
  <si>
    <t>Pot</t>
  </si>
  <si>
    <t>Ktk</t>
  </si>
  <si>
    <t>set</t>
  </si>
  <si>
    <t>Metronidazole Infus</t>
  </si>
  <si>
    <t>Triheksifenidil Tablet 2 mg</t>
  </si>
  <si>
    <t>Anti Tetanus Serum ( ATS ) 1500 IU</t>
  </si>
  <si>
    <t>Bedak Salicyl 2 % 60 gr</t>
  </si>
  <si>
    <t>Furosemid Inj 10 mg/ml</t>
  </si>
  <si>
    <t>Ambroxol Sirup</t>
  </si>
  <si>
    <t>Parasetamol Infus  10 mg/ml</t>
  </si>
  <si>
    <t>Metilergometrin Maleat Inj 0,2 mg/ml</t>
  </si>
  <si>
    <t>Gentamicin Salep Kulit ( Gentalex Krim )</t>
  </si>
  <si>
    <t>Oksitosin Injeksi</t>
  </si>
  <si>
    <t>Mgso4 20 %</t>
  </si>
  <si>
    <t>ACT ( Obat Antimalaria )/DHP</t>
  </si>
  <si>
    <t>Artesunat Injeksi 60mg/ml</t>
  </si>
  <si>
    <t>Klorpromazin Hcl 100 mg</t>
  </si>
  <si>
    <t>Pot dahak</t>
  </si>
  <si>
    <t>Zinc tablet</t>
  </si>
  <si>
    <t>Botol 30 tab</t>
  </si>
  <si>
    <t>Botol 60 tab</t>
  </si>
  <si>
    <t xml:space="preserve"> PROGRAM HEPATITIS</t>
  </si>
  <si>
    <t>Rapid HBSAG</t>
  </si>
  <si>
    <t>Asam askorbat (vitamin C) tab 250 mg</t>
  </si>
  <si>
    <t>DAFTAR PENERIMAAN OBAT PKD</t>
  </si>
  <si>
    <t>OAT KDT Harian</t>
  </si>
  <si>
    <t>Klorpromazin tablet 100 mg</t>
  </si>
  <si>
    <t>Oksitetrasiklin Salep mata 1 %</t>
  </si>
  <si>
    <t>Ethyl Chloride</t>
  </si>
  <si>
    <t>Tabelt Tambah Darah</t>
  </si>
  <si>
    <t>Giemsa</t>
  </si>
  <si>
    <t>Albendazole Syrup suspensi 200 mg/ml</t>
  </si>
  <si>
    <t>MDT MB Anak</t>
  </si>
  <si>
    <t>TDF(300)+3TC(300)+EFV(600) FDC Dewasa /TENOLAM</t>
  </si>
  <si>
    <t>TDF(300)+3TC(300)+DTG(50) / TELADO / ACRIPTEGA</t>
  </si>
  <si>
    <t>btl</t>
  </si>
  <si>
    <t>Lamuvidine 150 mg</t>
  </si>
  <si>
    <t>Tenovir 300 mg</t>
  </si>
  <si>
    <t xml:space="preserve">Lopinavir 40 mg Ritonavir 10 mg ( FDC ANAK ) </t>
  </si>
  <si>
    <t>Box 120 saccshet</t>
  </si>
  <si>
    <t>test</t>
  </si>
  <si>
    <t>Azitromicyn 1000 mg +Cefotaxim 400 mg</t>
  </si>
  <si>
    <t>Benzzatin Penicilin 2,4 jt IU</t>
  </si>
  <si>
    <t>Kotrimoksazol 960 mg</t>
  </si>
  <si>
    <t>Masker 3 ply</t>
  </si>
  <si>
    <t>buah</t>
  </si>
  <si>
    <t>Piridoksin B6 25 mg</t>
  </si>
  <si>
    <t>Isoniazid 300 mg/ INH</t>
  </si>
  <si>
    <t>Cartridge Genexpert</t>
  </si>
  <si>
    <t>Rifapentin 300 mg /Isoniasid 300 mg</t>
  </si>
  <si>
    <t xml:space="preserve">Tuberculin </t>
  </si>
  <si>
    <t>Rifapentin 150 mg/Lepasan</t>
  </si>
  <si>
    <t>Reagen ZN</t>
  </si>
  <si>
    <t>Isoniazid 100 mg</t>
  </si>
  <si>
    <t>Kepala UPT Puskesmas Tana Lili</t>
  </si>
  <si>
    <t>GIZI</t>
  </si>
  <si>
    <t>NIP. 19971223 202203 2 001</t>
  </si>
  <si>
    <t>Pengelola Obat Puskesmas</t>
  </si>
  <si>
    <t>: LPLPO PROGRAM</t>
  </si>
  <si>
    <t>OBAT PROGRAM</t>
  </si>
  <si>
    <t>DAFTAR PENERIMAAN OBAT PROGRAM</t>
  </si>
  <si>
    <t>LAMPIRAN BERITA ACARA STOK OPNAME OBAT PKD</t>
  </si>
  <si>
    <t>LAMPIRAN BERITA ACARA STOK OPNAME OBAT PROGRAM</t>
  </si>
  <si>
    <t>Amlodipin Tablet 10 mg</t>
  </si>
  <si>
    <t>LAPORAN PENGELUARAN OBAT PUSTU DAN UNIT PELAYANAN LAINNYA</t>
  </si>
  <si>
    <t>Btl 60 ml</t>
  </si>
  <si>
    <t xml:space="preserve">Asiklovir Krim </t>
  </si>
  <si>
    <t>Botol 500 ml</t>
  </si>
  <si>
    <t>Botol @ 500 ml</t>
  </si>
  <si>
    <t>btl 1000 ml</t>
  </si>
  <si>
    <t>sisa stok</t>
  </si>
  <si>
    <t>Salbutamol nebules vial 2,5 mg  (Meprovent)</t>
  </si>
  <si>
    <t>Infus Set Dewasa</t>
  </si>
  <si>
    <t>Ktk @ 100 tablet</t>
  </si>
  <si>
    <t>Ktk 50 Tablet</t>
  </si>
  <si>
    <t>Ktk @100 kaplet</t>
  </si>
  <si>
    <t>Suppositoria</t>
  </si>
  <si>
    <t>tube</t>
  </si>
  <si>
    <t>Ktk 5 x 10 Tablet</t>
  </si>
  <si>
    <t xml:space="preserve">Ktk 150 Tablet </t>
  </si>
  <si>
    <t>Ktk 10 x 10 tablet</t>
  </si>
  <si>
    <t>tube @ 5 gram</t>
  </si>
  <si>
    <t>Ktk 30 tab</t>
  </si>
  <si>
    <t>Ampul @ 2 ml</t>
  </si>
  <si>
    <t>Tube 5 mg/2,5 ml</t>
  </si>
  <si>
    <t>Btl 100 tablet</t>
  </si>
  <si>
    <t>Ktk @100 kapsul</t>
  </si>
  <si>
    <t>Ktk 100 tablet</t>
  </si>
  <si>
    <t>Ktk 200 tablet</t>
  </si>
  <si>
    <t>Tube 5 gram</t>
  </si>
  <si>
    <t>Ktk 10 x 10 Tablet</t>
  </si>
  <si>
    <t>Ktk 3 x 10 tablet</t>
  </si>
  <si>
    <t>Tube @ 15 gr</t>
  </si>
  <si>
    <t>Tube @ 5 gr</t>
  </si>
  <si>
    <t xml:space="preserve"> ampul @ 2 ml</t>
  </si>
  <si>
    <t>Tube 10 gram</t>
  </si>
  <si>
    <t>ktk @ 12 tab</t>
  </si>
  <si>
    <t xml:space="preserve"> pot @ 30 gram</t>
  </si>
  <si>
    <t>Ktk 10 x 10 Tab</t>
  </si>
  <si>
    <t>Dextrosa 5%</t>
  </si>
  <si>
    <t>RDT Malaria</t>
  </si>
  <si>
    <t>Tes</t>
  </si>
  <si>
    <t>RDT Frambusia</t>
  </si>
  <si>
    <t>RDT Chikungunya</t>
  </si>
  <si>
    <t>RDT DBD</t>
  </si>
  <si>
    <t>Albendazole (Bantuan WHO)</t>
  </si>
  <si>
    <t>Rispiridon  2 mg</t>
  </si>
  <si>
    <t>Haloperidol 5 mg</t>
  </si>
  <si>
    <t>Kaca Slide</t>
  </si>
  <si>
    <t>Box</t>
  </si>
  <si>
    <t>Etambutol 400 mg</t>
  </si>
  <si>
    <t>Pirazinamid 500 mg</t>
  </si>
  <si>
    <t>Isoniazid 300 mg</t>
  </si>
  <si>
    <t>Box Kaca Slide</t>
  </si>
  <si>
    <t>Masker Bedah</t>
  </si>
  <si>
    <t>Masker N95</t>
  </si>
  <si>
    <t>Masker Hijab</t>
  </si>
  <si>
    <t>Kotak</t>
  </si>
  <si>
    <t>RDT HIV 1/2 &amp; Sypilis</t>
  </si>
  <si>
    <t>Flukonazole 150 mg</t>
  </si>
  <si>
    <t>Dolutegravir 10 mg</t>
  </si>
  <si>
    <t>Kondom</t>
  </si>
  <si>
    <t>Lubrikan</t>
  </si>
  <si>
    <t>RDT HIV 1/2 (Collodial Gold)</t>
  </si>
  <si>
    <t>Gentamicin Inj</t>
  </si>
  <si>
    <t>Rapid Hepatitis A</t>
  </si>
  <si>
    <t>Anti HCV</t>
  </si>
  <si>
    <t>Rapid Anti HBS</t>
  </si>
  <si>
    <t>Strip</t>
  </si>
  <si>
    <t>Riski Anggurun,S.Farm,Apt</t>
  </si>
  <si>
    <t>12 a</t>
  </si>
  <si>
    <t>12 b</t>
  </si>
  <si>
    <t>12 c</t>
  </si>
  <si>
    <t>13 b</t>
  </si>
  <si>
    <t>17 b</t>
  </si>
  <si>
    <t>TAHUN 2025</t>
  </si>
  <si>
    <t>17 dn 25</t>
  </si>
  <si>
    <t>Supralysin</t>
  </si>
  <si>
    <t>Taburia</t>
  </si>
  <si>
    <t>Proten Gold Vanila</t>
  </si>
  <si>
    <t>Reagen Kit Malaria</t>
  </si>
  <si>
    <t>Kit</t>
  </si>
  <si>
    <t>Rifampicin 300 mg</t>
  </si>
  <si>
    <t xml:space="preserve">Abacavir 120 mg + 3TC 60 mg ( FDC ANAK ) </t>
  </si>
  <si>
    <t>Abacavir 300 mg</t>
  </si>
  <si>
    <t>Dolutegravir 50 mg</t>
  </si>
  <si>
    <t>Evafirenz 600 Mg</t>
  </si>
  <si>
    <t>Neviravine (NVP) 200  mg</t>
  </si>
  <si>
    <t xml:space="preserve">Rapid  Test HIV  2 </t>
  </si>
  <si>
    <t xml:space="preserve">Rapid Test HIV 1 </t>
  </si>
  <si>
    <t xml:space="preserve">Rapid Test HIV 3 </t>
  </si>
  <si>
    <t>Trepochek Sypilis</t>
  </si>
  <si>
    <t>Viral Load</t>
  </si>
  <si>
    <t>Zidofudin (ZD) 100  mg</t>
  </si>
  <si>
    <t>Zidovudin (ZD) 300  mg + Lamivudine 150 mg (DUVIRAL)</t>
  </si>
  <si>
    <t>Zidovudin (ZD) 50  mg/ ml</t>
  </si>
  <si>
    <t>: 2025</t>
  </si>
  <si>
    <t>Bulan</t>
  </si>
  <si>
    <t>Atorvastatin tab 20 mg</t>
  </si>
  <si>
    <t>Atorvastatin tab</t>
  </si>
  <si>
    <t>syr</t>
  </si>
  <si>
    <t>Nurcinde,S.Kep,Ns</t>
  </si>
  <si>
    <t>NIP. 19771225 200701 2 017</t>
  </si>
  <si>
    <t>Resperidone tab</t>
  </si>
  <si>
    <t xml:space="preserve">Bulan Januari </t>
  </si>
  <si>
    <t>TAHUN 2026</t>
  </si>
  <si>
    <t>BUAT KARTU STOK</t>
  </si>
  <si>
    <t>dr mia</t>
  </si>
  <si>
    <t>apotik 900</t>
  </si>
  <si>
    <t>apotik 50</t>
  </si>
  <si>
    <t>Susu SGM Gain Optigrow</t>
  </si>
  <si>
    <t>Cartridge</t>
  </si>
  <si>
    <t>: Januari</t>
  </si>
  <si>
    <t>: 2026</t>
  </si>
  <si>
    <t>Levothyrokxine</t>
  </si>
  <si>
    <t>Multivitamin MMS</t>
  </si>
  <si>
    <t>Kloramfenikol Salep Mata</t>
  </si>
  <si>
    <t>Insektisida Cynof</t>
  </si>
  <si>
    <t>Rifampicin 75 mg / Isoniaside 50</t>
  </si>
  <si>
    <t>Cartridge Genexpert XDR</t>
  </si>
  <si>
    <t>RDT Sypilis</t>
  </si>
  <si>
    <t xml:space="preserve"> PROGRAM RO</t>
  </si>
  <si>
    <t>Bedaquilin 100 mg</t>
  </si>
  <si>
    <t>Ethionamide 250 mg</t>
  </si>
  <si>
    <t>Ethambutol 400 mg</t>
  </si>
  <si>
    <t>Pretonamide 200 mg</t>
  </si>
  <si>
    <t>Linesolide 600 mg</t>
  </si>
  <si>
    <t>Moxyfloxacin 400 mg</t>
  </si>
  <si>
    <t>Vitamin B6 50 mg</t>
  </si>
  <si>
    <t>Risperidon</t>
  </si>
  <si>
    <t>BULAN JANUARI TAHUN 2026</t>
  </si>
  <si>
    <t>SISA STOK 31 JANUARI 2026</t>
  </si>
  <si>
    <t>Thre way stop cock with yube</t>
  </si>
  <si>
    <t>Hrebakof syr</t>
  </si>
  <si>
    <t>acc</t>
  </si>
  <si>
    <t>Atorvastatin 20 mg</t>
  </si>
  <si>
    <t>Risperidone</t>
  </si>
  <si>
    <t>UPT PUSKESMAS SUKAMAJU</t>
  </si>
  <si>
    <t>SAPTA MARGA</t>
  </si>
  <si>
    <t>SALULEMO</t>
  </si>
  <si>
    <t>KALUKU</t>
  </si>
  <si>
    <t>TAMBOKE</t>
  </si>
  <si>
    <t>MINANGA TALLU</t>
  </si>
  <si>
    <t>LAMPUAWA</t>
  </si>
  <si>
    <t>T. INDAH</t>
  </si>
  <si>
    <t>T.SARI</t>
  </si>
  <si>
    <t>MULYASARI</t>
  </si>
  <si>
    <t>KETULUNGAN</t>
  </si>
  <si>
    <t>WONOSARI</t>
  </si>
  <si>
    <t>TOLANGI</t>
  </si>
  <si>
    <t>SUKADAMAI</t>
  </si>
  <si>
    <t>PONGKASE</t>
  </si>
  <si>
    <t>UGD</t>
  </si>
  <si>
    <t>APOTIK 2</t>
  </si>
  <si>
    <t>RI</t>
  </si>
  <si>
    <t>RB</t>
  </si>
  <si>
    <t>POLI</t>
  </si>
  <si>
    <t>LAB</t>
  </si>
  <si>
    <t>APOTIK2</t>
  </si>
  <si>
    <t>RAWAT INAP</t>
  </si>
  <si>
    <t>RUANG BERSALIN</t>
  </si>
  <si>
    <t>LABORATORIUM</t>
  </si>
  <si>
    <t>Jelly</t>
  </si>
  <si>
    <t>APOTEK 2</t>
  </si>
  <si>
    <t>salbutamol nebulizer</t>
  </si>
  <si>
    <t>POLI (KIA, POLI UMUM, POLI GIGI)</t>
  </si>
  <si>
    <t>Plesterin Bulat</t>
  </si>
  <si>
    <t>NAMA OBAT</t>
  </si>
  <si>
    <t>: SUKAMAJU</t>
  </si>
  <si>
    <t>FEBRUARI</t>
  </si>
  <si>
    <t>HILDA TETELEPTA, S.Farm., Apt.</t>
  </si>
  <si>
    <t>NIP.19860304 201001 2 025</t>
  </si>
  <si>
    <t>Mengetahui,</t>
  </si>
  <si>
    <t>Kepala UPTD Puskesmas Sukamaju</t>
  </si>
  <si>
    <t>ASRIANI IDRUS, SKM.,S.Kep.,Ns.</t>
  </si>
  <si>
    <t>NIP       : 19700917 198903 2 001</t>
  </si>
  <si>
    <t>Sukamaju,  28 Februari 2026</t>
  </si>
  <si>
    <t>: 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</si>
</sst>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_([$Rp-421]* #,##0_);_([$Rp-421]* \(#,##0\);_([$Rp-421]* &quot;-&quot;_);_(@_)"/>
    <numFmt numFmtId="165" formatCode="_(* #,##0_);_(* \(#,##0\);_(* &quot;-&quot;??_);_(@_)"/>
    <numFmt numFmtId="166" formatCode="dd/mm/yy;@"/>
    <numFmt numFmtId="167" formatCode="_(* #,##0.0000_);_(* \(#,##0.0000\);_(* &quot;-&quot;??_);_(@_)"/>
  </numFmts>
  <fonts count="42" x14ac:knownFonts="1">
    <font>
      <sz val="11"/>
      <color theme="1"/>
      <name val="Calibri"/>
      <family val="2"/>
      <scheme val="minor"/>
    </font>
    <font>
      <b/>
      <sz val="12"/>
      <name val="Berlin Sans FB"/>
      <family val="2"/>
    </font>
    <font>
      <sz val="10"/>
      <name val="Arial"/>
      <family val="2"/>
    </font>
    <font>
      <b/>
      <sz val="12"/>
      <color theme="1"/>
      <name val="Berlin Sans FB"/>
      <family val="2"/>
    </font>
    <font>
      <i/>
      <sz val="12"/>
      <name val="Berlin Sans FB"/>
      <family val="2"/>
    </font>
    <font>
      <sz val="12"/>
      <name val="Berlin Sans FB"/>
      <family val="2"/>
    </font>
    <font>
      <sz val="12"/>
      <color theme="1"/>
      <name val="Berlin Sans FB"/>
      <family val="2"/>
    </font>
    <font>
      <b/>
      <sz val="14"/>
      <color theme="1"/>
      <name val="Berlin Sans FB"/>
      <family val="2"/>
    </font>
    <font>
      <sz val="11"/>
      <color theme="1"/>
      <name val="Berlin Sans FB"/>
      <family val="2"/>
    </font>
    <font>
      <sz val="12"/>
      <color theme="1"/>
      <name val="Calibri"/>
      <family val="2"/>
      <scheme val="minor"/>
    </font>
    <font>
      <sz val="10"/>
      <color theme="1"/>
      <name val="Berlin Sans FB"/>
      <family val="2"/>
    </font>
    <font>
      <sz val="10"/>
      <name val="Berlin Sans FB"/>
      <family val="2"/>
    </font>
    <font>
      <sz val="14"/>
      <color theme="1"/>
      <name val="Berlin Sans FB"/>
      <family val="2"/>
    </font>
    <font>
      <sz val="11"/>
      <color theme="1"/>
      <name val="Calibri"/>
      <family val="2"/>
      <scheme val="minor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b/>
      <sz val="12"/>
      <name val="Comic Sans MS"/>
      <family val="4"/>
    </font>
    <font>
      <i/>
      <sz val="12"/>
      <name val="Comic Sans MS"/>
      <family val="4"/>
    </font>
    <font>
      <sz val="12"/>
      <name val="Comic Sans MS"/>
      <family val="4"/>
    </font>
    <font>
      <u/>
      <sz val="12"/>
      <color theme="1"/>
      <name val="Comic Sans MS"/>
      <family val="4"/>
    </font>
    <font>
      <sz val="11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b/>
      <sz val="14"/>
      <color theme="1"/>
      <name val="Comic Sans MS"/>
      <family val="4"/>
    </font>
    <font>
      <i/>
      <sz val="12"/>
      <color theme="1"/>
      <name val="Comic Sans MS"/>
      <family val="4"/>
    </font>
    <font>
      <sz val="11"/>
      <color theme="0"/>
      <name val="Comic Sans MS"/>
      <family val="4"/>
    </font>
    <font>
      <sz val="8"/>
      <color theme="0"/>
      <name val="Comic Sans MS"/>
      <family val="4"/>
    </font>
    <font>
      <sz val="12"/>
      <color theme="0"/>
      <name val="Comic Sans MS"/>
      <family val="4"/>
    </font>
    <font>
      <b/>
      <sz val="12"/>
      <color rgb="FFFF0000"/>
      <name val="Comic Sans MS"/>
      <family val="4"/>
    </font>
    <font>
      <sz val="12"/>
      <color rgb="FFFF0000"/>
      <name val="Comic Sans MS"/>
      <family val="4"/>
    </font>
    <font>
      <b/>
      <sz val="22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7"/>
      <color rgb="FFFF0000"/>
      <name val="Comic Sans MS"/>
      <family val="4"/>
    </font>
    <font>
      <b/>
      <sz val="8"/>
      <color theme="1"/>
      <name val="Comic Sans MS"/>
      <family val="4"/>
    </font>
    <font>
      <b/>
      <sz val="10"/>
      <color theme="1"/>
      <name val="Comic Sans MS"/>
      <family val="4"/>
    </font>
    <font>
      <b/>
      <sz val="12"/>
      <color theme="0"/>
      <name val="Comic Sans MS"/>
      <family val="4"/>
    </font>
    <font>
      <sz val="9"/>
      <color theme="1"/>
      <name val="Comic Sans MS"/>
      <family val="4"/>
    </font>
    <font>
      <sz val="9"/>
      <color rgb="FFFF0000"/>
      <name val="Comic Sans MS"/>
      <family val="4"/>
    </font>
    <font>
      <b/>
      <sz val="11"/>
      <color rgb="FF000000"/>
      <name val="Comic Sans MS"/>
      <family val="4"/>
    </font>
    <font>
      <b/>
      <u/>
      <sz val="10"/>
      <color theme="1"/>
      <name val="Comic Sans MS"/>
      <family val="4"/>
    </font>
    <font>
      <b/>
      <u/>
      <sz val="10"/>
      <name val="Comic Sans MS"/>
      <family val="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3" fillId="0" borderId="0" applyFont="0" applyFill="0" applyBorder="0" applyAlignment="0" applyProtection="0"/>
    <xf numFmtId="0" fontId="2" fillId="0" borderId="0"/>
    <xf numFmtId="44" fontId="13" fillId="0" borderId="0" applyFont="0" applyFill="0" applyBorder="0" applyAlignment="0" applyProtection="0"/>
  </cellStyleXfs>
  <cellXfs count="379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6" fillId="0" borderId="0" xfId="0" applyFont="1"/>
    <xf numFmtId="0" fontId="6" fillId="4" borderId="0" xfId="0" applyFont="1" applyFill="1"/>
    <xf numFmtId="0" fontId="6" fillId="0" borderId="0" xfId="0" applyFont="1" applyAlignment="1">
      <alignment horizontal="center" vertical="center"/>
    </xf>
    <xf numFmtId="0" fontId="6" fillId="2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41" fontId="0" fillId="0" borderId="1" xfId="0" applyNumberFormat="1" applyBorder="1"/>
    <xf numFmtId="41" fontId="9" fillId="0" borderId="1" xfId="0" applyNumberFormat="1" applyFont="1" applyBorder="1" applyAlignment="1">
      <alignment horizontal="center" vertical="center"/>
    </xf>
    <xf numFmtId="41" fontId="9" fillId="3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0" fontId="10" fillId="6" borderId="1" xfId="0" applyFont="1" applyFill="1" applyBorder="1"/>
    <xf numFmtId="0" fontId="10" fillId="4" borderId="1" xfId="0" applyFont="1" applyFill="1" applyBorder="1"/>
    <xf numFmtId="0" fontId="10" fillId="7" borderId="1" xfId="0" applyFont="1" applyFill="1" applyBorder="1"/>
    <xf numFmtId="41" fontId="0" fillId="0" borderId="0" xfId="0" applyNumberFormat="1"/>
    <xf numFmtId="0" fontId="0" fillId="2" borderId="0" xfId="0" applyFill="1"/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10" fillId="2" borderId="1" xfId="0" applyFont="1" applyFill="1" applyBorder="1"/>
    <xf numFmtId="0" fontId="10" fillId="2" borderId="0" xfId="0" applyFont="1" applyFill="1"/>
    <xf numFmtId="41" fontId="9" fillId="2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10" fillId="3" borderId="1" xfId="0" applyFont="1" applyFill="1" applyBorder="1"/>
    <xf numFmtId="0" fontId="0" fillId="3" borderId="1" xfId="0" applyFill="1" applyBorder="1"/>
    <xf numFmtId="0" fontId="12" fillId="2" borderId="0" xfId="0" applyFont="1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0" fillId="5" borderId="1" xfId="0" applyFont="1" applyFill="1" applyBorder="1" applyAlignment="1">
      <alignment vertical="center"/>
    </xf>
    <xf numFmtId="0" fontId="15" fillId="0" borderId="0" xfId="0" applyFont="1"/>
    <xf numFmtId="0" fontId="15" fillId="4" borderId="0" xfId="0" applyFont="1" applyFill="1"/>
    <xf numFmtId="0" fontId="15" fillId="0" borderId="0" xfId="0" applyFont="1" applyAlignment="1">
      <alignment horizontal="center" vertical="center"/>
    </xf>
    <xf numFmtId="0" fontId="15" fillId="2" borderId="0" xfId="0" applyFont="1" applyFill="1"/>
    <xf numFmtId="0" fontId="14" fillId="0" borderId="0" xfId="0" applyFont="1" applyAlignment="1">
      <alignment vertical="center"/>
    </xf>
    <xf numFmtId="0" fontId="14" fillId="0" borderId="0" xfId="0" applyFont="1"/>
    <xf numFmtId="0" fontId="17" fillId="3" borderId="1" xfId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/>
    </xf>
    <xf numFmtId="41" fontId="15" fillId="2" borderId="1" xfId="0" applyNumberFormat="1" applyFont="1" applyFill="1" applyBorder="1" applyAlignment="1">
      <alignment horizontal="center" vertical="center"/>
    </xf>
    <xf numFmtId="41" fontId="18" fillId="2" borderId="1" xfId="0" applyNumberFormat="1" applyFont="1" applyFill="1" applyBorder="1" applyAlignment="1">
      <alignment horizontal="center"/>
    </xf>
    <xf numFmtId="0" fontId="15" fillId="3" borderId="1" xfId="0" applyFont="1" applyFill="1" applyBorder="1"/>
    <xf numFmtId="0" fontId="15" fillId="2" borderId="1" xfId="0" applyFont="1" applyFill="1" applyBorder="1"/>
    <xf numFmtId="3" fontId="18" fillId="2" borderId="0" xfId="4" applyNumberFormat="1" applyFont="1" applyFill="1" applyAlignment="1">
      <alignment horizontal="center" vertical="center"/>
    </xf>
    <xf numFmtId="3" fontId="18" fillId="2" borderId="0" xfId="0" applyNumberFormat="1" applyFont="1" applyFill="1" applyAlignment="1">
      <alignment vertical="center" wrapText="1"/>
    </xf>
    <xf numFmtId="3" fontId="18" fillId="2" borderId="0" xfId="0" applyNumberFormat="1" applyFont="1" applyFill="1" applyAlignment="1">
      <alignment horizontal="center" vertical="center"/>
    </xf>
    <xf numFmtId="41" fontId="15" fillId="0" borderId="0" xfId="0" applyNumberFormat="1" applyFont="1" applyAlignment="1">
      <alignment horizontal="center" vertical="center"/>
    </xf>
    <xf numFmtId="41" fontId="15" fillId="2" borderId="0" xfId="0" applyNumberFormat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vertical="center"/>
    </xf>
    <xf numFmtId="164" fontId="18" fillId="2" borderId="0" xfId="3" applyNumberFormat="1" applyFont="1" applyFill="1" applyBorder="1" applyAlignment="1">
      <alignment horizontal="center" vertical="center" wrapText="1"/>
    </xf>
    <xf numFmtId="0" fontId="19" fillId="0" borderId="0" xfId="0" applyFont="1"/>
    <xf numFmtId="0" fontId="20" fillId="2" borderId="1" xfId="1" applyFont="1" applyFill="1" applyBorder="1" applyAlignment="1">
      <alignment horizontal="center" vertical="center" wrapText="1"/>
    </xf>
    <xf numFmtId="0" fontId="21" fillId="2" borderId="1" xfId="0" applyFont="1" applyFill="1" applyBorder="1"/>
    <xf numFmtId="0" fontId="20" fillId="2" borderId="1" xfId="1" applyFont="1" applyFill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3" fillId="0" borderId="0" xfId="0" applyFont="1" applyAlignment="1">
      <alignment vertical="center"/>
    </xf>
    <xf numFmtId="0" fontId="21" fillId="0" borderId="0" xfId="0" applyFont="1"/>
    <xf numFmtId="41" fontId="25" fillId="2" borderId="1" xfId="0" applyNumberFormat="1" applyFont="1" applyFill="1" applyBorder="1"/>
    <xf numFmtId="41" fontId="26" fillId="2" borderId="1" xfId="0" applyNumberFormat="1" applyFont="1" applyFill="1" applyBorder="1"/>
    <xf numFmtId="0" fontId="21" fillId="2" borderId="0" xfId="0" applyFont="1" applyFill="1"/>
    <xf numFmtId="0" fontId="21" fillId="5" borderId="0" xfId="0" applyFont="1" applyFill="1"/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7" fillId="2" borderId="0" xfId="0" applyFont="1" applyFill="1"/>
    <xf numFmtId="0" fontId="21" fillId="2" borderId="3" xfId="0" applyFont="1" applyFill="1" applyBorder="1" applyAlignment="1">
      <alignment vertical="center"/>
    </xf>
    <xf numFmtId="0" fontId="21" fillId="2" borderId="5" xfId="0" applyFont="1" applyFill="1" applyBorder="1" applyAlignment="1">
      <alignment vertical="center"/>
    </xf>
    <xf numFmtId="0" fontId="25" fillId="2" borderId="0" xfId="0" applyFont="1" applyFill="1"/>
    <xf numFmtId="0" fontId="21" fillId="4" borderId="0" xfId="0" applyFont="1" applyFill="1"/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25" fillId="0" borderId="0" xfId="0" applyFont="1"/>
    <xf numFmtId="0" fontId="27" fillId="0" borderId="0" xfId="0" applyFont="1"/>
    <xf numFmtId="0" fontId="20" fillId="2" borderId="10" xfId="1" applyFont="1" applyFill="1" applyBorder="1" applyAlignment="1">
      <alignment horizontal="center" vertical="center" wrapText="1"/>
    </xf>
    <xf numFmtId="0" fontId="20" fillId="2" borderId="11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top" wrapText="1"/>
    </xf>
    <xf numFmtId="41" fontId="21" fillId="2" borderId="0" xfId="0" applyNumberFormat="1" applyFont="1" applyFill="1"/>
    <xf numFmtId="0" fontId="14" fillId="0" borderId="0" xfId="0" applyFont="1" applyAlignment="1">
      <alignment horizontal="center" vertical="center"/>
    </xf>
    <xf numFmtId="0" fontId="28" fillId="2" borderId="0" xfId="0" applyFont="1" applyFill="1" applyAlignment="1">
      <alignment horizontal="left"/>
    </xf>
    <xf numFmtId="0" fontId="15" fillId="0" borderId="0" xfId="0" quotePrefix="1" applyFont="1"/>
    <xf numFmtId="41" fontId="15" fillId="2" borderId="1" xfId="0" applyNumberFormat="1" applyFont="1" applyFill="1" applyBorder="1"/>
    <xf numFmtId="41" fontId="15" fillId="0" borderId="0" xfId="0" applyNumberFormat="1" applyFont="1"/>
    <xf numFmtId="41" fontId="15" fillId="5" borderId="0" xfId="0" applyNumberFormat="1" applyFont="1" applyFill="1"/>
    <xf numFmtId="41" fontId="15" fillId="0" borderId="1" xfId="0" applyNumberFormat="1" applyFont="1" applyBorder="1"/>
    <xf numFmtId="0" fontId="20" fillId="2" borderId="10" xfId="1" applyFont="1" applyFill="1" applyBorder="1" applyAlignment="1">
      <alignment horizontal="left" vertical="center" wrapText="1"/>
    </xf>
    <xf numFmtId="41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30" fillId="2" borderId="10" xfId="1" applyFont="1" applyFill="1" applyBorder="1" applyAlignment="1">
      <alignment horizontal="left" vertical="center"/>
    </xf>
    <xf numFmtId="0" fontId="24" fillId="5" borderId="1" xfId="1" applyFont="1" applyFill="1" applyBorder="1" applyAlignment="1">
      <alignment horizontal="center" vertical="center" wrapText="1"/>
    </xf>
    <xf numFmtId="165" fontId="21" fillId="2" borderId="1" xfId="0" applyNumberFormat="1" applyFont="1" applyFill="1" applyBorder="1"/>
    <xf numFmtId="165" fontId="15" fillId="2" borderId="1" xfId="0" applyNumberFormat="1" applyFont="1" applyFill="1" applyBorder="1"/>
    <xf numFmtId="0" fontId="32" fillId="2" borderId="1" xfId="1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164" fontId="32" fillId="2" borderId="1" xfId="3" applyNumberFormat="1" applyFont="1" applyFill="1" applyBorder="1" applyAlignment="1">
      <alignment horizontal="center" vertical="center" wrapText="1"/>
    </xf>
    <xf numFmtId="164" fontId="32" fillId="2" borderId="1" xfId="3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30" fillId="2" borderId="11" xfId="1" applyFont="1" applyFill="1" applyBorder="1" applyAlignment="1">
      <alignment horizontal="left" vertical="center"/>
    </xf>
    <xf numFmtId="41" fontId="9" fillId="0" borderId="2" xfId="0" applyNumberFormat="1" applyFont="1" applyBorder="1" applyAlignment="1">
      <alignment horizontal="center" vertical="center"/>
    </xf>
    <xf numFmtId="41" fontId="6" fillId="0" borderId="2" xfId="0" applyNumberFormat="1" applyFont="1" applyBorder="1" applyAlignment="1">
      <alignment horizontal="center" vertical="center"/>
    </xf>
    <xf numFmtId="41" fontId="0" fillId="0" borderId="19" xfId="0" applyNumberFormat="1" applyBorder="1"/>
    <xf numFmtId="0" fontId="4" fillId="5" borderId="20" xfId="1" applyFont="1" applyFill="1" applyBorder="1" applyAlignment="1">
      <alignment horizontal="center" vertical="center" wrapText="1"/>
    </xf>
    <xf numFmtId="0" fontId="4" fillId="5" borderId="21" xfId="1" applyFont="1" applyFill="1" applyBorder="1" applyAlignment="1">
      <alignment horizontal="center" vertical="center" wrapText="1"/>
    </xf>
    <xf numFmtId="0" fontId="4" fillId="5" borderId="22" xfId="1" applyFont="1" applyFill="1" applyBorder="1" applyAlignment="1">
      <alignment horizontal="center" vertical="center" wrapText="1"/>
    </xf>
    <xf numFmtId="164" fontId="20" fillId="0" borderId="1" xfId="3" applyNumberFormat="1" applyFont="1" applyFill="1" applyBorder="1" applyAlignment="1">
      <alignment horizontal="center" vertical="center"/>
    </xf>
    <xf numFmtId="0" fontId="32" fillId="2" borderId="1" xfId="1" applyFont="1" applyFill="1" applyBorder="1" applyAlignment="1">
      <alignment horizontal="distributed" vertical="center" wrapText="1"/>
    </xf>
    <xf numFmtId="0" fontId="20" fillId="0" borderId="1" xfId="1" applyFont="1" applyBorder="1" applyAlignment="1">
      <alignment horizontal="distributed" vertical="top" wrapText="1"/>
    </xf>
    <xf numFmtId="0" fontId="20" fillId="0" borderId="1" xfId="1" applyFont="1" applyBorder="1" applyAlignment="1">
      <alignment horizontal="center" vertical="top" wrapText="1"/>
    </xf>
    <xf numFmtId="0" fontId="20" fillId="0" borderId="1" xfId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2" fillId="2" borderId="1" xfId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top"/>
    </xf>
    <xf numFmtId="164" fontId="32" fillId="2" borderId="1" xfId="1" applyNumberFormat="1" applyFont="1" applyFill="1" applyBorder="1" applyAlignment="1">
      <alignment horizontal="center" vertical="center"/>
    </xf>
    <xf numFmtId="164" fontId="20" fillId="0" borderId="1" xfId="1" applyNumberFormat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top"/>
    </xf>
    <xf numFmtId="0" fontId="20" fillId="0" borderId="1" xfId="0" applyFont="1" applyBorder="1" applyAlignment="1">
      <alignment horizontal="center"/>
    </xf>
    <xf numFmtId="3" fontId="20" fillId="0" borderId="1" xfId="0" applyNumberFormat="1" applyFont="1" applyBorder="1" applyAlignment="1">
      <alignment horizontal="center" vertical="center"/>
    </xf>
    <xf numFmtId="164" fontId="20" fillId="0" borderId="1" xfId="3" applyNumberFormat="1" applyFont="1" applyFill="1" applyBorder="1" applyAlignment="1">
      <alignment horizontal="center" vertical="center" wrapText="1"/>
    </xf>
    <xf numFmtId="0" fontId="20" fillId="0" borderId="1" xfId="1" applyFont="1" applyBorder="1" applyAlignment="1">
      <alignment horizontal="distributed" vertical="center" wrapText="1"/>
    </xf>
    <xf numFmtId="0" fontId="20" fillId="0" borderId="1" xfId="1" applyFont="1" applyBorder="1" applyAlignment="1">
      <alignment horizontal="center" vertical="center"/>
    </xf>
    <xf numFmtId="0" fontId="25" fillId="2" borderId="15" xfId="0" applyFont="1" applyFill="1" applyBorder="1"/>
    <xf numFmtId="0" fontId="27" fillId="2" borderId="17" xfId="0" applyFont="1" applyFill="1" applyBorder="1"/>
    <xf numFmtId="0" fontId="27" fillId="2" borderId="18" xfId="0" applyFont="1" applyFill="1" applyBorder="1"/>
    <xf numFmtId="41" fontId="15" fillId="2" borderId="2" xfId="0" applyNumberFormat="1" applyFont="1" applyFill="1" applyBorder="1" applyAlignment="1">
      <alignment horizontal="center" vertical="center"/>
    </xf>
    <xf numFmtId="41" fontId="25" fillId="2" borderId="2" xfId="0" applyNumberFormat="1" applyFont="1" applyFill="1" applyBorder="1"/>
    <xf numFmtId="0" fontId="25" fillId="2" borderId="19" xfId="0" applyFont="1" applyFill="1" applyBorder="1"/>
    <xf numFmtId="0" fontId="14" fillId="2" borderId="2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/>
    <xf numFmtId="0" fontId="5" fillId="2" borderId="2" xfId="1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 wrapText="1"/>
    </xf>
    <xf numFmtId="0" fontId="5" fillId="2" borderId="2" xfId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3" fontId="5" fillId="8" borderId="1" xfId="0" applyNumberFormat="1" applyFont="1" applyFill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/>
    </xf>
    <xf numFmtId="0" fontId="15" fillId="0" borderId="1" xfId="0" applyFont="1" applyBorder="1"/>
    <xf numFmtId="41" fontId="25" fillId="2" borderId="2" xfId="0" applyNumberFormat="1" applyFont="1" applyFill="1" applyBorder="1" applyAlignment="1">
      <alignment horizontal="left"/>
    </xf>
    <xf numFmtId="41" fontId="27" fillId="0" borderId="0" xfId="0" applyNumberFormat="1" applyFont="1"/>
    <xf numFmtId="41" fontId="33" fillId="2" borderId="1" xfId="0" applyNumberFormat="1" applyFont="1" applyFill="1" applyBorder="1"/>
    <xf numFmtId="0" fontId="18" fillId="2" borderId="2" xfId="1" applyFont="1" applyFill="1" applyBorder="1" applyAlignment="1">
      <alignment horizontal="center" vertical="top" wrapText="1"/>
    </xf>
    <xf numFmtId="164" fontId="18" fillId="0" borderId="1" xfId="3" applyNumberFormat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distributed" vertical="center" wrapText="1"/>
    </xf>
    <xf numFmtId="0" fontId="18" fillId="0" borderId="1" xfId="1" applyFont="1" applyBorder="1" applyAlignment="1">
      <alignment horizontal="center" vertical="top" wrapText="1"/>
    </xf>
    <xf numFmtId="0" fontId="18" fillId="0" borderId="1" xfId="1" applyFont="1" applyBorder="1" applyAlignment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164" fontId="18" fillId="2" borderId="1" xfId="3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64" fontId="18" fillId="2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Border="1" applyAlignment="1">
      <alignment horizontal="center" vertical="center"/>
    </xf>
    <xf numFmtId="164" fontId="18" fillId="2" borderId="1" xfId="3" applyNumberFormat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top"/>
    </xf>
    <xf numFmtId="0" fontId="18" fillId="0" borderId="1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 vertical="center"/>
    </xf>
    <xf numFmtId="0" fontId="18" fillId="0" borderId="1" xfId="1" applyFont="1" applyBorder="1" applyAlignment="1">
      <alignment horizontal="distributed" vertical="top" wrapText="1"/>
    </xf>
    <xf numFmtId="164" fontId="18" fillId="0" borderId="1" xfId="3" applyNumberFormat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14" fontId="15" fillId="0" borderId="0" xfId="0" quotePrefix="1" applyNumberFormat="1" applyFont="1" applyAlignment="1">
      <alignment vertical="center" wrapText="1"/>
    </xf>
    <xf numFmtId="14" fontId="15" fillId="0" borderId="0" xfId="0" quotePrefix="1" applyNumberFormat="1" applyFont="1"/>
    <xf numFmtId="0" fontId="14" fillId="2" borderId="1" xfId="0" applyFont="1" applyFill="1" applyBorder="1" applyAlignment="1">
      <alignment horizontal="center" vertical="center" wrapText="1"/>
    </xf>
    <xf numFmtId="166" fontId="34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/>
    <xf numFmtId="3" fontId="5" fillId="2" borderId="1" xfId="0" applyNumberFormat="1" applyFont="1" applyFill="1" applyBorder="1" applyAlignment="1">
      <alignment horizontal="left" vertical="center"/>
    </xf>
    <xf numFmtId="164" fontId="5" fillId="2" borderId="1" xfId="3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horizontal="left" vertical="center"/>
    </xf>
    <xf numFmtId="3" fontId="5" fillId="2" borderId="1" xfId="2" applyNumberFormat="1" applyFont="1" applyFill="1" applyBorder="1" applyAlignment="1">
      <alignment horizontal="left" vertical="top"/>
    </xf>
    <xf numFmtId="3" fontId="5" fillId="2" borderId="1" xfId="2" applyNumberFormat="1" applyFont="1" applyFill="1" applyBorder="1" applyAlignment="1">
      <alignment horizontal="left" vertical="top" wrapText="1"/>
    </xf>
    <xf numFmtId="0" fontId="5" fillId="8" borderId="1" xfId="1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left" vertical="center"/>
    </xf>
    <xf numFmtId="0" fontId="5" fillId="8" borderId="1" xfId="1" applyFont="1" applyFill="1" applyBorder="1" applyAlignment="1">
      <alignment horizontal="left" vertical="center"/>
    </xf>
    <xf numFmtId="3" fontId="1" fillId="8" borderId="1" xfId="0" applyNumberFormat="1" applyFont="1" applyFill="1" applyBorder="1" applyAlignment="1">
      <alignment horizontal="left" vertical="center"/>
    </xf>
    <xf numFmtId="0" fontId="5" fillId="8" borderId="1" xfId="1" applyFont="1" applyFill="1" applyBorder="1" applyAlignment="1">
      <alignment horizontal="left" vertical="center" wrapText="1"/>
    </xf>
    <xf numFmtId="0" fontId="21" fillId="0" borderId="1" xfId="0" applyFont="1" applyBorder="1"/>
    <xf numFmtId="166" fontId="35" fillId="7" borderId="1" xfId="0" applyNumberFormat="1" applyFont="1" applyFill="1" applyBorder="1" applyAlignment="1">
      <alignment horizontal="center" vertical="center"/>
    </xf>
    <xf numFmtId="0" fontId="24" fillId="7" borderId="1" xfId="1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left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18" fontId="27" fillId="2" borderId="0" xfId="0" quotePrefix="1" applyNumberFormat="1" applyFont="1" applyFill="1" applyAlignment="1">
      <alignment horizontal="center"/>
    </xf>
    <xf numFmtId="18" fontId="27" fillId="2" borderId="0" xfId="0" applyNumberFormat="1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29" fillId="2" borderId="0" xfId="0" applyFont="1" applyFill="1"/>
    <xf numFmtId="0" fontId="14" fillId="2" borderId="0" xfId="0" applyFont="1" applyFill="1"/>
    <xf numFmtId="0" fontId="20" fillId="2" borderId="1" xfId="1" applyFont="1" applyFill="1" applyBorder="1" applyAlignment="1">
      <alignment horizontal="left" vertical="center" wrapText="1"/>
    </xf>
    <xf numFmtId="0" fontId="5" fillId="8" borderId="11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0" fillId="2" borderId="17" xfId="0" applyFill="1" applyBorder="1"/>
    <xf numFmtId="0" fontId="0" fillId="2" borderId="18" xfId="0" applyFill="1" applyBorder="1"/>
    <xf numFmtId="0" fontId="30" fillId="2" borderId="1" xfId="1" applyFont="1" applyFill="1" applyBorder="1" applyAlignment="1">
      <alignment horizontal="left" vertical="center"/>
    </xf>
    <xf numFmtId="41" fontId="0" fillId="5" borderId="0" xfId="0" applyNumberFormat="1" applyFill="1"/>
    <xf numFmtId="0" fontId="10" fillId="2" borderId="0" xfId="0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41" fontId="0" fillId="2" borderId="0" xfId="0" applyNumberFormat="1" applyFill="1"/>
    <xf numFmtId="0" fontId="21" fillId="2" borderId="1" xfId="0" applyFont="1" applyFill="1" applyBorder="1" applyAlignment="1">
      <alignment horizontal="center"/>
    </xf>
    <xf numFmtId="41" fontId="15" fillId="0" borderId="1" xfId="0" applyNumberFormat="1" applyFont="1" applyBorder="1" applyAlignment="1">
      <alignment horizontal="center" vertical="center"/>
    </xf>
    <xf numFmtId="41" fontId="15" fillId="9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/>
    <xf numFmtId="0" fontId="14" fillId="9" borderId="1" xfId="0" applyFont="1" applyFill="1" applyBorder="1"/>
    <xf numFmtId="0" fontId="18" fillId="2" borderId="1" xfId="1" applyFont="1" applyFill="1" applyBorder="1" applyAlignment="1">
      <alignment horizontal="center" vertical="top" wrapText="1"/>
    </xf>
    <xf numFmtId="41" fontId="14" fillId="9" borderId="1" xfId="0" applyNumberFormat="1" applyFont="1" applyFill="1" applyBorder="1" applyAlignment="1">
      <alignment horizontal="center" vertical="center"/>
    </xf>
    <xf numFmtId="41" fontId="15" fillId="3" borderId="1" xfId="0" applyNumberFormat="1" applyFont="1" applyFill="1" applyBorder="1"/>
    <xf numFmtId="0" fontId="3" fillId="2" borderId="0" xfId="0" applyFont="1" applyFill="1" applyAlignment="1">
      <alignment horizontal="center"/>
    </xf>
    <xf numFmtId="41" fontId="27" fillId="2" borderId="1" xfId="0" applyNumberFormat="1" applyFont="1" applyFill="1" applyBorder="1"/>
    <xf numFmtId="0" fontId="27" fillId="2" borderId="1" xfId="0" applyFont="1" applyFill="1" applyBorder="1"/>
    <xf numFmtId="0" fontId="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41" fontId="9" fillId="2" borderId="1" xfId="0" applyNumberFormat="1" applyFont="1" applyFill="1" applyBorder="1" applyAlignment="1">
      <alignment horizontal="center" vertical="center"/>
    </xf>
    <xf numFmtId="41" fontId="9" fillId="0" borderId="17" xfId="0" applyNumberFormat="1" applyFont="1" applyBorder="1" applyAlignment="1">
      <alignment horizontal="center" vertical="center"/>
    </xf>
    <xf numFmtId="167" fontId="15" fillId="2" borderId="1" xfId="0" applyNumberFormat="1" applyFont="1" applyFill="1" applyBorder="1"/>
    <xf numFmtId="41" fontId="37" fillId="2" borderId="2" xfId="0" applyNumberFormat="1" applyFont="1" applyFill="1" applyBorder="1"/>
    <xf numFmtId="41" fontId="38" fillId="2" borderId="1" xfId="0" applyNumberFormat="1" applyFont="1" applyFill="1" applyBorder="1"/>
    <xf numFmtId="41" fontId="25" fillId="2" borderId="1" xfId="0" applyNumberFormat="1" applyFont="1" applyFill="1" applyBorder="1" applyAlignment="1">
      <alignment horizontal="left"/>
    </xf>
    <xf numFmtId="41" fontId="37" fillId="2" borderId="1" xfId="0" applyNumberFormat="1" applyFont="1" applyFill="1" applyBorder="1"/>
    <xf numFmtId="0" fontId="27" fillId="2" borderId="15" xfId="0" applyFont="1" applyFill="1" applyBorder="1"/>
    <xf numFmtId="41" fontId="15" fillId="2" borderId="17" xfId="0" applyNumberFormat="1" applyFont="1" applyFill="1" applyBorder="1" applyAlignment="1">
      <alignment horizontal="center" vertical="center"/>
    </xf>
    <xf numFmtId="3" fontId="5" fillId="2" borderId="11" xfId="4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vertical="center" wrapText="1"/>
    </xf>
    <xf numFmtId="166" fontId="35" fillId="2" borderId="1" xfId="0" applyNumberFormat="1" applyFont="1" applyFill="1" applyBorder="1" applyAlignment="1">
      <alignment horizontal="center" vertical="center"/>
    </xf>
    <xf numFmtId="41" fontId="15" fillId="2" borderId="25" xfId="0" applyNumberFormat="1" applyFont="1" applyFill="1" applyBorder="1" applyAlignment="1">
      <alignment horizontal="center" vertical="center"/>
    </xf>
    <xf numFmtId="0" fontId="27" fillId="2" borderId="8" xfId="0" applyFont="1" applyFill="1" applyBorder="1"/>
    <xf numFmtId="0" fontId="27" fillId="2" borderId="26" xfId="0" applyFont="1" applyFill="1" applyBorder="1"/>
    <xf numFmtId="3" fontId="5" fillId="2" borderId="27" xfId="4" applyNumberFormat="1" applyFont="1" applyFill="1" applyBorder="1" applyAlignment="1">
      <alignment horizontal="center" vertical="center"/>
    </xf>
    <xf numFmtId="3" fontId="5" fillId="2" borderId="25" xfId="0" applyNumberFormat="1" applyFont="1" applyFill="1" applyBorder="1" applyAlignment="1">
      <alignment vertical="center" wrapText="1"/>
    </xf>
    <xf numFmtId="3" fontId="5" fillId="2" borderId="25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65" fontId="15" fillId="2" borderId="2" xfId="0" applyNumberFormat="1" applyFont="1" applyFill="1" applyBorder="1"/>
    <xf numFmtId="0" fontId="25" fillId="2" borderId="1" xfId="0" applyFont="1" applyFill="1" applyBorder="1"/>
    <xf numFmtId="41" fontId="21" fillId="2" borderId="1" xfId="0" applyNumberFormat="1" applyFont="1" applyFill="1" applyBorder="1"/>
    <xf numFmtId="0" fontId="15" fillId="8" borderId="1" xfId="0" applyFont="1" applyFill="1" applyBorder="1"/>
    <xf numFmtId="0" fontId="20" fillId="2" borderId="23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11" xfId="0" applyFont="1" applyBorder="1"/>
    <xf numFmtId="0" fontId="15" fillId="0" borderId="16" xfId="0" applyFont="1" applyBorder="1"/>
    <xf numFmtId="0" fontId="15" fillId="0" borderId="17" xfId="0" applyFont="1" applyBorder="1"/>
    <xf numFmtId="41" fontId="6" fillId="0" borderId="1" xfId="0" applyNumberFormat="1" applyFont="1" applyBorder="1" applyAlignment="1">
      <alignment horizontal="center" vertical="center"/>
    </xf>
    <xf numFmtId="41" fontId="0" fillId="0" borderId="15" xfId="0" applyNumberFormat="1" applyBorder="1"/>
    <xf numFmtId="0" fontId="15" fillId="8" borderId="11" xfId="0" applyFont="1" applyFill="1" applyBorder="1"/>
    <xf numFmtId="0" fontId="17" fillId="11" borderId="1" xfId="1" applyFont="1" applyFill="1" applyBorder="1" applyAlignment="1">
      <alignment horizontal="center" vertical="center" wrapText="1"/>
    </xf>
    <xf numFmtId="0" fontId="15" fillId="4" borderId="1" xfId="0" applyFont="1" applyFill="1" applyBorder="1"/>
    <xf numFmtId="0" fontId="15" fillId="12" borderId="1" xfId="0" applyFont="1" applyFill="1" applyBorder="1"/>
    <xf numFmtId="0" fontId="15" fillId="10" borderId="1" xfId="0" applyFont="1" applyFill="1" applyBorder="1"/>
    <xf numFmtId="0" fontId="15" fillId="13" borderId="1" xfId="0" applyFont="1" applyFill="1" applyBorder="1"/>
    <xf numFmtId="0" fontId="14" fillId="7" borderId="1" xfId="0" applyFont="1" applyFill="1" applyBorder="1" applyAlignment="1">
      <alignment horizontal="center"/>
    </xf>
    <xf numFmtId="0" fontId="15" fillId="14" borderId="1" xfId="0" applyFont="1" applyFill="1" applyBorder="1"/>
    <xf numFmtId="0" fontId="24" fillId="15" borderId="20" xfId="1" applyFont="1" applyFill="1" applyBorder="1" applyAlignment="1">
      <alignment horizontal="center" vertical="center" wrapText="1"/>
    </xf>
    <xf numFmtId="0" fontId="24" fillId="15" borderId="21" xfId="1" applyFont="1" applyFill="1" applyBorder="1" applyAlignment="1">
      <alignment horizontal="center" vertical="center" wrapText="1"/>
    </xf>
    <xf numFmtId="0" fontId="24" fillId="15" borderId="22" xfId="1" applyFont="1" applyFill="1" applyBorder="1" applyAlignment="1">
      <alignment horizontal="center" vertical="center" wrapText="1"/>
    </xf>
    <xf numFmtId="41" fontId="15" fillId="15" borderId="2" xfId="0" applyNumberFormat="1" applyFont="1" applyFill="1" applyBorder="1" applyAlignment="1">
      <alignment horizontal="center" vertical="center"/>
    </xf>
    <xf numFmtId="41" fontId="15" fillId="15" borderId="1" xfId="0" applyNumberFormat="1" applyFont="1" applyFill="1" applyBorder="1" applyAlignment="1">
      <alignment horizontal="center" vertical="center"/>
    </xf>
    <xf numFmtId="41" fontId="15" fillId="15" borderId="8" xfId="0" applyNumberFormat="1" applyFont="1" applyFill="1" applyBorder="1" applyAlignment="1">
      <alignment horizontal="center" vertical="center"/>
    </xf>
    <xf numFmtId="41" fontId="15" fillId="15" borderId="17" xfId="0" applyNumberFormat="1" applyFont="1" applyFill="1" applyBorder="1" applyAlignment="1">
      <alignment horizontal="center" vertical="center"/>
    </xf>
    <xf numFmtId="0" fontId="31" fillId="0" borderId="0" xfId="0" applyFont="1"/>
    <xf numFmtId="0" fontId="40" fillId="2" borderId="0" xfId="0" applyFont="1" applyFill="1"/>
    <xf numFmtId="0" fontId="32" fillId="2" borderId="0" xfId="0" applyFont="1" applyFill="1" applyAlignment="1">
      <alignment horizontal="left"/>
    </xf>
    <xf numFmtId="0" fontId="31" fillId="0" borderId="0" xfId="0" applyFont="1" applyAlignment="1">
      <alignment vertical="center"/>
    </xf>
    <xf numFmtId="0" fontId="41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41" fontId="15" fillId="0" borderId="2" xfId="0" applyNumberFormat="1" applyFont="1" applyBorder="1" applyAlignment="1">
      <alignment horizontal="center" vertical="center"/>
    </xf>
    <xf numFmtId="41" fontId="15" fillId="0" borderId="25" xfId="0" applyNumberFormat="1" applyFont="1" applyBorder="1" applyAlignment="1">
      <alignment horizontal="center" vertical="center"/>
    </xf>
    <xf numFmtId="41" fontId="15" fillId="8" borderId="1" xfId="0" applyNumberFormat="1" applyFont="1" applyFill="1" applyBorder="1" applyAlignment="1">
      <alignment horizontal="center" vertical="center"/>
    </xf>
    <xf numFmtId="41" fontId="18" fillId="8" borderId="1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22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14" fillId="2" borderId="9" xfId="0" applyFont="1" applyFill="1" applyBorder="1" applyAlignment="1">
      <alignment horizontal="left"/>
    </xf>
    <xf numFmtId="0" fontId="22" fillId="7" borderId="12" xfId="0" applyFont="1" applyFill="1" applyBorder="1" applyAlignment="1">
      <alignment horizontal="center" vertical="center" wrapText="1"/>
    </xf>
    <xf numFmtId="0" fontId="22" fillId="7" borderId="24" xfId="0" applyFont="1" applyFill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/>
    </xf>
    <xf numFmtId="0" fontId="22" fillId="2" borderId="24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wrapText="1"/>
    </xf>
    <xf numFmtId="0" fontId="15" fillId="0" borderId="29" xfId="0" applyFont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39" fillId="11" borderId="28" xfId="0" applyFont="1" applyFill="1" applyBorder="1" applyAlignment="1">
      <alignment horizontal="center" vertical="center" wrapText="1"/>
    </xf>
    <xf numFmtId="0" fontId="39" fillId="11" borderId="25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39" fillId="11" borderId="28" xfId="0" applyFont="1" applyFill="1" applyBorder="1" applyAlignment="1">
      <alignment horizontal="center" vertical="center"/>
    </xf>
    <xf numFmtId="0" fontId="39" fillId="11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4" fillId="2" borderId="8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1" xfId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39" fillId="11" borderId="29" xfId="0" applyFont="1" applyFill="1" applyBorder="1" applyAlignment="1">
      <alignment horizontal="center" vertical="center" wrapText="1"/>
    </xf>
    <xf numFmtId="0" fontId="39" fillId="11" borderId="2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1" fontId="10" fillId="2" borderId="3" xfId="0" applyNumberFormat="1" applyFont="1" applyFill="1" applyBorder="1" applyAlignment="1">
      <alignment horizontal="center" vertical="center" wrapText="1"/>
    </xf>
    <xf numFmtId="41" fontId="10" fillId="2" borderId="4" xfId="0" applyNumberFormat="1" applyFont="1" applyFill="1" applyBorder="1" applyAlignment="1">
      <alignment horizontal="center" vertical="center" wrapText="1"/>
    </xf>
    <xf numFmtId="41" fontId="10" fillId="2" borderId="5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1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41" fontId="11" fillId="2" borderId="3" xfId="0" applyNumberFormat="1" applyFont="1" applyFill="1" applyBorder="1" applyAlignment="1">
      <alignment horizontal="center" vertical="center" wrapText="1"/>
    </xf>
    <xf numFmtId="41" fontId="11" fillId="2" borderId="4" xfId="0" applyNumberFormat="1" applyFont="1" applyFill="1" applyBorder="1" applyAlignment="1">
      <alignment horizontal="center" vertical="center" wrapText="1"/>
    </xf>
    <xf numFmtId="41" fontId="11" fillId="2" borderId="5" xfId="0" applyNumberFormat="1" applyFont="1" applyFill="1" applyBorder="1" applyAlignment="1">
      <alignment horizontal="center" vertical="center" wrapText="1"/>
    </xf>
    <xf numFmtId="41" fontId="8" fillId="2" borderId="3" xfId="0" applyNumberFormat="1" applyFont="1" applyFill="1" applyBorder="1" applyAlignment="1">
      <alignment horizontal="center" vertical="center" wrapText="1"/>
    </xf>
    <xf numFmtId="41" fontId="8" fillId="2" borderId="4" xfId="0" applyNumberFormat="1" applyFont="1" applyFill="1" applyBorder="1" applyAlignment="1">
      <alignment horizontal="center" vertical="center" wrapText="1"/>
    </xf>
    <xf numFmtId="41" fontId="8" fillId="2" borderId="5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41" fontId="8" fillId="2" borderId="6" xfId="0" applyNumberFormat="1" applyFont="1" applyFill="1" applyBorder="1" applyAlignment="1">
      <alignment horizontal="center" vertical="center" wrapText="1"/>
    </xf>
    <xf numFmtId="41" fontId="8" fillId="2" borderId="7" xfId="0" applyNumberFormat="1" applyFont="1" applyFill="1" applyBorder="1" applyAlignment="1">
      <alignment horizontal="center" vertical="center" wrapText="1"/>
    </xf>
    <xf numFmtId="41" fontId="11" fillId="5" borderId="8" xfId="0" applyNumberFormat="1" applyFont="1" applyFill="1" applyBorder="1" applyAlignment="1">
      <alignment horizontal="center" vertical="center" wrapText="1"/>
    </xf>
    <xf numFmtId="41" fontId="10" fillId="5" borderId="8" xfId="0" applyNumberFormat="1" applyFont="1" applyFill="1" applyBorder="1" applyAlignment="1">
      <alignment horizontal="center" vertical="center" wrapText="1"/>
    </xf>
    <xf numFmtId="41" fontId="11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41" fontId="8" fillId="5" borderId="8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</cellXfs>
  <cellStyles count="6">
    <cellStyle name="Comma [0] 10" xfId="3" xr:uid="{00000000-0005-0000-0000-000000000000}"/>
    <cellStyle name="Currency 2" xfId="5" xr:uid="{00000000-0005-0000-0000-000001000000}"/>
    <cellStyle name="Normal" xfId="0" builtinId="0"/>
    <cellStyle name="Normal 2" xfId="1" xr:uid="{00000000-0005-0000-0000-000003000000}"/>
    <cellStyle name="Normal 6 2" xfId="2" xr:uid="{00000000-0005-0000-0000-000004000000}"/>
    <cellStyle name="Normal_BUFFER KAB RIAU 07" xfId="4" xr:uid="{00000000-0005-0000-0000-000005000000}"/>
  </cellStyles>
  <dxfs count="0"/>
  <tableStyles count="0" defaultTableStyle="TableStyleMedium9" defaultPivotStyle="PivotStyleLight16"/>
  <colors>
    <mruColors>
      <color rgb="FFCC99FF"/>
      <color rgb="FFCC00FF"/>
      <color rgb="FFFFCCFF"/>
      <color rgb="FFCC66FF"/>
      <color rgb="FFCA5EC7"/>
      <color rgb="FFD0D058"/>
      <color rgb="FFF1DBED"/>
      <color rgb="FFFF66FF"/>
      <color rgb="FFFF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workbookViewId="0">
      <pane xSplit="3" ySplit="7" topLeftCell="D177" activePane="bottomRight" state="frozen"/>
      <selection pane="topRight" activeCell="D1" sqref="D1"/>
      <selection pane="bottomLeft" activeCell="A8" sqref="A8"/>
      <selection pane="bottomRight" activeCell="A2" sqref="A2:H2"/>
    </sheetView>
  </sheetViews>
  <sheetFormatPr defaultColWidth="9.1796875" defaultRowHeight="16.5" x14ac:dyDescent="0.45"/>
  <cols>
    <col min="1" max="1" width="5.54296875" style="68" customWidth="1"/>
    <col min="2" max="2" width="43.7265625" style="68" customWidth="1"/>
    <col min="3" max="3" width="16.7265625" style="68" customWidth="1"/>
    <col min="4" max="8" width="9.7265625" style="68" customWidth="1"/>
    <col min="9" max="16384" width="9.1796875" style="68"/>
  </cols>
  <sheetData>
    <row r="1" spans="1:14" s="41" customFormat="1" ht="19.5" x14ac:dyDescent="0.6">
      <c r="A1" s="281" t="s">
        <v>278</v>
      </c>
      <c r="B1" s="281"/>
      <c r="C1" s="281"/>
      <c r="D1" s="281"/>
      <c r="E1" s="281"/>
      <c r="F1" s="281"/>
      <c r="G1" s="281"/>
      <c r="H1" s="281"/>
    </row>
    <row r="2" spans="1:14" s="41" customFormat="1" ht="19.5" x14ac:dyDescent="0.6">
      <c r="A2" s="281" t="s">
        <v>451</v>
      </c>
      <c r="B2" s="281"/>
      <c r="C2" s="281"/>
      <c r="D2" s="281"/>
      <c r="E2" s="281"/>
      <c r="F2" s="281"/>
      <c r="G2" s="281"/>
      <c r="H2" s="281"/>
    </row>
    <row r="3" spans="1:14" s="41" customFormat="1" ht="19.5" x14ac:dyDescent="0.6">
      <c r="A3" s="281" t="s">
        <v>419</v>
      </c>
      <c r="B3" s="281"/>
      <c r="C3" s="281"/>
      <c r="D3" s="281"/>
      <c r="E3" s="281"/>
      <c r="F3" s="281"/>
      <c r="G3" s="281"/>
      <c r="H3" s="281"/>
    </row>
    <row r="4" spans="1:14" s="41" customFormat="1" ht="19.5" x14ac:dyDescent="0.6">
      <c r="A4" s="286"/>
      <c r="B4" s="286"/>
      <c r="C4" s="70"/>
      <c r="D4" s="70"/>
      <c r="E4" s="70"/>
      <c r="F4" s="70"/>
      <c r="G4" s="70"/>
    </row>
    <row r="5" spans="1:14" s="41" customFormat="1" ht="19.5" x14ac:dyDescent="0.6">
      <c r="A5" s="287" t="s">
        <v>418</v>
      </c>
      <c r="B5" s="287"/>
      <c r="C5" s="70"/>
      <c r="D5" s="70"/>
      <c r="E5" s="70"/>
      <c r="F5" s="70"/>
      <c r="G5" s="70"/>
      <c r="N5" s="41">
        <v>12</v>
      </c>
    </row>
    <row r="6" spans="1:14" ht="36" customHeight="1" x14ac:dyDescent="0.45">
      <c r="A6" s="283" t="s">
        <v>0</v>
      </c>
      <c r="B6" s="284" t="s">
        <v>1</v>
      </c>
      <c r="C6" s="285" t="s">
        <v>2</v>
      </c>
      <c r="D6" s="288" t="s">
        <v>218</v>
      </c>
      <c r="E6" s="289"/>
      <c r="F6" s="289"/>
      <c r="G6" s="290"/>
      <c r="H6" s="282" t="s">
        <v>219</v>
      </c>
    </row>
    <row r="7" spans="1:14" ht="16.5" customHeight="1" x14ac:dyDescent="0.45">
      <c r="A7" s="283"/>
      <c r="B7" s="284"/>
      <c r="C7" s="285"/>
      <c r="D7" s="193">
        <v>46114</v>
      </c>
      <c r="E7" s="193">
        <v>46267</v>
      </c>
      <c r="F7" s="193"/>
      <c r="G7" s="193"/>
      <c r="H7" s="282"/>
    </row>
    <row r="8" spans="1:14" ht="19" x14ac:dyDescent="0.45">
      <c r="A8" s="99">
        <v>1</v>
      </c>
      <c r="B8" s="99">
        <v>2</v>
      </c>
      <c r="C8" s="99">
        <v>3</v>
      </c>
      <c r="D8" s="99">
        <v>4</v>
      </c>
      <c r="E8" s="99">
        <v>5</v>
      </c>
      <c r="F8" s="99">
        <v>6</v>
      </c>
      <c r="G8" s="99">
        <v>7</v>
      </c>
      <c r="H8" s="99">
        <v>8</v>
      </c>
    </row>
    <row r="9" spans="1:14" ht="20.149999999999999" customHeight="1" x14ac:dyDescent="0.5">
      <c r="A9" s="59">
        <v>1</v>
      </c>
      <c r="B9" s="141" t="s">
        <v>3</v>
      </c>
      <c r="C9" s="143" t="s">
        <v>4</v>
      </c>
      <c r="D9" s="143">
        <v>30</v>
      </c>
      <c r="E9" s="101"/>
      <c r="F9" s="101"/>
      <c r="G9" s="101"/>
      <c r="H9" s="101">
        <f>SUM(D9:G9)</f>
        <v>30</v>
      </c>
      <c r="J9" s="86"/>
    </row>
    <row r="10" spans="1:14" ht="20.149999999999999" customHeight="1" x14ac:dyDescent="0.5">
      <c r="A10" s="59">
        <f>A9+1</f>
        <v>2</v>
      </c>
      <c r="B10" s="141" t="s">
        <v>5</v>
      </c>
      <c r="C10" s="143" t="s">
        <v>327</v>
      </c>
      <c r="D10" s="143">
        <v>500</v>
      </c>
      <c r="E10" s="101"/>
      <c r="F10" s="101"/>
      <c r="G10" s="101"/>
      <c r="H10" s="101">
        <f t="shared" ref="H10:H73" si="0">SUM(D10:G10)</f>
        <v>500</v>
      </c>
      <c r="J10" s="86"/>
    </row>
    <row r="11" spans="1:14" ht="20.149999999999999" customHeight="1" x14ac:dyDescent="0.5">
      <c r="A11" s="59">
        <f t="shared" ref="A11:A74" si="1">A10+1</f>
        <v>3</v>
      </c>
      <c r="B11" s="141" t="s">
        <v>262</v>
      </c>
      <c r="C11" s="143" t="s">
        <v>48</v>
      </c>
      <c r="D11" s="143"/>
      <c r="E11" s="101"/>
      <c r="F11" s="101"/>
      <c r="G11" s="101"/>
      <c r="H11" s="101">
        <f t="shared" si="0"/>
        <v>0</v>
      </c>
      <c r="J11" s="86"/>
    </row>
    <row r="12" spans="1:14" ht="20.149999999999999" customHeight="1" x14ac:dyDescent="0.5">
      <c r="A12" s="59">
        <f t="shared" si="1"/>
        <v>4</v>
      </c>
      <c r="B12" s="141" t="s">
        <v>7</v>
      </c>
      <c r="C12" s="143" t="s">
        <v>328</v>
      </c>
      <c r="D12" s="143">
        <v>2000</v>
      </c>
      <c r="E12" s="101"/>
      <c r="F12" s="101"/>
      <c r="G12" s="101"/>
      <c r="H12" s="101">
        <f t="shared" si="0"/>
        <v>2000</v>
      </c>
      <c r="J12" s="86"/>
    </row>
    <row r="13" spans="1:14" ht="20.149999999999999" customHeight="1" x14ac:dyDescent="0.5">
      <c r="A13" s="59">
        <f t="shared" si="1"/>
        <v>5</v>
      </c>
      <c r="B13" s="141" t="s">
        <v>317</v>
      </c>
      <c r="C13" s="143" t="s">
        <v>6</v>
      </c>
      <c r="D13" s="143">
        <v>3000</v>
      </c>
      <c r="E13" s="101"/>
      <c r="F13" s="228"/>
      <c r="G13" s="228"/>
      <c r="H13" s="101">
        <f t="shared" si="0"/>
        <v>3000</v>
      </c>
      <c r="J13" s="86"/>
    </row>
    <row r="14" spans="1:14" ht="20.149999999999999" customHeight="1" x14ac:dyDescent="0.5">
      <c r="A14" s="59">
        <f t="shared" si="1"/>
        <v>6</v>
      </c>
      <c r="B14" s="141" t="s">
        <v>8</v>
      </c>
      <c r="C14" s="143" t="s">
        <v>48</v>
      </c>
      <c r="D14" s="143"/>
      <c r="E14" s="101"/>
      <c r="F14" s="101"/>
      <c r="G14" s="101"/>
      <c r="H14" s="101">
        <f t="shared" si="0"/>
        <v>0</v>
      </c>
      <c r="J14" s="86"/>
    </row>
    <row r="15" spans="1:14" ht="20.149999999999999" customHeight="1" x14ac:dyDescent="0.5">
      <c r="A15" s="59">
        <f t="shared" si="1"/>
        <v>7</v>
      </c>
      <c r="B15" s="141" t="s">
        <v>9</v>
      </c>
      <c r="C15" s="143" t="s">
        <v>329</v>
      </c>
      <c r="D15" s="143">
        <v>1500</v>
      </c>
      <c r="E15" s="101"/>
      <c r="F15" s="101"/>
      <c r="G15" s="101"/>
      <c r="H15" s="101">
        <f t="shared" si="0"/>
        <v>1500</v>
      </c>
      <c r="J15" s="86"/>
    </row>
    <row r="16" spans="1:14" ht="30" x14ac:dyDescent="0.5">
      <c r="A16" s="59">
        <f t="shared" si="1"/>
        <v>8</v>
      </c>
      <c r="B16" s="141" t="s">
        <v>250</v>
      </c>
      <c r="C16" s="143" t="s">
        <v>4</v>
      </c>
      <c r="D16" s="143">
        <v>100</v>
      </c>
      <c r="E16" s="101"/>
      <c r="F16" s="101"/>
      <c r="G16" s="101"/>
      <c r="H16" s="101">
        <f t="shared" si="0"/>
        <v>100</v>
      </c>
      <c r="J16" s="86"/>
    </row>
    <row r="17" spans="1:10" ht="30" x14ac:dyDescent="0.5">
      <c r="A17" s="59">
        <f t="shared" si="1"/>
        <v>9</v>
      </c>
      <c r="B17" s="141" t="s">
        <v>10</v>
      </c>
      <c r="C17" s="143" t="s">
        <v>319</v>
      </c>
      <c r="D17" s="143">
        <v>50</v>
      </c>
      <c r="E17" s="101"/>
      <c r="F17" s="101"/>
      <c r="G17" s="101"/>
      <c r="H17" s="101">
        <f t="shared" si="0"/>
        <v>50</v>
      </c>
      <c r="J17" s="86"/>
    </row>
    <row r="18" spans="1:10" ht="30" x14ac:dyDescent="0.5">
      <c r="A18" s="59">
        <f t="shared" si="1"/>
        <v>10</v>
      </c>
      <c r="B18" s="141" t="s">
        <v>10</v>
      </c>
      <c r="C18" s="143" t="s">
        <v>327</v>
      </c>
      <c r="D18" s="143">
        <v>1000</v>
      </c>
      <c r="E18" s="101"/>
      <c r="F18" s="101"/>
      <c r="G18" s="101"/>
      <c r="H18" s="101">
        <f t="shared" si="0"/>
        <v>1000</v>
      </c>
      <c r="J18" s="86"/>
    </row>
    <row r="19" spans="1:10" ht="18" x14ac:dyDescent="0.5">
      <c r="A19" s="59">
        <f t="shared" si="1"/>
        <v>11</v>
      </c>
      <c r="B19" s="141" t="s">
        <v>259</v>
      </c>
      <c r="C19" s="143" t="s">
        <v>4</v>
      </c>
      <c r="D19" s="143"/>
      <c r="E19" s="101"/>
      <c r="F19" s="101"/>
      <c r="G19" s="101"/>
      <c r="H19" s="101">
        <f t="shared" si="0"/>
        <v>0</v>
      </c>
      <c r="J19" s="86"/>
    </row>
    <row r="20" spans="1:10" ht="45" x14ac:dyDescent="0.5">
      <c r="A20" s="59">
        <f t="shared" si="1"/>
        <v>12</v>
      </c>
      <c r="B20" s="141" t="s">
        <v>11</v>
      </c>
      <c r="C20" s="143" t="s">
        <v>330</v>
      </c>
      <c r="D20" s="143"/>
      <c r="E20" s="101"/>
      <c r="F20" s="101"/>
      <c r="G20" s="101"/>
      <c r="H20" s="101">
        <f t="shared" si="0"/>
        <v>0</v>
      </c>
      <c r="J20" s="86"/>
    </row>
    <row r="21" spans="1:10" ht="18" x14ac:dyDescent="0.5">
      <c r="A21" s="59">
        <f t="shared" si="1"/>
        <v>13</v>
      </c>
      <c r="B21" s="141" t="s">
        <v>12</v>
      </c>
      <c r="C21" s="143" t="s">
        <v>327</v>
      </c>
      <c r="D21" s="143"/>
      <c r="E21" s="101"/>
      <c r="F21" s="101"/>
      <c r="G21" s="101"/>
      <c r="H21" s="101">
        <f t="shared" si="0"/>
        <v>0</v>
      </c>
      <c r="J21" s="86"/>
    </row>
    <row r="22" spans="1:10" ht="18" x14ac:dyDescent="0.5">
      <c r="A22" s="59">
        <f t="shared" si="1"/>
        <v>14</v>
      </c>
      <c r="B22" s="141" t="s">
        <v>277</v>
      </c>
      <c r="C22" s="143" t="s">
        <v>327</v>
      </c>
      <c r="D22" s="143"/>
      <c r="E22" s="101"/>
      <c r="F22" s="101"/>
      <c r="G22" s="101"/>
      <c r="H22" s="101">
        <f t="shared" si="0"/>
        <v>0</v>
      </c>
      <c r="J22" s="86"/>
    </row>
    <row r="23" spans="1:10" ht="20.149999999999999" customHeight="1" x14ac:dyDescent="0.5">
      <c r="A23" s="59">
        <f t="shared" si="1"/>
        <v>15</v>
      </c>
      <c r="B23" s="141" t="s">
        <v>13</v>
      </c>
      <c r="C23" s="143" t="s">
        <v>327</v>
      </c>
      <c r="D23" s="143"/>
      <c r="E23" s="101"/>
      <c r="F23" s="101"/>
      <c r="G23" s="101"/>
      <c r="H23" s="101">
        <f t="shared" si="0"/>
        <v>0</v>
      </c>
      <c r="J23" s="86"/>
    </row>
    <row r="24" spans="1:10" ht="18" x14ac:dyDescent="0.5">
      <c r="A24" s="59">
        <f t="shared" si="1"/>
        <v>16</v>
      </c>
      <c r="B24" s="141" t="s">
        <v>14</v>
      </c>
      <c r="C24" s="143" t="s">
        <v>327</v>
      </c>
      <c r="D24" s="143">
        <v>1500</v>
      </c>
      <c r="E24" s="101"/>
      <c r="F24" s="101"/>
      <c r="G24" s="101"/>
      <c r="H24" s="101">
        <f t="shared" si="0"/>
        <v>1500</v>
      </c>
      <c r="J24" s="86"/>
    </row>
    <row r="25" spans="1:10" ht="20.149999999999999" customHeight="1" x14ac:dyDescent="0.5">
      <c r="A25" s="59">
        <f t="shared" si="1"/>
        <v>17</v>
      </c>
      <c r="B25" s="141" t="s">
        <v>15</v>
      </c>
      <c r="C25" s="143" t="s">
        <v>4</v>
      </c>
      <c r="D25" s="143"/>
      <c r="E25" s="101"/>
      <c r="F25" s="101"/>
      <c r="G25" s="101"/>
      <c r="H25" s="101">
        <f t="shared" si="0"/>
        <v>0</v>
      </c>
      <c r="J25" s="86"/>
    </row>
    <row r="26" spans="1:10" ht="20.149999999999999" customHeight="1" x14ac:dyDescent="0.5">
      <c r="A26" s="59">
        <f t="shared" si="1"/>
        <v>18</v>
      </c>
      <c r="B26" s="141" t="s">
        <v>320</v>
      </c>
      <c r="C26" s="143" t="s">
        <v>331</v>
      </c>
      <c r="D26" s="143">
        <v>25</v>
      </c>
      <c r="E26" s="101"/>
      <c r="F26" s="101"/>
      <c r="G26" s="101"/>
      <c r="H26" s="101">
        <f t="shared" si="0"/>
        <v>25</v>
      </c>
      <c r="J26" s="86"/>
    </row>
    <row r="27" spans="1:10" ht="20.149999999999999" customHeight="1" x14ac:dyDescent="0.5">
      <c r="A27" s="59">
        <f t="shared" si="1"/>
        <v>19</v>
      </c>
      <c r="B27" s="141" t="s">
        <v>17</v>
      </c>
      <c r="C27" s="143" t="s">
        <v>332</v>
      </c>
      <c r="D27" s="143"/>
      <c r="E27" s="101"/>
      <c r="F27" s="101"/>
      <c r="G27" s="101"/>
      <c r="H27" s="101">
        <f t="shared" si="0"/>
        <v>0</v>
      </c>
      <c r="J27" s="86"/>
    </row>
    <row r="28" spans="1:10" ht="20.149999999999999" customHeight="1" x14ac:dyDescent="0.5">
      <c r="A28" s="59">
        <f t="shared" si="1"/>
        <v>20</v>
      </c>
      <c r="B28" s="141" t="s">
        <v>18</v>
      </c>
      <c r="C28" s="143" t="s">
        <v>333</v>
      </c>
      <c r="D28" s="143"/>
      <c r="E28" s="101"/>
      <c r="F28" s="101"/>
      <c r="G28" s="101"/>
      <c r="H28" s="101">
        <f t="shared" si="0"/>
        <v>0</v>
      </c>
      <c r="J28" s="86"/>
    </row>
    <row r="29" spans="1:10" ht="20.149999999999999" customHeight="1" x14ac:dyDescent="0.5">
      <c r="A29" s="59">
        <f t="shared" si="1"/>
        <v>21</v>
      </c>
      <c r="B29" s="60" t="s">
        <v>449</v>
      </c>
      <c r="C29" s="213" t="s">
        <v>6</v>
      </c>
      <c r="D29" s="143">
        <v>2000</v>
      </c>
      <c r="E29" s="101"/>
      <c r="F29" s="101"/>
      <c r="G29" s="101"/>
      <c r="H29" s="101">
        <f t="shared" si="0"/>
        <v>2000</v>
      </c>
      <c r="J29" s="86"/>
    </row>
    <row r="30" spans="1:10" ht="20.149999999999999" customHeight="1" x14ac:dyDescent="0.5">
      <c r="A30" s="59">
        <f t="shared" si="1"/>
        <v>22</v>
      </c>
      <c r="B30" s="141" t="s">
        <v>19</v>
      </c>
      <c r="C30" s="143" t="s">
        <v>4</v>
      </c>
      <c r="D30" s="143"/>
      <c r="E30" s="101"/>
      <c r="F30" s="101"/>
      <c r="G30" s="101"/>
      <c r="H30" s="101">
        <f t="shared" si="0"/>
        <v>0</v>
      </c>
      <c r="J30" s="86"/>
    </row>
    <row r="31" spans="1:10" ht="20.149999999999999" customHeight="1" x14ac:dyDescent="0.5">
      <c r="A31" s="59">
        <f t="shared" si="1"/>
        <v>23</v>
      </c>
      <c r="B31" s="141" t="s">
        <v>260</v>
      </c>
      <c r="C31" s="143" t="s">
        <v>254</v>
      </c>
      <c r="D31" s="143"/>
      <c r="E31" s="101"/>
      <c r="F31" s="101"/>
      <c r="G31" s="101"/>
      <c r="H31" s="101">
        <f t="shared" si="0"/>
        <v>0</v>
      </c>
      <c r="J31" s="86"/>
    </row>
    <row r="32" spans="1:10" ht="20.149999999999999" customHeight="1" x14ac:dyDescent="0.5">
      <c r="A32" s="59">
        <f t="shared" si="1"/>
        <v>24</v>
      </c>
      <c r="B32" s="141" t="s">
        <v>104</v>
      </c>
      <c r="C32" s="143" t="s">
        <v>334</v>
      </c>
      <c r="D32" s="143"/>
      <c r="E32" s="101"/>
      <c r="F32" s="101"/>
      <c r="G32" s="101"/>
      <c r="H32" s="101">
        <f t="shared" si="0"/>
        <v>0</v>
      </c>
      <c r="J32" s="86"/>
    </row>
    <row r="33" spans="1:10" ht="20.149999999999999" customHeight="1" x14ac:dyDescent="0.5">
      <c r="A33" s="59">
        <f t="shared" si="1"/>
        <v>25</v>
      </c>
      <c r="B33" s="141" t="s">
        <v>20</v>
      </c>
      <c r="C33" s="143" t="s">
        <v>335</v>
      </c>
      <c r="D33" s="143"/>
      <c r="E33" s="101"/>
      <c r="F33" s="101"/>
      <c r="G33" s="101"/>
      <c r="H33" s="101">
        <f t="shared" si="0"/>
        <v>0</v>
      </c>
      <c r="J33" s="86"/>
    </row>
    <row r="34" spans="1:10" ht="20.149999999999999" customHeight="1" x14ac:dyDescent="0.5">
      <c r="A34" s="59">
        <f t="shared" si="1"/>
        <v>26</v>
      </c>
      <c r="B34" s="141" t="s">
        <v>22</v>
      </c>
      <c r="C34" s="143" t="s">
        <v>330</v>
      </c>
      <c r="D34" s="143"/>
      <c r="E34" s="101"/>
      <c r="F34" s="101"/>
      <c r="G34" s="101"/>
      <c r="H34" s="101">
        <f t="shared" si="0"/>
        <v>0</v>
      </c>
      <c r="J34" s="86"/>
    </row>
    <row r="35" spans="1:10" ht="20.149999999999999" customHeight="1" x14ac:dyDescent="0.5">
      <c r="A35" s="59">
        <f t="shared" si="1"/>
        <v>27</v>
      </c>
      <c r="B35" s="141" t="s">
        <v>21</v>
      </c>
      <c r="C35" s="143" t="s">
        <v>330</v>
      </c>
      <c r="D35" s="143"/>
      <c r="E35" s="101"/>
      <c r="F35" s="101"/>
      <c r="G35" s="101"/>
      <c r="H35" s="101">
        <f t="shared" si="0"/>
        <v>0</v>
      </c>
      <c r="J35" s="86"/>
    </row>
    <row r="36" spans="1:10" ht="20.149999999999999" customHeight="1" x14ac:dyDescent="0.5">
      <c r="A36" s="59">
        <f t="shared" si="1"/>
        <v>28</v>
      </c>
      <c r="B36" s="141" t="s">
        <v>23</v>
      </c>
      <c r="C36" s="143" t="s">
        <v>336</v>
      </c>
      <c r="D36" s="143"/>
      <c r="E36" s="101"/>
      <c r="F36" s="101"/>
      <c r="G36" s="101"/>
      <c r="H36" s="101">
        <f t="shared" si="0"/>
        <v>0</v>
      </c>
      <c r="J36" s="86"/>
    </row>
    <row r="37" spans="1:10" ht="20.149999999999999" customHeight="1" x14ac:dyDescent="0.5">
      <c r="A37" s="59">
        <f t="shared" si="1"/>
        <v>29</v>
      </c>
      <c r="B37" s="141" t="s">
        <v>25</v>
      </c>
      <c r="C37" s="143" t="s">
        <v>327</v>
      </c>
      <c r="D37" s="143"/>
      <c r="E37" s="101">
        <v>1500</v>
      </c>
      <c r="F37" s="101"/>
      <c r="G37" s="101"/>
      <c r="H37" s="101">
        <f t="shared" si="0"/>
        <v>1500</v>
      </c>
      <c r="J37" s="86"/>
    </row>
    <row r="38" spans="1:10" ht="20.149999999999999" customHeight="1" x14ac:dyDescent="0.5">
      <c r="A38" s="59">
        <f t="shared" si="1"/>
        <v>30</v>
      </c>
      <c r="B38" s="141" t="s">
        <v>24</v>
      </c>
      <c r="C38" s="143" t="s">
        <v>4</v>
      </c>
      <c r="D38" s="143"/>
      <c r="E38" s="101"/>
      <c r="F38" s="101"/>
      <c r="G38" s="101"/>
      <c r="H38" s="101">
        <f t="shared" si="0"/>
        <v>0</v>
      </c>
      <c r="J38" s="86"/>
    </row>
    <row r="39" spans="1:10" ht="20.149999999999999" customHeight="1" x14ac:dyDescent="0.5">
      <c r="A39" s="59">
        <f t="shared" si="1"/>
        <v>31</v>
      </c>
      <c r="B39" s="141" t="s">
        <v>26</v>
      </c>
      <c r="C39" s="143" t="s">
        <v>48</v>
      </c>
      <c r="D39" s="143"/>
      <c r="E39" s="101"/>
      <c r="F39" s="101"/>
      <c r="G39" s="101"/>
      <c r="H39" s="101">
        <f t="shared" si="0"/>
        <v>0</v>
      </c>
      <c r="J39" s="86"/>
    </row>
    <row r="40" spans="1:10" ht="20.149999999999999" customHeight="1" x14ac:dyDescent="0.5">
      <c r="A40" s="59">
        <f t="shared" si="1"/>
        <v>32</v>
      </c>
      <c r="B40" s="141" t="s">
        <v>27</v>
      </c>
      <c r="C40" s="143" t="s">
        <v>337</v>
      </c>
      <c r="D40" s="143"/>
      <c r="E40" s="101"/>
      <c r="F40" s="101"/>
      <c r="G40" s="101"/>
      <c r="H40" s="101">
        <f t="shared" si="0"/>
        <v>0</v>
      </c>
      <c r="J40" s="86"/>
    </row>
    <row r="41" spans="1:10" ht="20.149999999999999" customHeight="1" x14ac:dyDescent="0.5">
      <c r="A41" s="59">
        <f t="shared" si="1"/>
        <v>33</v>
      </c>
      <c r="B41" s="141" t="s">
        <v>28</v>
      </c>
      <c r="C41" s="143" t="s">
        <v>338</v>
      </c>
      <c r="D41" s="143"/>
      <c r="E41" s="101"/>
      <c r="F41" s="101"/>
      <c r="G41" s="101"/>
      <c r="H41" s="101">
        <f t="shared" si="0"/>
        <v>0</v>
      </c>
      <c r="J41" s="86"/>
    </row>
    <row r="42" spans="1:10" ht="20.149999999999999" customHeight="1" x14ac:dyDescent="0.5">
      <c r="A42" s="59">
        <f t="shared" si="1"/>
        <v>34</v>
      </c>
      <c r="B42" s="141" t="s">
        <v>29</v>
      </c>
      <c r="C42" s="143" t="s">
        <v>339</v>
      </c>
      <c r="D42" s="143"/>
      <c r="E42" s="101"/>
      <c r="F42" s="101"/>
      <c r="G42" s="101"/>
      <c r="H42" s="101">
        <f t="shared" si="0"/>
        <v>0</v>
      </c>
      <c r="J42" s="86"/>
    </row>
    <row r="43" spans="1:10" ht="20.149999999999999" customHeight="1" x14ac:dyDescent="0.5">
      <c r="A43" s="59">
        <f t="shared" si="1"/>
        <v>35</v>
      </c>
      <c r="B43" s="141" t="s">
        <v>30</v>
      </c>
      <c r="C43" s="143" t="s">
        <v>337</v>
      </c>
      <c r="D43" s="143"/>
      <c r="E43" s="101"/>
      <c r="F43" s="101"/>
      <c r="G43" s="101"/>
      <c r="H43" s="101">
        <f t="shared" si="0"/>
        <v>0</v>
      </c>
      <c r="J43" s="86"/>
    </row>
    <row r="44" spans="1:10" ht="20.149999999999999" customHeight="1" x14ac:dyDescent="0.5">
      <c r="A44" s="59">
        <f t="shared" si="1"/>
        <v>36</v>
      </c>
      <c r="B44" s="141" t="s">
        <v>31</v>
      </c>
      <c r="C44" s="143" t="s">
        <v>327</v>
      </c>
      <c r="D44" s="143">
        <v>400</v>
      </c>
      <c r="E44" s="101"/>
      <c r="F44" s="101"/>
      <c r="G44" s="101"/>
      <c r="H44" s="101">
        <f t="shared" si="0"/>
        <v>400</v>
      </c>
      <c r="J44" s="86"/>
    </row>
    <row r="45" spans="1:10" ht="20.149999999999999" customHeight="1" x14ac:dyDescent="0.5">
      <c r="A45" s="59">
        <f t="shared" si="1"/>
        <v>37</v>
      </c>
      <c r="B45" s="141" t="s">
        <v>32</v>
      </c>
      <c r="C45" s="143" t="s">
        <v>340</v>
      </c>
      <c r="D45" s="143"/>
      <c r="E45" s="101"/>
      <c r="F45" s="101"/>
      <c r="G45" s="101"/>
      <c r="H45" s="101">
        <f t="shared" si="0"/>
        <v>0</v>
      </c>
      <c r="J45" s="86"/>
    </row>
    <row r="46" spans="1:10" ht="20.149999999999999" customHeight="1" x14ac:dyDescent="0.5">
      <c r="A46" s="59">
        <f t="shared" si="1"/>
        <v>38</v>
      </c>
      <c r="B46" s="141" t="s">
        <v>34</v>
      </c>
      <c r="C46" s="143" t="s">
        <v>48</v>
      </c>
      <c r="D46" s="143">
        <v>50</v>
      </c>
      <c r="E46" s="101"/>
      <c r="F46" s="101"/>
      <c r="G46" s="101"/>
      <c r="H46" s="101">
        <f t="shared" si="0"/>
        <v>50</v>
      </c>
      <c r="J46" s="86"/>
    </row>
    <row r="47" spans="1:10" ht="20.149999999999999" customHeight="1" x14ac:dyDescent="0.5">
      <c r="A47" s="59">
        <f t="shared" si="1"/>
        <v>39</v>
      </c>
      <c r="B47" s="141" t="s">
        <v>35</v>
      </c>
      <c r="C47" s="143" t="s">
        <v>4</v>
      </c>
      <c r="D47" s="143"/>
      <c r="E47" s="101"/>
      <c r="F47" s="101"/>
      <c r="G47" s="101"/>
      <c r="H47" s="101">
        <f t="shared" si="0"/>
        <v>0</v>
      </c>
      <c r="J47" s="86"/>
    </row>
    <row r="48" spans="1:10" ht="20.149999999999999" customHeight="1" x14ac:dyDescent="0.5">
      <c r="A48" s="59">
        <f t="shared" si="1"/>
        <v>40</v>
      </c>
      <c r="B48" s="141" t="s">
        <v>282</v>
      </c>
      <c r="C48" s="143" t="s">
        <v>48</v>
      </c>
      <c r="D48" s="143"/>
      <c r="E48" s="101"/>
      <c r="F48" s="101"/>
      <c r="G48" s="101"/>
      <c r="H48" s="101">
        <f t="shared" si="0"/>
        <v>0</v>
      </c>
      <c r="J48" s="86"/>
    </row>
    <row r="49" spans="1:10" ht="20.149999999999999" customHeight="1" x14ac:dyDescent="0.5">
      <c r="A49" s="59">
        <f t="shared" si="1"/>
        <v>41</v>
      </c>
      <c r="B49" s="141" t="s">
        <v>36</v>
      </c>
      <c r="C49" s="143" t="s">
        <v>341</v>
      </c>
      <c r="D49" s="143"/>
      <c r="E49" s="101"/>
      <c r="F49" s="101"/>
      <c r="G49" s="101"/>
      <c r="H49" s="101">
        <f t="shared" si="0"/>
        <v>0</v>
      </c>
      <c r="J49" s="86"/>
    </row>
    <row r="50" spans="1:10" ht="20.149999999999999" customHeight="1" x14ac:dyDescent="0.5">
      <c r="A50" s="59">
        <f t="shared" si="1"/>
        <v>42</v>
      </c>
      <c r="B50" s="141" t="s">
        <v>38</v>
      </c>
      <c r="C50" s="143" t="s">
        <v>337</v>
      </c>
      <c r="D50" s="143"/>
      <c r="E50" s="101"/>
      <c r="F50" s="101"/>
      <c r="G50" s="101"/>
      <c r="H50" s="101">
        <f t="shared" si="0"/>
        <v>0</v>
      </c>
      <c r="J50" s="86"/>
    </row>
    <row r="51" spans="1:10" ht="20.149999999999999" customHeight="1" x14ac:dyDescent="0.5">
      <c r="A51" s="59">
        <f t="shared" si="1"/>
        <v>43</v>
      </c>
      <c r="B51" s="141" t="s">
        <v>37</v>
      </c>
      <c r="C51" s="143" t="s">
        <v>327</v>
      </c>
      <c r="D51" s="143"/>
      <c r="E51" s="101"/>
      <c r="F51" s="101"/>
      <c r="G51" s="101"/>
      <c r="H51" s="101">
        <f t="shared" si="0"/>
        <v>0</v>
      </c>
      <c r="J51" s="86"/>
    </row>
    <row r="52" spans="1:10" ht="20.149999999999999" customHeight="1" x14ac:dyDescent="0.5">
      <c r="A52" s="59">
        <f t="shared" si="1"/>
        <v>44</v>
      </c>
      <c r="B52" s="141" t="s">
        <v>261</v>
      </c>
      <c r="C52" s="143" t="s">
        <v>337</v>
      </c>
      <c r="D52" s="143"/>
      <c r="E52" s="101"/>
      <c r="F52" s="101"/>
      <c r="G52" s="101"/>
      <c r="H52" s="101">
        <f t="shared" si="0"/>
        <v>0</v>
      </c>
      <c r="J52" s="86"/>
    </row>
    <row r="53" spans="1:10" ht="20.149999999999999" customHeight="1" x14ac:dyDescent="0.5">
      <c r="A53" s="59">
        <f t="shared" si="1"/>
        <v>45</v>
      </c>
      <c r="B53" s="141" t="s">
        <v>39</v>
      </c>
      <c r="C53" s="143" t="s">
        <v>342</v>
      </c>
      <c r="D53" s="143"/>
      <c r="E53" s="101"/>
      <c r="F53" s="101"/>
      <c r="G53" s="101"/>
      <c r="H53" s="101">
        <f t="shared" si="0"/>
        <v>0</v>
      </c>
      <c r="J53" s="86"/>
    </row>
    <row r="54" spans="1:10" ht="20.149999999999999" customHeight="1" x14ac:dyDescent="0.5">
      <c r="A54" s="59">
        <f t="shared" si="1"/>
        <v>46</v>
      </c>
      <c r="B54" s="141" t="s">
        <v>40</v>
      </c>
      <c r="C54" s="143" t="s">
        <v>177</v>
      </c>
      <c r="D54" s="143"/>
      <c r="E54" s="101"/>
      <c r="F54" s="101"/>
      <c r="G54" s="101"/>
      <c r="H54" s="101">
        <f t="shared" si="0"/>
        <v>0</v>
      </c>
      <c r="J54" s="86"/>
    </row>
    <row r="55" spans="1:10" ht="20.149999999999999" customHeight="1" x14ac:dyDescent="0.5">
      <c r="A55" s="59">
        <f t="shared" si="1"/>
        <v>47</v>
      </c>
      <c r="B55" s="141" t="s">
        <v>265</v>
      </c>
      <c r="C55" s="143" t="s">
        <v>343</v>
      </c>
      <c r="D55" s="143"/>
      <c r="E55" s="101"/>
      <c r="F55" s="101"/>
      <c r="G55" s="101"/>
      <c r="H55" s="101">
        <f t="shared" si="0"/>
        <v>0</v>
      </c>
      <c r="J55" s="86"/>
    </row>
    <row r="56" spans="1:10" ht="18" x14ac:dyDescent="0.5">
      <c r="A56" s="59">
        <f t="shared" si="1"/>
        <v>48</v>
      </c>
      <c r="B56" s="141" t="s">
        <v>41</v>
      </c>
      <c r="C56" s="143" t="s">
        <v>327</v>
      </c>
      <c r="D56" s="143">
        <v>1000</v>
      </c>
      <c r="E56" s="101"/>
      <c r="F56" s="101"/>
      <c r="G56" s="101"/>
      <c r="H56" s="101">
        <f t="shared" si="0"/>
        <v>1000</v>
      </c>
      <c r="J56" s="86"/>
    </row>
    <row r="57" spans="1:10" ht="20.149999999999999" customHeight="1" x14ac:dyDescent="0.5">
      <c r="A57" s="59">
        <f t="shared" si="1"/>
        <v>49</v>
      </c>
      <c r="B57" s="141" t="s">
        <v>105</v>
      </c>
      <c r="C57" s="143" t="s">
        <v>327</v>
      </c>
      <c r="D57" s="143"/>
      <c r="E57" s="101"/>
      <c r="F57" s="101"/>
      <c r="G57" s="101"/>
      <c r="H57" s="101">
        <f t="shared" si="0"/>
        <v>0</v>
      </c>
      <c r="J57" s="86"/>
    </row>
    <row r="58" spans="1:10" ht="20.149999999999999" customHeight="1" x14ac:dyDescent="0.5">
      <c r="A58" s="59">
        <f t="shared" si="1"/>
        <v>50</v>
      </c>
      <c r="B58" s="141" t="s">
        <v>42</v>
      </c>
      <c r="C58" s="143" t="s">
        <v>321</v>
      </c>
      <c r="D58" s="143"/>
      <c r="E58" s="101"/>
      <c r="F58" s="101"/>
      <c r="G58" s="101"/>
      <c r="H58" s="101">
        <f t="shared" si="0"/>
        <v>0</v>
      </c>
      <c r="J58" s="86"/>
    </row>
    <row r="59" spans="1:10" ht="20.149999999999999" customHeight="1" x14ac:dyDescent="0.5">
      <c r="A59" s="59">
        <f t="shared" si="1"/>
        <v>51</v>
      </c>
      <c r="B59" s="141" t="s">
        <v>43</v>
      </c>
      <c r="C59" s="143" t="s">
        <v>327</v>
      </c>
      <c r="D59" s="143"/>
      <c r="E59" s="101"/>
      <c r="F59" s="101"/>
      <c r="G59" s="101"/>
      <c r="H59" s="101">
        <f t="shared" si="0"/>
        <v>0</v>
      </c>
      <c r="J59" s="86"/>
    </row>
    <row r="60" spans="1:10" ht="20.149999999999999" customHeight="1" x14ac:dyDescent="0.5">
      <c r="A60" s="59">
        <f t="shared" si="1"/>
        <v>52</v>
      </c>
      <c r="B60" s="141" t="s">
        <v>44</v>
      </c>
      <c r="C60" s="143" t="s">
        <v>327</v>
      </c>
      <c r="D60" s="143"/>
      <c r="E60" s="101"/>
      <c r="F60" s="101"/>
      <c r="G60" s="101"/>
      <c r="H60" s="101">
        <f t="shared" si="0"/>
        <v>0</v>
      </c>
      <c r="J60" s="86"/>
    </row>
    <row r="61" spans="1:10" ht="20.149999999999999" customHeight="1" x14ac:dyDescent="0.5">
      <c r="A61" s="59">
        <f t="shared" si="1"/>
        <v>53</v>
      </c>
      <c r="B61" s="141" t="s">
        <v>45</v>
      </c>
      <c r="C61" s="143" t="s">
        <v>335</v>
      </c>
      <c r="D61" s="143"/>
      <c r="E61" s="101"/>
      <c r="F61" s="101"/>
      <c r="G61" s="101"/>
      <c r="H61" s="101">
        <f t="shared" si="0"/>
        <v>0</v>
      </c>
      <c r="J61" s="86"/>
    </row>
    <row r="62" spans="1:10" ht="20.149999999999999" customHeight="1" x14ac:dyDescent="0.5">
      <c r="A62" s="59">
        <f t="shared" si="1"/>
        <v>54</v>
      </c>
      <c r="B62" s="141" t="s">
        <v>46</v>
      </c>
      <c r="C62" s="143" t="s">
        <v>344</v>
      </c>
      <c r="D62" s="143">
        <v>300</v>
      </c>
      <c r="E62" s="101"/>
      <c r="F62" s="101"/>
      <c r="G62" s="101"/>
      <c r="H62" s="101">
        <f t="shared" si="0"/>
        <v>300</v>
      </c>
      <c r="J62" s="86"/>
    </row>
    <row r="63" spans="1:10" ht="18" x14ac:dyDescent="0.5">
      <c r="A63" s="59">
        <f t="shared" si="1"/>
        <v>55</v>
      </c>
      <c r="B63" s="141" t="s">
        <v>47</v>
      </c>
      <c r="C63" s="143" t="s">
        <v>48</v>
      </c>
      <c r="D63" s="143"/>
      <c r="E63" s="101"/>
      <c r="F63" s="101"/>
      <c r="G63" s="101"/>
      <c r="H63" s="101">
        <f t="shared" si="0"/>
        <v>0</v>
      </c>
      <c r="J63" s="86"/>
    </row>
    <row r="64" spans="1:10" ht="20.149999999999999" customHeight="1" x14ac:dyDescent="0.5">
      <c r="A64" s="59">
        <f t="shared" si="1"/>
        <v>56</v>
      </c>
      <c r="B64" s="141" t="s">
        <v>49</v>
      </c>
      <c r="C64" s="143" t="s">
        <v>341</v>
      </c>
      <c r="D64" s="143">
        <v>1500</v>
      </c>
      <c r="E64" s="101"/>
      <c r="F64" s="101"/>
      <c r="G64" s="101"/>
      <c r="H64" s="101">
        <f t="shared" si="0"/>
        <v>1500</v>
      </c>
      <c r="J64" s="86"/>
    </row>
    <row r="65" spans="1:10" ht="20.149999999999999" customHeight="1" x14ac:dyDescent="0.5">
      <c r="A65" s="59">
        <f t="shared" si="1"/>
        <v>57</v>
      </c>
      <c r="B65" s="141" t="s">
        <v>50</v>
      </c>
      <c r="C65" s="143" t="s">
        <v>327</v>
      </c>
      <c r="D65" s="143"/>
      <c r="E65" s="101"/>
      <c r="F65" s="101"/>
      <c r="G65" s="101"/>
      <c r="H65" s="101">
        <f t="shared" si="0"/>
        <v>0</v>
      </c>
      <c r="J65" s="86"/>
    </row>
    <row r="66" spans="1:10" ht="20.149999999999999" customHeight="1" x14ac:dyDescent="0.5">
      <c r="A66" s="59">
        <f t="shared" si="1"/>
        <v>58</v>
      </c>
      <c r="B66" s="141" t="s">
        <v>51</v>
      </c>
      <c r="C66" s="143" t="s">
        <v>327</v>
      </c>
      <c r="D66" s="143"/>
      <c r="E66" s="101"/>
      <c r="F66" s="101"/>
      <c r="G66" s="101"/>
      <c r="H66" s="101">
        <f t="shared" si="0"/>
        <v>0</v>
      </c>
      <c r="J66" s="86"/>
    </row>
    <row r="67" spans="1:10" ht="20.149999999999999" customHeight="1" x14ac:dyDescent="0.5">
      <c r="A67" s="59">
        <f t="shared" si="1"/>
        <v>59</v>
      </c>
      <c r="B67" s="141" t="s">
        <v>251</v>
      </c>
      <c r="C67" s="143" t="s">
        <v>327</v>
      </c>
      <c r="D67" s="143"/>
      <c r="E67" s="101"/>
      <c r="F67" s="101"/>
      <c r="G67" s="101"/>
      <c r="H67" s="101">
        <f t="shared" si="0"/>
        <v>0</v>
      </c>
      <c r="J67" s="86"/>
    </row>
    <row r="68" spans="1:10" ht="20.149999999999999" customHeight="1" x14ac:dyDescent="0.5">
      <c r="A68" s="59">
        <f t="shared" si="1"/>
        <v>60</v>
      </c>
      <c r="B68" s="141" t="s">
        <v>52</v>
      </c>
      <c r="C68" s="143" t="s">
        <v>327</v>
      </c>
      <c r="D68" s="143"/>
      <c r="E68" s="101"/>
      <c r="F68" s="101"/>
      <c r="G68" s="101"/>
      <c r="H68" s="101">
        <f t="shared" si="0"/>
        <v>0</v>
      </c>
      <c r="J68" s="86"/>
    </row>
    <row r="69" spans="1:10" ht="20.149999999999999" customHeight="1" x14ac:dyDescent="0.5">
      <c r="A69" s="59">
        <f t="shared" si="1"/>
        <v>61</v>
      </c>
      <c r="B69" s="141" t="s">
        <v>53</v>
      </c>
      <c r="C69" s="143" t="s">
        <v>48</v>
      </c>
      <c r="D69" s="143"/>
      <c r="E69" s="101"/>
      <c r="F69" s="101"/>
      <c r="G69" s="101"/>
      <c r="H69" s="101">
        <f t="shared" si="0"/>
        <v>0</v>
      </c>
      <c r="J69" s="86"/>
    </row>
    <row r="70" spans="1:10" ht="18" x14ac:dyDescent="0.5">
      <c r="A70" s="59">
        <f t="shared" si="1"/>
        <v>62</v>
      </c>
      <c r="B70" s="141" t="s">
        <v>54</v>
      </c>
      <c r="C70" s="143" t="s">
        <v>332</v>
      </c>
      <c r="D70" s="143"/>
      <c r="E70" s="101"/>
      <c r="F70" s="101"/>
      <c r="G70" s="101"/>
      <c r="H70" s="101">
        <f t="shared" si="0"/>
        <v>0</v>
      </c>
      <c r="J70" s="86"/>
    </row>
    <row r="71" spans="1:10" ht="20.149999999999999" customHeight="1" x14ac:dyDescent="0.5">
      <c r="A71" s="59">
        <f t="shared" si="1"/>
        <v>63</v>
      </c>
      <c r="B71" s="141" t="s">
        <v>252</v>
      </c>
      <c r="C71" s="143" t="s">
        <v>340</v>
      </c>
      <c r="D71" s="143"/>
      <c r="E71" s="101"/>
      <c r="F71" s="101"/>
      <c r="G71" s="101"/>
      <c r="H71" s="101">
        <f t="shared" si="0"/>
        <v>0</v>
      </c>
      <c r="J71" s="86"/>
    </row>
    <row r="72" spans="1:10" ht="20.149999999999999" customHeight="1" x14ac:dyDescent="0.5">
      <c r="A72" s="59">
        <f t="shared" si="1"/>
        <v>64</v>
      </c>
      <c r="B72" s="141" t="s">
        <v>55</v>
      </c>
      <c r="C72" s="143" t="s">
        <v>346</v>
      </c>
      <c r="D72" s="143">
        <v>30</v>
      </c>
      <c r="E72" s="101"/>
      <c r="F72" s="101"/>
      <c r="G72" s="101"/>
      <c r="H72" s="101">
        <f t="shared" si="0"/>
        <v>30</v>
      </c>
      <c r="J72" s="86"/>
    </row>
    <row r="73" spans="1:10" ht="18" x14ac:dyDescent="0.5">
      <c r="A73" s="59">
        <f t="shared" si="1"/>
        <v>65</v>
      </c>
      <c r="B73" s="141" t="s">
        <v>56</v>
      </c>
      <c r="C73" s="143" t="s">
        <v>347</v>
      </c>
      <c r="D73" s="143"/>
      <c r="E73" s="101"/>
      <c r="F73" s="101"/>
      <c r="G73" s="101"/>
      <c r="H73" s="101">
        <f t="shared" si="0"/>
        <v>0</v>
      </c>
      <c r="J73" s="86"/>
    </row>
    <row r="74" spans="1:10" ht="18" x14ac:dyDescent="0.5">
      <c r="A74" s="59">
        <f t="shared" si="1"/>
        <v>66</v>
      </c>
      <c r="B74" s="141" t="s">
        <v>57</v>
      </c>
      <c r="C74" s="143" t="s">
        <v>48</v>
      </c>
      <c r="D74" s="143"/>
      <c r="E74" s="101"/>
      <c r="F74" s="101"/>
      <c r="G74" s="101"/>
      <c r="H74" s="101">
        <f t="shared" ref="H74:H137" si="2">SUM(D74:G74)</f>
        <v>0</v>
      </c>
      <c r="J74" s="86"/>
    </row>
    <row r="75" spans="1:10" ht="18" x14ac:dyDescent="0.5">
      <c r="A75" s="59">
        <f t="shared" ref="A75:A138" si="3">A74+1</f>
        <v>67</v>
      </c>
      <c r="B75" s="141" t="s">
        <v>59</v>
      </c>
      <c r="C75" s="143" t="s">
        <v>48</v>
      </c>
      <c r="D75" s="143"/>
      <c r="E75" s="101"/>
      <c r="F75" s="101"/>
      <c r="G75" s="101"/>
      <c r="H75" s="101">
        <f t="shared" si="2"/>
        <v>0</v>
      </c>
      <c r="J75" s="86"/>
    </row>
    <row r="76" spans="1:10" ht="20.149999999999999" customHeight="1" x14ac:dyDescent="0.5">
      <c r="A76" s="59">
        <f t="shared" si="3"/>
        <v>68</v>
      </c>
      <c r="B76" s="141" t="s">
        <v>58</v>
      </c>
      <c r="C76" s="143" t="s">
        <v>48</v>
      </c>
      <c r="D76" s="143"/>
      <c r="E76" s="101"/>
      <c r="F76" s="101"/>
      <c r="G76" s="101"/>
      <c r="H76" s="101">
        <f t="shared" si="2"/>
        <v>0</v>
      </c>
      <c r="J76" s="86"/>
    </row>
    <row r="77" spans="1:10" ht="18" x14ac:dyDescent="0.5">
      <c r="A77" s="59">
        <f t="shared" si="3"/>
        <v>69</v>
      </c>
      <c r="B77" s="141" t="s">
        <v>60</v>
      </c>
      <c r="C77" s="143" t="s">
        <v>327</v>
      </c>
      <c r="D77" s="143">
        <v>1000</v>
      </c>
      <c r="E77" s="101"/>
      <c r="F77" s="101"/>
      <c r="G77" s="101"/>
      <c r="H77" s="101">
        <f t="shared" si="2"/>
        <v>1000</v>
      </c>
      <c r="J77" s="86"/>
    </row>
    <row r="78" spans="1:10" ht="18" x14ac:dyDescent="0.5">
      <c r="A78" s="59">
        <f t="shared" si="3"/>
        <v>70</v>
      </c>
      <c r="B78" s="141" t="s">
        <v>280</v>
      </c>
      <c r="C78" s="143" t="s">
        <v>327</v>
      </c>
      <c r="D78" s="143"/>
      <c r="E78" s="101"/>
      <c r="F78" s="101"/>
      <c r="G78" s="101"/>
      <c r="H78" s="101">
        <f t="shared" si="2"/>
        <v>0</v>
      </c>
      <c r="J78" s="86"/>
    </row>
    <row r="79" spans="1:10" ht="18" x14ac:dyDescent="0.5">
      <c r="A79" s="59">
        <f t="shared" si="3"/>
        <v>71</v>
      </c>
      <c r="B79" s="141" t="s">
        <v>61</v>
      </c>
      <c r="C79" s="143" t="s">
        <v>327</v>
      </c>
      <c r="D79" s="143"/>
      <c r="E79" s="101"/>
      <c r="F79" s="101"/>
      <c r="G79" s="101"/>
      <c r="H79" s="101">
        <f t="shared" si="2"/>
        <v>0</v>
      </c>
      <c r="J79" s="86"/>
    </row>
    <row r="80" spans="1:10" ht="45" x14ac:dyDescent="0.5">
      <c r="A80" s="59">
        <f t="shared" si="3"/>
        <v>72</v>
      </c>
      <c r="B80" s="141" t="s">
        <v>253</v>
      </c>
      <c r="C80" s="143" t="s">
        <v>327</v>
      </c>
      <c r="D80" s="143"/>
      <c r="E80" s="101"/>
      <c r="F80" s="101"/>
      <c r="G80" s="101"/>
      <c r="H80" s="101">
        <f t="shared" si="2"/>
        <v>0</v>
      </c>
      <c r="J80" s="86"/>
    </row>
    <row r="81" spans="1:10" ht="45" x14ac:dyDescent="0.5">
      <c r="A81" s="59">
        <f t="shared" si="3"/>
        <v>73</v>
      </c>
      <c r="B81" s="141" t="s">
        <v>62</v>
      </c>
      <c r="C81" s="143" t="s">
        <v>319</v>
      </c>
      <c r="D81" s="143"/>
      <c r="E81" s="101"/>
      <c r="F81" s="101"/>
      <c r="G81" s="101"/>
      <c r="H81" s="101">
        <f t="shared" si="2"/>
        <v>0</v>
      </c>
      <c r="J81" s="86"/>
    </row>
    <row r="82" spans="1:10" ht="18" x14ac:dyDescent="0.5">
      <c r="A82" s="59">
        <f t="shared" si="3"/>
        <v>74</v>
      </c>
      <c r="B82" s="141" t="s">
        <v>63</v>
      </c>
      <c r="C82" s="143" t="s">
        <v>348</v>
      </c>
      <c r="D82" s="143"/>
      <c r="E82" s="101"/>
      <c r="F82" s="101"/>
      <c r="G82" s="101"/>
      <c r="H82" s="101">
        <f t="shared" si="2"/>
        <v>0</v>
      </c>
      <c r="J82" s="86"/>
    </row>
    <row r="83" spans="1:10" ht="18" x14ac:dyDescent="0.5">
      <c r="A83" s="59">
        <f t="shared" si="3"/>
        <v>75</v>
      </c>
      <c r="B83" s="141" t="s">
        <v>106</v>
      </c>
      <c r="C83" s="143" t="s">
        <v>4</v>
      </c>
      <c r="D83" s="143">
        <v>100</v>
      </c>
      <c r="E83" s="101"/>
      <c r="F83" s="101"/>
      <c r="G83" s="101"/>
      <c r="H83" s="101">
        <f t="shared" si="2"/>
        <v>100</v>
      </c>
      <c r="J83" s="86"/>
    </row>
    <row r="84" spans="1:10" ht="20.149999999999999" customHeight="1" x14ac:dyDescent="0.5">
      <c r="A84" s="59">
        <f t="shared" si="3"/>
        <v>76</v>
      </c>
      <c r="B84" s="141" t="s">
        <v>65</v>
      </c>
      <c r="C84" s="143" t="s">
        <v>344</v>
      </c>
      <c r="D84" s="143">
        <v>4000</v>
      </c>
      <c r="E84" s="101"/>
      <c r="F84" s="101"/>
      <c r="G84" s="101"/>
      <c r="H84" s="101">
        <f t="shared" si="2"/>
        <v>4000</v>
      </c>
      <c r="J84" s="86"/>
    </row>
    <row r="85" spans="1:10" ht="18" x14ac:dyDescent="0.5">
      <c r="A85" s="59">
        <f t="shared" si="3"/>
        <v>77</v>
      </c>
      <c r="B85" s="141" t="s">
        <v>264</v>
      </c>
      <c r="C85" s="143" t="s">
        <v>4</v>
      </c>
      <c r="D85" s="143"/>
      <c r="E85" s="101"/>
      <c r="F85" s="101"/>
      <c r="G85" s="101"/>
      <c r="H85" s="101">
        <f t="shared" si="2"/>
        <v>0</v>
      </c>
      <c r="J85" s="86"/>
    </row>
    <row r="86" spans="1:10" ht="18" x14ac:dyDescent="0.5">
      <c r="A86" s="59">
        <f t="shared" si="3"/>
        <v>78</v>
      </c>
      <c r="B86" s="141" t="s">
        <v>66</v>
      </c>
      <c r="C86" s="143" t="s">
        <v>327</v>
      </c>
      <c r="D86" s="143"/>
      <c r="E86" s="101"/>
      <c r="F86" s="101"/>
      <c r="G86" s="101"/>
      <c r="H86" s="101">
        <f t="shared" si="2"/>
        <v>0</v>
      </c>
      <c r="J86" s="86"/>
    </row>
    <row r="87" spans="1:10" ht="20.149999999999999" customHeight="1" x14ac:dyDescent="0.5">
      <c r="A87" s="59">
        <f t="shared" si="3"/>
        <v>79</v>
      </c>
      <c r="B87" s="141" t="s">
        <v>67</v>
      </c>
      <c r="C87" s="143" t="s">
        <v>327</v>
      </c>
      <c r="D87" s="143">
        <v>1000</v>
      </c>
      <c r="E87" s="101"/>
      <c r="F87" s="101"/>
      <c r="G87" s="101"/>
      <c r="H87" s="101">
        <f t="shared" si="2"/>
        <v>1000</v>
      </c>
      <c r="J87" s="86"/>
    </row>
    <row r="88" spans="1:10" ht="20.149999999999999" customHeight="1" x14ac:dyDescent="0.5">
      <c r="A88" s="59">
        <f t="shared" si="3"/>
        <v>80</v>
      </c>
      <c r="B88" s="141" t="s">
        <v>68</v>
      </c>
      <c r="C88" s="143" t="s">
        <v>327</v>
      </c>
      <c r="D88" s="143"/>
      <c r="E88" s="101"/>
      <c r="F88" s="101"/>
      <c r="G88" s="101"/>
      <c r="H88" s="101">
        <f t="shared" si="2"/>
        <v>0</v>
      </c>
      <c r="J88" s="86"/>
    </row>
    <row r="89" spans="1:10" ht="20.149999999999999" customHeight="1" x14ac:dyDescent="0.5">
      <c r="A89" s="59">
        <f t="shared" si="3"/>
        <v>81</v>
      </c>
      <c r="B89" s="141" t="s">
        <v>69</v>
      </c>
      <c r="C89" s="143" t="s">
        <v>327</v>
      </c>
      <c r="D89" s="143"/>
      <c r="E89" s="101"/>
      <c r="F89" s="101"/>
      <c r="G89" s="101"/>
      <c r="H89" s="101">
        <f t="shared" si="2"/>
        <v>0</v>
      </c>
      <c r="J89" s="86"/>
    </row>
    <row r="90" spans="1:10" ht="18" x14ac:dyDescent="0.5">
      <c r="A90" s="59">
        <f t="shared" si="3"/>
        <v>82</v>
      </c>
      <c r="B90" s="141" t="s">
        <v>257</v>
      </c>
      <c r="C90" s="143" t="s">
        <v>48</v>
      </c>
      <c r="D90" s="143"/>
      <c r="E90" s="101"/>
      <c r="F90" s="101"/>
      <c r="G90" s="101"/>
      <c r="H90" s="101">
        <f t="shared" si="2"/>
        <v>0</v>
      </c>
      <c r="J90" s="86"/>
    </row>
    <row r="91" spans="1:10" ht="18" x14ac:dyDescent="0.5">
      <c r="A91" s="59">
        <f t="shared" si="3"/>
        <v>83</v>
      </c>
      <c r="B91" s="141" t="s">
        <v>70</v>
      </c>
      <c r="C91" s="143" t="s">
        <v>349</v>
      </c>
      <c r="D91" s="143">
        <v>50</v>
      </c>
      <c r="E91" s="101"/>
      <c r="F91" s="101"/>
      <c r="G91" s="101"/>
      <c r="H91" s="101">
        <f t="shared" si="2"/>
        <v>50</v>
      </c>
      <c r="J91" s="86"/>
    </row>
    <row r="92" spans="1:10" ht="18" x14ac:dyDescent="0.5">
      <c r="A92" s="59">
        <f t="shared" si="3"/>
        <v>84</v>
      </c>
      <c r="B92" s="141" t="s">
        <v>72</v>
      </c>
      <c r="C92" s="143" t="s">
        <v>321</v>
      </c>
      <c r="D92" s="143">
        <v>60</v>
      </c>
      <c r="E92" s="101"/>
      <c r="F92" s="101"/>
      <c r="G92" s="101"/>
      <c r="H92" s="101">
        <f t="shared" si="2"/>
        <v>60</v>
      </c>
      <c r="J92" s="86"/>
    </row>
    <row r="93" spans="1:10" ht="18" x14ac:dyDescent="0.5">
      <c r="A93" s="59">
        <f t="shared" si="3"/>
        <v>85</v>
      </c>
      <c r="B93" s="141" t="s">
        <v>71</v>
      </c>
      <c r="C93" s="143" t="s">
        <v>340</v>
      </c>
      <c r="D93" s="143"/>
      <c r="E93" s="101"/>
      <c r="F93" s="101"/>
      <c r="G93" s="101"/>
      <c r="H93" s="101">
        <f t="shared" si="2"/>
        <v>0</v>
      </c>
      <c r="J93" s="86"/>
    </row>
    <row r="94" spans="1:10" ht="20.149999999999999" customHeight="1" x14ac:dyDescent="0.5">
      <c r="A94" s="59">
        <f t="shared" si="3"/>
        <v>86</v>
      </c>
      <c r="B94" s="141" t="s">
        <v>73</v>
      </c>
      <c r="C94" s="143" t="s">
        <v>332</v>
      </c>
      <c r="D94" s="143">
        <v>1500</v>
      </c>
      <c r="E94" s="101"/>
      <c r="F94" s="101"/>
      <c r="G94" s="101"/>
      <c r="H94" s="101">
        <f t="shared" si="2"/>
        <v>1500</v>
      </c>
      <c r="J94" s="86"/>
    </row>
    <row r="95" spans="1:10" ht="20.149999999999999" customHeight="1" x14ac:dyDescent="0.5">
      <c r="A95" s="59">
        <f t="shared" si="3"/>
        <v>87</v>
      </c>
      <c r="B95" s="141" t="s">
        <v>74</v>
      </c>
      <c r="C95" s="143" t="s">
        <v>327</v>
      </c>
      <c r="D95" s="143"/>
      <c r="E95" s="101"/>
      <c r="F95" s="101"/>
      <c r="G95" s="101"/>
      <c r="H95" s="101">
        <f t="shared" si="2"/>
        <v>0</v>
      </c>
      <c r="J95" s="86"/>
    </row>
    <row r="96" spans="1:10" ht="20.149999999999999" customHeight="1" x14ac:dyDescent="0.5">
      <c r="A96" s="59">
        <f t="shared" si="3"/>
        <v>88</v>
      </c>
      <c r="B96" s="141" t="s">
        <v>75</v>
      </c>
      <c r="C96" s="143" t="s">
        <v>327</v>
      </c>
      <c r="D96" s="143"/>
      <c r="E96" s="101"/>
      <c r="F96" s="101"/>
      <c r="G96" s="101"/>
      <c r="H96" s="101">
        <f t="shared" si="2"/>
        <v>0</v>
      </c>
      <c r="J96" s="86"/>
    </row>
    <row r="97" spans="1:10" ht="20.149999999999999" customHeight="1" x14ac:dyDescent="0.5">
      <c r="A97" s="59">
        <f t="shared" si="3"/>
        <v>89</v>
      </c>
      <c r="B97" s="141" t="s">
        <v>281</v>
      </c>
      <c r="C97" s="143" t="s">
        <v>188</v>
      </c>
      <c r="D97" s="143"/>
      <c r="E97" s="101"/>
      <c r="F97" s="101"/>
      <c r="G97" s="101"/>
      <c r="H97" s="101">
        <f t="shared" si="2"/>
        <v>0</v>
      </c>
      <c r="J97" s="86"/>
    </row>
    <row r="98" spans="1:10" ht="20.149999999999999" customHeight="1" x14ac:dyDescent="0.5">
      <c r="A98" s="59">
        <f t="shared" si="3"/>
        <v>90</v>
      </c>
      <c r="B98" s="141" t="s">
        <v>76</v>
      </c>
      <c r="C98" s="143" t="s">
        <v>4</v>
      </c>
      <c r="D98" s="143"/>
      <c r="E98" s="101"/>
      <c r="F98" s="101"/>
      <c r="G98" s="101"/>
      <c r="H98" s="101">
        <f t="shared" si="2"/>
        <v>0</v>
      </c>
      <c r="J98" s="86"/>
    </row>
    <row r="99" spans="1:10" ht="20.149999999999999" customHeight="1" x14ac:dyDescent="0.5">
      <c r="A99" s="59">
        <f t="shared" si="3"/>
        <v>91</v>
      </c>
      <c r="B99" s="141" t="s">
        <v>77</v>
      </c>
      <c r="C99" s="143" t="s">
        <v>64</v>
      </c>
      <c r="D99" s="143">
        <v>250</v>
      </c>
      <c r="E99" s="101"/>
      <c r="F99" s="101"/>
      <c r="G99" s="101"/>
      <c r="H99" s="101">
        <f t="shared" si="2"/>
        <v>250</v>
      </c>
      <c r="J99" s="86"/>
    </row>
    <row r="100" spans="1:10" ht="20.149999999999999" customHeight="1" x14ac:dyDescent="0.5">
      <c r="A100" s="59">
        <f t="shared" si="3"/>
        <v>92</v>
      </c>
      <c r="B100" s="141" t="s">
        <v>78</v>
      </c>
      <c r="C100" s="143" t="s">
        <v>345</v>
      </c>
      <c r="D100" s="143"/>
      <c r="E100" s="101"/>
      <c r="F100" s="101"/>
      <c r="G100" s="101"/>
      <c r="H100" s="101">
        <f t="shared" si="2"/>
        <v>0</v>
      </c>
      <c r="J100" s="86"/>
    </row>
    <row r="101" spans="1:10" ht="20.149999999999999" customHeight="1" x14ac:dyDescent="0.5">
      <c r="A101" s="59">
        <f t="shared" si="3"/>
        <v>93</v>
      </c>
      <c r="B101" s="141" t="s">
        <v>79</v>
      </c>
      <c r="C101" s="143" t="s">
        <v>4</v>
      </c>
      <c r="D101" s="143">
        <v>250</v>
      </c>
      <c r="E101" s="101"/>
      <c r="F101" s="101"/>
      <c r="G101" s="101"/>
      <c r="H101" s="101">
        <f t="shared" si="2"/>
        <v>250</v>
      </c>
      <c r="J101" s="86"/>
    </row>
    <row r="102" spans="1:10" ht="20.149999999999999" customHeight="1" x14ac:dyDescent="0.5">
      <c r="A102" s="59">
        <f t="shared" si="3"/>
        <v>94</v>
      </c>
      <c r="B102" s="141" t="s">
        <v>80</v>
      </c>
      <c r="C102" s="143" t="s">
        <v>350</v>
      </c>
      <c r="D102" s="143"/>
      <c r="E102" s="101"/>
      <c r="F102" s="101"/>
      <c r="G102" s="101"/>
      <c r="H102" s="101">
        <f t="shared" si="2"/>
        <v>0</v>
      </c>
      <c r="J102" s="86"/>
    </row>
    <row r="103" spans="1:10" ht="20.149999999999999" customHeight="1" x14ac:dyDescent="0.5">
      <c r="A103" s="59">
        <f t="shared" si="3"/>
        <v>95</v>
      </c>
      <c r="B103" s="141" t="s">
        <v>263</v>
      </c>
      <c r="C103" s="143" t="s">
        <v>48</v>
      </c>
      <c r="D103" s="143"/>
      <c r="E103" s="101"/>
      <c r="F103" s="101"/>
      <c r="G103" s="101"/>
      <c r="H103" s="101">
        <f t="shared" si="2"/>
        <v>0</v>
      </c>
      <c r="J103" s="86"/>
    </row>
    <row r="104" spans="1:10" ht="20.149999999999999" customHeight="1" x14ac:dyDescent="0.5">
      <c r="A104" s="59">
        <f t="shared" si="3"/>
        <v>96</v>
      </c>
      <c r="B104" s="141" t="s">
        <v>81</v>
      </c>
      <c r="C104" s="143" t="s">
        <v>48</v>
      </c>
      <c r="D104" s="143">
        <v>100</v>
      </c>
      <c r="E104" s="101"/>
      <c r="F104" s="101"/>
      <c r="G104" s="101"/>
      <c r="H104" s="101">
        <f t="shared" si="2"/>
        <v>100</v>
      </c>
      <c r="J104" s="86"/>
    </row>
    <row r="105" spans="1:10" ht="20.149999999999999" customHeight="1" x14ac:dyDescent="0.5">
      <c r="A105" s="59">
        <f t="shared" si="3"/>
        <v>97</v>
      </c>
      <c r="B105" s="141" t="s">
        <v>82</v>
      </c>
      <c r="C105" s="143" t="s">
        <v>327</v>
      </c>
      <c r="D105" s="143"/>
      <c r="E105" s="101"/>
      <c r="F105" s="101"/>
      <c r="G105" s="101"/>
      <c r="H105" s="101">
        <f t="shared" si="2"/>
        <v>0</v>
      </c>
      <c r="J105" s="86"/>
    </row>
    <row r="106" spans="1:10" ht="20.149999999999999" customHeight="1" x14ac:dyDescent="0.5">
      <c r="A106" s="59">
        <f t="shared" si="3"/>
        <v>98</v>
      </c>
      <c r="B106" s="141" t="s">
        <v>83</v>
      </c>
      <c r="C106" s="143" t="s">
        <v>188</v>
      </c>
      <c r="D106" s="143">
        <v>2</v>
      </c>
      <c r="E106" s="101"/>
      <c r="F106" s="101"/>
      <c r="G106" s="101"/>
      <c r="H106" s="101">
        <f t="shared" si="2"/>
        <v>2</v>
      </c>
      <c r="J106" s="86"/>
    </row>
    <row r="107" spans="1:10" ht="18" x14ac:dyDescent="0.5">
      <c r="A107" s="59">
        <f t="shared" si="3"/>
        <v>99</v>
      </c>
      <c r="B107" s="141" t="s">
        <v>84</v>
      </c>
      <c r="C107" s="143" t="s">
        <v>188</v>
      </c>
      <c r="D107" s="143"/>
      <c r="E107" s="101"/>
      <c r="F107" s="101"/>
      <c r="G107" s="101"/>
      <c r="H107" s="101">
        <f t="shared" si="2"/>
        <v>0</v>
      </c>
      <c r="J107" s="86"/>
    </row>
    <row r="108" spans="1:10" ht="20.149999999999999" customHeight="1" x14ac:dyDescent="0.5">
      <c r="A108" s="59">
        <f t="shared" si="3"/>
        <v>100</v>
      </c>
      <c r="B108" s="141" t="s">
        <v>85</v>
      </c>
      <c r="C108" s="143" t="s">
        <v>327</v>
      </c>
      <c r="D108" s="143"/>
      <c r="E108" s="101"/>
      <c r="F108" s="101"/>
      <c r="G108" s="101"/>
      <c r="H108" s="101">
        <f t="shared" si="2"/>
        <v>0</v>
      </c>
      <c r="J108" s="86"/>
    </row>
    <row r="109" spans="1:10" ht="20.149999999999999" customHeight="1" x14ac:dyDescent="0.5">
      <c r="A109" s="59">
        <f t="shared" si="3"/>
        <v>101</v>
      </c>
      <c r="B109" s="141" t="s">
        <v>86</v>
      </c>
      <c r="C109" s="143" t="s">
        <v>327</v>
      </c>
      <c r="D109" s="143"/>
      <c r="E109" s="101"/>
      <c r="F109" s="101"/>
      <c r="G109" s="101"/>
      <c r="H109" s="101">
        <f t="shared" si="2"/>
        <v>0</v>
      </c>
      <c r="J109" s="86"/>
    </row>
    <row r="110" spans="1:10" ht="20.149999999999999" customHeight="1" x14ac:dyDescent="0.5">
      <c r="A110" s="59">
        <f t="shared" si="3"/>
        <v>102</v>
      </c>
      <c r="B110" s="141" t="s">
        <v>87</v>
      </c>
      <c r="C110" s="143" t="s">
        <v>327</v>
      </c>
      <c r="D110" s="143"/>
      <c r="E110" s="101"/>
      <c r="F110" s="101"/>
      <c r="G110" s="101"/>
      <c r="H110" s="101">
        <f t="shared" si="2"/>
        <v>0</v>
      </c>
      <c r="J110" s="86"/>
    </row>
    <row r="111" spans="1:10" ht="20.149999999999999" customHeight="1" x14ac:dyDescent="0.5">
      <c r="A111" s="59">
        <f t="shared" si="3"/>
        <v>103</v>
      </c>
      <c r="B111" s="141" t="s">
        <v>88</v>
      </c>
      <c r="C111" s="143" t="s">
        <v>327</v>
      </c>
      <c r="D111" s="143"/>
      <c r="E111" s="101"/>
      <c r="F111" s="101"/>
      <c r="G111" s="101"/>
      <c r="H111" s="101">
        <f t="shared" si="2"/>
        <v>0</v>
      </c>
      <c r="J111" s="86"/>
    </row>
    <row r="112" spans="1:10" ht="18" x14ac:dyDescent="0.5">
      <c r="A112" s="59">
        <f t="shared" si="3"/>
        <v>104</v>
      </c>
      <c r="B112" s="141" t="s">
        <v>89</v>
      </c>
      <c r="C112" s="143" t="s">
        <v>327</v>
      </c>
      <c r="D112" s="143"/>
      <c r="E112" s="101"/>
      <c r="F112" s="101"/>
      <c r="G112" s="101"/>
      <c r="H112" s="101">
        <f t="shared" si="2"/>
        <v>0</v>
      </c>
      <c r="J112" s="86"/>
    </row>
    <row r="113" spans="1:10" ht="20.149999999999999" customHeight="1" x14ac:dyDescent="0.5">
      <c r="A113" s="59">
        <f t="shared" si="3"/>
        <v>105</v>
      </c>
      <c r="B113" s="141" t="s">
        <v>90</v>
      </c>
      <c r="C113" s="143" t="s">
        <v>322</v>
      </c>
      <c r="D113" s="101">
        <v>300</v>
      </c>
      <c r="E113" s="101"/>
      <c r="F113" s="101"/>
      <c r="G113" s="101"/>
      <c r="H113" s="101">
        <f t="shared" si="2"/>
        <v>300</v>
      </c>
      <c r="J113" s="86"/>
    </row>
    <row r="114" spans="1:10" ht="18" x14ac:dyDescent="0.5">
      <c r="A114" s="59">
        <f t="shared" si="3"/>
        <v>106</v>
      </c>
      <c r="B114" s="141" t="s">
        <v>450</v>
      </c>
      <c r="C114" s="143" t="s">
        <v>327</v>
      </c>
      <c r="D114" s="245"/>
      <c r="E114" s="101"/>
      <c r="F114" s="101"/>
      <c r="G114" s="101"/>
      <c r="H114" s="101">
        <f t="shared" si="2"/>
        <v>0</v>
      </c>
      <c r="J114" s="86"/>
    </row>
    <row r="115" spans="1:10" ht="20.149999999999999" customHeight="1" x14ac:dyDescent="0.5">
      <c r="A115" s="59">
        <f t="shared" si="3"/>
        <v>107</v>
      </c>
      <c r="B115" s="141" t="s">
        <v>325</v>
      </c>
      <c r="C115" s="143" t="s">
        <v>4</v>
      </c>
      <c r="D115" s="143">
        <v>10</v>
      </c>
      <c r="E115" s="101"/>
      <c r="F115" s="101"/>
      <c r="G115" s="101"/>
      <c r="H115" s="101">
        <f t="shared" si="2"/>
        <v>10</v>
      </c>
      <c r="J115" s="86"/>
    </row>
    <row r="116" spans="1:10" ht="20.149999999999999" customHeight="1" x14ac:dyDescent="0.5">
      <c r="A116" s="59">
        <f t="shared" si="3"/>
        <v>108</v>
      </c>
      <c r="B116" s="141" t="s">
        <v>91</v>
      </c>
      <c r="C116" s="143" t="s">
        <v>327</v>
      </c>
      <c r="D116" s="143"/>
      <c r="E116" s="101"/>
      <c r="F116" s="101"/>
      <c r="G116" s="101"/>
      <c r="H116" s="101">
        <f t="shared" si="2"/>
        <v>0</v>
      </c>
      <c r="J116" s="86"/>
    </row>
    <row r="117" spans="1:10" ht="20.149999999999999" customHeight="1" x14ac:dyDescent="0.5">
      <c r="A117" s="59">
        <f t="shared" si="3"/>
        <v>109</v>
      </c>
      <c r="B117" s="141" t="s">
        <v>92</v>
      </c>
      <c r="C117" s="143" t="s">
        <v>351</v>
      </c>
      <c r="D117" s="143">
        <v>20</v>
      </c>
      <c r="E117" s="101"/>
      <c r="F117" s="101"/>
      <c r="G117" s="101"/>
      <c r="H117" s="101">
        <f t="shared" si="2"/>
        <v>20</v>
      </c>
      <c r="J117" s="86"/>
    </row>
    <row r="118" spans="1:10" ht="20.149999999999999" customHeight="1" x14ac:dyDescent="0.5">
      <c r="A118" s="59">
        <f t="shared" si="3"/>
        <v>110</v>
      </c>
      <c r="B118" s="141" t="s">
        <v>93</v>
      </c>
      <c r="C118" s="143" t="s">
        <v>327</v>
      </c>
      <c r="D118" s="143"/>
      <c r="E118" s="101"/>
      <c r="F118" s="101"/>
      <c r="G118" s="101"/>
      <c r="H118" s="101">
        <f t="shared" si="2"/>
        <v>0</v>
      </c>
      <c r="J118" s="86"/>
    </row>
    <row r="119" spans="1:10" ht="18" x14ac:dyDescent="0.5">
      <c r="A119" s="59">
        <f t="shared" si="3"/>
        <v>111</v>
      </c>
      <c r="B119" s="141" t="s">
        <v>94</v>
      </c>
      <c r="C119" s="143" t="s">
        <v>64</v>
      </c>
      <c r="D119" s="143">
        <v>100</v>
      </c>
      <c r="E119" s="101"/>
      <c r="F119" s="101"/>
      <c r="G119" s="101"/>
      <c r="H119" s="101">
        <f t="shared" si="2"/>
        <v>100</v>
      </c>
      <c r="J119" s="86"/>
    </row>
    <row r="120" spans="1:10" ht="20.149999999999999" customHeight="1" x14ac:dyDescent="0.5">
      <c r="A120" s="59">
        <f t="shared" si="3"/>
        <v>112</v>
      </c>
      <c r="B120" s="141" t="s">
        <v>95</v>
      </c>
      <c r="C120" s="143" t="s">
        <v>48</v>
      </c>
      <c r="D120" s="143"/>
      <c r="E120" s="101"/>
      <c r="F120" s="101"/>
      <c r="G120" s="101"/>
      <c r="H120" s="101">
        <f t="shared" si="2"/>
        <v>0</v>
      </c>
      <c r="J120" s="86"/>
    </row>
    <row r="121" spans="1:10" ht="18" x14ac:dyDescent="0.5">
      <c r="A121" s="59">
        <f t="shared" si="3"/>
        <v>113</v>
      </c>
      <c r="B121" s="141" t="s">
        <v>96</v>
      </c>
      <c r="C121" s="143" t="s">
        <v>327</v>
      </c>
      <c r="D121" s="143">
        <v>1000</v>
      </c>
      <c r="E121" s="101"/>
      <c r="F121" s="101"/>
      <c r="G121" s="101"/>
      <c r="H121" s="101">
        <f t="shared" si="2"/>
        <v>1000</v>
      </c>
      <c r="J121" s="86"/>
    </row>
    <row r="122" spans="1:10" ht="20.149999999999999" customHeight="1" x14ac:dyDescent="0.5">
      <c r="A122" s="59">
        <f t="shared" si="3"/>
        <v>114</v>
      </c>
      <c r="B122" s="141" t="s">
        <v>97</v>
      </c>
      <c r="C122" s="143" t="s">
        <v>4</v>
      </c>
      <c r="D122" s="143"/>
      <c r="E122" s="101"/>
      <c r="F122" s="101"/>
      <c r="G122" s="101"/>
      <c r="H122" s="101">
        <f t="shared" si="2"/>
        <v>0</v>
      </c>
      <c r="J122" s="86"/>
    </row>
    <row r="123" spans="1:10" ht="18" x14ac:dyDescent="0.5">
      <c r="A123" s="59">
        <f t="shared" si="3"/>
        <v>115</v>
      </c>
      <c r="B123" s="141" t="s">
        <v>98</v>
      </c>
      <c r="C123" s="143" t="s">
        <v>327</v>
      </c>
      <c r="D123" s="143"/>
      <c r="E123" s="101"/>
      <c r="F123" s="101"/>
      <c r="G123" s="101"/>
      <c r="H123" s="101">
        <f t="shared" si="2"/>
        <v>0</v>
      </c>
      <c r="J123" s="86"/>
    </row>
    <row r="124" spans="1:10" ht="20.149999999999999" customHeight="1" x14ac:dyDescent="0.5">
      <c r="A124" s="59">
        <f t="shared" si="3"/>
        <v>116</v>
      </c>
      <c r="B124" s="141" t="s">
        <v>99</v>
      </c>
      <c r="C124" s="143" t="s">
        <v>327</v>
      </c>
      <c r="D124" s="143"/>
      <c r="E124" s="101"/>
      <c r="F124" s="101"/>
      <c r="G124" s="101"/>
      <c r="H124" s="101">
        <f t="shared" si="2"/>
        <v>0</v>
      </c>
      <c r="J124" s="86"/>
    </row>
    <row r="125" spans="1:10" ht="20.149999999999999" customHeight="1" x14ac:dyDescent="0.5">
      <c r="A125" s="59">
        <f t="shared" si="3"/>
        <v>117</v>
      </c>
      <c r="B125" s="141" t="s">
        <v>424</v>
      </c>
      <c r="C125" s="143"/>
      <c r="D125" s="143"/>
      <c r="E125" s="101"/>
      <c r="F125" s="101"/>
      <c r="G125" s="101"/>
      <c r="H125" s="101">
        <f t="shared" si="2"/>
        <v>0</v>
      </c>
      <c r="J125" s="86"/>
    </row>
    <row r="126" spans="1:10" ht="20.149999999999999" customHeight="1" x14ac:dyDescent="0.5">
      <c r="A126" s="59">
        <f t="shared" si="3"/>
        <v>118</v>
      </c>
      <c r="B126" s="141" t="s">
        <v>100</v>
      </c>
      <c r="C126" s="143" t="s">
        <v>327</v>
      </c>
      <c r="D126" s="143"/>
      <c r="E126" s="101"/>
      <c r="F126" s="101"/>
      <c r="G126" s="101"/>
      <c r="H126" s="101">
        <f t="shared" si="2"/>
        <v>0</v>
      </c>
      <c r="J126" s="86"/>
    </row>
    <row r="127" spans="1:10" ht="20.149999999999999" customHeight="1" x14ac:dyDescent="0.5">
      <c r="A127" s="59">
        <f t="shared" si="3"/>
        <v>119</v>
      </c>
      <c r="B127" s="141" t="s">
        <v>258</v>
      </c>
      <c r="C127" s="143" t="s">
        <v>352</v>
      </c>
      <c r="D127" s="143"/>
      <c r="E127" s="101"/>
      <c r="F127" s="101"/>
      <c r="G127" s="101"/>
      <c r="H127" s="101">
        <f t="shared" si="2"/>
        <v>0</v>
      </c>
      <c r="J127" s="86"/>
    </row>
    <row r="128" spans="1:10" ht="20.149999999999999" customHeight="1" x14ac:dyDescent="0.5">
      <c r="A128" s="59">
        <f t="shared" si="3"/>
        <v>120</v>
      </c>
      <c r="B128" s="141" t="s">
        <v>101</v>
      </c>
      <c r="C128" s="143" t="s">
        <v>327</v>
      </c>
      <c r="D128" s="143"/>
      <c r="E128" s="101"/>
      <c r="F128" s="101"/>
      <c r="G128" s="101"/>
      <c r="H128" s="101">
        <f t="shared" si="2"/>
        <v>0</v>
      </c>
      <c r="J128" s="86"/>
    </row>
    <row r="129" spans="1:10" ht="20.149999999999999" customHeight="1" x14ac:dyDescent="0.5">
      <c r="A129" s="59">
        <f t="shared" si="3"/>
        <v>121</v>
      </c>
      <c r="B129" s="141" t="s">
        <v>102</v>
      </c>
      <c r="C129" s="143" t="s">
        <v>327</v>
      </c>
      <c r="D129" s="143"/>
      <c r="E129" s="101"/>
      <c r="F129" s="101"/>
      <c r="G129" s="101"/>
      <c r="H129" s="101">
        <f t="shared" si="2"/>
        <v>0</v>
      </c>
      <c r="J129" s="86"/>
    </row>
    <row r="130" spans="1:10" ht="20.149999999999999" customHeight="1" x14ac:dyDescent="0.5">
      <c r="A130" s="59">
        <f t="shared" si="3"/>
        <v>122</v>
      </c>
      <c r="B130" s="141" t="s">
        <v>103</v>
      </c>
      <c r="C130" s="143" t="s">
        <v>48</v>
      </c>
      <c r="D130" s="143"/>
      <c r="E130" s="101"/>
      <c r="F130" s="101"/>
      <c r="G130" s="101"/>
      <c r="H130" s="101">
        <f t="shared" si="2"/>
        <v>0</v>
      </c>
      <c r="J130" s="86"/>
    </row>
    <row r="131" spans="1:10" ht="20.149999999999999" customHeight="1" x14ac:dyDescent="0.5">
      <c r="A131" s="59">
        <f t="shared" si="3"/>
        <v>123</v>
      </c>
      <c r="B131" s="141" t="s">
        <v>107</v>
      </c>
      <c r="C131" s="143" t="s">
        <v>108</v>
      </c>
      <c r="D131" s="143"/>
      <c r="E131" s="101"/>
      <c r="F131" s="101"/>
      <c r="G131" s="101"/>
      <c r="H131" s="101">
        <f t="shared" si="2"/>
        <v>0</v>
      </c>
      <c r="J131" s="86"/>
    </row>
    <row r="132" spans="1:10" ht="20.149999999999999" customHeight="1" x14ac:dyDescent="0.5">
      <c r="A132" s="59">
        <f t="shared" si="3"/>
        <v>124</v>
      </c>
      <c r="B132" s="141" t="s">
        <v>107</v>
      </c>
      <c r="C132" s="143" t="s">
        <v>108</v>
      </c>
      <c r="D132" s="143"/>
      <c r="E132" s="101"/>
      <c r="F132" s="101"/>
      <c r="G132" s="101"/>
      <c r="H132" s="101">
        <f t="shared" si="2"/>
        <v>0</v>
      </c>
      <c r="J132" s="86"/>
    </row>
    <row r="133" spans="1:10" ht="20.149999999999999" customHeight="1" x14ac:dyDescent="0.5">
      <c r="A133" s="59">
        <f t="shared" si="3"/>
        <v>125</v>
      </c>
      <c r="B133" s="141" t="s">
        <v>111</v>
      </c>
      <c r="C133" s="143" t="s">
        <v>108</v>
      </c>
      <c r="D133" s="143">
        <v>400</v>
      </c>
      <c r="E133" s="101"/>
      <c r="F133" s="101"/>
      <c r="G133" s="101"/>
      <c r="H133" s="101">
        <f t="shared" si="2"/>
        <v>400</v>
      </c>
      <c r="J133" s="86"/>
    </row>
    <row r="134" spans="1:10" ht="18" x14ac:dyDescent="0.5">
      <c r="A134" s="59">
        <f t="shared" si="3"/>
        <v>126</v>
      </c>
      <c r="B134" s="141" t="s">
        <v>109</v>
      </c>
      <c r="C134" s="143" t="s">
        <v>108</v>
      </c>
      <c r="D134" s="143">
        <v>600</v>
      </c>
      <c r="E134" s="101"/>
      <c r="F134" s="101"/>
      <c r="G134" s="101"/>
      <c r="H134" s="101">
        <f t="shared" si="2"/>
        <v>600</v>
      </c>
      <c r="J134" s="86"/>
    </row>
    <row r="135" spans="1:10" ht="18" x14ac:dyDescent="0.5">
      <c r="A135" s="59">
        <f t="shared" si="3"/>
        <v>127</v>
      </c>
      <c r="B135" s="141" t="s">
        <v>109</v>
      </c>
      <c r="C135" s="143" t="s">
        <v>108</v>
      </c>
      <c r="D135" s="143"/>
      <c r="E135" s="101"/>
      <c r="F135" s="101"/>
      <c r="G135" s="101"/>
      <c r="H135" s="101">
        <f t="shared" si="2"/>
        <v>0</v>
      </c>
      <c r="J135" s="86"/>
    </row>
    <row r="136" spans="1:10" ht="18" x14ac:dyDescent="0.5">
      <c r="A136" s="59">
        <f t="shared" si="3"/>
        <v>128</v>
      </c>
      <c r="B136" s="141" t="s">
        <v>110</v>
      </c>
      <c r="C136" s="143" t="s">
        <v>108</v>
      </c>
      <c r="D136" s="143">
        <v>200</v>
      </c>
      <c r="E136" s="101"/>
      <c r="F136" s="101"/>
      <c r="G136" s="101"/>
      <c r="H136" s="101">
        <f t="shared" si="2"/>
        <v>200</v>
      </c>
      <c r="J136" s="86"/>
    </row>
    <row r="137" spans="1:10" ht="20.149999999999999" customHeight="1" x14ac:dyDescent="0.5">
      <c r="A137" s="59">
        <f t="shared" si="3"/>
        <v>129</v>
      </c>
      <c r="B137" s="141" t="s">
        <v>112</v>
      </c>
      <c r="C137" s="143" t="s">
        <v>108</v>
      </c>
      <c r="D137" s="143"/>
      <c r="E137" s="101">
        <v>1500</v>
      </c>
      <c r="F137" s="101"/>
      <c r="G137" s="101"/>
      <c r="H137" s="101">
        <f t="shared" si="2"/>
        <v>1500</v>
      </c>
      <c r="J137" s="86"/>
    </row>
    <row r="138" spans="1:10" ht="20.149999999999999" customHeight="1" x14ac:dyDescent="0.5">
      <c r="A138" s="59">
        <f t="shared" si="3"/>
        <v>130</v>
      </c>
      <c r="B138" s="141" t="s">
        <v>113</v>
      </c>
      <c r="C138" s="143" t="s">
        <v>48</v>
      </c>
      <c r="D138" s="143"/>
      <c r="E138" s="101"/>
      <c r="F138" s="101"/>
      <c r="G138" s="101"/>
      <c r="H138" s="101">
        <f t="shared" ref="H138:H175" si="4">SUM(D138:G138)</f>
        <v>0</v>
      </c>
      <c r="J138" s="86"/>
    </row>
    <row r="139" spans="1:10" ht="20.149999999999999" customHeight="1" x14ac:dyDescent="0.5">
      <c r="A139" s="59">
        <f t="shared" ref="A139:A175" si="5">A138+1</f>
        <v>131</v>
      </c>
      <c r="B139" s="141" t="s">
        <v>16</v>
      </c>
      <c r="C139" s="143" t="s">
        <v>48</v>
      </c>
      <c r="D139" s="143">
        <v>20</v>
      </c>
      <c r="E139" s="101"/>
      <c r="F139" s="101"/>
      <c r="G139" s="101"/>
      <c r="H139" s="101">
        <f t="shared" si="4"/>
        <v>20</v>
      </c>
      <c r="J139" s="86"/>
    </row>
    <row r="140" spans="1:10" ht="18" x14ac:dyDescent="0.5">
      <c r="A140" s="59">
        <f t="shared" si="5"/>
        <v>132</v>
      </c>
      <c r="B140" s="141" t="s">
        <v>425</v>
      </c>
      <c r="C140" s="143"/>
      <c r="D140" s="143"/>
      <c r="E140" s="101"/>
      <c r="F140" s="101"/>
      <c r="G140" s="101"/>
      <c r="H140" s="101">
        <f t="shared" si="4"/>
        <v>0</v>
      </c>
      <c r="J140" s="86"/>
    </row>
    <row r="141" spans="1:10" ht="20.149999999999999" customHeight="1" x14ac:dyDescent="0.5">
      <c r="A141" s="59">
        <f t="shared" si="5"/>
        <v>133</v>
      </c>
      <c r="B141" s="141" t="s">
        <v>114</v>
      </c>
      <c r="C141" s="143" t="s">
        <v>108</v>
      </c>
      <c r="D141" s="143"/>
      <c r="E141" s="101"/>
      <c r="F141" s="101"/>
      <c r="G141" s="101"/>
      <c r="H141" s="101">
        <f t="shared" si="4"/>
        <v>0</v>
      </c>
      <c r="J141" s="86"/>
    </row>
    <row r="142" spans="1:10" ht="20.149999999999999" customHeight="1" x14ac:dyDescent="0.5">
      <c r="A142" s="59">
        <f t="shared" si="5"/>
        <v>134</v>
      </c>
      <c r="B142" s="141" t="s">
        <v>115</v>
      </c>
      <c r="C142" s="143" t="s">
        <v>48</v>
      </c>
      <c r="D142" s="143"/>
      <c r="E142" s="101"/>
      <c r="F142" s="101"/>
      <c r="G142" s="101"/>
      <c r="H142" s="101">
        <f t="shared" si="4"/>
        <v>0</v>
      </c>
      <c r="J142" s="86"/>
    </row>
    <row r="143" spans="1:10" ht="20.149999999999999" customHeight="1" x14ac:dyDescent="0.5">
      <c r="A143" s="59">
        <f t="shared" si="5"/>
        <v>135</v>
      </c>
      <c r="B143" s="141" t="s">
        <v>116</v>
      </c>
      <c r="C143" s="143" t="s">
        <v>48</v>
      </c>
      <c r="D143" s="143"/>
      <c r="E143" s="101"/>
      <c r="F143" s="101"/>
      <c r="G143" s="101"/>
      <c r="H143" s="101">
        <f t="shared" si="4"/>
        <v>0</v>
      </c>
      <c r="J143" s="86"/>
    </row>
    <row r="144" spans="1:10" ht="20.149999999999999" customHeight="1" x14ac:dyDescent="0.5">
      <c r="A144" s="59">
        <f t="shared" si="5"/>
        <v>136</v>
      </c>
      <c r="B144" s="141" t="s">
        <v>117</v>
      </c>
      <c r="C144" s="143" t="s">
        <v>108</v>
      </c>
      <c r="D144" s="143"/>
      <c r="E144" s="101"/>
      <c r="F144" s="101"/>
      <c r="G144" s="101"/>
      <c r="H144" s="101">
        <f t="shared" si="4"/>
        <v>0</v>
      </c>
      <c r="J144" s="86"/>
    </row>
    <row r="145" spans="1:10" ht="20.149999999999999" customHeight="1" x14ac:dyDescent="0.5">
      <c r="A145" s="59">
        <f t="shared" si="5"/>
        <v>137</v>
      </c>
      <c r="B145" s="141" t="s">
        <v>118</v>
      </c>
      <c r="C145" s="143" t="s">
        <v>108</v>
      </c>
      <c r="D145" s="143"/>
      <c r="E145" s="101"/>
      <c r="F145" s="101"/>
      <c r="G145" s="101"/>
      <c r="H145" s="101">
        <f t="shared" si="4"/>
        <v>0</v>
      </c>
      <c r="J145" s="86"/>
    </row>
    <row r="146" spans="1:10" ht="20.149999999999999" customHeight="1" x14ac:dyDescent="0.5">
      <c r="A146" s="59">
        <f t="shared" si="5"/>
        <v>138</v>
      </c>
      <c r="B146" s="141" t="s">
        <v>326</v>
      </c>
      <c r="C146" s="143" t="s">
        <v>108</v>
      </c>
      <c r="D146" s="143">
        <v>200</v>
      </c>
      <c r="E146" s="101"/>
      <c r="F146" s="101"/>
      <c r="G146" s="101"/>
      <c r="H146" s="101">
        <f t="shared" si="4"/>
        <v>200</v>
      </c>
      <c r="J146" s="86"/>
    </row>
    <row r="147" spans="1:10" ht="18" x14ac:dyDescent="0.5">
      <c r="A147" s="59">
        <f t="shared" si="5"/>
        <v>139</v>
      </c>
      <c r="B147" s="141" t="s">
        <v>119</v>
      </c>
      <c r="C147" s="143" t="s">
        <v>108</v>
      </c>
      <c r="D147" s="143"/>
      <c r="E147" s="101"/>
      <c r="F147" s="101"/>
      <c r="G147" s="101"/>
      <c r="H147" s="101">
        <f t="shared" si="4"/>
        <v>0</v>
      </c>
      <c r="J147" s="86"/>
    </row>
    <row r="148" spans="1:10" ht="18" x14ac:dyDescent="0.5">
      <c r="A148" s="59">
        <f t="shared" si="5"/>
        <v>140</v>
      </c>
      <c r="B148" s="141" t="s">
        <v>120</v>
      </c>
      <c r="C148" s="143" t="s">
        <v>108</v>
      </c>
      <c r="D148" s="143"/>
      <c r="E148" s="101"/>
      <c r="F148" s="101"/>
      <c r="G148" s="101"/>
      <c r="H148" s="101">
        <f t="shared" si="4"/>
        <v>0</v>
      </c>
      <c r="J148" s="86"/>
    </row>
    <row r="149" spans="1:10" ht="20.149999999999999" customHeight="1" x14ac:dyDescent="0.5">
      <c r="A149" s="59">
        <f t="shared" si="5"/>
        <v>141</v>
      </c>
      <c r="B149" s="141" t="s">
        <v>121</v>
      </c>
      <c r="C149" s="143" t="s">
        <v>108</v>
      </c>
      <c r="D149" s="143"/>
      <c r="E149" s="101"/>
      <c r="F149" s="101"/>
      <c r="G149" s="101"/>
      <c r="H149" s="101">
        <f t="shared" si="4"/>
        <v>0</v>
      </c>
      <c r="J149" s="86"/>
    </row>
    <row r="150" spans="1:10" ht="20.149999999999999" customHeight="1" x14ac:dyDescent="0.5">
      <c r="A150" s="59">
        <f t="shared" si="5"/>
        <v>142</v>
      </c>
      <c r="B150" s="141" t="s">
        <v>122</v>
      </c>
      <c r="C150" s="143" t="s">
        <v>108</v>
      </c>
      <c r="D150" s="143"/>
      <c r="E150" s="101"/>
      <c r="F150" s="101"/>
      <c r="G150" s="101"/>
      <c r="H150" s="101">
        <f t="shared" si="4"/>
        <v>0</v>
      </c>
      <c r="J150" s="86"/>
    </row>
    <row r="151" spans="1:10" ht="20.149999999999999" customHeight="1" x14ac:dyDescent="0.5">
      <c r="A151" s="59">
        <f t="shared" si="5"/>
        <v>143</v>
      </c>
      <c r="B151" s="141" t="s">
        <v>122</v>
      </c>
      <c r="C151" s="143" t="s">
        <v>108</v>
      </c>
      <c r="D151" s="143"/>
      <c r="E151" s="101"/>
      <c r="F151" s="101"/>
      <c r="G151" s="101"/>
      <c r="H151" s="101">
        <f t="shared" si="4"/>
        <v>0</v>
      </c>
      <c r="J151" s="86"/>
    </row>
    <row r="152" spans="1:10" ht="20.149999999999999" customHeight="1" x14ac:dyDescent="0.5">
      <c r="A152" s="59">
        <f t="shared" si="5"/>
        <v>144</v>
      </c>
      <c r="B152" s="141" t="s">
        <v>123</v>
      </c>
      <c r="C152" s="143" t="s">
        <v>108</v>
      </c>
      <c r="D152" s="143">
        <v>50</v>
      </c>
      <c r="E152" s="101"/>
      <c r="F152" s="101"/>
      <c r="G152" s="101"/>
      <c r="H152" s="101">
        <f t="shared" si="4"/>
        <v>50</v>
      </c>
      <c r="J152" s="86"/>
    </row>
    <row r="153" spans="1:10" ht="20.149999999999999" customHeight="1" x14ac:dyDescent="0.5">
      <c r="A153" s="59">
        <f t="shared" si="5"/>
        <v>145</v>
      </c>
      <c r="B153" s="141" t="s">
        <v>124</v>
      </c>
      <c r="C153" s="143" t="s">
        <v>108</v>
      </c>
      <c r="D153" s="143"/>
      <c r="E153" s="101"/>
      <c r="F153" s="101"/>
      <c r="G153" s="101"/>
      <c r="H153" s="101">
        <f t="shared" si="4"/>
        <v>0</v>
      </c>
      <c r="J153" s="86"/>
    </row>
    <row r="154" spans="1:10" ht="20.149999999999999" customHeight="1" x14ac:dyDescent="0.5">
      <c r="A154" s="59">
        <f t="shared" si="5"/>
        <v>146</v>
      </c>
      <c r="B154" s="141" t="s">
        <v>125</v>
      </c>
      <c r="C154" s="143" t="s">
        <v>126</v>
      </c>
      <c r="D154" s="143"/>
      <c r="E154" s="101"/>
      <c r="F154" s="101"/>
      <c r="G154" s="101"/>
      <c r="H154" s="101">
        <f t="shared" si="4"/>
        <v>0</v>
      </c>
      <c r="J154" s="86"/>
    </row>
    <row r="155" spans="1:10" ht="18" x14ac:dyDescent="0.5">
      <c r="A155" s="59">
        <f t="shared" si="5"/>
        <v>147</v>
      </c>
      <c r="B155" s="141" t="s">
        <v>127</v>
      </c>
      <c r="C155" s="143" t="s">
        <v>255</v>
      </c>
      <c r="D155" s="143"/>
      <c r="E155" s="101"/>
      <c r="F155" s="101"/>
      <c r="G155" s="101"/>
      <c r="H155" s="101">
        <f t="shared" si="4"/>
        <v>0</v>
      </c>
      <c r="J155" s="86"/>
    </row>
    <row r="156" spans="1:10" ht="20.149999999999999" customHeight="1" x14ac:dyDescent="0.5">
      <c r="A156" s="59">
        <f t="shared" si="5"/>
        <v>148</v>
      </c>
      <c r="B156" s="141" t="s">
        <v>128</v>
      </c>
      <c r="C156" s="143" t="s">
        <v>126</v>
      </c>
      <c r="D156" s="143">
        <v>2</v>
      </c>
      <c r="E156" s="101"/>
      <c r="F156" s="101"/>
      <c r="G156" s="101"/>
      <c r="H156" s="101">
        <f t="shared" si="4"/>
        <v>2</v>
      </c>
      <c r="J156" s="86"/>
    </row>
    <row r="157" spans="1:10" ht="20.149999999999999" customHeight="1" x14ac:dyDescent="0.5">
      <c r="A157" s="59">
        <f t="shared" si="5"/>
        <v>149</v>
      </c>
      <c r="B157" s="141" t="s">
        <v>129</v>
      </c>
      <c r="C157" s="143" t="s">
        <v>126</v>
      </c>
      <c r="D157" s="143">
        <v>50</v>
      </c>
      <c r="E157" s="101"/>
      <c r="F157" s="101"/>
      <c r="G157" s="101"/>
      <c r="H157" s="101">
        <f t="shared" si="4"/>
        <v>50</v>
      </c>
      <c r="J157" s="86"/>
    </row>
    <row r="158" spans="1:10" ht="20.149999999999999" customHeight="1" x14ac:dyDescent="0.5">
      <c r="A158" s="59">
        <f t="shared" si="5"/>
        <v>150</v>
      </c>
      <c r="B158" s="141" t="s">
        <v>130</v>
      </c>
      <c r="C158" s="143" t="s">
        <v>323</v>
      </c>
      <c r="D158" s="143"/>
      <c r="E158" s="101"/>
      <c r="F158" s="101"/>
      <c r="G158" s="101"/>
      <c r="H158" s="101">
        <f t="shared" si="4"/>
        <v>0</v>
      </c>
      <c r="J158" s="86"/>
    </row>
    <row r="159" spans="1:10" ht="20.149999999999999" customHeight="1" x14ac:dyDescent="0.5">
      <c r="A159" s="59">
        <f t="shared" si="5"/>
        <v>151</v>
      </c>
      <c r="B159" s="141" t="s">
        <v>131</v>
      </c>
      <c r="C159" s="143" t="s">
        <v>256</v>
      </c>
      <c r="D159" s="143"/>
      <c r="E159" s="101"/>
      <c r="F159" s="101"/>
      <c r="G159" s="101"/>
      <c r="H159" s="101">
        <f t="shared" si="4"/>
        <v>0</v>
      </c>
      <c r="J159" s="86"/>
    </row>
    <row r="160" spans="1:10" ht="20.149999999999999" customHeight="1" x14ac:dyDescent="0.5">
      <c r="A160" s="59">
        <f t="shared" si="5"/>
        <v>152</v>
      </c>
      <c r="B160" s="141" t="s">
        <v>132</v>
      </c>
      <c r="C160" s="143" t="s">
        <v>256</v>
      </c>
      <c r="D160" s="143"/>
      <c r="E160" s="101"/>
      <c r="F160" s="101"/>
      <c r="G160" s="101"/>
      <c r="H160" s="101">
        <f t="shared" si="4"/>
        <v>0</v>
      </c>
      <c r="J160" s="86"/>
    </row>
    <row r="161" spans="1:10" ht="20.149999999999999" customHeight="1" x14ac:dyDescent="0.5">
      <c r="A161" s="59">
        <f t="shared" si="5"/>
        <v>153</v>
      </c>
      <c r="B161" s="141" t="s">
        <v>135</v>
      </c>
      <c r="C161" s="143" t="s">
        <v>108</v>
      </c>
      <c r="D161" s="143"/>
      <c r="E161" s="101"/>
      <c r="F161" s="101"/>
      <c r="G161" s="101"/>
      <c r="H161" s="101">
        <f t="shared" si="4"/>
        <v>0</v>
      </c>
      <c r="J161" s="86"/>
    </row>
    <row r="162" spans="1:10" ht="20.149999999999999" customHeight="1" x14ac:dyDescent="0.5">
      <c r="A162" s="59">
        <f t="shared" si="5"/>
        <v>154</v>
      </c>
      <c r="B162" s="141" t="s">
        <v>134</v>
      </c>
      <c r="C162" s="143" t="s">
        <v>108</v>
      </c>
      <c r="D162" s="143"/>
      <c r="E162" s="101"/>
      <c r="F162" s="101"/>
      <c r="G162" s="101"/>
      <c r="H162" s="101">
        <f t="shared" si="4"/>
        <v>0</v>
      </c>
      <c r="J162" s="86"/>
    </row>
    <row r="163" spans="1:10" ht="20.149999999999999" customHeight="1" x14ac:dyDescent="0.5">
      <c r="A163" s="59">
        <f t="shared" si="5"/>
        <v>155</v>
      </c>
      <c r="B163" s="141" t="s">
        <v>133</v>
      </c>
      <c r="C163" s="143" t="s">
        <v>108</v>
      </c>
      <c r="D163" s="143"/>
      <c r="E163" s="101"/>
      <c r="F163" s="101"/>
      <c r="G163" s="101"/>
      <c r="H163" s="101">
        <f t="shared" si="4"/>
        <v>0</v>
      </c>
      <c r="J163" s="86"/>
    </row>
    <row r="164" spans="1:10" ht="20.149999999999999" customHeight="1" x14ac:dyDescent="0.5">
      <c r="A164" s="59">
        <f t="shared" si="5"/>
        <v>156</v>
      </c>
      <c r="B164" s="141" t="s">
        <v>136</v>
      </c>
      <c r="C164" s="143" t="s">
        <v>126</v>
      </c>
      <c r="D164" s="143"/>
      <c r="E164" s="101"/>
      <c r="F164" s="101"/>
      <c r="G164" s="101"/>
      <c r="H164" s="101">
        <f t="shared" si="4"/>
        <v>0</v>
      </c>
      <c r="J164" s="86"/>
    </row>
    <row r="165" spans="1:10" ht="20.149999999999999" customHeight="1" x14ac:dyDescent="0.5">
      <c r="A165" s="59">
        <f t="shared" si="5"/>
        <v>157</v>
      </c>
      <c r="B165" s="141" t="s">
        <v>137</v>
      </c>
      <c r="C165" s="143" t="s">
        <v>48</v>
      </c>
      <c r="D165" s="143"/>
      <c r="E165" s="101"/>
      <c r="F165" s="101"/>
      <c r="G165" s="101"/>
      <c r="H165" s="101">
        <f t="shared" si="4"/>
        <v>0</v>
      </c>
      <c r="J165" s="86"/>
    </row>
    <row r="166" spans="1:10" ht="20.149999999999999" customHeight="1" x14ac:dyDescent="0.5">
      <c r="A166" s="59">
        <f t="shared" si="5"/>
        <v>158</v>
      </c>
      <c r="B166" s="141" t="s">
        <v>138</v>
      </c>
      <c r="C166" s="143" t="s">
        <v>108</v>
      </c>
      <c r="D166" s="143">
        <v>12</v>
      </c>
      <c r="E166" s="101"/>
      <c r="F166" s="101"/>
      <c r="G166" s="101"/>
      <c r="H166" s="101">
        <f t="shared" si="4"/>
        <v>12</v>
      </c>
      <c r="J166" s="86"/>
    </row>
    <row r="167" spans="1:10" ht="20.149999999999999" customHeight="1" x14ac:dyDescent="0.5">
      <c r="A167" s="59">
        <f t="shared" si="5"/>
        <v>159</v>
      </c>
      <c r="B167" s="141" t="s">
        <v>139</v>
      </c>
      <c r="C167" s="143" t="s">
        <v>108</v>
      </c>
      <c r="D167" s="143"/>
      <c r="E167" s="101"/>
      <c r="F167" s="101"/>
      <c r="G167" s="101"/>
      <c r="H167" s="101">
        <f t="shared" si="4"/>
        <v>0</v>
      </c>
      <c r="J167" s="86"/>
    </row>
    <row r="168" spans="1:10" ht="20.149999999999999" customHeight="1" x14ac:dyDescent="0.5">
      <c r="A168" s="59">
        <f t="shared" si="5"/>
        <v>160</v>
      </c>
      <c r="B168" s="141" t="s">
        <v>140</v>
      </c>
      <c r="C168" s="143" t="s">
        <v>108</v>
      </c>
      <c r="D168" s="143"/>
      <c r="E168" s="101"/>
      <c r="F168" s="101"/>
      <c r="G168" s="101"/>
      <c r="H168" s="101">
        <f t="shared" si="4"/>
        <v>0</v>
      </c>
      <c r="J168" s="86"/>
    </row>
    <row r="169" spans="1:10" ht="20.149999999999999" customHeight="1" x14ac:dyDescent="0.5">
      <c r="A169" s="59">
        <f t="shared" si="5"/>
        <v>161</v>
      </c>
      <c r="B169" s="141" t="s">
        <v>141</v>
      </c>
      <c r="C169" s="143" t="s">
        <v>108</v>
      </c>
      <c r="D169" s="143"/>
      <c r="E169" s="101"/>
      <c r="F169" s="101"/>
      <c r="G169" s="101"/>
      <c r="H169" s="101">
        <f t="shared" si="4"/>
        <v>0</v>
      </c>
      <c r="J169" s="86"/>
    </row>
    <row r="170" spans="1:10" ht="20.149999999999999" customHeight="1" x14ac:dyDescent="0.5">
      <c r="A170" s="59">
        <f t="shared" si="5"/>
        <v>162</v>
      </c>
      <c r="B170" s="141" t="s">
        <v>144</v>
      </c>
      <c r="C170" s="143" t="s">
        <v>108</v>
      </c>
      <c r="D170" s="143"/>
      <c r="E170" s="101"/>
      <c r="F170" s="101"/>
      <c r="G170" s="101"/>
      <c r="H170" s="101">
        <f t="shared" si="4"/>
        <v>0</v>
      </c>
      <c r="J170" s="86"/>
    </row>
    <row r="171" spans="1:10" ht="20.149999999999999" customHeight="1" x14ac:dyDescent="0.5">
      <c r="A171" s="59">
        <f t="shared" si="5"/>
        <v>163</v>
      </c>
      <c r="B171" s="141" t="s">
        <v>143</v>
      </c>
      <c r="C171" s="143" t="s">
        <v>108</v>
      </c>
      <c r="D171" s="143">
        <v>1500</v>
      </c>
      <c r="E171" s="101"/>
      <c r="F171" s="101"/>
      <c r="G171" s="101"/>
      <c r="H171" s="101">
        <f t="shared" si="4"/>
        <v>1500</v>
      </c>
      <c r="J171" s="86"/>
    </row>
    <row r="172" spans="1:10" ht="20.149999999999999" customHeight="1" x14ac:dyDescent="0.5">
      <c r="A172" s="59">
        <f t="shared" si="5"/>
        <v>164</v>
      </c>
      <c r="B172" s="141" t="s">
        <v>142</v>
      </c>
      <c r="C172" s="143" t="s">
        <v>108</v>
      </c>
      <c r="D172" s="143">
        <v>1500</v>
      </c>
      <c r="E172" s="101"/>
      <c r="F172" s="101"/>
      <c r="G172" s="101"/>
      <c r="H172" s="101">
        <f t="shared" si="4"/>
        <v>1500</v>
      </c>
      <c r="J172" s="86"/>
    </row>
    <row r="173" spans="1:10" ht="20.149999999999999" customHeight="1" x14ac:dyDescent="0.5">
      <c r="A173" s="59">
        <f t="shared" si="5"/>
        <v>165</v>
      </c>
      <c r="B173" s="141" t="s">
        <v>145</v>
      </c>
      <c r="C173" s="143" t="s">
        <v>212</v>
      </c>
      <c r="D173" s="143">
        <v>1000</v>
      </c>
      <c r="E173" s="101"/>
      <c r="F173" s="101"/>
      <c r="G173" s="101"/>
      <c r="H173" s="101">
        <f t="shared" si="4"/>
        <v>1000</v>
      </c>
      <c r="J173" s="86"/>
    </row>
    <row r="174" spans="1:10" ht="20.149999999999999" customHeight="1" x14ac:dyDescent="0.5">
      <c r="A174" s="59">
        <f t="shared" si="5"/>
        <v>166</v>
      </c>
      <c r="B174" s="141" t="s">
        <v>146</v>
      </c>
      <c r="C174" s="143" t="s">
        <v>212</v>
      </c>
      <c r="D174" s="143"/>
      <c r="E174" s="101"/>
      <c r="F174" s="101"/>
      <c r="G174" s="101"/>
      <c r="H174" s="101">
        <f t="shared" si="4"/>
        <v>0</v>
      </c>
      <c r="J174" s="86"/>
    </row>
    <row r="175" spans="1:10" ht="20.149999999999999" customHeight="1" x14ac:dyDescent="0.5">
      <c r="A175" s="59">
        <f t="shared" si="5"/>
        <v>167</v>
      </c>
      <c r="B175" s="142" t="s">
        <v>147</v>
      </c>
      <c r="C175" s="11" t="s">
        <v>212</v>
      </c>
      <c r="D175" s="143"/>
      <c r="E175" s="101"/>
      <c r="F175" s="101"/>
      <c r="G175" s="101"/>
      <c r="H175" s="101">
        <f t="shared" si="4"/>
        <v>0</v>
      </c>
      <c r="J175" s="86"/>
    </row>
    <row r="176" spans="1:10" ht="20.149999999999999" customHeight="1" x14ac:dyDescent="0.5">
      <c r="A176" s="60"/>
      <c r="B176" s="60"/>
      <c r="C176" s="213"/>
      <c r="D176" s="11"/>
      <c r="E176" s="101"/>
      <c r="F176" s="101"/>
      <c r="G176" s="101"/>
      <c r="H176" s="101"/>
    </row>
    <row r="177" spans="1:8" ht="20.149999999999999" customHeight="1" x14ac:dyDescent="0.5">
      <c r="A177" s="60"/>
      <c r="B177" s="60"/>
      <c r="C177" s="213"/>
      <c r="D177" s="11"/>
      <c r="E177" s="101"/>
      <c r="F177" s="101"/>
      <c r="G177" s="101"/>
      <c r="H177" s="101"/>
    </row>
    <row r="178" spans="1:8" ht="20.149999999999999" customHeight="1" x14ac:dyDescent="0.5">
      <c r="A178" s="60"/>
      <c r="B178" s="60"/>
      <c r="C178" s="213"/>
      <c r="D178" s="11"/>
      <c r="E178" s="101"/>
      <c r="F178" s="101"/>
      <c r="G178" s="101"/>
      <c r="H178" s="101"/>
    </row>
    <row r="179" spans="1:8" ht="20.149999999999999" customHeight="1" x14ac:dyDescent="0.45">
      <c r="E179" s="75"/>
      <c r="F179" s="75"/>
      <c r="G179" s="75"/>
    </row>
    <row r="180" spans="1:8" ht="20.149999999999999" customHeight="1" x14ac:dyDescent="0.45"/>
    <row r="181" spans="1:8" ht="20.149999999999999" customHeight="1" x14ac:dyDescent="0.45"/>
  </sheetData>
  <mergeCells count="10">
    <mergeCell ref="A1:H1"/>
    <mergeCell ref="A2:H2"/>
    <mergeCell ref="A3:H3"/>
    <mergeCell ref="H6:H7"/>
    <mergeCell ref="A6:A7"/>
    <mergeCell ref="B6:B7"/>
    <mergeCell ref="C6:C7"/>
    <mergeCell ref="A4:B4"/>
    <mergeCell ref="A5:B5"/>
    <mergeCell ref="D6:G6"/>
  </mergeCells>
  <pageMargins left="0.70866141732283505" right="0.23622047244094499" top="0.74803149606299202" bottom="0.74803149606299202" header="0.31496062992126" footer="0.31496062992126"/>
  <pageSetup paperSize="256" scale="80" orientation="portrait" horizontalDpi="4294967294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8"/>
  <sheetViews>
    <sheetView zoomScaleSheetLayoutView="110" workbookViewId="0">
      <pane xSplit="2" ySplit="8" topLeftCell="C28" activePane="bottomRight" state="frozen"/>
      <selection pane="topRight" activeCell="C1" sqref="C1"/>
      <selection pane="bottomLeft" activeCell="A9" sqref="A9"/>
      <selection pane="bottomRight" activeCell="A2" sqref="A2:H2"/>
    </sheetView>
  </sheetViews>
  <sheetFormatPr defaultColWidth="9.1796875" defaultRowHeight="16.5" x14ac:dyDescent="0.45"/>
  <cols>
    <col min="1" max="1" width="5.54296875" style="68" customWidth="1"/>
    <col min="2" max="2" width="43.7265625" style="68" customWidth="1"/>
    <col min="3" max="3" width="16.7265625" style="68" customWidth="1"/>
    <col min="4" max="6" width="12.7265625" style="68" customWidth="1"/>
    <col min="7" max="7" width="8.54296875" style="68" customWidth="1"/>
    <col min="8" max="16384" width="9.1796875" style="68"/>
  </cols>
  <sheetData>
    <row r="1" spans="1:13" s="41" customFormat="1" ht="19.5" x14ac:dyDescent="0.6">
      <c r="A1" s="281" t="s">
        <v>314</v>
      </c>
      <c r="B1" s="281"/>
      <c r="C1" s="281"/>
      <c r="D1" s="281"/>
      <c r="E1" s="281"/>
      <c r="F1" s="281"/>
      <c r="G1" s="281"/>
    </row>
    <row r="2" spans="1:13" s="41" customFormat="1" ht="19.5" x14ac:dyDescent="0.6">
      <c r="A2" s="281" t="s">
        <v>451</v>
      </c>
      <c r="B2" s="281"/>
      <c r="C2" s="281"/>
      <c r="D2" s="281"/>
      <c r="E2" s="281"/>
      <c r="F2" s="281"/>
      <c r="G2" s="281"/>
      <c r="H2" s="281"/>
    </row>
    <row r="3" spans="1:13" s="41" customFormat="1" ht="19.5" x14ac:dyDescent="0.6">
      <c r="A3" s="281" t="s">
        <v>419</v>
      </c>
      <c r="B3" s="281"/>
      <c r="C3" s="281"/>
      <c r="D3" s="281"/>
      <c r="E3" s="281"/>
      <c r="F3" s="281"/>
      <c r="G3" s="281"/>
    </row>
    <row r="4" spans="1:13" s="41" customFormat="1" ht="19.5" x14ac:dyDescent="0.6">
      <c r="A4" s="286"/>
      <c r="B4" s="286"/>
      <c r="C4" s="70"/>
      <c r="D4" s="70"/>
      <c r="E4" s="70"/>
      <c r="F4" s="70"/>
    </row>
    <row r="5" spans="1:13" s="41" customFormat="1" ht="19.5" x14ac:dyDescent="0.6">
      <c r="A5" s="287" t="str">
        <f>'PENERIMAAN OBAT PKD'!A5:B5</f>
        <v xml:space="preserve">Bulan Januari </v>
      </c>
      <c r="B5" s="287"/>
      <c r="C5" s="70"/>
      <c r="D5" s="70"/>
      <c r="E5" s="70"/>
      <c r="F5" s="70"/>
      <c r="M5" s="41">
        <v>12</v>
      </c>
    </row>
    <row r="6" spans="1:13" ht="16.5" customHeight="1" x14ac:dyDescent="0.5">
      <c r="A6" s="292" t="s">
        <v>0</v>
      </c>
      <c r="B6" s="293" t="s">
        <v>1</v>
      </c>
      <c r="C6" s="294" t="s">
        <v>2</v>
      </c>
      <c r="D6" s="295" t="s">
        <v>218</v>
      </c>
      <c r="E6" s="296"/>
      <c r="F6" s="296"/>
      <c r="G6" s="291" t="s">
        <v>219</v>
      </c>
    </row>
    <row r="7" spans="1:13" ht="15.75" customHeight="1" x14ac:dyDescent="0.45">
      <c r="A7" s="292"/>
      <c r="B7" s="293"/>
      <c r="C7" s="294"/>
      <c r="D7" s="237">
        <v>46267</v>
      </c>
      <c r="E7" s="237"/>
      <c r="F7" s="237"/>
      <c r="G7" s="291"/>
    </row>
    <row r="8" spans="1:13" ht="19" x14ac:dyDescent="0.45">
      <c r="A8" s="194">
        <v>1</v>
      </c>
      <c r="B8" s="194">
        <v>2</v>
      </c>
      <c r="C8" s="194">
        <v>3</v>
      </c>
      <c r="D8" s="194">
        <v>4</v>
      </c>
      <c r="E8" s="194"/>
      <c r="F8" s="194"/>
      <c r="G8" s="194">
        <v>5</v>
      </c>
    </row>
    <row r="9" spans="1:13" ht="20.149999999999999" customHeight="1" x14ac:dyDescent="0.5">
      <c r="A9" s="187">
        <v>1</v>
      </c>
      <c r="B9" s="145" t="s">
        <v>309</v>
      </c>
      <c r="C9" s="146"/>
      <c r="D9" s="146"/>
      <c r="E9" s="146"/>
      <c r="F9" s="146"/>
      <c r="G9" s="146"/>
    </row>
    <row r="10" spans="1:13" ht="20.149999999999999" customHeight="1" x14ac:dyDescent="0.45">
      <c r="A10" s="11">
        <v>2</v>
      </c>
      <c r="B10" s="178" t="s">
        <v>148</v>
      </c>
      <c r="C10" s="144" t="s">
        <v>177</v>
      </c>
      <c r="D10" s="144"/>
      <c r="E10" s="144"/>
      <c r="F10" s="144"/>
      <c r="G10" s="100">
        <f t="shared" ref="G10:G18" si="0">SUM(D10:D10)</f>
        <v>0</v>
      </c>
    </row>
    <row r="11" spans="1:13" ht="20.149999999999999" customHeight="1" x14ac:dyDescent="0.45">
      <c r="A11" s="11">
        <v>3</v>
      </c>
      <c r="B11" s="178" t="s">
        <v>391</v>
      </c>
      <c r="C11" s="144" t="s">
        <v>48</v>
      </c>
      <c r="D11" s="144"/>
      <c r="E11" s="144"/>
      <c r="F11" s="144"/>
      <c r="G11" s="100">
        <f t="shared" si="0"/>
        <v>0</v>
      </c>
    </row>
    <row r="12" spans="1:13" ht="20.149999999999999" customHeight="1" x14ac:dyDescent="0.45">
      <c r="A12" s="11">
        <v>4</v>
      </c>
      <c r="B12" s="178" t="s">
        <v>283</v>
      </c>
      <c r="C12" s="144" t="s">
        <v>6</v>
      </c>
      <c r="D12" s="144">
        <v>20000</v>
      </c>
      <c r="E12" s="144"/>
      <c r="F12" s="144"/>
      <c r="G12" s="100">
        <f t="shared" si="0"/>
        <v>20000</v>
      </c>
    </row>
    <row r="13" spans="1:13" ht="20.149999999999999" customHeight="1" x14ac:dyDescent="0.45">
      <c r="A13" s="11">
        <v>5</v>
      </c>
      <c r="B13" s="178" t="s">
        <v>392</v>
      </c>
      <c r="C13" s="144" t="s">
        <v>177</v>
      </c>
      <c r="D13" s="144"/>
      <c r="E13" s="144"/>
      <c r="F13" s="144"/>
      <c r="G13" s="100">
        <f t="shared" si="0"/>
        <v>0</v>
      </c>
    </row>
    <row r="14" spans="1:13" ht="20.149999999999999" customHeight="1" x14ac:dyDescent="0.45">
      <c r="A14" s="11">
        <v>6</v>
      </c>
      <c r="B14" s="178" t="s">
        <v>176</v>
      </c>
      <c r="C14" s="144" t="s">
        <v>33</v>
      </c>
      <c r="D14" s="144"/>
      <c r="E14" s="144"/>
      <c r="F14" s="144"/>
      <c r="G14" s="100">
        <f t="shared" si="0"/>
        <v>0</v>
      </c>
    </row>
    <row r="15" spans="1:13" ht="20.149999999999999" customHeight="1" x14ac:dyDescent="0.45">
      <c r="A15" s="11">
        <v>7</v>
      </c>
      <c r="B15" s="181" t="s">
        <v>175</v>
      </c>
      <c r="C15" s="144" t="s">
        <v>33</v>
      </c>
      <c r="D15" s="144"/>
      <c r="E15" s="144"/>
      <c r="F15" s="144"/>
      <c r="G15" s="100">
        <f t="shared" si="0"/>
        <v>0</v>
      </c>
    </row>
    <row r="16" spans="1:13" ht="20.149999999999999" customHeight="1" x14ac:dyDescent="0.45">
      <c r="A16" s="11">
        <v>8</v>
      </c>
      <c r="B16" s="178"/>
      <c r="C16" s="144"/>
      <c r="D16" s="144"/>
      <c r="E16" s="144"/>
      <c r="F16" s="144"/>
      <c r="G16" s="100">
        <f t="shared" si="0"/>
        <v>0</v>
      </c>
    </row>
    <row r="17" spans="1:7" x14ac:dyDescent="0.45">
      <c r="A17" s="11">
        <v>9</v>
      </c>
      <c r="B17" s="178"/>
      <c r="C17" s="144"/>
      <c r="D17" s="144"/>
      <c r="E17" s="144"/>
      <c r="F17" s="144"/>
      <c r="G17" s="100">
        <f t="shared" si="0"/>
        <v>0</v>
      </c>
    </row>
    <row r="18" spans="1:7" x14ac:dyDescent="0.45">
      <c r="A18" s="11">
        <v>10</v>
      </c>
      <c r="B18" s="178"/>
      <c r="C18" s="144"/>
      <c r="D18" s="144"/>
      <c r="E18" s="144"/>
      <c r="F18" s="144"/>
      <c r="G18" s="100">
        <f t="shared" si="0"/>
        <v>0</v>
      </c>
    </row>
    <row r="19" spans="1:7" x14ac:dyDescent="0.45">
      <c r="A19" s="187">
        <v>11</v>
      </c>
      <c r="B19" s="188" t="s">
        <v>178</v>
      </c>
      <c r="C19" s="146"/>
      <c r="D19" s="146"/>
      <c r="E19" s="146"/>
      <c r="F19" s="146"/>
      <c r="G19" s="146"/>
    </row>
    <row r="20" spans="1:7" x14ac:dyDescent="0.45">
      <c r="A20" s="11">
        <v>12</v>
      </c>
      <c r="B20" s="182" t="s">
        <v>179</v>
      </c>
      <c r="C20" s="144" t="s">
        <v>4</v>
      </c>
      <c r="D20" s="144"/>
      <c r="E20" s="144"/>
      <c r="F20" s="144"/>
      <c r="G20" s="100">
        <f t="shared" ref="G20:G35" si="1">SUM(D20:F20)</f>
        <v>0</v>
      </c>
    </row>
    <row r="21" spans="1:7" ht="20.149999999999999" customHeight="1" x14ac:dyDescent="0.45">
      <c r="A21" s="11">
        <v>13</v>
      </c>
      <c r="B21" s="183" t="s">
        <v>181</v>
      </c>
      <c r="C21" s="144" t="s">
        <v>182</v>
      </c>
      <c r="D21" s="144"/>
      <c r="E21" s="144"/>
      <c r="F21" s="144"/>
      <c r="G21" s="100">
        <f t="shared" si="1"/>
        <v>0</v>
      </c>
    </row>
    <row r="22" spans="1:7" ht="20.149999999999999" customHeight="1" x14ac:dyDescent="0.45">
      <c r="A22" s="11">
        <v>14</v>
      </c>
      <c r="B22" s="183" t="s">
        <v>184</v>
      </c>
      <c r="C22" s="144" t="s">
        <v>4</v>
      </c>
      <c r="D22" s="144"/>
      <c r="E22" s="144"/>
      <c r="F22" s="144"/>
      <c r="G22" s="100">
        <f t="shared" si="1"/>
        <v>0</v>
      </c>
    </row>
    <row r="23" spans="1:7" ht="20.149999999999999" customHeight="1" x14ac:dyDescent="0.45">
      <c r="A23" s="11">
        <v>15</v>
      </c>
      <c r="B23" s="183" t="s">
        <v>353</v>
      </c>
      <c r="C23" s="144" t="s">
        <v>48</v>
      </c>
      <c r="D23" s="144"/>
      <c r="E23" s="144"/>
      <c r="F23" s="144"/>
      <c r="G23" s="100">
        <f t="shared" si="1"/>
        <v>0</v>
      </c>
    </row>
    <row r="24" spans="1:7" ht="20.149999999999999" customHeight="1" x14ac:dyDescent="0.45">
      <c r="A24" s="11">
        <v>16</v>
      </c>
      <c r="B24" s="178" t="s">
        <v>183</v>
      </c>
      <c r="C24" s="144" t="s">
        <v>4</v>
      </c>
      <c r="D24" s="144"/>
      <c r="E24" s="144"/>
      <c r="F24" s="144"/>
      <c r="G24" s="100">
        <f t="shared" si="1"/>
        <v>0</v>
      </c>
    </row>
    <row r="25" spans="1:7" ht="20.149999999999999" customHeight="1" x14ac:dyDescent="0.45">
      <c r="A25" s="11">
        <v>17</v>
      </c>
      <c r="B25" s="178" t="s">
        <v>180</v>
      </c>
      <c r="C25" s="144" t="s">
        <v>4</v>
      </c>
      <c r="D25" s="144"/>
      <c r="E25" s="144"/>
      <c r="F25" s="144"/>
      <c r="G25" s="100">
        <f t="shared" si="1"/>
        <v>0</v>
      </c>
    </row>
    <row r="26" spans="1:7" ht="20.149999999999999" customHeight="1" x14ac:dyDescent="0.45">
      <c r="A26" s="11">
        <v>18</v>
      </c>
      <c r="B26" s="178" t="s">
        <v>185</v>
      </c>
      <c r="C26" s="144" t="s">
        <v>4</v>
      </c>
      <c r="D26" s="144"/>
      <c r="E26" s="144"/>
      <c r="F26" s="144"/>
      <c r="G26" s="100">
        <f t="shared" si="1"/>
        <v>0</v>
      </c>
    </row>
    <row r="27" spans="1:7" ht="20.149999999999999" customHeight="1" x14ac:dyDescent="0.45">
      <c r="A27" s="11">
        <v>19</v>
      </c>
      <c r="B27" s="178" t="s">
        <v>267</v>
      </c>
      <c r="C27" s="144" t="s">
        <v>4</v>
      </c>
      <c r="D27" s="144"/>
      <c r="E27" s="144"/>
      <c r="F27" s="144"/>
      <c r="G27" s="100">
        <f t="shared" si="1"/>
        <v>0</v>
      </c>
    </row>
    <row r="28" spans="1:7" ht="20.149999999999999" customHeight="1" x14ac:dyDescent="0.45">
      <c r="A28" s="11">
        <v>20</v>
      </c>
      <c r="B28" s="178" t="s">
        <v>186</v>
      </c>
      <c r="C28" s="144" t="s">
        <v>4</v>
      </c>
      <c r="D28" s="144"/>
      <c r="E28" s="144"/>
      <c r="F28" s="144"/>
      <c r="G28" s="100">
        <f t="shared" si="1"/>
        <v>0</v>
      </c>
    </row>
    <row r="29" spans="1:7" ht="20.149999999999999" customHeight="1" x14ac:dyDescent="0.45">
      <c r="A29" s="11">
        <v>21</v>
      </c>
      <c r="B29" s="178" t="s">
        <v>266</v>
      </c>
      <c r="C29" s="144" t="s">
        <v>4</v>
      </c>
      <c r="D29" s="144"/>
      <c r="E29" s="144"/>
      <c r="F29" s="144">
        <v>50</v>
      </c>
      <c r="G29" s="100">
        <f t="shared" si="1"/>
        <v>50</v>
      </c>
    </row>
    <row r="30" spans="1:7" ht="20.149999999999999" customHeight="1" x14ac:dyDescent="0.45">
      <c r="A30" s="11">
        <v>22</v>
      </c>
      <c r="B30" s="178" t="s">
        <v>187</v>
      </c>
      <c r="C30" s="144" t="s">
        <v>188</v>
      </c>
      <c r="D30" s="144"/>
      <c r="E30" s="144"/>
      <c r="F30" s="144"/>
      <c r="G30" s="100">
        <f t="shared" si="1"/>
        <v>0</v>
      </c>
    </row>
    <row r="31" spans="1:7" ht="20.149999999999999" customHeight="1" x14ac:dyDescent="0.45">
      <c r="A31" s="11">
        <v>23</v>
      </c>
      <c r="B31" s="178" t="s">
        <v>393</v>
      </c>
      <c r="C31" s="144"/>
      <c r="D31" s="144"/>
      <c r="E31" s="144"/>
      <c r="F31" s="144"/>
      <c r="G31" s="100">
        <f t="shared" si="1"/>
        <v>0</v>
      </c>
    </row>
    <row r="32" spans="1:7" ht="20.149999999999999" customHeight="1" x14ac:dyDescent="0.45">
      <c r="A32" s="11">
        <v>24</v>
      </c>
      <c r="B32" s="183" t="s">
        <v>428</v>
      </c>
      <c r="C32" s="144" t="s">
        <v>6</v>
      </c>
      <c r="D32" s="144"/>
      <c r="E32" s="144"/>
      <c r="F32" s="144"/>
      <c r="G32" s="100">
        <f t="shared" si="1"/>
        <v>0</v>
      </c>
    </row>
    <row r="33" spans="1:7" ht="20.149999999999999" customHeight="1" x14ac:dyDescent="0.45">
      <c r="A33" s="11">
        <v>25</v>
      </c>
      <c r="B33" s="183" t="s">
        <v>429</v>
      </c>
      <c r="C33" s="144" t="s">
        <v>48</v>
      </c>
      <c r="D33" s="144">
        <v>409</v>
      </c>
      <c r="E33" s="144"/>
      <c r="F33" s="144"/>
      <c r="G33" s="100">
        <f t="shared" si="1"/>
        <v>409</v>
      </c>
    </row>
    <row r="34" spans="1:7" ht="20.149999999999999" customHeight="1" x14ac:dyDescent="0.45">
      <c r="A34" s="11">
        <v>26</v>
      </c>
      <c r="B34" s="178" t="s">
        <v>430</v>
      </c>
      <c r="C34" s="144" t="s">
        <v>188</v>
      </c>
      <c r="D34" s="144"/>
      <c r="E34" s="144"/>
      <c r="F34" s="144"/>
      <c r="G34" s="100">
        <f t="shared" si="1"/>
        <v>0</v>
      </c>
    </row>
    <row r="35" spans="1:7" ht="20.149999999999999" customHeight="1" x14ac:dyDescent="0.45">
      <c r="A35" s="11">
        <v>27</v>
      </c>
      <c r="B35" s="184"/>
      <c r="C35" s="144"/>
      <c r="D35" s="144"/>
      <c r="E35" s="144"/>
      <c r="F35" s="144"/>
      <c r="G35" s="100">
        <f t="shared" si="1"/>
        <v>0</v>
      </c>
    </row>
    <row r="36" spans="1:7" ht="20.149999999999999" customHeight="1" x14ac:dyDescent="0.45">
      <c r="A36" s="187">
        <v>28</v>
      </c>
      <c r="B36" s="189" t="s">
        <v>189</v>
      </c>
      <c r="C36" s="146"/>
      <c r="D36" s="146"/>
      <c r="E36" s="146"/>
      <c r="F36" s="146"/>
      <c r="G36" s="146"/>
    </row>
    <row r="37" spans="1:7" ht="20.149999999999999" customHeight="1" x14ac:dyDescent="0.45">
      <c r="A37" s="11">
        <v>29</v>
      </c>
      <c r="B37" s="183" t="s">
        <v>268</v>
      </c>
      <c r="C37" s="144" t="s">
        <v>6</v>
      </c>
      <c r="D37" s="144"/>
      <c r="E37" s="144"/>
      <c r="F37" s="144"/>
      <c r="G37" s="100">
        <f t="shared" ref="G37:G48" si="2">SUM(D37:F37)</f>
        <v>0</v>
      </c>
    </row>
    <row r="38" spans="1:7" ht="20.149999999999999" customHeight="1" x14ac:dyDescent="0.45">
      <c r="A38" s="11">
        <v>30</v>
      </c>
      <c r="B38" s="178" t="s">
        <v>269</v>
      </c>
      <c r="C38" s="144" t="s">
        <v>182</v>
      </c>
      <c r="D38" s="144"/>
      <c r="E38" s="144"/>
      <c r="F38" s="144"/>
      <c r="G38" s="100">
        <f t="shared" si="2"/>
        <v>0</v>
      </c>
    </row>
    <row r="39" spans="1:7" ht="20.149999999999999" customHeight="1" x14ac:dyDescent="0.45">
      <c r="A39" s="11">
        <v>31</v>
      </c>
      <c r="B39" s="178" t="s">
        <v>284</v>
      </c>
      <c r="C39" s="144" t="s">
        <v>48</v>
      </c>
      <c r="D39" s="144"/>
      <c r="E39" s="144"/>
      <c r="F39" s="144"/>
      <c r="G39" s="100">
        <f t="shared" si="2"/>
        <v>0</v>
      </c>
    </row>
    <row r="40" spans="1:7" ht="20.149999999999999" customHeight="1" x14ac:dyDescent="0.45">
      <c r="A40" s="11">
        <v>32</v>
      </c>
      <c r="B40" s="178" t="s">
        <v>190</v>
      </c>
      <c r="C40" s="144" t="s">
        <v>6</v>
      </c>
      <c r="D40" s="144"/>
      <c r="E40" s="144"/>
      <c r="F40" s="144"/>
      <c r="G40" s="100">
        <f t="shared" si="2"/>
        <v>0</v>
      </c>
    </row>
    <row r="41" spans="1:7" ht="20.149999999999999" customHeight="1" x14ac:dyDescent="0.45">
      <c r="A41" s="11">
        <v>33</v>
      </c>
      <c r="B41" s="178" t="s">
        <v>357</v>
      </c>
      <c r="C41" s="144" t="s">
        <v>108</v>
      </c>
      <c r="D41" s="144"/>
      <c r="E41" s="144"/>
      <c r="F41" s="144"/>
      <c r="G41" s="100">
        <f t="shared" si="2"/>
        <v>0</v>
      </c>
    </row>
    <row r="42" spans="1:7" ht="20.149999999999999" customHeight="1" x14ac:dyDescent="0.45">
      <c r="A42" s="11">
        <v>34</v>
      </c>
      <c r="B42" s="178" t="s">
        <v>358</v>
      </c>
      <c r="C42" s="144" t="s">
        <v>108</v>
      </c>
      <c r="D42" s="144"/>
      <c r="E42" s="144"/>
      <c r="F42" s="144"/>
      <c r="G42" s="100">
        <f t="shared" si="2"/>
        <v>0</v>
      </c>
    </row>
    <row r="43" spans="1:7" ht="20.149999999999999" customHeight="1" x14ac:dyDescent="0.45">
      <c r="A43" s="11">
        <v>35</v>
      </c>
      <c r="B43" s="178" t="s">
        <v>356</v>
      </c>
      <c r="C43" s="144" t="s">
        <v>108</v>
      </c>
      <c r="D43" s="144"/>
      <c r="E43" s="144"/>
      <c r="F43" s="144"/>
      <c r="G43" s="100">
        <f t="shared" si="2"/>
        <v>0</v>
      </c>
    </row>
    <row r="44" spans="1:7" ht="20.149999999999999" customHeight="1" x14ac:dyDescent="0.45">
      <c r="A44" s="11">
        <v>36</v>
      </c>
      <c r="B44" s="178" t="s">
        <v>354</v>
      </c>
      <c r="C44" s="144" t="s">
        <v>355</v>
      </c>
      <c r="D44" s="144"/>
      <c r="E44" s="144"/>
      <c r="F44" s="144"/>
      <c r="G44" s="100">
        <f t="shared" si="2"/>
        <v>0</v>
      </c>
    </row>
    <row r="45" spans="1:7" ht="20.149999999999999" customHeight="1" x14ac:dyDescent="0.45">
      <c r="A45" s="11">
        <v>37</v>
      </c>
      <c r="B45" s="178" t="s">
        <v>394</v>
      </c>
      <c r="C45" s="144" t="s">
        <v>395</v>
      </c>
      <c r="D45" s="144"/>
      <c r="E45" s="144"/>
      <c r="F45" s="144"/>
      <c r="G45" s="100">
        <f t="shared" si="2"/>
        <v>0</v>
      </c>
    </row>
    <row r="46" spans="1:7" ht="20.149999999999999" customHeight="1" x14ac:dyDescent="0.45">
      <c r="A46" s="11">
        <v>38</v>
      </c>
      <c r="B46" s="183" t="s">
        <v>431</v>
      </c>
      <c r="C46" s="144" t="s">
        <v>48</v>
      </c>
      <c r="D46" s="144"/>
      <c r="E46" s="144"/>
      <c r="F46" s="144"/>
      <c r="G46" s="100">
        <f t="shared" si="2"/>
        <v>0</v>
      </c>
    </row>
    <row r="47" spans="1:7" ht="20.149999999999999" customHeight="1" x14ac:dyDescent="0.45">
      <c r="A47" s="11">
        <v>39</v>
      </c>
      <c r="B47" s="178"/>
      <c r="C47" s="144"/>
      <c r="D47" s="144"/>
      <c r="E47" s="144"/>
      <c r="F47" s="144"/>
      <c r="G47" s="100">
        <f t="shared" si="2"/>
        <v>0</v>
      </c>
    </row>
    <row r="48" spans="1:7" ht="20.149999999999999" customHeight="1" x14ac:dyDescent="0.45">
      <c r="A48" s="11">
        <v>40</v>
      </c>
      <c r="B48" s="178"/>
      <c r="C48" s="144"/>
      <c r="D48" s="144"/>
      <c r="E48" s="144"/>
      <c r="F48" s="144"/>
      <c r="G48" s="100">
        <f t="shared" si="2"/>
        <v>0</v>
      </c>
    </row>
    <row r="49" spans="1:7" ht="20.149999999999999" customHeight="1" x14ac:dyDescent="0.45">
      <c r="A49" s="187">
        <v>41</v>
      </c>
      <c r="B49" s="188" t="s">
        <v>191</v>
      </c>
      <c r="C49" s="146"/>
      <c r="D49" s="146"/>
      <c r="E49" s="146"/>
      <c r="F49" s="146"/>
      <c r="G49" s="146"/>
    </row>
    <row r="50" spans="1:7" ht="20.149999999999999" customHeight="1" x14ac:dyDescent="0.45">
      <c r="A50" s="11">
        <v>42</v>
      </c>
      <c r="B50" s="178" t="s">
        <v>192</v>
      </c>
      <c r="C50" s="144" t="s">
        <v>6</v>
      </c>
      <c r="D50" s="144"/>
      <c r="E50" s="144"/>
      <c r="F50" s="144"/>
      <c r="G50" s="100">
        <f t="shared" ref="G50:G55" si="3">SUM(D50:F50)</f>
        <v>0</v>
      </c>
    </row>
    <row r="51" spans="1:7" ht="20.149999999999999" customHeight="1" x14ac:dyDescent="0.45">
      <c r="A51" s="11">
        <v>43</v>
      </c>
      <c r="B51" s="178" t="s">
        <v>285</v>
      </c>
      <c r="C51" s="144" t="s">
        <v>48</v>
      </c>
      <c r="D51" s="144"/>
      <c r="E51" s="144"/>
      <c r="F51" s="144"/>
      <c r="G51" s="100">
        <f t="shared" si="3"/>
        <v>0</v>
      </c>
    </row>
    <row r="52" spans="1:7" ht="20.149999999999999" customHeight="1" x14ac:dyDescent="0.45">
      <c r="A52" s="11">
        <v>44</v>
      </c>
      <c r="B52" s="178" t="s">
        <v>359</v>
      </c>
      <c r="C52" s="144" t="s">
        <v>48</v>
      </c>
      <c r="D52" s="144"/>
      <c r="E52" s="144"/>
      <c r="F52" s="144"/>
      <c r="G52" s="100">
        <f t="shared" si="3"/>
        <v>0</v>
      </c>
    </row>
    <row r="53" spans="1:7" ht="20.149999999999999" customHeight="1" x14ac:dyDescent="0.45">
      <c r="A53" s="11">
        <v>45</v>
      </c>
      <c r="B53" s="178"/>
      <c r="C53" s="144"/>
      <c r="D53" s="144"/>
      <c r="E53" s="144"/>
      <c r="F53" s="144"/>
      <c r="G53" s="100">
        <f t="shared" si="3"/>
        <v>0</v>
      </c>
    </row>
    <row r="54" spans="1:7" ht="20.149999999999999" customHeight="1" x14ac:dyDescent="0.45">
      <c r="A54" s="11">
        <v>46</v>
      </c>
      <c r="B54" s="178"/>
      <c r="C54" s="144"/>
      <c r="D54" s="144"/>
      <c r="E54" s="144"/>
      <c r="F54" s="144"/>
      <c r="G54" s="100">
        <f t="shared" si="3"/>
        <v>0</v>
      </c>
    </row>
    <row r="55" spans="1:7" ht="20.149999999999999" customHeight="1" x14ac:dyDescent="0.45">
      <c r="A55" s="11">
        <v>47</v>
      </c>
      <c r="B55" s="178"/>
      <c r="C55" s="144"/>
      <c r="D55" s="144"/>
      <c r="E55" s="144"/>
      <c r="F55" s="144"/>
      <c r="G55" s="100">
        <f t="shared" si="3"/>
        <v>0</v>
      </c>
    </row>
    <row r="56" spans="1:7" x14ac:dyDescent="0.45">
      <c r="A56" s="187">
        <v>48</v>
      </c>
      <c r="B56" s="188" t="s">
        <v>193</v>
      </c>
      <c r="C56" s="146"/>
      <c r="D56" s="146"/>
      <c r="E56" s="146"/>
      <c r="F56" s="146"/>
      <c r="G56" s="146"/>
    </row>
    <row r="57" spans="1:7" ht="20.149999999999999" customHeight="1" x14ac:dyDescent="0.45">
      <c r="A57" s="11">
        <v>49</v>
      </c>
      <c r="B57" s="178" t="s">
        <v>194</v>
      </c>
      <c r="C57" s="144" t="s">
        <v>6</v>
      </c>
      <c r="D57" s="144"/>
      <c r="E57" s="144"/>
      <c r="F57" s="144"/>
      <c r="G57" s="100">
        <f t="shared" ref="G57:G66" si="4">SUM(D57:F57)</f>
        <v>0</v>
      </c>
    </row>
    <row r="58" spans="1:7" ht="20.149999999999999" customHeight="1" x14ac:dyDescent="0.45">
      <c r="A58" s="11">
        <v>50</v>
      </c>
      <c r="B58" s="178" t="s">
        <v>195</v>
      </c>
      <c r="C58" s="144" t="s">
        <v>6</v>
      </c>
      <c r="D58" s="144"/>
      <c r="E58" s="144"/>
      <c r="F58" s="144"/>
      <c r="G58" s="100">
        <f t="shared" si="4"/>
        <v>0</v>
      </c>
    </row>
    <row r="59" spans="1:7" ht="20.149999999999999" customHeight="1" x14ac:dyDescent="0.45">
      <c r="A59" s="11">
        <v>51</v>
      </c>
      <c r="B59" s="178" t="s">
        <v>196</v>
      </c>
      <c r="C59" s="144" t="s">
        <v>6</v>
      </c>
      <c r="D59" s="144"/>
      <c r="E59" s="144"/>
      <c r="F59" s="144"/>
      <c r="G59" s="100">
        <f t="shared" si="4"/>
        <v>0</v>
      </c>
    </row>
    <row r="60" spans="1:7" ht="20.149999999999999" customHeight="1" x14ac:dyDescent="0.45">
      <c r="A60" s="11">
        <v>52</v>
      </c>
      <c r="B60" s="184" t="s">
        <v>361</v>
      </c>
      <c r="C60" s="144" t="s">
        <v>6</v>
      </c>
      <c r="D60" s="144"/>
      <c r="E60" s="144"/>
      <c r="F60" s="144"/>
      <c r="G60" s="100">
        <f t="shared" si="4"/>
        <v>0</v>
      </c>
    </row>
    <row r="61" spans="1:7" ht="20.149999999999999" customHeight="1" x14ac:dyDescent="0.45">
      <c r="A61" s="11">
        <v>53</v>
      </c>
      <c r="B61" s="184" t="s">
        <v>270</v>
      </c>
      <c r="C61" s="144" t="s">
        <v>198</v>
      </c>
      <c r="D61" s="144"/>
      <c r="E61" s="144"/>
      <c r="F61" s="144"/>
      <c r="G61" s="100">
        <f t="shared" si="4"/>
        <v>0</v>
      </c>
    </row>
    <row r="62" spans="1:7" ht="20.149999999999999" customHeight="1" x14ac:dyDescent="0.45">
      <c r="A62" s="11">
        <v>54</v>
      </c>
      <c r="B62" s="184" t="s">
        <v>360</v>
      </c>
      <c r="C62" s="144" t="s">
        <v>6</v>
      </c>
      <c r="D62" s="144"/>
      <c r="E62" s="144"/>
      <c r="F62" s="144"/>
      <c r="G62" s="100">
        <f t="shared" si="4"/>
        <v>0</v>
      </c>
    </row>
    <row r="63" spans="1:7" x14ac:dyDescent="0.45">
      <c r="A63" s="11">
        <v>55</v>
      </c>
      <c r="B63" s="184" t="s">
        <v>197</v>
      </c>
      <c r="C63" s="144" t="s">
        <v>6</v>
      </c>
      <c r="D63" s="144"/>
      <c r="E63" s="144"/>
      <c r="F63" s="144"/>
      <c r="G63" s="100">
        <f t="shared" si="4"/>
        <v>0</v>
      </c>
    </row>
    <row r="64" spans="1:7" ht="20.149999999999999" customHeight="1" x14ac:dyDescent="0.45">
      <c r="A64" s="11">
        <v>56</v>
      </c>
      <c r="B64" s="184"/>
      <c r="C64" s="144"/>
      <c r="D64" s="144"/>
      <c r="E64" s="144"/>
      <c r="F64" s="144"/>
      <c r="G64" s="100">
        <f t="shared" si="4"/>
        <v>0</v>
      </c>
    </row>
    <row r="65" spans="1:7" ht="20.149999999999999" customHeight="1" x14ac:dyDescent="0.45">
      <c r="A65" s="11">
        <v>57</v>
      </c>
      <c r="B65" s="184"/>
      <c r="C65" s="144"/>
      <c r="D65" s="144"/>
      <c r="E65" s="144"/>
      <c r="F65" s="144"/>
      <c r="G65" s="100">
        <f t="shared" si="4"/>
        <v>0</v>
      </c>
    </row>
    <row r="66" spans="1:7" ht="20.149999999999999" customHeight="1" x14ac:dyDescent="0.45">
      <c r="A66" s="11">
        <v>58</v>
      </c>
      <c r="B66" s="184"/>
      <c r="C66" s="144"/>
      <c r="D66" s="144"/>
      <c r="E66" s="144"/>
      <c r="F66" s="144"/>
      <c r="G66" s="100">
        <f t="shared" si="4"/>
        <v>0</v>
      </c>
    </row>
    <row r="67" spans="1:7" ht="20.149999999999999" customHeight="1" x14ac:dyDescent="0.45">
      <c r="A67" s="187">
        <v>59</v>
      </c>
      <c r="B67" s="189" t="s">
        <v>199</v>
      </c>
      <c r="C67" s="146"/>
      <c r="D67" s="146"/>
      <c r="E67" s="146"/>
      <c r="F67" s="146"/>
      <c r="G67" s="146"/>
    </row>
    <row r="68" spans="1:7" ht="20.149999999999999" customHeight="1" x14ac:dyDescent="0.45">
      <c r="A68" s="11">
        <v>60</v>
      </c>
      <c r="B68" s="184" t="s">
        <v>367</v>
      </c>
      <c r="C68" s="144" t="s">
        <v>363</v>
      </c>
      <c r="D68" s="144"/>
      <c r="E68" s="144"/>
      <c r="F68" s="144"/>
      <c r="G68" s="100">
        <f t="shared" ref="G68:G91" si="5">SUM(D68:F68)</f>
        <v>0</v>
      </c>
    </row>
    <row r="69" spans="1:7" ht="20.149999999999999" customHeight="1" x14ac:dyDescent="0.45">
      <c r="A69" s="11">
        <v>61</v>
      </c>
      <c r="B69" s="184" t="s">
        <v>302</v>
      </c>
      <c r="C69" s="144" t="s">
        <v>294</v>
      </c>
      <c r="D69" s="144"/>
      <c r="E69" s="144"/>
      <c r="F69" s="144"/>
      <c r="G69" s="100">
        <f t="shared" si="5"/>
        <v>0</v>
      </c>
    </row>
    <row r="70" spans="1:7" x14ac:dyDescent="0.45">
      <c r="A70" s="11">
        <v>62</v>
      </c>
      <c r="B70" s="184" t="s">
        <v>364</v>
      </c>
      <c r="C70" s="144" t="s">
        <v>6</v>
      </c>
      <c r="D70" s="144"/>
      <c r="E70" s="144"/>
      <c r="F70" s="144"/>
      <c r="G70" s="100">
        <f t="shared" si="5"/>
        <v>0</v>
      </c>
    </row>
    <row r="71" spans="1:7" ht="20.149999999999999" customHeight="1" x14ac:dyDescent="0.45">
      <c r="A71" s="11">
        <v>63</v>
      </c>
      <c r="B71" s="184" t="s">
        <v>307</v>
      </c>
      <c r="C71" s="144" t="s">
        <v>6</v>
      </c>
      <c r="D71" s="144"/>
      <c r="E71" s="144"/>
      <c r="F71" s="144"/>
      <c r="G71" s="100">
        <f t="shared" si="5"/>
        <v>0</v>
      </c>
    </row>
    <row r="72" spans="1:7" ht="20.149999999999999" customHeight="1" x14ac:dyDescent="0.45">
      <c r="A72" s="11">
        <v>64</v>
      </c>
      <c r="B72" s="184" t="s">
        <v>366</v>
      </c>
      <c r="C72" s="144" t="s">
        <v>6</v>
      </c>
      <c r="D72" s="144"/>
      <c r="E72" s="144"/>
      <c r="F72" s="144"/>
      <c r="G72" s="100">
        <f t="shared" si="5"/>
        <v>0</v>
      </c>
    </row>
    <row r="73" spans="1:7" x14ac:dyDescent="0.45">
      <c r="A73" s="11">
        <v>65</v>
      </c>
      <c r="B73" s="184" t="s">
        <v>362</v>
      </c>
      <c r="C73" s="144" t="s">
        <v>363</v>
      </c>
      <c r="D73" s="144"/>
      <c r="E73" s="144"/>
      <c r="F73" s="144"/>
      <c r="G73" s="100">
        <f t="shared" si="5"/>
        <v>0</v>
      </c>
    </row>
    <row r="74" spans="1:7" x14ac:dyDescent="0.45">
      <c r="A74" s="11">
        <v>66</v>
      </c>
      <c r="B74" s="184" t="s">
        <v>368</v>
      </c>
      <c r="C74" s="144" t="s">
        <v>363</v>
      </c>
      <c r="D74" s="144"/>
      <c r="E74" s="144"/>
      <c r="F74" s="144"/>
      <c r="G74" s="100">
        <f t="shared" si="5"/>
        <v>0</v>
      </c>
    </row>
    <row r="75" spans="1:7" x14ac:dyDescent="0.45">
      <c r="A75" s="11">
        <v>67</v>
      </c>
      <c r="B75" s="178" t="s">
        <v>370</v>
      </c>
      <c r="C75" s="144" t="s">
        <v>363</v>
      </c>
      <c r="D75" s="144"/>
      <c r="E75" s="144"/>
      <c r="F75" s="144"/>
      <c r="G75" s="100">
        <f t="shared" si="5"/>
        <v>0</v>
      </c>
    </row>
    <row r="76" spans="1:7" ht="20.149999999999999" customHeight="1" x14ac:dyDescent="0.45">
      <c r="A76" s="11">
        <v>68</v>
      </c>
      <c r="B76" s="178" t="s">
        <v>369</v>
      </c>
      <c r="C76" s="144" t="s">
        <v>363</v>
      </c>
      <c r="D76" s="144"/>
      <c r="E76" s="144"/>
      <c r="F76" s="144"/>
      <c r="G76" s="100">
        <f t="shared" si="5"/>
        <v>0</v>
      </c>
    </row>
    <row r="77" spans="1:7" ht="20.149999999999999" customHeight="1" x14ac:dyDescent="0.45">
      <c r="A77" s="11">
        <v>69</v>
      </c>
      <c r="B77" s="183" t="s">
        <v>200</v>
      </c>
      <c r="C77" s="144" t="s">
        <v>201</v>
      </c>
      <c r="D77" s="144"/>
      <c r="E77" s="144"/>
      <c r="F77" s="144"/>
      <c r="G77" s="100">
        <f>SUM(D77:F77)</f>
        <v>0</v>
      </c>
    </row>
    <row r="78" spans="1:7" ht="20.149999999999999" customHeight="1" x14ac:dyDescent="0.45">
      <c r="A78" s="11">
        <v>70</v>
      </c>
      <c r="B78" s="178" t="s">
        <v>279</v>
      </c>
      <c r="C78" s="144" t="s">
        <v>201</v>
      </c>
      <c r="D78" s="144"/>
      <c r="E78" s="144"/>
      <c r="F78" s="144"/>
      <c r="G78" s="100">
        <f t="shared" si="5"/>
        <v>0</v>
      </c>
    </row>
    <row r="79" spans="1:7" ht="20.149999999999999" customHeight="1" x14ac:dyDescent="0.45">
      <c r="A79" s="11">
        <v>71</v>
      </c>
      <c r="B79" s="183" t="s">
        <v>365</v>
      </c>
      <c r="C79" s="144" t="s">
        <v>6</v>
      </c>
      <c r="D79" s="144"/>
      <c r="E79" s="144"/>
      <c r="F79" s="144"/>
      <c r="G79" s="100">
        <f t="shared" si="5"/>
        <v>0</v>
      </c>
    </row>
    <row r="80" spans="1:7" ht="20.149999999999999" customHeight="1" x14ac:dyDescent="0.45">
      <c r="A80" s="11">
        <v>72</v>
      </c>
      <c r="B80" s="183" t="s">
        <v>271</v>
      </c>
      <c r="C80" s="144" t="s">
        <v>204</v>
      </c>
      <c r="D80" s="144"/>
      <c r="E80" s="144"/>
      <c r="F80" s="144"/>
      <c r="G80" s="100">
        <f t="shared" si="5"/>
        <v>0</v>
      </c>
    </row>
    <row r="81" spans="1:9" ht="20.149999999999999" customHeight="1" x14ac:dyDescent="0.45">
      <c r="A81" s="11">
        <v>73</v>
      </c>
      <c r="B81" s="182" t="s">
        <v>306</v>
      </c>
      <c r="C81" s="144" t="s">
        <v>48</v>
      </c>
      <c r="D81" s="144"/>
      <c r="E81" s="144"/>
      <c r="F81" s="144"/>
      <c r="G81" s="100">
        <f t="shared" si="5"/>
        <v>0</v>
      </c>
    </row>
    <row r="82" spans="1:9" ht="20.149999999999999" customHeight="1" x14ac:dyDescent="0.45">
      <c r="A82" s="11">
        <v>74</v>
      </c>
      <c r="B82" s="178" t="s">
        <v>396</v>
      </c>
      <c r="C82" s="144" t="s">
        <v>33</v>
      </c>
      <c r="D82" s="144"/>
      <c r="E82" s="144"/>
      <c r="F82" s="144"/>
      <c r="G82" s="100">
        <f t="shared" si="5"/>
        <v>0</v>
      </c>
    </row>
    <row r="83" spans="1:9" ht="20.149999999999999" customHeight="1" x14ac:dyDescent="0.45">
      <c r="A83" s="11">
        <v>75</v>
      </c>
      <c r="B83" s="183" t="s">
        <v>432</v>
      </c>
      <c r="C83" s="144" t="s">
        <v>6</v>
      </c>
      <c r="D83" s="144"/>
      <c r="E83" s="144"/>
      <c r="F83" s="144"/>
      <c r="G83" s="100">
        <f t="shared" si="5"/>
        <v>0</v>
      </c>
    </row>
    <row r="84" spans="1:9" ht="20.149999999999999" customHeight="1" x14ac:dyDescent="0.45">
      <c r="A84" s="11">
        <v>76</v>
      </c>
      <c r="B84" s="183" t="s">
        <v>305</v>
      </c>
      <c r="C84" s="144" t="s">
        <v>6</v>
      </c>
      <c r="D84" s="144"/>
      <c r="E84" s="144"/>
      <c r="F84" s="144"/>
      <c r="G84" s="100">
        <f t="shared" si="5"/>
        <v>0</v>
      </c>
      <c r="I84" s="68">
        <f>2.5/2</f>
        <v>1.25</v>
      </c>
    </row>
    <row r="85" spans="1:9" ht="20.149999999999999" customHeight="1" x14ac:dyDescent="0.45">
      <c r="A85" s="11">
        <v>77</v>
      </c>
      <c r="B85" s="183" t="s">
        <v>303</v>
      </c>
      <c r="C85" s="144" t="s">
        <v>6</v>
      </c>
      <c r="D85" s="144"/>
      <c r="E85" s="144"/>
      <c r="F85" s="144"/>
      <c r="G85" s="100">
        <f t="shared" si="5"/>
        <v>0</v>
      </c>
    </row>
    <row r="86" spans="1:9" ht="20.149999999999999" customHeight="1" x14ac:dyDescent="0.45">
      <c r="A86" s="11">
        <v>78</v>
      </c>
      <c r="B86" s="178" t="s">
        <v>304</v>
      </c>
      <c r="C86" s="144" t="s">
        <v>182</v>
      </c>
      <c r="D86" s="144"/>
      <c r="E86" s="144"/>
      <c r="F86" s="144"/>
      <c r="G86" s="100">
        <f t="shared" si="5"/>
        <v>0</v>
      </c>
    </row>
    <row r="87" spans="1:9" ht="20.149999999999999" customHeight="1" x14ac:dyDescent="0.45">
      <c r="A87" s="11">
        <v>79</v>
      </c>
      <c r="B87" s="178" t="s">
        <v>202</v>
      </c>
      <c r="C87" s="144" t="s">
        <v>201</v>
      </c>
      <c r="D87" s="144"/>
      <c r="E87" s="144"/>
      <c r="F87" s="144"/>
      <c r="G87" s="100">
        <f t="shared" si="5"/>
        <v>0</v>
      </c>
    </row>
    <row r="88" spans="1:9" ht="20.149999999999999" customHeight="1" x14ac:dyDescent="0.45">
      <c r="A88" s="11">
        <v>80</v>
      </c>
      <c r="B88" s="178" t="s">
        <v>433</v>
      </c>
      <c r="C88" s="144" t="s">
        <v>203</v>
      </c>
      <c r="D88" s="144"/>
      <c r="E88" s="144"/>
      <c r="F88" s="144"/>
      <c r="G88" s="100">
        <f t="shared" si="5"/>
        <v>0</v>
      </c>
    </row>
    <row r="89" spans="1:9" ht="20.149999999999999" customHeight="1" x14ac:dyDescent="0.45">
      <c r="A89" s="11">
        <v>81</v>
      </c>
      <c r="B89" s="178"/>
      <c r="C89" s="144"/>
      <c r="D89" s="144"/>
      <c r="E89" s="144"/>
      <c r="F89" s="144"/>
      <c r="G89" s="100">
        <f t="shared" si="5"/>
        <v>0</v>
      </c>
    </row>
    <row r="90" spans="1:9" ht="20.149999999999999" customHeight="1" x14ac:dyDescent="0.45">
      <c r="A90" s="11">
        <v>82</v>
      </c>
      <c r="B90" s="178"/>
      <c r="C90" s="144"/>
      <c r="D90" s="144"/>
      <c r="E90" s="144"/>
      <c r="F90" s="144"/>
      <c r="G90" s="100">
        <f t="shared" si="5"/>
        <v>0</v>
      </c>
    </row>
    <row r="91" spans="1:9" ht="20.149999999999999" customHeight="1" x14ac:dyDescent="0.45">
      <c r="A91" s="11">
        <v>83</v>
      </c>
      <c r="B91" s="178"/>
      <c r="C91" s="144"/>
      <c r="D91" s="144"/>
      <c r="E91" s="144"/>
      <c r="F91" s="144"/>
      <c r="G91" s="100">
        <f t="shared" si="5"/>
        <v>0</v>
      </c>
    </row>
    <row r="92" spans="1:9" ht="20.149999999999999" customHeight="1" x14ac:dyDescent="0.45">
      <c r="A92" s="187">
        <v>84</v>
      </c>
      <c r="B92" s="190" t="s">
        <v>205</v>
      </c>
      <c r="C92" s="146"/>
      <c r="D92" s="146"/>
      <c r="E92" s="146"/>
      <c r="F92" s="146"/>
      <c r="G92" s="146"/>
    </row>
    <row r="93" spans="1:9" ht="20.149999999999999" customHeight="1" x14ac:dyDescent="0.45">
      <c r="A93" s="11">
        <v>85</v>
      </c>
      <c r="B93" s="184" t="s">
        <v>206</v>
      </c>
      <c r="C93" s="144" t="s">
        <v>177</v>
      </c>
      <c r="D93" s="144">
        <v>200</v>
      </c>
      <c r="E93" s="144"/>
      <c r="F93" s="144"/>
      <c r="G93" s="100">
        <f t="shared" ref="G93:G98" si="6">SUM(D93:F93)</f>
        <v>200</v>
      </c>
    </row>
    <row r="94" spans="1:9" ht="20.149999999999999" customHeight="1" x14ac:dyDescent="0.45">
      <c r="A94" s="11">
        <v>86</v>
      </c>
      <c r="B94" s="178" t="s">
        <v>257</v>
      </c>
      <c r="C94" s="144" t="s">
        <v>48</v>
      </c>
      <c r="D94" s="144"/>
      <c r="E94" s="144"/>
      <c r="F94" s="144"/>
      <c r="G94" s="100">
        <f t="shared" si="6"/>
        <v>0</v>
      </c>
    </row>
    <row r="95" spans="1:9" ht="20.149999999999999" customHeight="1" x14ac:dyDescent="0.45">
      <c r="A95" s="11">
        <v>87</v>
      </c>
      <c r="B95" s="184" t="s">
        <v>272</v>
      </c>
      <c r="C95" s="144" t="s">
        <v>198</v>
      </c>
      <c r="D95" s="144"/>
      <c r="E95" s="144"/>
      <c r="F95" s="144"/>
      <c r="G95" s="100">
        <f t="shared" si="6"/>
        <v>0</v>
      </c>
    </row>
    <row r="96" spans="1:9" ht="20.149999999999999" customHeight="1" x14ac:dyDescent="0.45">
      <c r="A96" s="11">
        <v>88</v>
      </c>
      <c r="B96" s="180"/>
      <c r="C96" s="144"/>
      <c r="D96" s="144"/>
      <c r="E96" s="144"/>
      <c r="F96" s="144"/>
      <c r="G96" s="100">
        <f t="shared" si="6"/>
        <v>0</v>
      </c>
    </row>
    <row r="97" spans="1:7" ht="20.149999999999999" customHeight="1" x14ac:dyDescent="0.45">
      <c r="A97" s="11">
        <v>89</v>
      </c>
      <c r="B97" s="185"/>
      <c r="C97" s="144"/>
      <c r="D97" s="144"/>
      <c r="E97" s="144"/>
      <c r="F97" s="144"/>
      <c r="G97" s="100">
        <f t="shared" si="6"/>
        <v>0</v>
      </c>
    </row>
    <row r="98" spans="1:7" ht="20.149999999999999" customHeight="1" x14ac:dyDescent="0.45">
      <c r="A98" s="11">
        <v>90</v>
      </c>
      <c r="B98" s="185"/>
      <c r="C98" s="144"/>
      <c r="D98" s="144"/>
      <c r="E98" s="144"/>
      <c r="F98" s="144"/>
      <c r="G98" s="100">
        <f t="shared" si="6"/>
        <v>0</v>
      </c>
    </row>
    <row r="99" spans="1:7" ht="20.149999999999999" customHeight="1" x14ac:dyDescent="0.45">
      <c r="A99" s="187">
        <v>91</v>
      </c>
      <c r="B99" s="189" t="s">
        <v>207</v>
      </c>
      <c r="C99" s="146"/>
      <c r="D99" s="146"/>
      <c r="E99" s="146"/>
      <c r="F99" s="146"/>
      <c r="G99" s="146"/>
    </row>
    <row r="100" spans="1:7" ht="20.149999999999999" customHeight="1" x14ac:dyDescent="0.45">
      <c r="A100" s="11">
        <v>92</v>
      </c>
      <c r="B100" s="186" t="s">
        <v>208</v>
      </c>
      <c r="C100" s="144" t="s">
        <v>209</v>
      </c>
      <c r="D100" s="144"/>
      <c r="E100" s="144"/>
      <c r="F100" s="144"/>
      <c r="G100" s="100">
        <f>SUM(D100:F100)</f>
        <v>0</v>
      </c>
    </row>
    <row r="101" spans="1:7" ht="20.149999999999999" customHeight="1" x14ac:dyDescent="0.45">
      <c r="A101" s="11">
        <v>93</v>
      </c>
      <c r="B101" s="184" t="s">
        <v>286</v>
      </c>
      <c r="C101" s="144" t="s">
        <v>209</v>
      </c>
      <c r="D101" s="144"/>
      <c r="E101" s="144"/>
      <c r="F101" s="144"/>
      <c r="G101" s="100">
        <f>SUM(D101:F101)</f>
        <v>0</v>
      </c>
    </row>
    <row r="102" spans="1:7" ht="20.149999999999999" customHeight="1" x14ac:dyDescent="0.45">
      <c r="A102" s="11">
        <v>94</v>
      </c>
      <c r="B102" s="184"/>
      <c r="C102" s="144"/>
      <c r="D102" s="144"/>
      <c r="E102" s="144"/>
      <c r="F102" s="144"/>
      <c r="G102" s="100">
        <f>SUM(D102:F102)</f>
        <v>0</v>
      </c>
    </row>
    <row r="103" spans="1:7" ht="20.149999999999999" customHeight="1" x14ac:dyDescent="0.45">
      <c r="A103" s="11">
        <v>95</v>
      </c>
      <c r="B103" s="184"/>
      <c r="C103" s="144"/>
      <c r="D103" s="144"/>
      <c r="E103" s="144"/>
      <c r="F103" s="144"/>
      <c r="G103" s="100">
        <f>SUM(D103:F103)</f>
        <v>0</v>
      </c>
    </row>
    <row r="104" spans="1:7" ht="20.149999999999999" customHeight="1" x14ac:dyDescent="0.45">
      <c r="A104" s="11">
        <v>96</v>
      </c>
      <c r="B104" s="180"/>
      <c r="C104" s="144"/>
      <c r="D104" s="144"/>
      <c r="E104" s="144"/>
      <c r="F104" s="144"/>
      <c r="G104" s="100">
        <f>SUM(D104:F104)</f>
        <v>0</v>
      </c>
    </row>
    <row r="105" spans="1:7" ht="20.149999999999999" customHeight="1" x14ac:dyDescent="0.45">
      <c r="A105" s="187">
        <v>97</v>
      </c>
      <c r="B105" s="191" t="s">
        <v>210</v>
      </c>
      <c r="C105" s="146"/>
      <c r="D105" s="146"/>
      <c r="E105" s="146"/>
      <c r="F105" s="146"/>
      <c r="G105" s="146"/>
    </row>
    <row r="106" spans="1:7" x14ac:dyDescent="0.45">
      <c r="A106" s="11">
        <v>98</v>
      </c>
      <c r="B106" s="180" t="s">
        <v>213</v>
      </c>
      <c r="C106" s="144" t="s">
        <v>212</v>
      </c>
      <c r="D106" s="144"/>
      <c r="E106" s="144"/>
      <c r="F106" s="144"/>
      <c r="G106" s="100">
        <f t="shared" ref="G106:G112" si="7">SUM(D106:F106)</f>
        <v>0</v>
      </c>
    </row>
    <row r="107" spans="1:7" ht="20.149999999999999" customHeight="1" x14ac:dyDescent="0.45">
      <c r="A107" s="11">
        <v>99</v>
      </c>
      <c r="B107" s="184" t="s">
        <v>211</v>
      </c>
      <c r="C107" s="144" t="s">
        <v>212</v>
      </c>
      <c r="D107" s="144"/>
      <c r="E107" s="144"/>
      <c r="F107" s="144"/>
      <c r="G107" s="100">
        <f t="shared" si="7"/>
        <v>0</v>
      </c>
    </row>
    <row r="108" spans="1:7" ht="20.149999999999999" customHeight="1" x14ac:dyDescent="0.45">
      <c r="A108" s="11">
        <v>100</v>
      </c>
      <c r="B108" s="180" t="s">
        <v>214</v>
      </c>
      <c r="C108" s="144" t="s">
        <v>212</v>
      </c>
      <c r="D108" s="144"/>
      <c r="E108" s="144"/>
      <c r="F108" s="144"/>
      <c r="G108" s="100">
        <f t="shared" si="7"/>
        <v>0</v>
      </c>
    </row>
    <row r="109" spans="1:7" ht="20.149999999999999" customHeight="1" x14ac:dyDescent="0.45">
      <c r="A109" s="11">
        <v>101</v>
      </c>
      <c r="B109" s="180" t="s">
        <v>215</v>
      </c>
      <c r="C109" s="144" t="s">
        <v>212</v>
      </c>
      <c r="D109" s="144"/>
      <c r="E109" s="144"/>
      <c r="F109" s="144"/>
      <c r="G109" s="100">
        <f t="shared" si="7"/>
        <v>0</v>
      </c>
    </row>
    <row r="110" spans="1:7" x14ac:dyDescent="0.45">
      <c r="A110" s="11">
        <v>102</v>
      </c>
      <c r="B110" s="180"/>
      <c r="C110" s="144"/>
      <c r="D110" s="144"/>
      <c r="E110" s="144"/>
      <c r="F110" s="144"/>
      <c r="G110" s="100">
        <f t="shared" si="7"/>
        <v>0</v>
      </c>
    </row>
    <row r="111" spans="1:7" x14ac:dyDescent="0.45">
      <c r="A111" s="11">
        <v>103</v>
      </c>
      <c r="B111" s="180"/>
      <c r="C111" s="144"/>
      <c r="D111" s="144"/>
      <c r="E111" s="144"/>
      <c r="F111" s="144"/>
      <c r="G111" s="100">
        <f t="shared" si="7"/>
        <v>0</v>
      </c>
    </row>
    <row r="112" spans="1:7" x14ac:dyDescent="0.45">
      <c r="A112" s="11">
        <v>104</v>
      </c>
      <c r="B112" s="180"/>
      <c r="C112" s="144"/>
      <c r="D112" s="144"/>
      <c r="E112" s="144"/>
      <c r="F112" s="144"/>
      <c r="G112" s="100">
        <f t="shared" si="7"/>
        <v>0</v>
      </c>
    </row>
    <row r="113" spans="1:7" x14ac:dyDescent="0.45">
      <c r="A113" s="187">
        <v>105</v>
      </c>
      <c r="B113" s="189" t="s">
        <v>216</v>
      </c>
      <c r="C113" s="146"/>
      <c r="D113" s="146"/>
      <c r="E113" s="146"/>
      <c r="F113" s="146"/>
      <c r="G113" s="146"/>
    </row>
    <row r="114" spans="1:7" x14ac:dyDescent="0.45">
      <c r="A114" s="11">
        <v>106</v>
      </c>
      <c r="B114" s="184" t="s">
        <v>397</v>
      </c>
      <c r="C114" s="144" t="s">
        <v>48</v>
      </c>
      <c r="D114" s="144"/>
      <c r="E114" s="144"/>
      <c r="F114" s="144"/>
      <c r="G114" s="100">
        <f t="shared" ref="G114:G148" si="8">SUM(D114:F114)</f>
        <v>0</v>
      </c>
    </row>
    <row r="115" spans="1:7" x14ac:dyDescent="0.45">
      <c r="A115" s="11">
        <v>107</v>
      </c>
      <c r="B115" s="184" t="s">
        <v>398</v>
      </c>
      <c r="C115" s="144" t="s">
        <v>48</v>
      </c>
      <c r="D115" s="144"/>
      <c r="E115" s="144"/>
      <c r="F115" s="144"/>
      <c r="G115" s="100">
        <f t="shared" si="8"/>
        <v>0</v>
      </c>
    </row>
    <row r="116" spans="1:7" x14ac:dyDescent="0.45">
      <c r="A116" s="11">
        <v>108</v>
      </c>
      <c r="B116" s="184" t="s">
        <v>295</v>
      </c>
      <c r="C116" s="144" t="s">
        <v>201</v>
      </c>
      <c r="D116" s="144"/>
      <c r="E116" s="144"/>
      <c r="F116" s="144"/>
      <c r="G116" s="100">
        <f t="shared" si="8"/>
        <v>0</v>
      </c>
    </row>
    <row r="117" spans="1:7" x14ac:dyDescent="0.45">
      <c r="A117" s="11">
        <v>109</v>
      </c>
      <c r="B117" s="184" t="s">
        <v>296</v>
      </c>
      <c r="C117" s="144" t="s">
        <v>201</v>
      </c>
      <c r="D117" s="144"/>
      <c r="E117" s="144"/>
      <c r="F117" s="144"/>
      <c r="G117" s="100">
        <f t="shared" si="8"/>
        <v>0</v>
      </c>
    </row>
    <row r="118" spans="1:7" x14ac:dyDescent="0.45">
      <c r="A118" s="11">
        <v>110</v>
      </c>
      <c r="B118" s="184" t="s">
        <v>374</v>
      </c>
      <c r="C118" s="144" t="s">
        <v>6</v>
      </c>
      <c r="D118" s="144"/>
      <c r="E118" s="144"/>
      <c r="F118" s="144"/>
      <c r="G118" s="100">
        <f t="shared" si="8"/>
        <v>0</v>
      </c>
    </row>
    <row r="119" spans="1:7" x14ac:dyDescent="0.45">
      <c r="A119" s="11">
        <v>111</v>
      </c>
      <c r="B119" s="184" t="s">
        <v>399</v>
      </c>
      <c r="C119" s="144" t="s">
        <v>289</v>
      </c>
      <c r="D119" s="144"/>
      <c r="E119" s="144"/>
      <c r="F119" s="144"/>
      <c r="G119" s="100">
        <f t="shared" si="8"/>
        <v>0</v>
      </c>
    </row>
    <row r="120" spans="1:7" x14ac:dyDescent="0.45">
      <c r="A120" s="11">
        <v>112</v>
      </c>
      <c r="B120" s="184" t="s">
        <v>400</v>
      </c>
      <c r="C120" s="144" t="s">
        <v>273</v>
      </c>
      <c r="D120" s="144"/>
      <c r="E120" s="144"/>
      <c r="F120" s="144"/>
      <c r="G120" s="100">
        <f t="shared" si="8"/>
        <v>0</v>
      </c>
    </row>
    <row r="121" spans="1:7" x14ac:dyDescent="0.45">
      <c r="A121" s="11">
        <v>113</v>
      </c>
      <c r="B121" s="184" t="s">
        <v>373</v>
      </c>
      <c r="C121" s="144" t="s">
        <v>6</v>
      </c>
      <c r="D121" s="144"/>
      <c r="E121" s="144"/>
      <c r="F121" s="144"/>
      <c r="G121" s="100">
        <f t="shared" si="8"/>
        <v>0</v>
      </c>
    </row>
    <row r="122" spans="1:7" x14ac:dyDescent="0.45">
      <c r="A122" s="11">
        <v>114</v>
      </c>
      <c r="B122" s="184" t="s">
        <v>378</v>
      </c>
      <c r="C122" s="144" t="s">
        <v>4</v>
      </c>
      <c r="D122" s="144"/>
      <c r="E122" s="144"/>
      <c r="F122" s="144"/>
      <c r="G122" s="100">
        <f t="shared" si="8"/>
        <v>0</v>
      </c>
    </row>
    <row r="123" spans="1:7" x14ac:dyDescent="0.45">
      <c r="A123" s="11">
        <v>115</v>
      </c>
      <c r="B123" s="184" t="s">
        <v>301</v>
      </c>
      <c r="C123" s="144" t="s">
        <v>6</v>
      </c>
      <c r="D123" s="144"/>
      <c r="E123" s="144"/>
      <c r="F123" s="144"/>
      <c r="G123" s="100">
        <f t="shared" si="8"/>
        <v>0</v>
      </c>
    </row>
    <row r="124" spans="1:7" x14ac:dyDescent="0.45">
      <c r="A124" s="11">
        <v>116</v>
      </c>
      <c r="B124" s="184" t="s">
        <v>375</v>
      </c>
      <c r="C124" s="144" t="s">
        <v>212</v>
      </c>
      <c r="D124" s="144"/>
      <c r="E124" s="144"/>
      <c r="F124" s="144"/>
      <c r="G124" s="100">
        <f t="shared" si="8"/>
        <v>0</v>
      </c>
    </row>
    <row r="125" spans="1:7" x14ac:dyDescent="0.45">
      <c r="A125" s="11">
        <v>117</v>
      </c>
      <c r="B125" s="180" t="s">
        <v>297</v>
      </c>
      <c r="C125" s="144" t="s">
        <v>6</v>
      </c>
      <c r="D125" s="144"/>
      <c r="E125" s="144"/>
      <c r="F125" s="144"/>
      <c r="G125" s="100">
        <f t="shared" si="8"/>
        <v>0</v>
      </c>
    </row>
    <row r="126" spans="1:7" x14ac:dyDescent="0.45">
      <c r="A126" s="11">
        <v>118</v>
      </c>
      <c r="B126" s="178" t="s">
        <v>290</v>
      </c>
      <c r="C126" s="144" t="s">
        <v>274</v>
      </c>
      <c r="D126" s="144"/>
      <c r="E126" s="144"/>
      <c r="F126" s="144"/>
      <c r="G126" s="100">
        <f t="shared" si="8"/>
        <v>0</v>
      </c>
    </row>
    <row r="127" spans="1:7" x14ac:dyDescent="0.45">
      <c r="A127" s="11">
        <v>119</v>
      </c>
      <c r="B127" s="184" t="s">
        <v>292</v>
      </c>
      <c r="C127" s="144" t="s">
        <v>293</v>
      </c>
      <c r="D127" s="144"/>
      <c r="E127" s="144"/>
      <c r="F127" s="144"/>
      <c r="G127" s="100">
        <f t="shared" si="8"/>
        <v>0</v>
      </c>
    </row>
    <row r="128" spans="1:7" x14ac:dyDescent="0.45">
      <c r="A128" s="11">
        <v>120</v>
      </c>
      <c r="B128" s="184" t="s">
        <v>376</v>
      </c>
      <c r="C128" s="144" t="s">
        <v>108</v>
      </c>
      <c r="D128" s="144"/>
      <c r="E128" s="144"/>
      <c r="F128" s="144"/>
      <c r="G128" s="100">
        <f t="shared" si="8"/>
        <v>0</v>
      </c>
    </row>
    <row r="129" spans="1:7" x14ac:dyDescent="0.45">
      <c r="A129" s="11">
        <v>121</v>
      </c>
      <c r="B129" s="184" t="s">
        <v>298</v>
      </c>
      <c r="C129" s="144" t="s">
        <v>299</v>
      </c>
      <c r="D129" s="144"/>
      <c r="E129" s="144"/>
      <c r="F129" s="144"/>
      <c r="G129" s="100">
        <f t="shared" si="8"/>
        <v>0</v>
      </c>
    </row>
    <row r="130" spans="1:7" x14ac:dyDescent="0.45">
      <c r="A130" s="11">
        <v>122</v>
      </c>
      <c r="B130" s="184" t="s">
        <v>401</v>
      </c>
      <c r="C130" s="179" t="s">
        <v>274</v>
      </c>
      <c r="D130" s="147">
        <v>1</v>
      </c>
      <c r="E130" s="147"/>
      <c r="F130" s="147"/>
      <c r="G130" s="100">
        <f t="shared" si="8"/>
        <v>1</v>
      </c>
    </row>
    <row r="131" spans="1:7" x14ac:dyDescent="0.45">
      <c r="A131" s="11">
        <v>123</v>
      </c>
      <c r="B131" s="184" t="s">
        <v>300</v>
      </c>
      <c r="C131" s="179" t="s">
        <v>6</v>
      </c>
      <c r="D131" s="147"/>
      <c r="E131" s="147"/>
      <c r="F131" s="147"/>
      <c r="G131" s="100">
        <f t="shared" si="8"/>
        <v>0</v>
      </c>
    </row>
    <row r="132" spans="1:7" x14ac:dyDescent="0.45">
      <c r="A132" s="11">
        <v>124</v>
      </c>
      <c r="B132" s="184" t="s">
        <v>402</v>
      </c>
      <c r="C132" s="179" t="s">
        <v>203</v>
      </c>
      <c r="D132" s="244"/>
      <c r="E132" s="244"/>
      <c r="F132" s="244"/>
      <c r="G132" s="100">
        <f t="shared" si="8"/>
        <v>0</v>
      </c>
    </row>
    <row r="133" spans="1:7" x14ac:dyDescent="0.45">
      <c r="A133" s="11">
        <v>125</v>
      </c>
      <c r="B133" s="184" t="s">
        <v>403</v>
      </c>
      <c r="C133" s="179" t="s">
        <v>203</v>
      </c>
      <c r="D133" s="60"/>
      <c r="E133" s="60"/>
      <c r="F133" s="60"/>
      <c r="G133" s="100">
        <f t="shared" si="8"/>
        <v>0</v>
      </c>
    </row>
    <row r="134" spans="1:7" x14ac:dyDescent="0.45">
      <c r="A134" s="11">
        <v>126</v>
      </c>
      <c r="B134" s="184" t="s">
        <v>404</v>
      </c>
      <c r="C134" s="179" t="s">
        <v>294</v>
      </c>
      <c r="D134" s="60"/>
      <c r="E134" s="60"/>
      <c r="F134" s="60"/>
      <c r="G134" s="100">
        <f t="shared" si="8"/>
        <v>0</v>
      </c>
    </row>
    <row r="135" spans="1:7" x14ac:dyDescent="0.45">
      <c r="A135" s="11">
        <v>127</v>
      </c>
      <c r="B135" s="184" t="s">
        <v>372</v>
      </c>
      <c r="C135" s="179" t="s">
        <v>371</v>
      </c>
      <c r="D135" s="213"/>
      <c r="E135" s="213"/>
      <c r="F135" s="213"/>
      <c r="G135" s="100">
        <f t="shared" si="8"/>
        <v>0</v>
      </c>
    </row>
    <row r="136" spans="1:7" x14ac:dyDescent="0.45">
      <c r="A136" s="11">
        <v>128</v>
      </c>
      <c r="B136" s="184" t="s">
        <v>377</v>
      </c>
      <c r="C136" s="179" t="s">
        <v>212</v>
      </c>
      <c r="D136" s="60"/>
      <c r="E136" s="60"/>
      <c r="F136" s="60"/>
      <c r="G136" s="100">
        <f t="shared" si="8"/>
        <v>0</v>
      </c>
    </row>
    <row r="137" spans="1:7" ht="30" x14ac:dyDescent="0.45">
      <c r="A137" s="11">
        <v>129</v>
      </c>
      <c r="B137" s="180" t="s">
        <v>288</v>
      </c>
      <c r="C137" s="179" t="s">
        <v>273</v>
      </c>
      <c r="D137" s="244">
        <v>6</v>
      </c>
      <c r="E137" s="244"/>
      <c r="F137" s="244"/>
      <c r="G137" s="100">
        <f t="shared" si="8"/>
        <v>6</v>
      </c>
    </row>
    <row r="138" spans="1:7" ht="30" x14ac:dyDescent="0.45">
      <c r="A138" s="11">
        <v>130</v>
      </c>
      <c r="B138" s="180" t="s">
        <v>287</v>
      </c>
      <c r="C138" s="179" t="s">
        <v>274</v>
      </c>
      <c r="D138" s="60">
        <v>5</v>
      </c>
      <c r="E138" s="60"/>
      <c r="F138" s="60"/>
      <c r="G138" s="100">
        <f t="shared" si="8"/>
        <v>5</v>
      </c>
    </row>
    <row r="139" spans="1:7" x14ac:dyDescent="0.45">
      <c r="A139" s="11">
        <v>131</v>
      </c>
      <c r="B139" s="184" t="s">
        <v>291</v>
      </c>
      <c r="C139" s="179" t="s">
        <v>273</v>
      </c>
      <c r="D139" s="60"/>
      <c r="E139" s="60"/>
      <c r="F139" s="60"/>
      <c r="G139" s="100">
        <f t="shared" si="8"/>
        <v>0</v>
      </c>
    </row>
    <row r="140" spans="1:7" x14ac:dyDescent="0.45">
      <c r="A140" s="11">
        <v>132</v>
      </c>
      <c r="B140" s="184" t="s">
        <v>405</v>
      </c>
      <c r="C140" s="179" t="s">
        <v>203</v>
      </c>
      <c r="D140" s="60"/>
      <c r="E140" s="60"/>
      <c r="F140" s="60"/>
      <c r="G140" s="100">
        <f t="shared" si="8"/>
        <v>0</v>
      </c>
    </row>
    <row r="141" spans="1:7" x14ac:dyDescent="0.45">
      <c r="A141" s="11">
        <v>133</v>
      </c>
      <c r="B141" s="184" t="s">
        <v>406</v>
      </c>
      <c r="C141" s="179" t="s">
        <v>201</v>
      </c>
      <c r="D141" s="60"/>
      <c r="E141" s="60"/>
      <c r="F141" s="60"/>
      <c r="G141" s="100">
        <f t="shared" si="8"/>
        <v>0</v>
      </c>
    </row>
    <row r="142" spans="1:7" x14ac:dyDescent="0.45">
      <c r="A142" s="11">
        <v>134</v>
      </c>
      <c r="B142" s="184" t="s">
        <v>407</v>
      </c>
      <c r="C142" s="179" t="s">
        <v>273</v>
      </c>
      <c r="D142" s="60"/>
      <c r="E142" s="60"/>
      <c r="F142" s="60"/>
      <c r="G142" s="100">
        <f t="shared" si="8"/>
        <v>0</v>
      </c>
    </row>
    <row r="143" spans="1:7" x14ac:dyDescent="0.45">
      <c r="A143" s="11">
        <v>135</v>
      </c>
      <c r="B143" s="184" t="s">
        <v>408</v>
      </c>
      <c r="C143" s="179" t="s">
        <v>274</v>
      </c>
      <c r="D143" s="60">
        <v>1</v>
      </c>
      <c r="E143" s="60"/>
      <c r="F143" s="60"/>
      <c r="G143" s="100">
        <f t="shared" si="8"/>
        <v>1</v>
      </c>
    </row>
    <row r="144" spans="1:7" x14ac:dyDescent="0.45">
      <c r="A144" s="11">
        <v>136</v>
      </c>
      <c r="B144" s="184" t="s">
        <v>409</v>
      </c>
      <c r="C144" s="179" t="s">
        <v>48</v>
      </c>
      <c r="D144" s="60"/>
      <c r="E144" s="60"/>
      <c r="F144" s="60"/>
      <c r="G144" s="100">
        <f t="shared" si="8"/>
        <v>0</v>
      </c>
    </row>
    <row r="145" spans="1:7" x14ac:dyDescent="0.45">
      <c r="A145" s="11">
        <v>137</v>
      </c>
      <c r="B145" s="184" t="s">
        <v>434</v>
      </c>
      <c r="C145" s="179" t="s">
        <v>212</v>
      </c>
      <c r="D145" s="60"/>
      <c r="E145" s="60"/>
      <c r="F145" s="60"/>
      <c r="G145" s="100">
        <f t="shared" si="8"/>
        <v>0</v>
      </c>
    </row>
    <row r="146" spans="1:7" x14ac:dyDescent="0.45">
      <c r="A146" s="11">
        <v>138</v>
      </c>
      <c r="B146" s="184"/>
      <c r="C146" s="179"/>
      <c r="D146" s="60"/>
      <c r="E146" s="60"/>
      <c r="F146" s="60"/>
      <c r="G146" s="100">
        <f t="shared" si="8"/>
        <v>0</v>
      </c>
    </row>
    <row r="147" spans="1:7" x14ac:dyDescent="0.45">
      <c r="A147" s="11">
        <v>139</v>
      </c>
      <c r="B147" s="184"/>
      <c r="C147" s="179"/>
      <c r="D147" s="60"/>
      <c r="E147" s="60"/>
      <c r="F147" s="60"/>
      <c r="G147" s="100">
        <f t="shared" si="8"/>
        <v>0</v>
      </c>
    </row>
    <row r="148" spans="1:7" x14ac:dyDescent="0.45">
      <c r="A148" s="11">
        <v>140</v>
      </c>
      <c r="B148" s="184"/>
      <c r="C148" s="179"/>
      <c r="D148" s="60"/>
      <c r="E148" s="60"/>
      <c r="F148" s="60"/>
      <c r="G148" s="100">
        <f t="shared" si="8"/>
        <v>0</v>
      </c>
    </row>
    <row r="149" spans="1:7" x14ac:dyDescent="0.45">
      <c r="A149" s="187">
        <v>141</v>
      </c>
      <c r="B149" s="189" t="s">
        <v>275</v>
      </c>
      <c r="C149" s="146"/>
      <c r="D149" s="146"/>
      <c r="E149" s="146"/>
      <c r="F149" s="146"/>
      <c r="G149" s="146"/>
    </row>
    <row r="150" spans="1:7" x14ac:dyDescent="0.45">
      <c r="A150" s="11">
        <v>142</v>
      </c>
      <c r="B150" s="184" t="s">
        <v>380</v>
      </c>
      <c r="C150" s="179" t="s">
        <v>294</v>
      </c>
      <c r="D150" s="60"/>
      <c r="E150" s="60"/>
      <c r="F150" s="60"/>
      <c r="G150" s="100">
        <f t="shared" ref="G150:G167" si="9">SUM(D150:F150)</f>
        <v>0</v>
      </c>
    </row>
    <row r="151" spans="1:7" x14ac:dyDescent="0.45">
      <c r="A151" s="11">
        <v>143</v>
      </c>
      <c r="B151" s="184" t="s">
        <v>381</v>
      </c>
      <c r="C151" s="179" t="s">
        <v>382</v>
      </c>
      <c r="D151" s="60"/>
      <c r="E151" s="60"/>
      <c r="F151" s="60"/>
      <c r="G151" s="100">
        <f t="shared" si="9"/>
        <v>0</v>
      </c>
    </row>
    <row r="152" spans="1:7" x14ac:dyDescent="0.45">
      <c r="A152" s="11">
        <v>144</v>
      </c>
      <c r="B152" s="184" t="s">
        <v>276</v>
      </c>
      <c r="C152" s="179" t="s">
        <v>212</v>
      </c>
      <c r="D152" s="60">
        <v>150</v>
      </c>
      <c r="E152" s="60"/>
      <c r="F152" s="60"/>
      <c r="G152" s="100">
        <f t="shared" si="9"/>
        <v>150</v>
      </c>
    </row>
    <row r="153" spans="1:7" x14ac:dyDescent="0.45">
      <c r="A153" s="11">
        <v>145</v>
      </c>
      <c r="B153" s="184" t="s">
        <v>379</v>
      </c>
      <c r="C153" s="179" t="s">
        <v>212</v>
      </c>
      <c r="D153" s="60"/>
      <c r="E153" s="60"/>
      <c r="F153" s="60"/>
      <c r="G153" s="100">
        <f t="shared" si="9"/>
        <v>0</v>
      </c>
    </row>
    <row r="154" spans="1:7" x14ac:dyDescent="0.45">
      <c r="A154" s="11">
        <v>146</v>
      </c>
      <c r="B154" s="184"/>
      <c r="C154" s="179"/>
      <c r="D154" s="60"/>
      <c r="E154" s="60"/>
      <c r="F154" s="60"/>
      <c r="G154" s="100">
        <f t="shared" si="9"/>
        <v>0</v>
      </c>
    </row>
    <row r="155" spans="1:7" x14ac:dyDescent="0.45">
      <c r="A155" s="11">
        <v>147</v>
      </c>
      <c r="B155" s="184"/>
      <c r="C155" s="179"/>
      <c r="D155" s="60"/>
      <c r="E155" s="60"/>
      <c r="F155" s="60"/>
      <c r="G155" s="100">
        <f t="shared" si="9"/>
        <v>0</v>
      </c>
    </row>
    <row r="156" spans="1:7" ht="18" x14ac:dyDescent="0.5">
      <c r="A156" s="248">
        <v>148</v>
      </c>
      <c r="B156" s="248" t="s">
        <v>435</v>
      </c>
      <c r="C156" s="146"/>
      <c r="D156" s="146"/>
      <c r="E156" s="146"/>
      <c r="F156" s="146"/>
      <c r="G156" s="146"/>
    </row>
    <row r="157" spans="1:7" ht="18" x14ac:dyDescent="0.5">
      <c r="A157" s="148">
        <v>149</v>
      </c>
      <c r="B157" s="148" t="s">
        <v>436</v>
      </c>
      <c r="C157" s="148" t="s">
        <v>6</v>
      </c>
      <c r="D157" s="246"/>
      <c r="E157" s="246"/>
      <c r="F157" s="246"/>
      <c r="G157" s="100">
        <f t="shared" si="9"/>
        <v>0</v>
      </c>
    </row>
    <row r="158" spans="1:7" ht="18" x14ac:dyDescent="0.5">
      <c r="A158" s="148">
        <v>150</v>
      </c>
      <c r="B158" s="148" t="s">
        <v>437</v>
      </c>
      <c r="C158" s="148" t="s">
        <v>6</v>
      </c>
      <c r="D158" s="60"/>
      <c r="E158" s="60"/>
      <c r="F158" s="60"/>
      <c r="G158" s="100">
        <f t="shared" si="9"/>
        <v>0</v>
      </c>
    </row>
    <row r="159" spans="1:7" ht="18" x14ac:dyDescent="0.5">
      <c r="A159" s="148">
        <v>151</v>
      </c>
      <c r="B159" s="148" t="s">
        <v>438</v>
      </c>
      <c r="C159" s="148" t="s">
        <v>6</v>
      </c>
      <c r="D159" s="60"/>
      <c r="E159" s="60"/>
      <c r="F159" s="60"/>
      <c r="G159" s="100">
        <f t="shared" si="9"/>
        <v>0</v>
      </c>
    </row>
    <row r="160" spans="1:7" ht="18" x14ac:dyDescent="0.5">
      <c r="A160" s="148">
        <v>152</v>
      </c>
      <c r="B160" s="148" t="s">
        <v>439</v>
      </c>
      <c r="C160" s="148" t="s">
        <v>6</v>
      </c>
      <c r="D160" s="60"/>
      <c r="E160" s="60"/>
      <c r="F160" s="60"/>
      <c r="G160" s="100">
        <f t="shared" si="9"/>
        <v>0</v>
      </c>
    </row>
    <row r="161" spans="1:7" ht="18" x14ac:dyDescent="0.5">
      <c r="A161" s="148">
        <v>153</v>
      </c>
      <c r="B161" s="148" t="s">
        <v>440</v>
      </c>
      <c r="C161" s="148" t="s">
        <v>6</v>
      </c>
      <c r="D161" s="60"/>
      <c r="E161" s="60"/>
      <c r="F161" s="60"/>
      <c r="G161" s="100">
        <f t="shared" si="9"/>
        <v>0</v>
      </c>
    </row>
    <row r="162" spans="1:7" ht="18" x14ac:dyDescent="0.5">
      <c r="A162" s="148">
        <v>154</v>
      </c>
      <c r="B162" s="148" t="s">
        <v>441</v>
      </c>
      <c r="C162" s="148" t="s">
        <v>6</v>
      </c>
      <c r="D162" s="60"/>
      <c r="E162" s="60"/>
      <c r="F162" s="60"/>
      <c r="G162" s="100">
        <f t="shared" si="9"/>
        <v>0</v>
      </c>
    </row>
    <row r="163" spans="1:7" ht="18" x14ac:dyDescent="0.5">
      <c r="A163" s="148">
        <v>155</v>
      </c>
      <c r="B163" s="148" t="s">
        <v>442</v>
      </c>
      <c r="C163" s="148" t="s">
        <v>6</v>
      </c>
      <c r="D163" s="60"/>
      <c r="E163" s="60"/>
      <c r="F163" s="60"/>
      <c r="G163" s="100">
        <f t="shared" si="9"/>
        <v>0</v>
      </c>
    </row>
    <row r="164" spans="1:7" ht="18" x14ac:dyDescent="0.5">
      <c r="A164" s="148">
        <v>156</v>
      </c>
      <c r="B164" s="148"/>
      <c r="C164" s="148"/>
      <c r="D164" s="60"/>
      <c r="E164" s="60"/>
      <c r="F164" s="60"/>
      <c r="G164" s="100">
        <f t="shared" si="9"/>
        <v>0</v>
      </c>
    </row>
    <row r="165" spans="1:7" ht="18" x14ac:dyDescent="0.5">
      <c r="A165" s="148">
        <v>157</v>
      </c>
      <c r="B165" s="148"/>
      <c r="C165" s="148"/>
      <c r="D165" s="60"/>
      <c r="E165" s="60"/>
      <c r="F165" s="60"/>
      <c r="G165" s="100">
        <f t="shared" si="9"/>
        <v>0</v>
      </c>
    </row>
    <row r="166" spans="1:7" ht="18" x14ac:dyDescent="0.5">
      <c r="A166" s="148">
        <v>158</v>
      </c>
      <c r="B166" s="148"/>
      <c r="C166" s="148"/>
      <c r="D166" s="60"/>
      <c r="E166" s="60"/>
      <c r="F166" s="60"/>
      <c r="G166" s="100">
        <f t="shared" si="9"/>
        <v>0</v>
      </c>
    </row>
    <row r="167" spans="1:7" ht="18" x14ac:dyDescent="0.5">
      <c r="A167" s="148">
        <v>159</v>
      </c>
      <c r="B167" s="148"/>
      <c r="C167" s="148"/>
      <c r="D167" s="60"/>
      <c r="E167" s="60"/>
      <c r="F167" s="60"/>
      <c r="G167" s="100">
        <f t="shared" si="9"/>
        <v>0</v>
      </c>
    </row>
    <row r="168" spans="1:7" ht="18" x14ac:dyDescent="0.5">
      <c r="A168" s="148"/>
      <c r="B168" s="148"/>
      <c r="C168" s="148"/>
      <c r="D168" s="60"/>
      <c r="E168" s="60"/>
      <c r="F168" s="60"/>
      <c r="G168" s="60"/>
    </row>
  </sheetData>
  <mergeCells count="10">
    <mergeCell ref="A1:G1"/>
    <mergeCell ref="A3:G3"/>
    <mergeCell ref="G6:G7"/>
    <mergeCell ref="A6:A7"/>
    <mergeCell ref="B6:B7"/>
    <mergeCell ref="C6:C7"/>
    <mergeCell ref="A4:B4"/>
    <mergeCell ref="A5:B5"/>
    <mergeCell ref="D6:F6"/>
    <mergeCell ref="A2:H2"/>
  </mergeCells>
  <pageMargins left="0.94488188976377996" right="0.70866141732283505" top="0.74803149606299202" bottom="0.74803149606299202" header="0.23622047244094499" footer="0.31496062992126"/>
  <pageSetup paperSize="256" scale="80" orientation="portrait" horizontalDpi="4294967294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J364"/>
  <sheetViews>
    <sheetView topLeftCell="L1" zoomScale="115" zoomScaleNormal="115" workbookViewId="0">
      <selection activeCell="D7" sqref="D7:Y8"/>
    </sheetView>
  </sheetViews>
  <sheetFormatPr defaultColWidth="9.1796875" defaultRowHeight="18" x14ac:dyDescent="0.5"/>
  <cols>
    <col min="1" max="1" width="5.26953125" style="38" customWidth="1"/>
    <col min="2" max="2" width="42.7265625" style="38" customWidth="1"/>
    <col min="3" max="3" width="17.7265625" style="38" customWidth="1"/>
    <col min="4" max="26" width="9.7265625" style="38" customWidth="1"/>
    <col min="27" max="27" width="10.7265625" style="41" customWidth="1"/>
    <col min="28" max="28" width="10.1796875" style="38" bestFit="1" customWidth="1"/>
    <col min="29" max="29" width="9.26953125" style="38" bestFit="1" customWidth="1"/>
    <col min="30" max="31" width="9.26953125" style="38" customWidth="1"/>
    <col min="32" max="32" width="8.81640625" style="38" customWidth="1"/>
    <col min="33" max="33" width="9.1796875" style="38"/>
    <col min="34" max="46" width="9.26953125" style="38" bestFit="1" customWidth="1"/>
    <col min="47" max="47" width="10.26953125" style="38" bestFit="1" customWidth="1"/>
    <col min="48" max="65" width="9.26953125" style="38" bestFit="1" customWidth="1"/>
    <col min="66" max="16384" width="9.1796875" style="38"/>
  </cols>
  <sheetData>
    <row r="1" spans="1:296" ht="19.5" x14ac:dyDescent="0.5">
      <c r="A1" s="38" t="s">
        <v>236</v>
      </c>
      <c r="C1" s="87"/>
      <c r="F1" s="40"/>
      <c r="G1" s="41"/>
      <c r="H1" s="62"/>
    </row>
    <row r="2" spans="1:296" ht="19.5" x14ac:dyDescent="0.5">
      <c r="A2" s="38" t="s">
        <v>451</v>
      </c>
      <c r="C2" s="42"/>
      <c r="F2" s="40"/>
      <c r="G2" s="41"/>
      <c r="H2" s="62"/>
    </row>
    <row r="3" spans="1:296" ht="19.5" x14ac:dyDescent="0.5">
      <c r="A3" s="38" t="s">
        <v>389</v>
      </c>
      <c r="C3" s="42"/>
      <c r="F3" s="40"/>
      <c r="G3" s="41"/>
      <c r="H3" s="62"/>
    </row>
    <row r="4" spans="1:296" ht="19.5" x14ac:dyDescent="0.6">
      <c r="A4" s="313"/>
      <c r="B4" s="313"/>
      <c r="C4" s="40"/>
      <c r="F4" s="40"/>
      <c r="G4" s="41"/>
      <c r="H4" s="62"/>
      <c r="R4" s="314"/>
      <c r="S4" s="314"/>
      <c r="T4" s="314"/>
      <c r="U4" s="314"/>
      <c r="V4" s="314"/>
      <c r="W4" s="314"/>
      <c r="X4" s="314"/>
      <c r="Y4" s="314"/>
    </row>
    <row r="5" spans="1:296" ht="19.5" x14ac:dyDescent="0.6">
      <c r="A5" s="314"/>
      <c r="B5" s="314"/>
      <c r="C5" s="40"/>
      <c r="F5" s="40"/>
      <c r="G5" s="41"/>
      <c r="H5" s="62"/>
      <c r="R5" s="43" t="s">
        <v>159</v>
      </c>
      <c r="S5" s="43" t="s">
        <v>426</v>
      </c>
      <c r="T5" s="43"/>
      <c r="U5" s="43"/>
      <c r="V5" s="43"/>
      <c r="W5" s="43"/>
      <c r="X5" s="43"/>
      <c r="Y5" s="43"/>
      <c r="AT5" s="38">
        <v>12</v>
      </c>
    </row>
    <row r="6" spans="1:296" s="201" customFormat="1" ht="20" thickBot="1" x14ac:dyDescent="0.65">
      <c r="A6" s="88"/>
      <c r="B6" s="195"/>
      <c r="C6" s="196"/>
      <c r="D6" s="197" t="s">
        <v>390</v>
      </c>
      <c r="E6" s="198" t="s">
        <v>384</v>
      </c>
      <c r="F6" s="196" t="s">
        <v>385</v>
      </c>
      <c r="G6" s="197" t="s">
        <v>388</v>
      </c>
      <c r="H6" s="197"/>
      <c r="I6" s="199" t="s">
        <v>386</v>
      </c>
      <c r="J6" s="197">
        <v>21</v>
      </c>
      <c r="K6" s="200">
        <v>13</v>
      </c>
      <c r="L6" s="200" t="s">
        <v>387</v>
      </c>
      <c r="M6" s="200">
        <v>10</v>
      </c>
      <c r="N6" s="200"/>
      <c r="O6" s="200"/>
      <c r="P6" s="200"/>
      <c r="Q6" s="200"/>
      <c r="R6" s="202" t="s">
        <v>160</v>
      </c>
      <c r="S6" s="202" t="s">
        <v>427</v>
      </c>
      <c r="T6" s="202"/>
      <c r="U6" s="202"/>
      <c r="V6" s="202"/>
      <c r="W6" s="202"/>
      <c r="X6" s="202"/>
      <c r="Y6" s="202"/>
    </row>
    <row r="7" spans="1:296" ht="25" customHeight="1" thickTop="1" x14ac:dyDescent="0.5">
      <c r="A7" s="307" t="s">
        <v>0</v>
      </c>
      <c r="B7" s="308" t="s">
        <v>1</v>
      </c>
      <c r="C7" s="309" t="s">
        <v>2</v>
      </c>
      <c r="D7" s="305" t="s">
        <v>452</v>
      </c>
      <c r="E7" s="305" t="s">
        <v>453</v>
      </c>
      <c r="F7" s="305" t="s">
        <v>454</v>
      </c>
      <c r="G7" s="305" t="s">
        <v>455</v>
      </c>
      <c r="H7" s="305" t="s">
        <v>456</v>
      </c>
      <c r="I7" s="305" t="s">
        <v>457</v>
      </c>
      <c r="J7" s="305" t="s">
        <v>458</v>
      </c>
      <c r="K7" s="305" t="s">
        <v>459</v>
      </c>
      <c r="L7" s="305" t="s">
        <v>460</v>
      </c>
      <c r="M7" s="305" t="s">
        <v>461</v>
      </c>
      <c r="N7" s="305" t="s">
        <v>462</v>
      </c>
      <c r="O7" s="305" t="s">
        <v>463</v>
      </c>
      <c r="P7" s="305" t="s">
        <v>464</v>
      </c>
      <c r="Q7" s="305" t="s">
        <v>465</v>
      </c>
      <c r="R7" s="315" t="s">
        <v>235</v>
      </c>
      <c r="S7" s="305" t="s">
        <v>466</v>
      </c>
      <c r="T7" s="305" t="s">
        <v>467</v>
      </c>
      <c r="U7" s="305" t="s">
        <v>468</v>
      </c>
      <c r="V7" s="305" t="s">
        <v>469</v>
      </c>
      <c r="W7" s="305" t="s">
        <v>470</v>
      </c>
      <c r="X7" s="305" t="s">
        <v>471</v>
      </c>
      <c r="Y7" s="305" t="s">
        <v>172</v>
      </c>
      <c r="Z7" s="312" t="s">
        <v>234</v>
      </c>
      <c r="AA7" s="96"/>
      <c r="AB7" s="311" t="s">
        <v>324</v>
      </c>
      <c r="AC7" s="311"/>
      <c r="AD7" s="172"/>
      <c r="AE7" s="89"/>
      <c r="AH7" s="310" t="s">
        <v>235</v>
      </c>
      <c r="AI7" s="310"/>
      <c r="AJ7" s="310"/>
      <c r="AK7" s="310"/>
      <c r="AL7" s="310"/>
      <c r="AM7" s="310"/>
      <c r="AN7" s="310"/>
      <c r="AO7" s="310"/>
      <c r="AP7" s="310"/>
      <c r="AQ7" s="310"/>
      <c r="AR7" s="310"/>
      <c r="AS7" s="310"/>
      <c r="AT7" s="310"/>
      <c r="AU7" s="310"/>
      <c r="AV7" s="310"/>
      <c r="AW7" s="310"/>
      <c r="AX7" s="310"/>
      <c r="AY7" s="310"/>
      <c r="AZ7" s="310"/>
      <c r="BA7" s="310"/>
      <c r="BB7" s="310"/>
      <c r="BC7" s="310"/>
      <c r="BD7" s="310"/>
      <c r="BE7" s="310"/>
      <c r="BF7" s="310"/>
      <c r="BG7" s="310"/>
      <c r="BH7" s="310"/>
      <c r="BI7" s="310"/>
      <c r="BJ7" s="310"/>
      <c r="BK7" s="310"/>
      <c r="BL7" s="310"/>
      <c r="BM7" s="310" t="s">
        <v>234</v>
      </c>
      <c r="BO7" s="303" t="s">
        <v>466</v>
      </c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 t="s">
        <v>234</v>
      </c>
      <c r="CU7" s="301" t="s">
        <v>472</v>
      </c>
      <c r="CV7" s="304" t="s">
        <v>477</v>
      </c>
      <c r="CW7" s="304"/>
      <c r="CX7" s="304"/>
      <c r="CY7" s="304"/>
      <c r="CZ7" s="304"/>
      <c r="DA7" s="304"/>
      <c r="DB7" s="304"/>
      <c r="DC7" s="304"/>
      <c r="DD7" s="304"/>
      <c r="DE7" s="304"/>
      <c r="DF7" s="304"/>
      <c r="DG7" s="304"/>
      <c r="DH7" s="304"/>
      <c r="DI7" s="304"/>
      <c r="DJ7" s="304"/>
      <c r="DK7" s="304"/>
      <c r="DL7" s="304"/>
      <c r="DM7" s="304"/>
      <c r="DN7" s="304"/>
      <c r="DO7" s="304"/>
      <c r="DP7" s="304"/>
      <c r="DQ7" s="304"/>
      <c r="DR7" s="304"/>
      <c r="DS7" s="304"/>
      <c r="DT7" s="304"/>
      <c r="DU7" s="304"/>
      <c r="DV7" s="304"/>
      <c r="DW7" s="304"/>
      <c r="DX7" s="304"/>
      <c r="DY7" s="304"/>
      <c r="DZ7" s="304"/>
      <c r="EA7" s="304" t="s">
        <v>234</v>
      </c>
      <c r="EB7" s="302" t="s">
        <v>468</v>
      </c>
      <c r="EC7" s="298" t="s">
        <v>473</v>
      </c>
      <c r="ED7" s="298"/>
      <c r="EE7" s="298"/>
      <c r="EF7" s="298"/>
      <c r="EG7" s="298"/>
      <c r="EH7" s="298"/>
      <c r="EI7" s="298"/>
      <c r="EJ7" s="298"/>
      <c r="EK7" s="298"/>
      <c r="EL7" s="298"/>
      <c r="EM7" s="298"/>
      <c r="EN7" s="298"/>
      <c r="EO7" s="298"/>
      <c r="EP7" s="298"/>
      <c r="EQ7" s="298"/>
      <c r="ER7" s="298"/>
      <c r="ES7" s="298"/>
      <c r="ET7" s="298"/>
      <c r="EU7" s="298"/>
      <c r="EV7" s="298"/>
      <c r="EW7" s="298"/>
      <c r="EX7" s="298"/>
      <c r="EY7" s="298"/>
      <c r="EZ7" s="298"/>
      <c r="FA7" s="298"/>
      <c r="FB7" s="298"/>
      <c r="FC7" s="298"/>
      <c r="FD7" s="298"/>
      <c r="FE7" s="298"/>
      <c r="FF7" s="298"/>
      <c r="FG7" s="298"/>
      <c r="FH7" s="298" t="s">
        <v>234</v>
      </c>
      <c r="FJ7" s="300" t="s">
        <v>474</v>
      </c>
      <c r="FK7" s="300"/>
      <c r="FL7" s="300"/>
      <c r="FM7" s="300"/>
      <c r="FN7" s="300"/>
      <c r="FO7" s="300"/>
      <c r="FP7" s="300"/>
      <c r="FQ7" s="300"/>
      <c r="FR7" s="300"/>
      <c r="FS7" s="300"/>
      <c r="FT7" s="300"/>
      <c r="FU7" s="300"/>
      <c r="FV7" s="300"/>
      <c r="FW7" s="300"/>
      <c r="FX7" s="300"/>
      <c r="FY7" s="300"/>
      <c r="FZ7" s="300"/>
      <c r="GA7" s="300"/>
      <c r="GB7" s="300"/>
      <c r="GC7" s="300"/>
      <c r="GD7" s="300"/>
      <c r="GE7" s="300"/>
      <c r="GF7" s="300"/>
      <c r="GG7" s="300"/>
      <c r="GH7" s="300"/>
      <c r="GI7" s="300"/>
      <c r="GJ7" s="300"/>
      <c r="GK7" s="300"/>
      <c r="GL7" s="300"/>
      <c r="GM7" s="300"/>
      <c r="GN7" s="300"/>
      <c r="GO7" s="300" t="s">
        <v>234</v>
      </c>
      <c r="GQ7" s="298" t="s">
        <v>479</v>
      </c>
      <c r="GR7" s="298"/>
      <c r="GS7" s="298"/>
      <c r="GT7" s="298"/>
      <c r="GU7" s="298"/>
      <c r="GV7" s="298"/>
      <c r="GW7" s="298"/>
      <c r="GX7" s="298"/>
      <c r="GY7" s="298"/>
      <c r="GZ7" s="298"/>
      <c r="HA7" s="298"/>
      <c r="HB7" s="298"/>
      <c r="HC7" s="298"/>
      <c r="HD7" s="298"/>
      <c r="HE7" s="298"/>
      <c r="HF7" s="298"/>
      <c r="HG7" s="298"/>
      <c r="HH7" s="298"/>
      <c r="HI7" s="298"/>
      <c r="HJ7" s="298"/>
      <c r="HK7" s="298"/>
      <c r="HL7" s="298"/>
      <c r="HM7" s="298"/>
      <c r="HN7" s="298"/>
      <c r="HO7" s="298"/>
      <c r="HP7" s="298"/>
      <c r="HQ7" s="298"/>
      <c r="HR7" s="298"/>
      <c r="HS7" s="298"/>
      <c r="HT7" s="298"/>
      <c r="HU7" s="298"/>
      <c r="HV7" s="298" t="s">
        <v>234</v>
      </c>
      <c r="HX7" s="299" t="s">
        <v>475</v>
      </c>
      <c r="HY7" s="299"/>
      <c r="HZ7" s="299"/>
      <c r="IA7" s="299"/>
      <c r="IB7" s="299"/>
      <c r="IC7" s="299"/>
      <c r="ID7" s="299"/>
      <c r="IE7" s="299"/>
      <c r="IF7" s="299"/>
      <c r="IG7" s="299"/>
      <c r="IH7" s="299"/>
      <c r="II7" s="299"/>
      <c r="IJ7" s="299"/>
      <c r="IK7" s="299"/>
      <c r="IL7" s="299"/>
      <c r="IM7" s="299"/>
      <c r="IN7" s="299"/>
      <c r="IO7" s="299"/>
      <c r="IP7" s="299"/>
      <c r="IQ7" s="299"/>
      <c r="IR7" s="299"/>
      <c r="IS7" s="299"/>
      <c r="IT7" s="299"/>
      <c r="IU7" s="299"/>
      <c r="IV7" s="299"/>
      <c r="IW7" s="299"/>
      <c r="IX7" s="299"/>
      <c r="IY7" s="299"/>
      <c r="IZ7" s="299"/>
      <c r="JA7" s="299"/>
      <c r="JB7" s="299"/>
      <c r="JC7" s="299" t="s">
        <v>234</v>
      </c>
      <c r="JE7" s="297" t="s">
        <v>233</v>
      </c>
      <c r="JF7" s="297"/>
      <c r="JG7" s="297"/>
      <c r="JH7" s="297"/>
      <c r="JI7" s="297"/>
      <c r="JJ7" s="297"/>
      <c r="JK7" s="297"/>
      <c r="JL7" s="297"/>
      <c r="JM7" s="297"/>
      <c r="JN7" s="297"/>
      <c r="JO7" s="297"/>
      <c r="JP7" s="297"/>
      <c r="JQ7" s="297"/>
      <c r="JR7" s="297"/>
      <c r="JS7" s="297"/>
      <c r="JT7" s="297"/>
      <c r="JU7" s="297"/>
      <c r="JV7" s="297"/>
      <c r="JW7" s="297"/>
      <c r="JX7" s="297"/>
      <c r="JY7" s="297"/>
      <c r="JZ7" s="297"/>
      <c r="KA7" s="297"/>
      <c r="KB7" s="297"/>
      <c r="KC7" s="297"/>
      <c r="KD7" s="297"/>
      <c r="KE7" s="297"/>
      <c r="KF7" s="297"/>
      <c r="KG7" s="297"/>
      <c r="KH7" s="297"/>
      <c r="KI7" s="297"/>
      <c r="KJ7" s="297" t="s">
        <v>234</v>
      </c>
    </row>
    <row r="8" spans="1:296" ht="25" customHeight="1" thickBot="1" x14ac:dyDescent="0.55000000000000004">
      <c r="A8" s="307"/>
      <c r="B8" s="308"/>
      <c r="C8" s="309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16"/>
      <c r="S8" s="306"/>
      <c r="T8" s="306"/>
      <c r="U8" s="306"/>
      <c r="V8" s="306"/>
      <c r="W8" s="306"/>
      <c r="X8" s="306"/>
      <c r="Y8" s="306"/>
      <c r="Z8" s="312"/>
      <c r="AA8" s="96"/>
      <c r="AB8" s="311"/>
      <c r="AC8" s="311"/>
      <c r="AD8" s="172"/>
      <c r="AE8" s="89"/>
      <c r="AH8" s="310"/>
      <c r="AI8" s="310"/>
      <c r="AJ8" s="310"/>
      <c r="AK8" s="310"/>
      <c r="AL8" s="310"/>
      <c r="AM8" s="310"/>
      <c r="AN8" s="310"/>
      <c r="AO8" s="310"/>
      <c r="AP8" s="310"/>
      <c r="AQ8" s="310"/>
      <c r="AR8" s="310"/>
      <c r="AS8" s="310"/>
      <c r="AT8" s="310"/>
      <c r="AU8" s="310"/>
      <c r="AV8" s="310"/>
      <c r="AW8" s="310"/>
      <c r="AX8" s="310"/>
      <c r="AY8" s="310"/>
      <c r="AZ8" s="310"/>
      <c r="BA8" s="310"/>
      <c r="BB8" s="310"/>
      <c r="BC8" s="310"/>
      <c r="BD8" s="310"/>
      <c r="BE8" s="310"/>
      <c r="BF8" s="310"/>
      <c r="BG8" s="310"/>
      <c r="BH8" s="310"/>
      <c r="BI8" s="310"/>
      <c r="BJ8" s="310"/>
      <c r="BK8" s="310"/>
      <c r="BL8" s="310"/>
      <c r="BM8" s="310"/>
      <c r="BN8" s="38" t="s">
        <v>466</v>
      </c>
      <c r="BO8" s="303"/>
      <c r="BP8" s="303"/>
      <c r="BQ8" s="303"/>
      <c r="BR8" s="303"/>
      <c r="BS8" s="303"/>
      <c r="BT8" s="303"/>
      <c r="BU8" s="303"/>
      <c r="BV8" s="303"/>
      <c r="BW8" s="303"/>
      <c r="BX8" s="303"/>
      <c r="BY8" s="303"/>
      <c r="BZ8" s="303"/>
      <c r="CA8" s="303"/>
      <c r="CB8" s="303"/>
      <c r="CC8" s="303"/>
      <c r="CD8" s="303"/>
      <c r="CE8" s="303"/>
      <c r="CF8" s="303"/>
      <c r="CG8" s="303"/>
      <c r="CH8" s="303"/>
      <c r="CI8" s="303"/>
      <c r="CJ8" s="303"/>
      <c r="CK8" s="303"/>
      <c r="CL8" s="303"/>
      <c r="CM8" s="303"/>
      <c r="CN8" s="303"/>
      <c r="CO8" s="303"/>
      <c r="CP8" s="303"/>
      <c r="CQ8" s="303"/>
      <c r="CR8" s="303"/>
      <c r="CS8" s="303"/>
      <c r="CT8" s="303"/>
      <c r="CU8" s="301"/>
      <c r="CV8" s="304"/>
      <c r="CW8" s="304"/>
      <c r="CX8" s="304"/>
      <c r="CY8" s="304"/>
      <c r="CZ8" s="304"/>
      <c r="DA8" s="304"/>
      <c r="DB8" s="304"/>
      <c r="DC8" s="304"/>
      <c r="DD8" s="304"/>
      <c r="DE8" s="304"/>
      <c r="DF8" s="304"/>
      <c r="DG8" s="304"/>
      <c r="DH8" s="304"/>
      <c r="DI8" s="304"/>
      <c r="DJ8" s="304"/>
      <c r="DK8" s="304"/>
      <c r="DL8" s="304"/>
      <c r="DM8" s="304"/>
      <c r="DN8" s="304"/>
      <c r="DO8" s="304"/>
      <c r="DP8" s="304"/>
      <c r="DQ8" s="304"/>
      <c r="DR8" s="304"/>
      <c r="DS8" s="304"/>
      <c r="DT8" s="304"/>
      <c r="DU8" s="304"/>
      <c r="DV8" s="304"/>
      <c r="DW8" s="304"/>
      <c r="DX8" s="304"/>
      <c r="DY8" s="304"/>
      <c r="DZ8" s="304"/>
      <c r="EA8" s="304"/>
      <c r="EB8" s="302"/>
      <c r="EC8" s="298"/>
      <c r="ED8" s="298"/>
      <c r="EE8" s="298"/>
      <c r="EF8" s="298"/>
      <c r="EG8" s="298"/>
      <c r="EH8" s="298"/>
      <c r="EI8" s="298"/>
      <c r="EJ8" s="298"/>
      <c r="EK8" s="298"/>
      <c r="EL8" s="298"/>
      <c r="EM8" s="298"/>
      <c r="EN8" s="298"/>
      <c r="EO8" s="298"/>
      <c r="EP8" s="298"/>
      <c r="EQ8" s="298"/>
      <c r="ER8" s="298"/>
      <c r="ES8" s="298"/>
      <c r="ET8" s="298"/>
      <c r="EU8" s="298"/>
      <c r="EV8" s="298"/>
      <c r="EW8" s="298"/>
      <c r="EX8" s="298"/>
      <c r="EY8" s="298"/>
      <c r="EZ8" s="298"/>
      <c r="FA8" s="298"/>
      <c r="FB8" s="298"/>
      <c r="FC8" s="298"/>
      <c r="FD8" s="298"/>
      <c r="FE8" s="298"/>
      <c r="FF8" s="298"/>
      <c r="FG8" s="298"/>
      <c r="FH8" s="298"/>
      <c r="FI8" s="38" t="s">
        <v>469</v>
      </c>
      <c r="FJ8" s="300"/>
      <c r="FK8" s="300"/>
      <c r="FL8" s="300"/>
      <c r="FM8" s="300"/>
      <c r="FN8" s="300"/>
      <c r="FO8" s="300"/>
      <c r="FP8" s="300"/>
      <c r="FQ8" s="300"/>
      <c r="FR8" s="300"/>
      <c r="FS8" s="300"/>
      <c r="FT8" s="300"/>
      <c r="FU8" s="300"/>
      <c r="FV8" s="300"/>
      <c r="FW8" s="300"/>
      <c r="FX8" s="300"/>
      <c r="FY8" s="300"/>
      <c r="FZ8" s="300"/>
      <c r="GA8" s="300"/>
      <c r="GB8" s="300"/>
      <c r="GC8" s="300"/>
      <c r="GD8" s="300"/>
      <c r="GE8" s="300"/>
      <c r="GF8" s="300"/>
      <c r="GG8" s="300"/>
      <c r="GH8" s="300"/>
      <c r="GI8" s="300"/>
      <c r="GJ8" s="300"/>
      <c r="GK8" s="300"/>
      <c r="GL8" s="300"/>
      <c r="GM8" s="300"/>
      <c r="GN8" s="300"/>
      <c r="GO8" s="300"/>
      <c r="GP8" s="38" t="s">
        <v>470</v>
      </c>
      <c r="GQ8" s="298"/>
      <c r="GR8" s="298"/>
      <c r="GS8" s="298"/>
      <c r="GT8" s="298"/>
      <c r="GU8" s="298"/>
      <c r="GV8" s="298"/>
      <c r="GW8" s="298"/>
      <c r="GX8" s="298"/>
      <c r="GY8" s="298"/>
      <c r="GZ8" s="298"/>
      <c r="HA8" s="298"/>
      <c r="HB8" s="298"/>
      <c r="HC8" s="298"/>
      <c r="HD8" s="298"/>
      <c r="HE8" s="298"/>
      <c r="HF8" s="298"/>
      <c r="HG8" s="298"/>
      <c r="HH8" s="298"/>
      <c r="HI8" s="298"/>
      <c r="HJ8" s="298"/>
      <c r="HK8" s="298"/>
      <c r="HL8" s="298"/>
      <c r="HM8" s="298"/>
      <c r="HN8" s="298"/>
      <c r="HO8" s="298"/>
      <c r="HP8" s="298"/>
      <c r="HQ8" s="298"/>
      <c r="HR8" s="298"/>
      <c r="HS8" s="298"/>
      <c r="HT8" s="298"/>
      <c r="HU8" s="298"/>
      <c r="HV8" s="298"/>
      <c r="HW8" s="38" t="s">
        <v>471</v>
      </c>
      <c r="HX8" s="299"/>
      <c r="HY8" s="299"/>
      <c r="HZ8" s="299"/>
      <c r="IA8" s="299"/>
      <c r="IB8" s="299"/>
      <c r="IC8" s="299"/>
      <c r="ID8" s="299"/>
      <c r="IE8" s="299"/>
      <c r="IF8" s="299"/>
      <c r="IG8" s="299"/>
      <c r="IH8" s="299"/>
      <c r="II8" s="299"/>
      <c r="IJ8" s="299"/>
      <c r="IK8" s="299"/>
      <c r="IL8" s="299"/>
      <c r="IM8" s="299"/>
      <c r="IN8" s="299"/>
      <c r="IO8" s="299"/>
      <c r="IP8" s="299"/>
      <c r="IQ8" s="299"/>
      <c r="IR8" s="299"/>
      <c r="IS8" s="299"/>
      <c r="IT8" s="299"/>
      <c r="IU8" s="299"/>
      <c r="IV8" s="299"/>
      <c r="IW8" s="299"/>
      <c r="IX8" s="299"/>
      <c r="IY8" s="299"/>
      <c r="IZ8" s="299"/>
      <c r="JA8" s="299"/>
      <c r="JB8" s="299"/>
      <c r="JC8" s="299"/>
      <c r="JD8" s="38" t="s">
        <v>233</v>
      </c>
      <c r="JE8" s="297"/>
      <c r="JF8" s="297"/>
      <c r="JG8" s="297"/>
      <c r="JH8" s="297"/>
      <c r="JI8" s="297"/>
      <c r="JJ8" s="297"/>
      <c r="JK8" s="297"/>
      <c r="JL8" s="297"/>
      <c r="JM8" s="297"/>
      <c r="JN8" s="297"/>
      <c r="JO8" s="297"/>
      <c r="JP8" s="297"/>
      <c r="JQ8" s="297"/>
      <c r="JR8" s="297"/>
      <c r="JS8" s="297"/>
      <c r="JT8" s="297"/>
      <c r="JU8" s="297"/>
      <c r="JV8" s="297"/>
      <c r="JW8" s="297"/>
      <c r="JX8" s="297"/>
      <c r="JY8" s="297"/>
      <c r="JZ8" s="297"/>
      <c r="KA8" s="297"/>
      <c r="KB8" s="297"/>
      <c r="KC8" s="297"/>
      <c r="KD8" s="297"/>
      <c r="KE8" s="297"/>
      <c r="KF8" s="297"/>
      <c r="KG8" s="297"/>
      <c r="KH8" s="297"/>
      <c r="KI8" s="297"/>
      <c r="KJ8" s="297"/>
    </row>
    <row r="9" spans="1:296" ht="19.5" thickTop="1" x14ac:dyDescent="0.5">
      <c r="A9" s="257">
        <v>1</v>
      </c>
      <c r="B9" s="257">
        <v>2</v>
      </c>
      <c r="C9" s="257">
        <v>3</v>
      </c>
      <c r="D9" s="257">
        <v>4</v>
      </c>
      <c r="E9" s="257">
        <v>5</v>
      </c>
      <c r="F9" s="257">
        <v>6</v>
      </c>
      <c r="G9" s="257">
        <v>7</v>
      </c>
      <c r="H9" s="257">
        <v>8</v>
      </c>
      <c r="I9" s="257">
        <v>9</v>
      </c>
      <c r="J9" s="257">
        <v>10</v>
      </c>
      <c r="K9" s="257">
        <v>11</v>
      </c>
      <c r="L9" s="257">
        <v>12</v>
      </c>
      <c r="M9" s="257">
        <v>13</v>
      </c>
      <c r="N9" s="257">
        <v>14</v>
      </c>
      <c r="O9" s="257">
        <v>15</v>
      </c>
      <c r="P9" s="257">
        <v>16</v>
      </c>
      <c r="Q9" s="257">
        <v>17</v>
      </c>
      <c r="R9" s="257">
        <v>18</v>
      </c>
      <c r="S9" s="257">
        <v>19</v>
      </c>
      <c r="T9" s="257">
        <v>20</v>
      </c>
      <c r="U9" s="257">
        <v>21</v>
      </c>
      <c r="V9" s="257">
        <v>22</v>
      </c>
      <c r="W9" s="257">
        <v>23</v>
      </c>
      <c r="X9" s="257">
        <v>24</v>
      </c>
      <c r="Y9" s="257">
        <v>25</v>
      </c>
      <c r="Z9" s="257">
        <v>26</v>
      </c>
      <c r="AA9" s="97"/>
      <c r="AB9" s="311"/>
      <c r="AC9" s="311"/>
      <c r="AD9" s="173"/>
      <c r="AE9" s="174"/>
      <c r="AF9" s="174"/>
      <c r="AH9" s="263">
        <v>1</v>
      </c>
      <c r="AI9" s="263">
        <v>2</v>
      </c>
      <c r="AJ9" s="263">
        <v>3</v>
      </c>
      <c r="AK9" s="263">
        <v>4</v>
      </c>
      <c r="AL9" s="263">
        <v>5</v>
      </c>
      <c r="AM9" s="263">
        <v>6</v>
      </c>
      <c r="AN9" s="263">
        <v>7</v>
      </c>
      <c r="AO9" s="263">
        <v>8</v>
      </c>
      <c r="AP9" s="263">
        <v>9</v>
      </c>
      <c r="AQ9" s="263">
        <v>10</v>
      </c>
      <c r="AR9" s="263">
        <v>11</v>
      </c>
      <c r="AS9" s="263">
        <v>12</v>
      </c>
      <c r="AT9" s="263">
        <v>13</v>
      </c>
      <c r="AU9" s="263">
        <v>14</v>
      </c>
      <c r="AV9" s="263">
        <v>15</v>
      </c>
      <c r="AW9" s="263">
        <v>16</v>
      </c>
      <c r="AX9" s="263">
        <v>17</v>
      </c>
      <c r="AY9" s="263">
        <v>18</v>
      </c>
      <c r="AZ9" s="263">
        <v>19</v>
      </c>
      <c r="BA9" s="263">
        <v>20</v>
      </c>
      <c r="BB9" s="263">
        <v>21</v>
      </c>
      <c r="BC9" s="263">
        <v>22</v>
      </c>
      <c r="BD9" s="263">
        <v>23</v>
      </c>
      <c r="BE9" s="263">
        <v>24</v>
      </c>
      <c r="BF9" s="263">
        <v>25</v>
      </c>
      <c r="BG9" s="263">
        <v>26</v>
      </c>
      <c r="BH9" s="263">
        <v>27</v>
      </c>
      <c r="BI9" s="263">
        <v>28</v>
      </c>
      <c r="BJ9" s="263">
        <v>29</v>
      </c>
      <c r="BK9" s="263">
        <v>30</v>
      </c>
      <c r="BL9" s="263">
        <v>31</v>
      </c>
      <c r="BM9" s="310"/>
      <c r="BO9" s="258">
        <v>1</v>
      </c>
      <c r="BP9" s="258">
        <v>2</v>
      </c>
      <c r="BQ9" s="258">
        <v>3</v>
      </c>
      <c r="BR9" s="258">
        <v>4</v>
      </c>
      <c r="BS9" s="258">
        <v>5</v>
      </c>
      <c r="BT9" s="258">
        <v>6</v>
      </c>
      <c r="BU9" s="258">
        <v>7</v>
      </c>
      <c r="BV9" s="258">
        <v>8</v>
      </c>
      <c r="BW9" s="258">
        <v>9</v>
      </c>
      <c r="BX9" s="258">
        <v>10</v>
      </c>
      <c r="BY9" s="258">
        <v>11</v>
      </c>
      <c r="BZ9" s="258">
        <v>12</v>
      </c>
      <c r="CA9" s="258">
        <v>13</v>
      </c>
      <c r="CB9" s="258">
        <v>14</v>
      </c>
      <c r="CC9" s="258">
        <v>15</v>
      </c>
      <c r="CD9" s="258">
        <v>16</v>
      </c>
      <c r="CE9" s="258">
        <v>17</v>
      </c>
      <c r="CF9" s="258">
        <v>18</v>
      </c>
      <c r="CG9" s="258">
        <v>19</v>
      </c>
      <c r="CH9" s="258">
        <v>20</v>
      </c>
      <c r="CI9" s="258">
        <v>21</v>
      </c>
      <c r="CJ9" s="258">
        <v>22</v>
      </c>
      <c r="CK9" s="258">
        <v>23</v>
      </c>
      <c r="CL9" s="258">
        <v>24</v>
      </c>
      <c r="CM9" s="258">
        <v>25</v>
      </c>
      <c r="CN9" s="258">
        <v>26</v>
      </c>
      <c r="CO9" s="258">
        <v>27</v>
      </c>
      <c r="CP9" s="258">
        <v>28</v>
      </c>
      <c r="CQ9" s="258">
        <v>29</v>
      </c>
      <c r="CR9" s="258">
        <v>30</v>
      </c>
      <c r="CS9" s="258">
        <v>31</v>
      </c>
      <c r="CT9" s="303"/>
      <c r="CV9" s="259">
        <v>1</v>
      </c>
      <c r="CW9" s="259">
        <v>2</v>
      </c>
      <c r="CX9" s="259">
        <v>3</v>
      </c>
      <c r="CY9" s="259">
        <v>4</v>
      </c>
      <c r="CZ9" s="259">
        <v>5</v>
      </c>
      <c r="DA9" s="259">
        <v>6</v>
      </c>
      <c r="DB9" s="259">
        <v>7</v>
      </c>
      <c r="DC9" s="259">
        <v>8</v>
      </c>
      <c r="DD9" s="259">
        <v>9</v>
      </c>
      <c r="DE9" s="259">
        <v>10</v>
      </c>
      <c r="DF9" s="259">
        <v>11</v>
      </c>
      <c r="DG9" s="259">
        <v>12</v>
      </c>
      <c r="DH9" s="259">
        <v>13</v>
      </c>
      <c r="DI9" s="259">
        <v>14</v>
      </c>
      <c r="DJ9" s="259">
        <v>15</v>
      </c>
      <c r="DK9" s="259">
        <v>16</v>
      </c>
      <c r="DL9" s="259">
        <v>17</v>
      </c>
      <c r="DM9" s="259">
        <v>18</v>
      </c>
      <c r="DN9" s="259">
        <v>19</v>
      </c>
      <c r="DO9" s="259">
        <v>20</v>
      </c>
      <c r="DP9" s="259">
        <v>21</v>
      </c>
      <c r="DQ9" s="259">
        <v>22</v>
      </c>
      <c r="DR9" s="259">
        <v>23</v>
      </c>
      <c r="DS9" s="259">
        <v>24</v>
      </c>
      <c r="DT9" s="259">
        <v>25</v>
      </c>
      <c r="DU9" s="259">
        <v>26</v>
      </c>
      <c r="DV9" s="259">
        <v>27</v>
      </c>
      <c r="DW9" s="259">
        <v>28</v>
      </c>
      <c r="DX9" s="259">
        <v>29</v>
      </c>
      <c r="DY9" s="259">
        <v>30</v>
      </c>
      <c r="DZ9" s="259">
        <v>31</v>
      </c>
      <c r="EA9" s="304"/>
      <c r="EC9" s="260">
        <v>1</v>
      </c>
      <c r="ED9" s="260">
        <v>2</v>
      </c>
      <c r="EE9" s="260">
        <v>3</v>
      </c>
      <c r="EF9" s="260">
        <v>4</v>
      </c>
      <c r="EG9" s="260">
        <v>5</v>
      </c>
      <c r="EH9" s="260">
        <v>6</v>
      </c>
      <c r="EI9" s="260">
        <v>7</v>
      </c>
      <c r="EJ9" s="260">
        <v>8</v>
      </c>
      <c r="EK9" s="260">
        <v>9</v>
      </c>
      <c r="EL9" s="260">
        <v>10</v>
      </c>
      <c r="EM9" s="260">
        <v>11</v>
      </c>
      <c r="EN9" s="260">
        <v>12</v>
      </c>
      <c r="EO9" s="260">
        <v>13</v>
      </c>
      <c r="EP9" s="260">
        <v>14</v>
      </c>
      <c r="EQ9" s="260">
        <v>15</v>
      </c>
      <c r="ER9" s="260">
        <v>16</v>
      </c>
      <c r="ES9" s="260">
        <v>17</v>
      </c>
      <c r="ET9" s="260">
        <v>18</v>
      </c>
      <c r="EU9" s="260">
        <v>19</v>
      </c>
      <c r="EV9" s="260">
        <v>20</v>
      </c>
      <c r="EW9" s="260">
        <v>21</v>
      </c>
      <c r="EX9" s="260">
        <v>22</v>
      </c>
      <c r="EY9" s="260">
        <v>23</v>
      </c>
      <c r="EZ9" s="260">
        <v>24</v>
      </c>
      <c r="FA9" s="260">
        <v>25</v>
      </c>
      <c r="FB9" s="260">
        <v>26</v>
      </c>
      <c r="FC9" s="260">
        <v>27</v>
      </c>
      <c r="FD9" s="260">
        <v>28</v>
      </c>
      <c r="FE9" s="260">
        <v>29</v>
      </c>
      <c r="FF9" s="260">
        <v>30</v>
      </c>
      <c r="FG9" s="260">
        <v>31</v>
      </c>
      <c r="FH9" s="298"/>
      <c r="FJ9" s="48">
        <v>1</v>
      </c>
      <c r="FK9" s="48">
        <v>2</v>
      </c>
      <c r="FL9" s="48">
        <v>3</v>
      </c>
      <c r="FM9" s="48">
        <v>4</v>
      </c>
      <c r="FN9" s="48">
        <v>5</v>
      </c>
      <c r="FO9" s="48">
        <v>6</v>
      </c>
      <c r="FP9" s="48">
        <v>7</v>
      </c>
      <c r="FQ9" s="48">
        <v>8</v>
      </c>
      <c r="FR9" s="48">
        <v>9</v>
      </c>
      <c r="FS9" s="48">
        <v>10</v>
      </c>
      <c r="FT9" s="48">
        <v>11</v>
      </c>
      <c r="FU9" s="48">
        <v>12</v>
      </c>
      <c r="FV9" s="48">
        <v>13</v>
      </c>
      <c r="FW9" s="48">
        <v>14</v>
      </c>
      <c r="FX9" s="48">
        <v>15</v>
      </c>
      <c r="FY9" s="48">
        <v>16</v>
      </c>
      <c r="FZ9" s="48">
        <v>17</v>
      </c>
      <c r="GA9" s="48">
        <v>18</v>
      </c>
      <c r="GB9" s="48">
        <v>19</v>
      </c>
      <c r="GC9" s="48">
        <v>20</v>
      </c>
      <c r="GD9" s="48">
        <v>21</v>
      </c>
      <c r="GE9" s="48">
        <v>22</v>
      </c>
      <c r="GF9" s="48">
        <v>23</v>
      </c>
      <c r="GG9" s="48">
        <v>24</v>
      </c>
      <c r="GH9" s="48">
        <v>25</v>
      </c>
      <c r="GI9" s="48">
        <v>26</v>
      </c>
      <c r="GJ9" s="48">
        <v>27</v>
      </c>
      <c r="GK9" s="48">
        <v>28</v>
      </c>
      <c r="GL9" s="48">
        <v>29</v>
      </c>
      <c r="GM9" s="48">
        <v>30</v>
      </c>
      <c r="GN9" s="48">
        <v>31</v>
      </c>
      <c r="GO9" s="300"/>
      <c r="GQ9" s="260">
        <v>1</v>
      </c>
      <c r="GR9" s="260">
        <v>2</v>
      </c>
      <c r="GS9" s="260">
        <v>3</v>
      </c>
      <c r="GT9" s="260">
        <v>4</v>
      </c>
      <c r="GU9" s="260">
        <v>5</v>
      </c>
      <c r="GV9" s="260">
        <v>6</v>
      </c>
      <c r="GW9" s="260">
        <v>7</v>
      </c>
      <c r="GX9" s="260">
        <v>8</v>
      </c>
      <c r="GY9" s="260">
        <v>9</v>
      </c>
      <c r="GZ9" s="260">
        <v>10</v>
      </c>
      <c r="HA9" s="260">
        <v>11</v>
      </c>
      <c r="HB9" s="260">
        <v>12</v>
      </c>
      <c r="HC9" s="260">
        <v>13</v>
      </c>
      <c r="HD9" s="260">
        <v>14</v>
      </c>
      <c r="HE9" s="260">
        <v>15</v>
      </c>
      <c r="HF9" s="260">
        <v>16</v>
      </c>
      <c r="HG9" s="260">
        <v>17</v>
      </c>
      <c r="HH9" s="260">
        <v>18</v>
      </c>
      <c r="HI9" s="260">
        <v>19</v>
      </c>
      <c r="HJ9" s="260">
        <v>20</v>
      </c>
      <c r="HK9" s="260">
        <v>21</v>
      </c>
      <c r="HL9" s="260">
        <v>22</v>
      </c>
      <c r="HM9" s="260">
        <v>23</v>
      </c>
      <c r="HN9" s="260">
        <v>24</v>
      </c>
      <c r="HO9" s="260">
        <v>25</v>
      </c>
      <c r="HP9" s="260">
        <v>26</v>
      </c>
      <c r="HQ9" s="260">
        <v>27</v>
      </c>
      <c r="HR9" s="260">
        <v>28</v>
      </c>
      <c r="HS9" s="260">
        <v>29</v>
      </c>
      <c r="HT9" s="260">
        <v>30</v>
      </c>
      <c r="HU9" s="260">
        <v>31</v>
      </c>
      <c r="HV9" s="298"/>
      <c r="HX9" s="261">
        <v>1</v>
      </c>
      <c r="HY9" s="261">
        <v>2</v>
      </c>
      <c r="HZ9" s="261">
        <v>3</v>
      </c>
      <c r="IA9" s="261">
        <v>4</v>
      </c>
      <c r="IB9" s="261">
        <v>5</v>
      </c>
      <c r="IC9" s="261">
        <v>6</v>
      </c>
      <c r="ID9" s="261">
        <v>7</v>
      </c>
      <c r="IE9" s="261">
        <v>8</v>
      </c>
      <c r="IF9" s="261">
        <v>9</v>
      </c>
      <c r="IG9" s="261">
        <v>10</v>
      </c>
      <c r="IH9" s="261">
        <v>11</v>
      </c>
      <c r="II9" s="261">
        <v>12</v>
      </c>
      <c r="IJ9" s="261">
        <v>13</v>
      </c>
      <c r="IK9" s="261">
        <v>14</v>
      </c>
      <c r="IL9" s="261">
        <v>15</v>
      </c>
      <c r="IM9" s="261">
        <v>16</v>
      </c>
      <c r="IN9" s="261">
        <v>17</v>
      </c>
      <c r="IO9" s="261">
        <v>18</v>
      </c>
      <c r="IP9" s="261">
        <v>19</v>
      </c>
      <c r="IQ9" s="261">
        <v>20</v>
      </c>
      <c r="IR9" s="261">
        <v>21</v>
      </c>
      <c r="IS9" s="261">
        <v>22</v>
      </c>
      <c r="IT9" s="261">
        <v>23</v>
      </c>
      <c r="IU9" s="261">
        <v>24</v>
      </c>
      <c r="IV9" s="261">
        <v>25</v>
      </c>
      <c r="IW9" s="261">
        <v>26</v>
      </c>
      <c r="IX9" s="261">
        <v>27</v>
      </c>
      <c r="IY9" s="261">
        <v>28</v>
      </c>
      <c r="IZ9" s="261">
        <v>29</v>
      </c>
      <c r="JA9" s="261">
        <v>30</v>
      </c>
      <c r="JB9" s="261">
        <v>31</v>
      </c>
      <c r="JC9" s="299"/>
      <c r="JE9" s="248">
        <v>1</v>
      </c>
      <c r="JF9" s="248">
        <v>2</v>
      </c>
      <c r="JG9" s="248">
        <v>3</v>
      </c>
      <c r="JH9" s="248">
        <v>4</v>
      </c>
      <c r="JI9" s="248">
        <v>5</v>
      </c>
      <c r="JJ9" s="248">
        <v>6</v>
      </c>
      <c r="JK9" s="248">
        <v>7</v>
      </c>
      <c r="JL9" s="248">
        <v>8</v>
      </c>
      <c r="JM9" s="248">
        <v>9</v>
      </c>
      <c r="JN9" s="248">
        <v>10</v>
      </c>
      <c r="JO9" s="248">
        <v>11</v>
      </c>
      <c r="JP9" s="248">
        <v>12</v>
      </c>
      <c r="JQ9" s="248">
        <v>13</v>
      </c>
      <c r="JR9" s="248">
        <v>14</v>
      </c>
      <c r="JS9" s="248">
        <v>15</v>
      </c>
      <c r="JT9" s="248">
        <v>16</v>
      </c>
      <c r="JU9" s="248">
        <v>17</v>
      </c>
      <c r="JV9" s="248">
        <v>18</v>
      </c>
      <c r="JW9" s="248">
        <v>19</v>
      </c>
      <c r="JX9" s="248">
        <v>20</v>
      </c>
      <c r="JY9" s="248">
        <v>21</v>
      </c>
      <c r="JZ9" s="248">
        <v>22</v>
      </c>
      <c r="KA9" s="248">
        <v>23</v>
      </c>
      <c r="KB9" s="248">
        <v>24</v>
      </c>
      <c r="KC9" s="248">
        <v>25</v>
      </c>
      <c r="KD9" s="248">
        <v>26</v>
      </c>
      <c r="KE9" s="248">
        <v>27</v>
      </c>
      <c r="KF9" s="248">
        <v>28</v>
      </c>
      <c r="KG9" s="248">
        <v>29</v>
      </c>
      <c r="KH9" s="248">
        <v>30</v>
      </c>
      <c r="KI9" s="248">
        <v>31</v>
      </c>
      <c r="KJ9" s="297"/>
    </row>
    <row r="10" spans="1:296" ht="20.149999999999999" customHeight="1" x14ac:dyDescent="0.5">
      <c r="A10" s="83">
        <v>1</v>
      </c>
      <c r="B10" s="141" t="s">
        <v>3</v>
      </c>
      <c r="C10" s="152" t="s">
        <v>4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>
        <f>BM10</f>
        <v>60</v>
      </c>
      <c r="S10" s="46">
        <f>CT10</f>
        <v>0</v>
      </c>
      <c r="T10" s="46">
        <f>EA10</f>
        <v>0</v>
      </c>
      <c r="U10" s="46">
        <f>FH10</f>
        <v>0</v>
      </c>
      <c r="V10" s="46">
        <f>GO10</f>
        <v>0</v>
      </c>
      <c r="W10" s="46">
        <f>HV10</f>
        <v>0</v>
      </c>
      <c r="X10" s="46">
        <f>JC10</f>
        <v>0</v>
      </c>
      <c r="Y10" s="46">
        <f>KJ10</f>
        <v>0</v>
      </c>
      <c r="Z10" s="90">
        <f>SUM(D10:Y10)</f>
        <v>60</v>
      </c>
      <c r="AA10" s="95"/>
      <c r="AB10" s="95">
        <f>'LPLPO GUDANG'!H15</f>
        <v>0</v>
      </c>
      <c r="AC10" s="91"/>
      <c r="AD10" s="91"/>
      <c r="AE10" s="91"/>
      <c r="AF10" s="91"/>
      <c r="AG10" s="92"/>
      <c r="AH10" s="46"/>
      <c r="AI10" s="46"/>
      <c r="AJ10" s="46"/>
      <c r="AK10" s="46"/>
      <c r="AL10" s="46"/>
      <c r="AM10" s="46"/>
      <c r="AN10" s="46"/>
      <c r="AO10" s="46"/>
      <c r="AP10" s="46">
        <v>60</v>
      </c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93">
        <f>SUM(AH10:BL10)</f>
        <v>60</v>
      </c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93">
        <f>SUM(BO10:CS10)</f>
        <v>0</v>
      </c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93">
        <f>SUM(CV10:DZ10)</f>
        <v>0</v>
      </c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  <c r="FG10" s="46"/>
      <c r="FH10" s="93">
        <f>SUM(EC10:FG10)</f>
        <v>0</v>
      </c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93">
        <f>SUM(FJ10:GN10)</f>
        <v>0</v>
      </c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93">
        <f>SUM(GQ10:HU10)</f>
        <v>0</v>
      </c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93">
        <f>SUM(HX10:JB10)</f>
        <v>0</v>
      </c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93">
        <f>SUM(JE10:KI10)</f>
        <v>0</v>
      </c>
    </row>
    <row r="11" spans="1:296" ht="20.149999999999999" customHeight="1" x14ac:dyDescent="0.5">
      <c r="A11" s="84">
        <f>A10+1</f>
        <v>2</v>
      </c>
      <c r="B11" s="141" t="s">
        <v>5</v>
      </c>
      <c r="C11" s="153" t="s">
        <v>327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>
        <f t="shared" ref="R11:R74" si="0">BM11</f>
        <v>500</v>
      </c>
      <c r="S11" s="46">
        <f t="shared" ref="S11:S74" si="1">CT11</f>
        <v>0</v>
      </c>
      <c r="T11" s="46">
        <f t="shared" ref="T11:T74" si="2">EA11</f>
        <v>0</v>
      </c>
      <c r="U11" s="46">
        <f t="shared" ref="U11:U74" si="3">FH11</f>
        <v>0</v>
      </c>
      <c r="V11" s="46">
        <f t="shared" ref="V11:V74" si="4">GO11</f>
        <v>0</v>
      </c>
      <c r="W11" s="46">
        <f t="shared" ref="W11:W74" si="5">HV11</f>
        <v>0</v>
      </c>
      <c r="X11" s="46">
        <f t="shared" ref="X11:X74" si="6">JC11</f>
        <v>0</v>
      </c>
      <c r="Y11" s="46">
        <f t="shared" ref="Y11:Y74" si="7">KJ11</f>
        <v>0</v>
      </c>
      <c r="Z11" s="90">
        <f t="shared" ref="Z11:Z74" si="8">SUM(D11:Y11)</f>
        <v>500</v>
      </c>
      <c r="AA11" s="95"/>
      <c r="AB11" s="92">
        <f>'LPLPO GUDANG'!H16</f>
        <v>500</v>
      </c>
      <c r="AC11" s="91"/>
      <c r="AD11" s="91"/>
      <c r="AE11" s="91"/>
      <c r="AF11" s="91"/>
      <c r="AG11" s="92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>
        <v>500</v>
      </c>
      <c r="BG11" s="46"/>
      <c r="BH11" s="46"/>
      <c r="BI11" s="46"/>
      <c r="BJ11" s="46"/>
      <c r="BK11" s="46"/>
      <c r="BL11" s="46"/>
      <c r="BM11" s="93">
        <f t="shared" ref="BM11:BM74" si="9">SUM(AH11:BL11)</f>
        <v>500</v>
      </c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93">
        <f t="shared" ref="CT11:CT74" si="10">SUM(BO11:CS11)</f>
        <v>0</v>
      </c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93">
        <f t="shared" ref="EA11:EA74" si="11">SUM(CV11:DZ11)</f>
        <v>0</v>
      </c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93">
        <f t="shared" ref="FH11:FH74" si="12">SUM(EC11:FG11)</f>
        <v>0</v>
      </c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93">
        <f t="shared" ref="GO11:GO74" si="13">SUM(FJ11:GN11)</f>
        <v>0</v>
      </c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93">
        <f t="shared" ref="HV11:HV74" si="14">SUM(GQ11:HU11)</f>
        <v>0</v>
      </c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93">
        <f t="shared" ref="JC11:JC74" si="15">SUM(HX11:JB11)</f>
        <v>0</v>
      </c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93">
        <f t="shared" ref="KJ11:KJ74" si="16">SUM(JE11:KI11)</f>
        <v>0</v>
      </c>
    </row>
    <row r="12" spans="1:296" ht="20.149999999999999" customHeight="1" x14ac:dyDescent="0.5">
      <c r="A12" s="84">
        <f t="shared" ref="A12:A75" si="17">A11+1</f>
        <v>3</v>
      </c>
      <c r="B12" s="141" t="s">
        <v>262</v>
      </c>
      <c r="C12" s="153" t="s">
        <v>48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>
        <f t="shared" si="0"/>
        <v>30</v>
      </c>
      <c r="S12" s="46">
        <f t="shared" si="1"/>
        <v>0</v>
      </c>
      <c r="T12" s="46">
        <f t="shared" si="2"/>
        <v>0</v>
      </c>
      <c r="U12" s="46">
        <f t="shared" si="3"/>
        <v>0</v>
      </c>
      <c r="V12" s="46">
        <f t="shared" si="4"/>
        <v>0</v>
      </c>
      <c r="W12" s="46">
        <f t="shared" si="5"/>
        <v>0</v>
      </c>
      <c r="X12" s="46">
        <f t="shared" si="6"/>
        <v>0</v>
      </c>
      <c r="Y12" s="46">
        <f t="shared" si="7"/>
        <v>0</v>
      </c>
      <c r="Z12" s="90">
        <f t="shared" si="8"/>
        <v>30</v>
      </c>
      <c r="AA12" s="95"/>
      <c r="AB12" s="92">
        <f>'LPLPO GUDANG'!H17</f>
        <v>15</v>
      </c>
      <c r="AC12" s="91"/>
      <c r="AD12" s="91"/>
      <c r="AE12" s="91"/>
      <c r="AF12" s="91"/>
      <c r="AG12" s="92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>
        <v>30</v>
      </c>
      <c r="BF12" s="46"/>
      <c r="BG12" s="46"/>
      <c r="BH12" s="46"/>
      <c r="BI12" s="46"/>
      <c r="BJ12" s="46"/>
      <c r="BK12" s="46"/>
      <c r="BL12" s="46"/>
      <c r="BM12" s="93">
        <f t="shared" si="9"/>
        <v>30</v>
      </c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93">
        <f t="shared" si="10"/>
        <v>0</v>
      </c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  <c r="DK12" s="46"/>
      <c r="DL12" s="46"/>
      <c r="DM12" s="46"/>
      <c r="DN12" s="46"/>
      <c r="DO12" s="46"/>
      <c r="DP12" s="46"/>
      <c r="DQ12" s="46"/>
      <c r="DR12" s="46"/>
      <c r="DS12" s="46"/>
      <c r="DT12" s="46"/>
      <c r="DU12" s="46"/>
      <c r="DV12" s="46"/>
      <c r="DW12" s="46"/>
      <c r="DX12" s="46"/>
      <c r="DY12" s="46"/>
      <c r="DZ12" s="46"/>
      <c r="EA12" s="93">
        <f t="shared" si="11"/>
        <v>0</v>
      </c>
      <c r="EC12" s="46"/>
      <c r="ED12" s="46"/>
      <c r="EE12" s="46"/>
      <c r="EF12" s="46"/>
      <c r="EG12" s="46"/>
      <c r="EH12" s="46"/>
      <c r="EI12" s="46"/>
      <c r="EJ12" s="46"/>
      <c r="EK12" s="46"/>
      <c r="EL12" s="46"/>
      <c r="EM12" s="46"/>
      <c r="EN12" s="46"/>
      <c r="EO12" s="46"/>
      <c r="EP12" s="46"/>
      <c r="EQ12" s="46"/>
      <c r="ER12" s="46"/>
      <c r="ES12" s="46"/>
      <c r="ET12" s="46"/>
      <c r="EU12" s="46"/>
      <c r="EV12" s="46"/>
      <c r="EW12" s="46"/>
      <c r="EX12" s="46"/>
      <c r="EY12" s="46"/>
      <c r="EZ12" s="46"/>
      <c r="FA12" s="46"/>
      <c r="FB12" s="46"/>
      <c r="FC12" s="46"/>
      <c r="FD12" s="46"/>
      <c r="FE12" s="46"/>
      <c r="FF12" s="46"/>
      <c r="FG12" s="46"/>
      <c r="FH12" s="93">
        <f t="shared" si="12"/>
        <v>0</v>
      </c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93">
        <f t="shared" si="13"/>
        <v>0</v>
      </c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93">
        <f t="shared" si="14"/>
        <v>0</v>
      </c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93">
        <f t="shared" si="15"/>
        <v>0</v>
      </c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93">
        <f t="shared" si="16"/>
        <v>0</v>
      </c>
    </row>
    <row r="13" spans="1:296" ht="20.149999999999999" customHeight="1" x14ac:dyDescent="0.5">
      <c r="A13" s="84">
        <f t="shared" si="17"/>
        <v>4</v>
      </c>
      <c r="B13" s="141" t="s">
        <v>7</v>
      </c>
      <c r="C13" s="153" t="s">
        <v>328</v>
      </c>
      <c r="D13" s="46"/>
      <c r="E13" s="46"/>
      <c r="F13" s="46"/>
      <c r="G13" s="46"/>
      <c r="H13" s="46"/>
      <c r="I13" s="46">
        <v>100</v>
      </c>
      <c r="J13" s="46"/>
      <c r="K13" s="46"/>
      <c r="L13" s="46"/>
      <c r="M13" s="46"/>
      <c r="N13" s="46"/>
      <c r="O13" s="46"/>
      <c r="P13" s="46"/>
      <c r="Q13" s="46"/>
      <c r="R13" s="46">
        <f t="shared" si="0"/>
        <v>2000</v>
      </c>
      <c r="S13" s="46">
        <f t="shared" si="1"/>
        <v>0</v>
      </c>
      <c r="T13" s="46">
        <f t="shared" si="2"/>
        <v>100</v>
      </c>
      <c r="U13" s="46">
        <f t="shared" si="3"/>
        <v>0</v>
      </c>
      <c r="V13" s="46">
        <f t="shared" si="4"/>
        <v>0</v>
      </c>
      <c r="W13" s="46">
        <f t="shared" si="5"/>
        <v>0</v>
      </c>
      <c r="X13" s="46">
        <f t="shared" si="6"/>
        <v>0</v>
      </c>
      <c r="Y13" s="46">
        <f t="shared" si="7"/>
        <v>0</v>
      </c>
      <c r="Z13" s="90">
        <f t="shared" si="8"/>
        <v>2200</v>
      </c>
      <c r="AA13" s="95"/>
      <c r="AB13" s="92">
        <f>'LPLPO GUDANG'!H18</f>
        <v>1800</v>
      </c>
      <c r="AC13" s="91"/>
      <c r="AD13" s="91"/>
      <c r="AE13" s="91"/>
      <c r="AF13" s="91"/>
      <c r="AG13" s="92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>
        <v>2000</v>
      </c>
      <c r="BG13" s="46"/>
      <c r="BH13" s="46"/>
      <c r="BI13" s="46"/>
      <c r="BJ13" s="46"/>
      <c r="BK13" s="46"/>
      <c r="BL13" s="46"/>
      <c r="BM13" s="93">
        <f t="shared" si="9"/>
        <v>2000</v>
      </c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93">
        <f t="shared" si="10"/>
        <v>0</v>
      </c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>
        <v>100</v>
      </c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93">
        <f t="shared" si="11"/>
        <v>100</v>
      </c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93">
        <f t="shared" si="12"/>
        <v>0</v>
      </c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93">
        <f t="shared" si="13"/>
        <v>0</v>
      </c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93">
        <f t="shared" si="14"/>
        <v>0</v>
      </c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93">
        <f t="shared" si="15"/>
        <v>0</v>
      </c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93">
        <f t="shared" si="16"/>
        <v>0</v>
      </c>
    </row>
    <row r="14" spans="1:296" ht="20.149999999999999" customHeight="1" x14ac:dyDescent="0.5">
      <c r="A14" s="84">
        <f t="shared" si="17"/>
        <v>5</v>
      </c>
      <c r="B14" s="141" t="s">
        <v>317</v>
      </c>
      <c r="C14" s="153" t="s">
        <v>6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>
        <f t="shared" si="0"/>
        <v>3000</v>
      </c>
      <c r="S14" s="46">
        <f t="shared" si="1"/>
        <v>0</v>
      </c>
      <c r="T14" s="46">
        <f t="shared" si="2"/>
        <v>200</v>
      </c>
      <c r="U14" s="46">
        <f t="shared" si="3"/>
        <v>0</v>
      </c>
      <c r="V14" s="46">
        <f t="shared" si="4"/>
        <v>0</v>
      </c>
      <c r="W14" s="46">
        <f t="shared" si="5"/>
        <v>0</v>
      </c>
      <c r="X14" s="46">
        <f t="shared" si="6"/>
        <v>0</v>
      </c>
      <c r="Y14" s="46">
        <f t="shared" si="7"/>
        <v>0</v>
      </c>
      <c r="Z14" s="90">
        <f t="shared" si="8"/>
        <v>3200</v>
      </c>
      <c r="AA14" s="95"/>
      <c r="AB14" s="92">
        <f>'LPLPO GUDANG'!H19</f>
        <v>1800</v>
      </c>
      <c r="AC14" s="91"/>
      <c r="AD14" s="91"/>
      <c r="AE14" s="91"/>
      <c r="AF14" s="91"/>
      <c r="AG14" s="92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>
        <v>3000</v>
      </c>
      <c r="BG14" s="46"/>
      <c r="BH14" s="46"/>
      <c r="BI14" s="46"/>
      <c r="BJ14" s="46"/>
      <c r="BK14" s="46"/>
      <c r="BL14" s="46"/>
      <c r="BM14" s="93">
        <f t="shared" si="9"/>
        <v>3000</v>
      </c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93">
        <f t="shared" si="10"/>
        <v>0</v>
      </c>
      <c r="CV14" s="46"/>
      <c r="CW14" s="46"/>
      <c r="CX14" s="46">
        <v>200</v>
      </c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93">
        <f t="shared" si="11"/>
        <v>200</v>
      </c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93">
        <f t="shared" si="12"/>
        <v>0</v>
      </c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93">
        <f t="shared" si="13"/>
        <v>0</v>
      </c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93">
        <f t="shared" si="14"/>
        <v>0</v>
      </c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93">
        <f t="shared" si="15"/>
        <v>0</v>
      </c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93">
        <f t="shared" si="16"/>
        <v>0</v>
      </c>
    </row>
    <row r="15" spans="1:296" ht="20.149999999999999" customHeight="1" x14ac:dyDescent="0.5">
      <c r="A15" s="84">
        <f t="shared" si="17"/>
        <v>6</v>
      </c>
      <c r="B15" s="141" t="s">
        <v>8</v>
      </c>
      <c r="C15" s="154" t="s">
        <v>48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>
        <f t="shared" si="0"/>
        <v>0</v>
      </c>
      <c r="S15" s="46">
        <f t="shared" si="1"/>
        <v>0</v>
      </c>
      <c r="T15" s="46">
        <f t="shared" si="2"/>
        <v>0</v>
      </c>
      <c r="U15" s="46">
        <f t="shared" si="3"/>
        <v>0</v>
      </c>
      <c r="V15" s="46">
        <f t="shared" si="4"/>
        <v>0</v>
      </c>
      <c r="W15" s="46">
        <f t="shared" si="5"/>
        <v>0</v>
      </c>
      <c r="X15" s="46">
        <f t="shared" si="6"/>
        <v>0</v>
      </c>
      <c r="Y15" s="46">
        <f t="shared" si="7"/>
        <v>0</v>
      </c>
      <c r="Z15" s="90">
        <f t="shared" si="8"/>
        <v>0</v>
      </c>
      <c r="AA15" s="95"/>
      <c r="AB15" s="92">
        <f>'LPLPO GUDANG'!H20</f>
        <v>135</v>
      </c>
      <c r="AC15" s="91">
        <v>-1</v>
      </c>
      <c r="AD15" s="91"/>
      <c r="AE15" s="91"/>
      <c r="AF15" s="91"/>
      <c r="AG15" s="92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93">
        <f t="shared" si="9"/>
        <v>0</v>
      </c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93">
        <f t="shared" si="10"/>
        <v>0</v>
      </c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93">
        <f t="shared" si="11"/>
        <v>0</v>
      </c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93">
        <f t="shared" si="12"/>
        <v>0</v>
      </c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93">
        <f t="shared" si="13"/>
        <v>0</v>
      </c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93">
        <f t="shared" si="14"/>
        <v>0</v>
      </c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93">
        <f t="shared" si="15"/>
        <v>0</v>
      </c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93">
        <f t="shared" si="16"/>
        <v>0</v>
      </c>
    </row>
    <row r="16" spans="1:296" ht="20.149999999999999" customHeight="1" x14ac:dyDescent="0.5">
      <c r="A16" s="84">
        <f t="shared" si="17"/>
        <v>7</v>
      </c>
      <c r="B16" s="141" t="s">
        <v>9</v>
      </c>
      <c r="C16" s="154" t="s">
        <v>329</v>
      </c>
      <c r="D16" s="46"/>
      <c r="E16" s="46"/>
      <c r="F16" s="46"/>
      <c r="G16" s="46"/>
      <c r="H16" s="46"/>
      <c r="I16" s="46"/>
      <c r="J16" s="46">
        <v>100</v>
      </c>
      <c r="K16" s="46">
        <v>100</v>
      </c>
      <c r="L16" s="46"/>
      <c r="M16" s="46"/>
      <c r="N16" s="46"/>
      <c r="O16" s="46"/>
      <c r="P16" s="46"/>
      <c r="Q16" s="46"/>
      <c r="R16" s="46">
        <f t="shared" si="0"/>
        <v>0</v>
      </c>
      <c r="S16" s="46">
        <f t="shared" si="1"/>
        <v>0</v>
      </c>
      <c r="T16" s="46">
        <f t="shared" si="2"/>
        <v>200</v>
      </c>
      <c r="U16" s="46">
        <f t="shared" si="3"/>
        <v>0</v>
      </c>
      <c r="V16" s="46">
        <f t="shared" si="4"/>
        <v>0</v>
      </c>
      <c r="W16" s="46">
        <f t="shared" si="5"/>
        <v>0</v>
      </c>
      <c r="X16" s="46">
        <f t="shared" si="6"/>
        <v>0</v>
      </c>
      <c r="Y16" s="46">
        <f t="shared" si="7"/>
        <v>0</v>
      </c>
      <c r="Z16" s="90">
        <f t="shared" si="8"/>
        <v>400</v>
      </c>
      <c r="AA16" s="95"/>
      <c r="AB16" s="92">
        <f>'LPLPO GUDANG'!H21</f>
        <v>3100</v>
      </c>
      <c r="AC16" s="91">
        <v>-100</v>
      </c>
      <c r="AD16" s="91"/>
      <c r="AE16" s="91"/>
      <c r="AF16" s="91"/>
      <c r="AG16" s="92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93">
        <f t="shared" si="9"/>
        <v>0</v>
      </c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93">
        <f t="shared" si="10"/>
        <v>0</v>
      </c>
      <c r="CV16" s="46"/>
      <c r="CW16" s="46"/>
      <c r="CX16" s="46">
        <v>200</v>
      </c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93">
        <f t="shared" si="11"/>
        <v>200</v>
      </c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93">
        <f t="shared" si="12"/>
        <v>0</v>
      </c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93">
        <f t="shared" si="13"/>
        <v>0</v>
      </c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93">
        <f t="shared" si="14"/>
        <v>0</v>
      </c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93">
        <f t="shared" si="15"/>
        <v>0</v>
      </c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93">
        <f t="shared" si="16"/>
        <v>0</v>
      </c>
    </row>
    <row r="17" spans="1:296" ht="20.149999999999999" customHeight="1" x14ac:dyDescent="0.5">
      <c r="A17" s="84">
        <f t="shared" si="17"/>
        <v>8</v>
      </c>
      <c r="B17" s="141" t="s">
        <v>250</v>
      </c>
      <c r="C17" s="154" t="s">
        <v>4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>
        <f t="shared" si="0"/>
        <v>35</v>
      </c>
      <c r="S17" s="46">
        <f t="shared" si="1"/>
        <v>0</v>
      </c>
      <c r="T17" s="46">
        <f t="shared" si="2"/>
        <v>0</v>
      </c>
      <c r="U17" s="46">
        <f t="shared" si="3"/>
        <v>0</v>
      </c>
      <c r="V17" s="46">
        <f t="shared" si="4"/>
        <v>15</v>
      </c>
      <c r="W17" s="46">
        <f t="shared" si="5"/>
        <v>50</v>
      </c>
      <c r="X17" s="46">
        <f t="shared" si="6"/>
        <v>0</v>
      </c>
      <c r="Y17" s="46">
        <f t="shared" si="7"/>
        <v>0</v>
      </c>
      <c r="Z17" s="90">
        <f t="shared" si="8"/>
        <v>100</v>
      </c>
      <c r="AA17" s="95"/>
      <c r="AB17" s="95">
        <f>'LPLPO GUDANG'!H22</f>
        <v>0</v>
      </c>
      <c r="AC17" s="91"/>
      <c r="AD17" s="91"/>
      <c r="AE17" s="91"/>
      <c r="AF17" s="91"/>
      <c r="AG17" s="92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>
        <v>35</v>
      </c>
      <c r="BF17" s="46"/>
      <c r="BG17" s="46"/>
      <c r="BH17" s="46"/>
      <c r="BI17" s="46"/>
      <c r="BJ17" s="46"/>
      <c r="BK17" s="46"/>
      <c r="BL17" s="46"/>
      <c r="BM17" s="93">
        <f t="shared" si="9"/>
        <v>35</v>
      </c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93">
        <f t="shared" si="10"/>
        <v>0</v>
      </c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93">
        <f t="shared" si="11"/>
        <v>0</v>
      </c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93">
        <f t="shared" si="12"/>
        <v>0</v>
      </c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>
        <v>15</v>
      </c>
      <c r="GH17" s="46"/>
      <c r="GI17" s="46"/>
      <c r="GJ17" s="46"/>
      <c r="GK17" s="46"/>
      <c r="GL17" s="46"/>
      <c r="GM17" s="46"/>
      <c r="GN17" s="46"/>
      <c r="GO17" s="93">
        <f t="shared" si="13"/>
        <v>15</v>
      </c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>
        <v>50</v>
      </c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93">
        <f t="shared" si="14"/>
        <v>50</v>
      </c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93">
        <f t="shared" si="15"/>
        <v>0</v>
      </c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93">
        <f t="shared" si="16"/>
        <v>0</v>
      </c>
    </row>
    <row r="18" spans="1:296" ht="30" x14ac:dyDescent="0.5">
      <c r="A18" s="84">
        <f t="shared" si="17"/>
        <v>9</v>
      </c>
      <c r="B18" s="141" t="s">
        <v>10</v>
      </c>
      <c r="C18" s="155" t="s">
        <v>319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>
        <f t="shared" si="0"/>
        <v>50</v>
      </c>
      <c r="S18" s="46">
        <f t="shared" si="1"/>
        <v>0</v>
      </c>
      <c r="T18" s="46">
        <f t="shared" si="2"/>
        <v>10</v>
      </c>
      <c r="U18" s="46">
        <f t="shared" si="3"/>
        <v>0</v>
      </c>
      <c r="V18" s="46">
        <f t="shared" si="4"/>
        <v>0</v>
      </c>
      <c r="W18" s="46">
        <f t="shared" si="5"/>
        <v>0</v>
      </c>
      <c r="X18" s="46">
        <f t="shared" si="6"/>
        <v>0</v>
      </c>
      <c r="Y18" s="46">
        <f t="shared" si="7"/>
        <v>0</v>
      </c>
      <c r="Z18" s="90">
        <f t="shared" si="8"/>
        <v>60</v>
      </c>
      <c r="AA18" s="95"/>
      <c r="AB18" s="92">
        <f>'LPLPO GUDANG'!H23</f>
        <v>80</v>
      </c>
      <c r="AC18" s="91"/>
      <c r="AD18" s="91"/>
      <c r="AE18" s="91"/>
      <c r="AF18" s="91"/>
      <c r="AG18" s="92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>
        <v>50</v>
      </c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93">
        <f t="shared" si="9"/>
        <v>50</v>
      </c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93">
        <f t="shared" si="10"/>
        <v>0</v>
      </c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>
        <v>10</v>
      </c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93">
        <f t="shared" si="11"/>
        <v>10</v>
      </c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93">
        <f t="shared" si="12"/>
        <v>0</v>
      </c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93">
        <f t="shared" si="13"/>
        <v>0</v>
      </c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93">
        <f t="shared" si="14"/>
        <v>0</v>
      </c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93">
        <f t="shared" si="15"/>
        <v>0</v>
      </c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93">
        <f t="shared" si="16"/>
        <v>0</v>
      </c>
    </row>
    <row r="19" spans="1:296" ht="30" x14ac:dyDescent="0.5">
      <c r="A19" s="84">
        <f t="shared" si="17"/>
        <v>10</v>
      </c>
      <c r="B19" s="141" t="s">
        <v>10</v>
      </c>
      <c r="C19" s="153" t="s">
        <v>327</v>
      </c>
      <c r="D19" s="46"/>
      <c r="E19" s="46"/>
      <c r="F19" s="46">
        <v>100</v>
      </c>
      <c r="G19" s="46"/>
      <c r="H19" s="46"/>
      <c r="I19" s="46"/>
      <c r="J19" s="46">
        <v>100</v>
      </c>
      <c r="K19" s="46">
        <v>100</v>
      </c>
      <c r="L19" s="46"/>
      <c r="M19" s="46"/>
      <c r="N19" s="46"/>
      <c r="O19" s="46"/>
      <c r="P19" s="46"/>
      <c r="Q19" s="46"/>
      <c r="R19" s="46">
        <f t="shared" si="0"/>
        <v>0</v>
      </c>
      <c r="S19" s="46">
        <f t="shared" si="1"/>
        <v>0</v>
      </c>
      <c r="T19" s="46">
        <f t="shared" si="2"/>
        <v>200</v>
      </c>
      <c r="U19" s="46">
        <f t="shared" si="3"/>
        <v>0</v>
      </c>
      <c r="V19" s="46">
        <f t="shared" si="4"/>
        <v>0</v>
      </c>
      <c r="W19" s="46">
        <f t="shared" si="5"/>
        <v>0</v>
      </c>
      <c r="X19" s="46">
        <f t="shared" si="6"/>
        <v>0</v>
      </c>
      <c r="Y19" s="46">
        <f t="shared" si="7"/>
        <v>0</v>
      </c>
      <c r="Z19" s="90">
        <f t="shared" si="8"/>
        <v>500</v>
      </c>
      <c r="AA19" s="95"/>
      <c r="AB19" s="92">
        <f>'LPLPO GUDANG'!H24</f>
        <v>1900</v>
      </c>
      <c r="AC19" s="91"/>
      <c r="AD19" s="91"/>
      <c r="AE19" s="91"/>
      <c r="AF19" s="91"/>
      <c r="AG19" s="92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93">
        <f t="shared" si="9"/>
        <v>0</v>
      </c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93">
        <f t="shared" si="10"/>
        <v>0</v>
      </c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>
        <v>200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93">
        <f t="shared" si="11"/>
        <v>200</v>
      </c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93">
        <f t="shared" si="12"/>
        <v>0</v>
      </c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93">
        <f t="shared" si="13"/>
        <v>0</v>
      </c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93">
        <f t="shared" si="14"/>
        <v>0</v>
      </c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93">
        <f t="shared" si="15"/>
        <v>0</v>
      </c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93">
        <f t="shared" si="16"/>
        <v>0</v>
      </c>
    </row>
    <row r="20" spans="1:296" x14ac:dyDescent="0.5">
      <c r="A20" s="84">
        <f t="shared" si="17"/>
        <v>11</v>
      </c>
      <c r="B20" s="141" t="s">
        <v>259</v>
      </c>
      <c r="C20" s="154" t="s">
        <v>4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>
        <f t="shared" si="0"/>
        <v>0</v>
      </c>
      <c r="S20" s="46">
        <f t="shared" si="1"/>
        <v>0</v>
      </c>
      <c r="T20" s="46">
        <f t="shared" si="2"/>
        <v>0</v>
      </c>
      <c r="U20" s="46">
        <f t="shared" si="3"/>
        <v>0</v>
      </c>
      <c r="V20" s="46">
        <f t="shared" si="4"/>
        <v>0</v>
      </c>
      <c r="W20" s="46">
        <f t="shared" si="5"/>
        <v>0</v>
      </c>
      <c r="X20" s="46">
        <f t="shared" si="6"/>
        <v>0</v>
      </c>
      <c r="Y20" s="46">
        <f t="shared" si="7"/>
        <v>0</v>
      </c>
      <c r="Z20" s="90">
        <f t="shared" si="8"/>
        <v>0</v>
      </c>
      <c r="AA20" s="95"/>
      <c r="AB20" s="95">
        <f>'LPLPO GUDANG'!H25</f>
        <v>0</v>
      </c>
      <c r="AC20" s="91"/>
      <c r="AD20" s="91"/>
      <c r="AE20" s="91"/>
      <c r="AF20" s="91"/>
      <c r="AG20" s="92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93">
        <f t="shared" si="9"/>
        <v>0</v>
      </c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93">
        <f t="shared" si="10"/>
        <v>0</v>
      </c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93">
        <f t="shared" si="11"/>
        <v>0</v>
      </c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93">
        <f t="shared" si="12"/>
        <v>0</v>
      </c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93">
        <f t="shared" si="13"/>
        <v>0</v>
      </c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93">
        <f t="shared" si="14"/>
        <v>0</v>
      </c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93">
        <f t="shared" si="15"/>
        <v>0</v>
      </c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93">
        <f t="shared" si="16"/>
        <v>0</v>
      </c>
    </row>
    <row r="21" spans="1:296" ht="60" x14ac:dyDescent="0.5">
      <c r="A21" s="84">
        <f t="shared" si="17"/>
        <v>12</v>
      </c>
      <c r="B21" s="141" t="s">
        <v>11</v>
      </c>
      <c r="C21" s="156" t="s">
        <v>330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>
        <f t="shared" si="0"/>
        <v>0</v>
      </c>
      <c r="S21" s="46">
        <f t="shared" si="1"/>
        <v>0</v>
      </c>
      <c r="T21" s="46">
        <f t="shared" si="2"/>
        <v>0</v>
      </c>
      <c r="U21" s="46">
        <f t="shared" si="3"/>
        <v>0</v>
      </c>
      <c r="V21" s="46">
        <f t="shared" si="4"/>
        <v>0</v>
      </c>
      <c r="W21" s="46">
        <f t="shared" si="5"/>
        <v>0</v>
      </c>
      <c r="X21" s="46">
        <f t="shared" si="6"/>
        <v>0</v>
      </c>
      <c r="Y21" s="46">
        <f t="shared" si="7"/>
        <v>0</v>
      </c>
      <c r="Z21" s="90">
        <f t="shared" si="8"/>
        <v>0</v>
      </c>
      <c r="AA21" s="95"/>
      <c r="AB21" s="95">
        <f>'LPLPO GUDANG'!H26</f>
        <v>20</v>
      </c>
      <c r="AC21" s="91"/>
      <c r="AD21" s="91"/>
      <c r="AE21" s="91"/>
      <c r="AF21" s="91"/>
      <c r="AG21" s="92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93">
        <f t="shared" si="9"/>
        <v>0</v>
      </c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93">
        <f t="shared" si="10"/>
        <v>0</v>
      </c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93">
        <f t="shared" si="11"/>
        <v>0</v>
      </c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93">
        <f t="shared" si="12"/>
        <v>0</v>
      </c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93">
        <f t="shared" si="13"/>
        <v>0</v>
      </c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93">
        <f t="shared" si="14"/>
        <v>0</v>
      </c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93">
        <f t="shared" si="15"/>
        <v>0</v>
      </c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93">
        <f t="shared" si="16"/>
        <v>0</v>
      </c>
    </row>
    <row r="22" spans="1:296" ht="36" x14ac:dyDescent="0.5">
      <c r="A22" s="84">
        <f t="shared" si="17"/>
        <v>13</v>
      </c>
      <c r="B22" s="141" t="s">
        <v>12</v>
      </c>
      <c r="C22" s="157" t="s">
        <v>327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>
        <f t="shared" si="0"/>
        <v>0</v>
      </c>
      <c r="S22" s="46">
        <f t="shared" si="1"/>
        <v>0</v>
      </c>
      <c r="T22" s="46">
        <f t="shared" si="2"/>
        <v>0</v>
      </c>
      <c r="U22" s="46">
        <f t="shared" si="3"/>
        <v>0</v>
      </c>
      <c r="V22" s="46">
        <f t="shared" si="4"/>
        <v>0</v>
      </c>
      <c r="W22" s="46">
        <f t="shared" si="5"/>
        <v>0</v>
      </c>
      <c r="X22" s="46">
        <f t="shared" si="6"/>
        <v>0</v>
      </c>
      <c r="Y22" s="46">
        <f t="shared" si="7"/>
        <v>0</v>
      </c>
      <c r="Z22" s="90">
        <f t="shared" si="8"/>
        <v>0</v>
      </c>
      <c r="AA22" s="95"/>
      <c r="AB22" s="95">
        <f>'LPLPO GUDANG'!H27</f>
        <v>0</v>
      </c>
      <c r="AC22" s="91"/>
      <c r="AD22" s="91"/>
      <c r="AE22" s="91"/>
      <c r="AF22" s="91"/>
      <c r="AG22" s="92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93">
        <f t="shared" si="9"/>
        <v>0</v>
      </c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93">
        <f t="shared" si="10"/>
        <v>0</v>
      </c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93">
        <f t="shared" si="11"/>
        <v>0</v>
      </c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93">
        <f t="shared" si="12"/>
        <v>0</v>
      </c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93">
        <f t="shared" si="13"/>
        <v>0</v>
      </c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93">
        <f t="shared" si="14"/>
        <v>0</v>
      </c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93">
        <f t="shared" si="15"/>
        <v>0</v>
      </c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93">
        <f t="shared" si="16"/>
        <v>0</v>
      </c>
    </row>
    <row r="23" spans="1:296" ht="36" x14ac:dyDescent="0.5">
      <c r="A23" s="84">
        <f t="shared" si="17"/>
        <v>14</v>
      </c>
      <c r="B23" s="141" t="s">
        <v>277</v>
      </c>
      <c r="C23" s="157" t="s">
        <v>327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>
        <f t="shared" si="0"/>
        <v>0</v>
      </c>
      <c r="S23" s="46">
        <f t="shared" si="1"/>
        <v>0</v>
      </c>
      <c r="T23" s="46">
        <f t="shared" si="2"/>
        <v>0</v>
      </c>
      <c r="U23" s="46">
        <f t="shared" si="3"/>
        <v>0</v>
      </c>
      <c r="V23" s="46">
        <f t="shared" si="4"/>
        <v>0</v>
      </c>
      <c r="W23" s="46">
        <f t="shared" si="5"/>
        <v>0</v>
      </c>
      <c r="X23" s="46">
        <f t="shared" si="6"/>
        <v>0</v>
      </c>
      <c r="Y23" s="46">
        <f t="shared" si="7"/>
        <v>0</v>
      </c>
      <c r="Z23" s="90">
        <f t="shared" si="8"/>
        <v>0</v>
      </c>
      <c r="AA23" s="95"/>
      <c r="AB23" s="95">
        <f>'LPLPO GUDANG'!H28</f>
        <v>0</v>
      </c>
      <c r="AC23" s="91"/>
      <c r="AD23" s="91"/>
      <c r="AE23" s="91"/>
      <c r="AF23" s="91"/>
      <c r="AG23" s="92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93">
        <f t="shared" si="9"/>
        <v>0</v>
      </c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93">
        <f t="shared" si="10"/>
        <v>0</v>
      </c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93">
        <f t="shared" si="11"/>
        <v>0</v>
      </c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93">
        <f t="shared" si="12"/>
        <v>0</v>
      </c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93">
        <f t="shared" si="13"/>
        <v>0</v>
      </c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93">
        <f t="shared" si="14"/>
        <v>0</v>
      </c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  <c r="IY23" s="46"/>
      <c r="IZ23" s="46"/>
      <c r="JA23" s="46"/>
      <c r="JB23" s="46"/>
      <c r="JC23" s="93">
        <f t="shared" si="15"/>
        <v>0</v>
      </c>
      <c r="JE23" s="46"/>
      <c r="JF23" s="46"/>
      <c r="JG23" s="46"/>
      <c r="JH23" s="46"/>
      <c r="JI23" s="46"/>
      <c r="JJ23" s="46"/>
      <c r="JK23" s="46"/>
      <c r="JL23" s="46"/>
      <c r="JM23" s="46"/>
      <c r="JN23" s="46"/>
      <c r="JO23" s="46"/>
      <c r="JP23" s="46"/>
      <c r="JQ23" s="46"/>
      <c r="JR23" s="46"/>
      <c r="JS23" s="46"/>
      <c r="JT23" s="46"/>
      <c r="JU23" s="46"/>
      <c r="JV23" s="46"/>
      <c r="JW23" s="46"/>
      <c r="JX23" s="46"/>
      <c r="JY23" s="46"/>
      <c r="JZ23" s="46"/>
      <c r="KA23" s="46"/>
      <c r="KB23" s="46"/>
      <c r="KC23" s="46"/>
      <c r="KD23" s="46"/>
      <c r="KE23" s="46"/>
      <c r="KF23" s="46"/>
      <c r="KG23" s="46"/>
      <c r="KH23" s="46"/>
      <c r="KI23" s="46"/>
      <c r="KJ23" s="93">
        <f t="shared" si="16"/>
        <v>0</v>
      </c>
    </row>
    <row r="24" spans="1:296" ht="20.149999999999999" customHeight="1" x14ac:dyDescent="0.5">
      <c r="A24" s="84">
        <f t="shared" si="17"/>
        <v>15</v>
      </c>
      <c r="B24" s="141" t="s">
        <v>13</v>
      </c>
      <c r="C24" s="158" t="s">
        <v>327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>
        <f t="shared" si="0"/>
        <v>0</v>
      </c>
      <c r="S24" s="46">
        <f t="shared" si="1"/>
        <v>0</v>
      </c>
      <c r="T24" s="46">
        <f t="shared" si="2"/>
        <v>0</v>
      </c>
      <c r="U24" s="46">
        <f t="shared" si="3"/>
        <v>0</v>
      </c>
      <c r="V24" s="46">
        <f t="shared" si="4"/>
        <v>0</v>
      </c>
      <c r="W24" s="46">
        <f t="shared" si="5"/>
        <v>0</v>
      </c>
      <c r="X24" s="46">
        <f t="shared" si="6"/>
        <v>0</v>
      </c>
      <c r="Y24" s="46">
        <f t="shared" si="7"/>
        <v>0</v>
      </c>
      <c r="Z24" s="90">
        <f t="shared" si="8"/>
        <v>0</v>
      </c>
      <c r="AA24" s="95"/>
      <c r="AB24" s="95">
        <f>'LPLPO GUDANG'!H29</f>
        <v>0</v>
      </c>
      <c r="AC24" s="91"/>
      <c r="AD24" s="91"/>
      <c r="AE24" s="91"/>
      <c r="AF24" s="91"/>
      <c r="AG24" s="92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93">
        <f t="shared" si="9"/>
        <v>0</v>
      </c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93">
        <f t="shared" si="10"/>
        <v>0</v>
      </c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93">
        <f t="shared" si="11"/>
        <v>0</v>
      </c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93">
        <f t="shared" si="12"/>
        <v>0</v>
      </c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93">
        <f t="shared" si="13"/>
        <v>0</v>
      </c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93">
        <f t="shared" si="14"/>
        <v>0</v>
      </c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93">
        <f t="shared" si="15"/>
        <v>0</v>
      </c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93">
        <f t="shared" si="16"/>
        <v>0</v>
      </c>
    </row>
    <row r="25" spans="1:296" x14ac:dyDescent="0.5">
      <c r="A25" s="84">
        <f t="shared" si="17"/>
        <v>16</v>
      </c>
      <c r="B25" s="141" t="s">
        <v>14</v>
      </c>
      <c r="C25" s="158" t="s">
        <v>327</v>
      </c>
      <c r="D25" s="46"/>
      <c r="E25" s="46"/>
      <c r="F25" s="46"/>
      <c r="G25" s="46"/>
      <c r="H25" s="46"/>
      <c r="I25" s="46">
        <v>100</v>
      </c>
      <c r="J25" s="46"/>
      <c r="K25" s="46"/>
      <c r="L25" s="46"/>
      <c r="M25" s="46"/>
      <c r="N25" s="46"/>
      <c r="O25" s="46"/>
      <c r="P25" s="46"/>
      <c r="Q25" s="46"/>
      <c r="R25" s="46">
        <f t="shared" si="0"/>
        <v>1200</v>
      </c>
      <c r="S25" s="46">
        <f t="shared" si="1"/>
        <v>0</v>
      </c>
      <c r="T25" s="46">
        <f t="shared" si="2"/>
        <v>200</v>
      </c>
      <c r="U25" s="46">
        <f t="shared" si="3"/>
        <v>0</v>
      </c>
      <c r="V25" s="46">
        <f t="shared" si="4"/>
        <v>0</v>
      </c>
      <c r="W25" s="46">
        <f t="shared" si="5"/>
        <v>0</v>
      </c>
      <c r="X25" s="46">
        <f t="shared" si="6"/>
        <v>0</v>
      </c>
      <c r="Y25" s="46">
        <f t="shared" si="7"/>
        <v>0</v>
      </c>
      <c r="Z25" s="90">
        <f t="shared" si="8"/>
        <v>1500</v>
      </c>
      <c r="AA25" s="95"/>
      <c r="AB25" s="92">
        <f>'LPLPO GUDANG'!H30</f>
        <v>1000</v>
      </c>
      <c r="AC25" s="91"/>
      <c r="AD25" s="91"/>
      <c r="AE25" s="91"/>
      <c r="AF25" s="91"/>
      <c r="AG25" s="92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>
        <v>1200</v>
      </c>
      <c r="BF25" s="46"/>
      <c r="BG25" s="46"/>
      <c r="BH25" s="46"/>
      <c r="BI25" s="46"/>
      <c r="BJ25" s="46"/>
      <c r="BK25" s="46"/>
      <c r="BL25" s="46"/>
      <c r="BM25" s="93">
        <f t="shared" si="9"/>
        <v>1200</v>
      </c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93">
        <f t="shared" si="10"/>
        <v>0</v>
      </c>
      <c r="CV25" s="46"/>
      <c r="CW25" s="46"/>
      <c r="CX25" s="46">
        <v>200</v>
      </c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93">
        <f t="shared" si="11"/>
        <v>200</v>
      </c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93">
        <f t="shared" si="12"/>
        <v>0</v>
      </c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93">
        <f t="shared" si="13"/>
        <v>0</v>
      </c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93">
        <f t="shared" si="14"/>
        <v>0</v>
      </c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93">
        <f t="shared" si="15"/>
        <v>0</v>
      </c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93">
        <f t="shared" si="16"/>
        <v>0</v>
      </c>
    </row>
    <row r="26" spans="1:296" ht="20.149999999999999" customHeight="1" x14ac:dyDescent="0.5">
      <c r="A26" s="84">
        <f t="shared" si="17"/>
        <v>17</v>
      </c>
      <c r="B26" s="141" t="s">
        <v>15</v>
      </c>
      <c r="C26" s="157" t="s">
        <v>4</v>
      </c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>
        <f t="shared" si="0"/>
        <v>0</v>
      </c>
      <c r="S26" s="46">
        <f t="shared" si="1"/>
        <v>0</v>
      </c>
      <c r="T26" s="46">
        <f t="shared" si="2"/>
        <v>0</v>
      </c>
      <c r="U26" s="46">
        <f t="shared" si="3"/>
        <v>0</v>
      </c>
      <c r="V26" s="46">
        <f t="shared" si="4"/>
        <v>0</v>
      </c>
      <c r="W26" s="46">
        <f t="shared" si="5"/>
        <v>0</v>
      </c>
      <c r="X26" s="46">
        <f t="shared" si="6"/>
        <v>0</v>
      </c>
      <c r="Y26" s="46">
        <f t="shared" si="7"/>
        <v>0</v>
      </c>
      <c r="Z26" s="90">
        <f t="shared" si="8"/>
        <v>0</v>
      </c>
      <c r="AA26" s="95"/>
      <c r="AB26" s="95">
        <f>'LPLPO GUDANG'!H31</f>
        <v>0</v>
      </c>
      <c r="AC26" s="91"/>
      <c r="AD26" s="91"/>
      <c r="AE26" s="91"/>
      <c r="AF26" s="91"/>
      <c r="AG26" s="92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93">
        <f t="shared" si="9"/>
        <v>0</v>
      </c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93">
        <f t="shared" si="10"/>
        <v>0</v>
      </c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93">
        <f t="shared" si="11"/>
        <v>0</v>
      </c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93">
        <f t="shared" si="12"/>
        <v>0</v>
      </c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93">
        <f t="shared" si="13"/>
        <v>0</v>
      </c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93">
        <f t="shared" si="14"/>
        <v>0</v>
      </c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93">
        <f t="shared" si="15"/>
        <v>0</v>
      </c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93">
        <f t="shared" si="16"/>
        <v>0</v>
      </c>
    </row>
    <row r="27" spans="1:296" ht="20.149999999999999" customHeight="1" x14ac:dyDescent="0.5">
      <c r="A27" s="84">
        <f t="shared" si="17"/>
        <v>18</v>
      </c>
      <c r="B27" s="141" t="s">
        <v>320</v>
      </c>
      <c r="C27" s="157" t="s">
        <v>331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>
        <f t="shared" si="0"/>
        <v>0</v>
      </c>
      <c r="S27" s="46">
        <f t="shared" si="1"/>
        <v>0</v>
      </c>
      <c r="T27" s="46">
        <f t="shared" si="2"/>
        <v>0</v>
      </c>
      <c r="U27" s="46">
        <f t="shared" si="3"/>
        <v>0</v>
      </c>
      <c r="V27" s="46">
        <f t="shared" si="4"/>
        <v>0</v>
      </c>
      <c r="W27" s="46">
        <f t="shared" si="5"/>
        <v>0</v>
      </c>
      <c r="X27" s="46">
        <f t="shared" si="6"/>
        <v>0</v>
      </c>
      <c r="Y27" s="46">
        <f t="shared" si="7"/>
        <v>0</v>
      </c>
      <c r="Z27" s="90">
        <f t="shared" si="8"/>
        <v>0</v>
      </c>
      <c r="AA27" s="95"/>
      <c r="AB27" s="92">
        <f>'LPLPO GUDANG'!H32</f>
        <v>25</v>
      </c>
      <c r="AC27" s="91"/>
      <c r="AD27" s="91"/>
      <c r="AE27" s="91"/>
      <c r="AF27" s="91"/>
      <c r="AG27" s="92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93">
        <f t="shared" si="9"/>
        <v>0</v>
      </c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93">
        <f t="shared" si="10"/>
        <v>0</v>
      </c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  <c r="DO27" s="46"/>
      <c r="DP27" s="46"/>
      <c r="DQ27" s="46"/>
      <c r="DR27" s="46"/>
      <c r="DS27" s="46"/>
      <c r="DT27" s="46"/>
      <c r="DU27" s="46"/>
      <c r="DV27" s="46"/>
      <c r="DW27" s="46"/>
      <c r="DX27" s="46"/>
      <c r="DY27" s="46"/>
      <c r="DZ27" s="46"/>
      <c r="EA27" s="93">
        <f t="shared" si="11"/>
        <v>0</v>
      </c>
      <c r="EC27" s="46"/>
      <c r="ED27" s="46"/>
      <c r="EE27" s="46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93">
        <f t="shared" si="12"/>
        <v>0</v>
      </c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93">
        <f t="shared" si="13"/>
        <v>0</v>
      </c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93">
        <f t="shared" si="14"/>
        <v>0</v>
      </c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  <c r="IY27" s="46"/>
      <c r="IZ27" s="46"/>
      <c r="JA27" s="46"/>
      <c r="JB27" s="46"/>
      <c r="JC27" s="93">
        <f t="shared" si="15"/>
        <v>0</v>
      </c>
      <c r="JE27" s="46"/>
      <c r="JF27" s="46"/>
      <c r="JG27" s="46"/>
      <c r="JH27" s="46"/>
      <c r="JI27" s="46"/>
      <c r="JJ27" s="46"/>
      <c r="JK27" s="46"/>
      <c r="JL27" s="46"/>
      <c r="JM27" s="46"/>
      <c r="JN27" s="46"/>
      <c r="JO27" s="46"/>
      <c r="JP27" s="46"/>
      <c r="JQ27" s="46"/>
      <c r="JR27" s="46"/>
      <c r="JS27" s="46"/>
      <c r="JT27" s="46"/>
      <c r="JU27" s="46"/>
      <c r="JV27" s="46"/>
      <c r="JW27" s="46"/>
      <c r="JX27" s="46"/>
      <c r="JY27" s="46"/>
      <c r="JZ27" s="46"/>
      <c r="KA27" s="46"/>
      <c r="KB27" s="46"/>
      <c r="KC27" s="46"/>
      <c r="KD27" s="46"/>
      <c r="KE27" s="46"/>
      <c r="KF27" s="46"/>
      <c r="KG27" s="46"/>
      <c r="KH27" s="46"/>
      <c r="KI27" s="46"/>
      <c r="KJ27" s="93">
        <f t="shared" si="16"/>
        <v>0</v>
      </c>
    </row>
    <row r="28" spans="1:296" ht="20.149999999999999" customHeight="1" x14ac:dyDescent="0.5">
      <c r="A28" s="84">
        <f t="shared" si="17"/>
        <v>19</v>
      </c>
      <c r="B28" s="141" t="s">
        <v>17</v>
      </c>
      <c r="C28" s="157" t="s">
        <v>332</v>
      </c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>
        <f t="shared" si="0"/>
        <v>0</v>
      </c>
      <c r="S28" s="46">
        <f t="shared" si="1"/>
        <v>0</v>
      </c>
      <c r="T28" s="46">
        <f t="shared" si="2"/>
        <v>0</v>
      </c>
      <c r="U28" s="46">
        <f t="shared" si="3"/>
        <v>0</v>
      </c>
      <c r="V28" s="46">
        <f t="shared" si="4"/>
        <v>0</v>
      </c>
      <c r="W28" s="46">
        <f t="shared" si="5"/>
        <v>0</v>
      </c>
      <c r="X28" s="46">
        <f t="shared" si="6"/>
        <v>0</v>
      </c>
      <c r="Y28" s="46">
        <f t="shared" si="7"/>
        <v>0</v>
      </c>
      <c r="Z28" s="90">
        <f t="shared" si="8"/>
        <v>0</v>
      </c>
      <c r="AA28" s="95"/>
      <c r="AB28" s="92">
        <f>'LPLPO GUDANG'!H33</f>
        <v>1000</v>
      </c>
      <c r="AC28" s="91"/>
      <c r="AD28" s="91"/>
      <c r="AE28" s="91"/>
      <c r="AF28" s="91"/>
      <c r="AG28" s="92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93">
        <f t="shared" si="9"/>
        <v>0</v>
      </c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93">
        <f t="shared" si="10"/>
        <v>0</v>
      </c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46"/>
      <c r="DU28" s="46"/>
      <c r="DV28" s="46"/>
      <c r="DW28" s="46"/>
      <c r="DX28" s="46"/>
      <c r="DY28" s="46"/>
      <c r="DZ28" s="46"/>
      <c r="EA28" s="93">
        <f t="shared" si="11"/>
        <v>0</v>
      </c>
      <c r="EC28" s="46"/>
      <c r="ED28" s="46"/>
      <c r="EE28" s="46"/>
      <c r="EF28" s="46"/>
      <c r="EG28" s="46"/>
      <c r="EH28" s="46"/>
      <c r="EI28" s="46"/>
      <c r="EJ28" s="46"/>
      <c r="EK28" s="46"/>
      <c r="EL28" s="46"/>
      <c r="EM28" s="46"/>
      <c r="EN28" s="46"/>
      <c r="EO28" s="46"/>
      <c r="EP28" s="46"/>
      <c r="EQ28" s="46"/>
      <c r="ER28" s="46"/>
      <c r="ES28" s="46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46"/>
      <c r="FE28" s="46"/>
      <c r="FF28" s="46"/>
      <c r="FG28" s="46"/>
      <c r="FH28" s="93">
        <f t="shared" si="12"/>
        <v>0</v>
      </c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93">
        <f t="shared" si="13"/>
        <v>0</v>
      </c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93">
        <f t="shared" si="14"/>
        <v>0</v>
      </c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  <c r="IU28" s="46"/>
      <c r="IV28" s="46"/>
      <c r="IW28" s="46"/>
      <c r="IX28" s="46"/>
      <c r="IY28" s="46"/>
      <c r="IZ28" s="46"/>
      <c r="JA28" s="46"/>
      <c r="JB28" s="46"/>
      <c r="JC28" s="93">
        <f t="shared" si="15"/>
        <v>0</v>
      </c>
      <c r="JE28" s="46"/>
      <c r="JF28" s="46"/>
      <c r="JG28" s="46"/>
      <c r="JH28" s="46"/>
      <c r="JI28" s="46"/>
      <c r="JJ28" s="46"/>
      <c r="JK28" s="46"/>
      <c r="JL28" s="46"/>
      <c r="JM28" s="46"/>
      <c r="JN28" s="46"/>
      <c r="JO28" s="46"/>
      <c r="JP28" s="46"/>
      <c r="JQ28" s="46"/>
      <c r="JR28" s="46"/>
      <c r="JS28" s="46"/>
      <c r="JT28" s="46"/>
      <c r="JU28" s="46"/>
      <c r="JV28" s="46"/>
      <c r="JW28" s="46"/>
      <c r="JX28" s="46"/>
      <c r="JY28" s="46"/>
      <c r="JZ28" s="46"/>
      <c r="KA28" s="46"/>
      <c r="KB28" s="46"/>
      <c r="KC28" s="46"/>
      <c r="KD28" s="46"/>
      <c r="KE28" s="46"/>
      <c r="KF28" s="46"/>
      <c r="KG28" s="46"/>
      <c r="KH28" s="46"/>
      <c r="KI28" s="46"/>
      <c r="KJ28" s="93">
        <f t="shared" si="16"/>
        <v>0</v>
      </c>
    </row>
    <row r="29" spans="1:296" ht="20.149999999999999" customHeight="1" x14ac:dyDescent="0.5">
      <c r="A29" s="84">
        <f t="shared" si="17"/>
        <v>20</v>
      </c>
      <c r="B29" s="141" t="s">
        <v>18</v>
      </c>
      <c r="C29" s="157" t="s">
        <v>333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>
        <f t="shared" si="0"/>
        <v>0</v>
      </c>
      <c r="S29" s="46">
        <f t="shared" si="1"/>
        <v>0</v>
      </c>
      <c r="T29" s="46">
        <f t="shared" si="2"/>
        <v>0</v>
      </c>
      <c r="U29" s="46">
        <f t="shared" si="3"/>
        <v>0</v>
      </c>
      <c r="V29" s="46">
        <f t="shared" si="4"/>
        <v>0</v>
      </c>
      <c r="W29" s="46">
        <f t="shared" si="5"/>
        <v>0</v>
      </c>
      <c r="X29" s="46">
        <f t="shared" si="6"/>
        <v>0</v>
      </c>
      <c r="Y29" s="46">
        <f t="shared" si="7"/>
        <v>0</v>
      </c>
      <c r="Z29" s="90">
        <f t="shared" si="8"/>
        <v>0</v>
      </c>
      <c r="AA29" s="95"/>
      <c r="AB29" s="92">
        <f>'LPLPO GUDANG'!H34</f>
        <v>800</v>
      </c>
      <c r="AC29" s="91"/>
      <c r="AD29" s="91"/>
      <c r="AE29" s="91"/>
      <c r="AF29" s="91"/>
      <c r="AG29" s="92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93">
        <f t="shared" si="9"/>
        <v>0</v>
      </c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93">
        <f t="shared" si="10"/>
        <v>0</v>
      </c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  <c r="DO29" s="46"/>
      <c r="DP29" s="46"/>
      <c r="DQ29" s="46"/>
      <c r="DR29" s="46"/>
      <c r="DS29" s="46"/>
      <c r="DT29" s="46"/>
      <c r="DU29" s="46"/>
      <c r="DV29" s="46"/>
      <c r="DW29" s="46"/>
      <c r="DX29" s="46"/>
      <c r="DY29" s="46"/>
      <c r="DZ29" s="46"/>
      <c r="EA29" s="93">
        <f t="shared" si="11"/>
        <v>0</v>
      </c>
      <c r="EC29" s="46"/>
      <c r="ED29" s="46"/>
      <c r="EE29" s="46"/>
      <c r="EF29" s="46"/>
      <c r="EG29" s="46"/>
      <c r="EH29" s="46"/>
      <c r="EI29" s="46"/>
      <c r="EJ29" s="46"/>
      <c r="EK29" s="46"/>
      <c r="EL29" s="46"/>
      <c r="EM29" s="46"/>
      <c r="EN29" s="46"/>
      <c r="EO29" s="46"/>
      <c r="EP29" s="46"/>
      <c r="EQ29" s="46"/>
      <c r="ER29" s="46"/>
      <c r="ES29" s="46"/>
      <c r="ET29" s="46"/>
      <c r="EU29" s="46"/>
      <c r="EV29" s="46"/>
      <c r="EW29" s="46"/>
      <c r="EX29" s="46"/>
      <c r="EY29" s="46"/>
      <c r="EZ29" s="46"/>
      <c r="FA29" s="46"/>
      <c r="FB29" s="46"/>
      <c r="FC29" s="46"/>
      <c r="FD29" s="46"/>
      <c r="FE29" s="46"/>
      <c r="FF29" s="46"/>
      <c r="FG29" s="46"/>
      <c r="FH29" s="93">
        <f t="shared" si="12"/>
        <v>0</v>
      </c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93">
        <f t="shared" si="13"/>
        <v>0</v>
      </c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93">
        <f t="shared" si="14"/>
        <v>0</v>
      </c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  <c r="IU29" s="46"/>
      <c r="IV29" s="46"/>
      <c r="IW29" s="46"/>
      <c r="IX29" s="46"/>
      <c r="IY29" s="46"/>
      <c r="IZ29" s="46"/>
      <c r="JA29" s="46"/>
      <c r="JB29" s="46"/>
      <c r="JC29" s="93">
        <f t="shared" si="15"/>
        <v>0</v>
      </c>
      <c r="JE29" s="46"/>
      <c r="JF29" s="46"/>
      <c r="JG29" s="46"/>
      <c r="JH29" s="46"/>
      <c r="JI29" s="46"/>
      <c r="JJ29" s="46"/>
      <c r="JK29" s="46"/>
      <c r="JL29" s="46"/>
      <c r="JM29" s="46"/>
      <c r="JN29" s="46"/>
      <c r="JO29" s="46"/>
      <c r="JP29" s="46"/>
      <c r="JQ29" s="46"/>
      <c r="JR29" s="46"/>
      <c r="JS29" s="46"/>
      <c r="JT29" s="46"/>
      <c r="JU29" s="46"/>
      <c r="JV29" s="46"/>
      <c r="JW29" s="46"/>
      <c r="JX29" s="46"/>
      <c r="JY29" s="46"/>
      <c r="JZ29" s="46"/>
      <c r="KA29" s="46"/>
      <c r="KB29" s="46"/>
      <c r="KC29" s="46"/>
      <c r="KD29" s="46"/>
      <c r="KE29" s="46"/>
      <c r="KF29" s="46"/>
      <c r="KG29" s="46"/>
      <c r="KH29" s="46"/>
      <c r="KI29" s="46"/>
      <c r="KJ29" s="93">
        <f t="shared" si="16"/>
        <v>0</v>
      </c>
    </row>
    <row r="30" spans="1:296" ht="20.149999999999999" customHeight="1" x14ac:dyDescent="0.5">
      <c r="A30" s="84">
        <f t="shared" si="17"/>
        <v>21</v>
      </c>
      <c r="B30" s="142" t="s">
        <v>412</v>
      </c>
      <c r="C30" s="117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>
        <f t="shared" si="0"/>
        <v>0</v>
      </c>
      <c r="S30" s="46">
        <f t="shared" si="1"/>
        <v>0</v>
      </c>
      <c r="T30" s="46">
        <f t="shared" si="2"/>
        <v>0</v>
      </c>
      <c r="U30" s="46">
        <f t="shared" si="3"/>
        <v>0</v>
      </c>
      <c r="V30" s="46">
        <f t="shared" si="4"/>
        <v>0</v>
      </c>
      <c r="W30" s="46">
        <f t="shared" si="5"/>
        <v>0</v>
      </c>
      <c r="X30" s="46">
        <f t="shared" si="6"/>
        <v>0</v>
      </c>
      <c r="Y30" s="46">
        <f t="shared" si="7"/>
        <v>0</v>
      </c>
      <c r="Z30" s="90">
        <f t="shared" si="8"/>
        <v>0</v>
      </c>
      <c r="AA30" s="95"/>
      <c r="AB30" s="92">
        <f>'LPLPO GUDANG'!H35</f>
        <v>3000</v>
      </c>
      <c r="AC30" s="91"/>
      <c r="AD30" s="91"/>
      <c r="AE30" s="91"/>
      <c r="AF30" s="150"/>
      <c r="AG30" s="92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93">
        <f t="shared" si="9"/>
        <v>0</v>
      </c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93">
        <f t="shared" si="10"/>
        <v>0</v>
      </c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93">
        <f t="shared" si="11"/>
        <v>0</v>
      </c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93">
        <f t="shared" si="12"/>
        <v>0</v>
      </c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93">
        <f t="shared" si="13"/>
        <v>0</v>
      </c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93">
        <f t="shared" si="14"/>
        <v>0</v>
      </c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6"/>
      <c r="JC30" s="93">
        <f t="shared" si="15"/>
        <v>0</v>
      </c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6"/>
      <c r="JP30" s="46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6"/>
      <c r="KC30" s="46"/>
      <c r="KD30" s="46"/>
      <c r="KE30" s="46"/>
      <c r="KF30" s="46"/>
      <c r="KG30" s="46"/>
      <c r="KH30" s="46"/>
      <c r="KI30" s="46"/>
      <c r="KJ30" s="93">
        <f t="shared" si="16"/>
        <v>0</v>
      </c>
    </row>
    <row r="31" spans="1:296" ht="20.149999999999999" customHeight="1" x14ac:dyDescent="0.5">
      <c r="A31" s="84">
        <f t="shared" si="17"/>
        <v>22</v>
      </c>
      <c r="B31" s="141" t="s">
        <v>19</v>
      </c>
      <c r="C31" s="155" t="s">
        <v>4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 t="shared" si="0"/>
        <v>0</v>
      </c>
      <c r="S31" s="46">
        <f t="shared" si="1"/>
        <v>0</v>
      </c>
      <c r="T31" s="46">
        <f t="shared" si="2"/>
        <v>0</v>
      </c>
      <c r="U31" s="46">
        <f t="shared" si="3"/>
        <v>0</v>
      </c>
      <c r="V31" s="46">
        <f t="shared" si="4"/>
        <v>0</v>
      </c>
      <c r="W31" s="46">
        <f t="shared" si="5"/>
        <v>0</v>
      </c>
      <c r="X31" s="46">
        <f t="shared" si="6"/>
        <v>0</v>
      </c>
      <c r="Y31" s="46">
        <f t="shared" si="7"/>
        <v>0</v>
      </c>
      <c r="Z31" s="90">
        <f t="shared" si="8"/>
        <v>0</v>
      </c>
      <c r="AA31" s="95"/>
      <c r="AB31" s="95">
        <f>'LPLPO GUDANG'!H36</f>
        <v>0</v>
      </c>
      <c r="AC31" s="91"/>
      <c r="AD31" s="91"/>
      <c r="AE31" s="91"/>
      <c r="AF31" s="91"/>
      <c r="AG31" s="92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93">
        <f t="shared" si="9"/>
        <v>0</v>
      </c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93">
        <f t="shared" si="10"/>
        <v>0</v>
      </c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/>
      <c r="DZ31" s="46"/>
      <c r="EA31" s="93">
        <f t="shared" si="11"/>
        <v>0</v>
      </c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/>
      <c r="FE31" s="46"/>
      <c r="FF31" s="46"/>
      <c r="FG31" s="46"/>
      <c r="FH31" s="93">
        <f t="shared" si="12"/>
        <v>0</v>
      </c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93">
        <f t="shared" si="13"/>
        <v>0</v>
      </c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93">
        <f t="shared" si="14"/>
        <v>0</v>
      </c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/>
      <c r="IV31" s="46"/>
      <c r="IW31" s="46"/>
      <c r="IX31" s="46"/>
      <c r="IY31" s="46"/>
      <c r="IZ31" s="46"/>
      <c r="JA31" s="46"/>
      <c r="JB31" s="46"/>
      <c r="JC31" s="93">
        <f t="shared" si="15"/>
        <v>0</v>
      </c>
      <c r="JE31" s="46"/>
      <c r="JF31" s="46"/>
      <c r="JG31" s="46"/>
      <c r="JH31" s="46"/>
      <c r="JI31" s="46"/>
      <c r="JJ31" s="46"/>
      <c r="JK31" s="46"/>
      <c r="JL31" s="46"/>
      <c r="JM31" s="46"/>
      <c r="JN31" s="46"/>
      <c r="JO31" s="46"/>
      <c r="JP31" s="46"/>
      <c r="JQ31" s="46"/>
      <c r="JR31" s="46"/>
      <c r="JS31" s="46"/>
      <c r="JT31" s="46"/>
      <c r="JU31" s="46"/>
      <c r="JV31" s="46"/>
      <c r="JW31" s="46"/>
      <c r="JX31" s="46"/>
      <c r="JY31" s="46"/>
      <c r="JZ31" s="46"/>
      <c r="KA31" s="46"/>
      <c r="KB31" s="46"/>
      <c r="KC31" s="46"/>
      <c r="KD31" s="46"/>
      <c r="KE31" s="46"/>
      <c r="KF31" s="46"/>
      <c r="KG31" s="46"/>
      <c r="KH31" s="46"/>
      <c r="KI31" s="46"/>
      <c r="KJ31" s="93">
        <f t="shared" si="16"/>
        <v>0</v>
      </c>
    </row>
    <row r="32" spans="1:296" ht="20.149999999999999" customHeight="1" x14ac:dyDescent="0.5">
      <c r="A32" s="84">
        <f t="shared" si="17"/>
        <v>23</v>
      </c>
      <c r="B32" s="141" t="s">
        <v>260</v>
      </c>
      <c r="C32" s="155" t="s">
        <v>254</v>
      </c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>
        <f t="shared" si="0"/>
        <v>0</v>
      </c>
      <c r="S32" s="46">
        <f t="shared" si="1"/>
        <v>0</v>
      </c>
      <c r="T32" s="46">
        <f t="shared" si="2"/>
        <v>0</v>
      </c>
      <c r="U32" s="46">
        <f t="shared" si="3"/>
        <v>0</v>
      </c>
      <c r="V32" s="46">
        <f t="shared" si="4"/>
        <v>0</v>
      </c>
      <c r="W32" s="46">
        <f t="shared" si="5"/>
        <v>0</v>
      </c>
      <c r="X32" s="46">
        <f t="shared" si="6"/>
        <v>0</v>
      </c>
      <c r="Y32" s="46">
        <f t="shared" si="7"/>
        <v>0</v>
      </c>
      <c r="Z32" s="90">
        <f t="shared" si="8"/>
        <v>0</v>
      </c>
      <c r="AA32" s="95"/>
      <c r="AB32" s="95">
        <f>'LPLPO GUDANG'!H37</f>
        <v>0</v>
      </c>
      <c r="AC32" s="91"/>
      <c r="AD32" s="91"/>
      <c r="AE32" s="91"/>
      <c r="AF32" s="91"/>
      <c r="AG32" s="92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93">
        <f t="shared" si="9"/>
        <v>0</v>
      </c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93">
        <f t="shared" si="10"/>
        <v>0</v>
      </c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93">
        <f t="shared" si="11"/>
        <v>0</v>
      </c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93">
        <f t="shared" si="12"/>
        <v>0</v>
      </c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93">
        <f t="shared" si="13"/>
        <v>0</v>
      </c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93">
        <f t="shared" si="14"/>
        <v>0</v>
      </c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/>
      <c r="IV32" s="46"/>
      <c r="IW32" s="46"/>
      <c r="IX32" s="46"/>
      <c r="IY32" s="46"/>
      <c r="IZ32" s="46"/>
      <c r="JA32" s="46"/>
      <c r="JB32" s="46"/>
      <c r="JC32" s="93">
        <f t="shared" si="15"/>
        <v>0</v>
      </c>
      <c r="JE32" s="46"/>
      <c r="JF32" s="46"/>
      <c r="JG32" s="46"/>
      <c r="JH32" s="46"/>
      <c r="JI32" s="46"/>
      <c r="JJ32" s="46"/>
      <c r="JK32" s="46"/>
      <c r="JL32" s="46"/>
      <c r="JM32" s="46"/>
      <c r="JN32" s="46"/>
      <c r="JO32" s="46"/>
      <c r="JP32" s="46"/>
      <c r="JQ32" s="46"/>
      <c r="JR32" s="46"/>
      <c r="JS32" s="46"/>
      <c r="JT32" s="46"/>
      <c r="JU32" s="46"/>
      <c r="JV32" s="46"/>
      <c r="JW32" s="46"/>
      <c r="JX32" s="46"/>
      <c r="JY32" s="46"/>
      <c r="JZ32" s="46"/>
      <c r="KA32" s="46"/>
      <c r="KB32" s="46"/>
      <c r="KC32" s="46"/>
      <c r="KD32" s="46"/>
      <c r="KE32" s="46"/>
      <c r="KF32" s="46"/>
      <c r="KG32" s="46"/>
      <c r="KH32" s="46"/>
      <c r="KI32" s="46"/>
      <c r="KJ32" s="93">
        <f t="shared" si="16"/>
        <v>0</v>
      </c>
    </row>
    <row r="33" spans="1:296" ht="20.149999999999999" customHeight="1" x14ac:dyDescent="0.5">
      <c r="A33" s="84">
        <f t="shared" si="17"/>
        <v>24</v>
      </c>
      <c r="B33" s="141" t="s">
        <v>104</v>
      </c>
      <c r="C33" s="155" t="s">
        <v>334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 t="shared" si="0"/>
        <v>900</v>
      </c>
      <c r="S33" s="46">
        <f t="shared" si="1"/>
        <v>0</v>
      </c>
      <c r="T33" s="46">
        <f t="shared" si="2"/>
        <v>100</v>
      </c>
      <c r="U33" s="46">
        <f t="shared" si="3"/>
        <v>0</v>
      </c>
      <c r="V33" s="46">
        <f t="shared" si="4"/>
        <v>0</v>
      </c>
      <c r="W33" s="46">
        <f t="shared" si="5"/>
        <v>0</v>
      </c>
      <c r="X33" s="46">
        <f t="shared" si="6"/>
        <v>0</v>
      </c>
      <c r="Y33" s="46">
        <f t="shared" si="7"/>
        <v>0</v>
      </c>
      <c r="Z33" s="90">
        <f t="shared" si="8"/>
        <v>1000</v>
      </c>
      <c r="AA33" s="95"/>
      <c r="AB33" s="95">
        <f>'LPLPO GUDANG'!H38</f>
        <v>0</v>
      </c>
      <c r="AC33" s="91"/>
      <c r="AD33" s="91"/>
      <c r="AE33" s="91"/>
      <c r="AF33" s="91"/>
      <c r="AG33" s="92"/>
      <c r="AH33" s="46"/>
      <c r="AI33" s="46"/>
      <c r="AJ33" s="46">
        <v>500</v>
      </c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>
        <v>400</v>
      </c>
      <c r="BG33" s="46"/>
      <c r="BH33" s="46"/>
      <c r="BI33" s="46"/>
      <c r="BJ33" s="46"/>
      <c r="BK33" s="46"/>
      <c r="BL33" s="46"/>
      <c r="BM33" s="93">
        <f t="shared" si="9"/>
        <v>900</v>
      </c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93">
        <f t="shared" si="10"/>
        <v>0</v>
      </c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>
        <v>100</v>
      </c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/>
      <c r="DZ33" s="46"/>
      <c r="EA33" s="93">
        <f t="shared" si="11"/>
        <v>100</v>
      </c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 s="93">
        <f t="shared" si="12"/>
        <v>0</v>
      </c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93">
        <f t="shared" si="13"/>
        <v>0</v>
      </c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93">
        <f t="shared" si="14"/>
        <v>0</v>
      </c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/>
      <c r="IV33" s="46"/>
      <c r="IW33" s="46"/>
      <c r="IX33" s="46"/>
      <c r="IY33" s="46"/>
      <c r="IZ33" s="46"/>
      <c r="JA33" s="46"/>
      <c r="JB33" s="46"/>
      <c r="JC33" s="93">
        <f t="shared" si="15"/>
        <v>0</v>
      </c>
      <c r="JE33" s="46"/>
      <c r="JF33" s="46"/>
      <c r="JG33" s="46"/>
      <c r="JH33" s="46"/>
      <c r="JI33" s="46"/>
      <c r="JJ33" s="46"/>
      <c r="JK33" s="46"/>
      <c r="JL33" s="46"/>
      <c r="JM33" s="46"/>
      <c r="JN33" s="46"/>
      <c r="JO33" s="46"/>
      <c r="JP33" s="46"/>
      <c r="JQ33" s="46"/>
      <c r="JR33" s="46"/>
      <c r="JS33" s="46"/>
      <c r="JT33" s="46"/>
      <c r="JU33" s="46"/>
      <c r="JV33" s="46"/>
      <c r="JW33" s="46"/>
      <c r="JX33" s="46"/>
      <c r="JY33" s="46"/>
      <c r="JZ33" s="46"/>
      <c r="KA33" s="46"/>
      <c r="KB33" s="46"/>
      <c r="KC33" s="46"/>
      <c r="KD33" s="46"/>
      <c r="KE33" s="46"/>
      <c r="KF33" s="46"/>
      <c r="KG33" s="46"/>
      <c r="KH33" s="46"/>
      <c r="KI33" s="46"/>
      <c r="KJ33" s="93">
        <f t="shared" si="16"/>
        <v>0</v>
      </c>
    </row>
    <row r="34" spans="1:296" ht="20.149999999999999" customHeight="1" x14ac:dyDescent="0.5">
      <c r="A34" s="84">
        <f t="shared" si="17"/>
        <v>25</v>
      </c>
      <c r="B34" s="141" t="s">
        <v>20</v>
      </c>
      <c r="C34" s="157" t="s">
        <v>335</v>
      </c>
      <c r="D34" s="46"/>
      <c r="E34" s="46"/>
      <c r="F34" s="46"/>
      <c r="G34" s="46"/>
      <c r="H34" s="46"/>
      <c r="I34" s="46"/>
      <c r="J34" s="46"/>
      <c r="K34" s="46">
        <v>5</v>
      </c>
      <c r="L34" s="46"/>
      <c r="M34" s="46"/>
      <c r="N34" s="46"/>
      <c r="O34" s="46"/>
      <c r="P34" s="46"/>
      <c r="Q34" s="46"/>
      <c r="R34" s="46">
        <f t="shared" si="0"/>
        <v>0</v>
      </c>
      <c r="S34" s="46">
        <f t="shared" si="1"/>
        <v>5</v>
      </c>
      <c r="T34" s="46">
        <f t="shared" si="2"/>
        <v>0</v>
      </c>
      <c r="U34" s="46">
        <f t="shared" si="3"/>
        <v>0</v>
      </c>
      <c r="V34" s="46">
        <f t="shared" si="4"/>
        <v>0</v>
      </c>
      <c r="W34" s="46">
        <f t="shared" si="5"/>
        <v>0</v>
      </c>
      <c r="X34" s="46">
        <f t="shared" si="6"/>
        <v>0</v>
      </c>
      <c r="Y34" s="46">
        <f t="shared" si="7"/>
        <v>0</v>
      </c>
      <c r="Z34" s="90">
        <f t="shared" si="8"/>
        <v>10</v>
      </c>
      <c r="AA34" s="95"/>
      <c r="AB34" s="92">
        <f>'LPLPO GUDANG'!H39</f>
        <v>60</v>
      </c>
      <c r="AC34" s="91">
        <v>-2</v>
      </c>
      <c r="AD34" s="91"/>
      <c r="AE34" s="91"/>
      <c r="AF34" s="91"/>
      <c r="AG34" s="92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93">
        <f t="shared" si="9"/>
        <v>0</v>
      </c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>
        <v>5</v>
      </c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93">
        <f t="shared" si="10"/>
        <v>5</v>
      </c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93">
        <f t="shared" si="11"/>
        <v>0</v>
      </c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93">
        <f t="shared" si="12"/>
        <v>0</v>
      </c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93">
        <f t="shared" si="13"/>
        <v>0</v>
      </c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93">
        <f t="shared" si="14"/>
        <v>0</v>
      </c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/>
      <c r="IV34" s="46"/>
      <c r="IW34" s="46"/>
      <c r="IX34" s="46"/>
      <c r="IY34" s="46"/>
      <c r="IZ34" s="46"/>
      <c r="JA34" s="46"/>
      <c r="JB34" s="46"/>
      <c r="JC34" s="93">
        <f t="shared" si="15"/>
        <v>0</v>
      </c>
      <c r="JE34" s="46"/>
      <c r="JF34" s="46"/>
      <c r="JG34" s="46"/>
      <c r="JH34" s="46"/>
      <c r="JI34" s="46"/>
      <c r="JJ34" s="46"/>
      <c r="JK34" s="46"/>
      <c r="JL34" s="46"/>
      <c r="JM34" s="46"/>
      <c r="JN34" s="46"/>
      <c r="JO34" s="46"/>
      <c r="JP34" s="46"/>
      <c r="JQ34" s="46"/>
      <c r="JR34" s="46"/>
      <c r="JS34" s="46"/>
      <c r="JT34" s="46"/>
      <c r="JU34" s="46"/>
      <c r="JV34" s="46"/>
      <c r="JW34" s="46"/>
      <c r="JX34" s="46"/>
      <c r="JY34" s="46"/>
      <c r="JZ34" s="46"/>
      <c r="KA34" s="46"/>
      <c r="KB34" s="46"/>
      <c r="KC34" s="46"/>
      <c r="KD34" s="46"/>
      <c r="KE34" s="46"/>
      <c r="KF34" s="46"/>
      <c r="KG34" s="46"/>
      <c r="KH34" s="46"/>
      <c r="KI34" s="46"/>
      <c r="KJ34" s="93">
        <f t="shared" si="16"/>
        <v>0</v>
      </c>
    </row>
    <row r="35" spans="1:296" ht="20.149999999999999" customHeight="1" x14ac:dyDescent="0.5">
      <c r="A35" s="84">
        <f t="shared" si="17"/>
        <v>26</v>
      </c>
      <c r="B35" s="141" t="s">
        <v>22</v>
      </c>
      <c r="C35" s="157" t="s">
        <v>330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>
        <f t="shared" si="0"/>
        <v>0</v>
      </c>
      <c r="S35" s="46">
        <f t="shared" si="1"/>
        <v>0</v>
      </c>
      <c r="T35" s="46">
        <f t="shared" si="2"/>
        <v>0</v>
      </c>
      <c r="U35" s="46">
        <f t="shared" si="3"/>
        <v>0</v>
      </c>
      <c r="V35" s="46">
        <f t="shared" si="4"/>
        <v>0</v>
      </c>
      <c r="W35" s="46">
        <f t="shared" si="5"/>
        <v>0</v>
      </c>
      <c r="X35" s="46">
        <f t="shared" si="6"/>
        <v>0</v>
      </c>
      <c r="Y35" s="46">
        <f t="shared" si="7"/>
        <v>0</v>
      </c>
      <c r="Z35" s="90">
        <f t="shared" si="8"/>
        <v>0</v>
      </c>
      <c r="AA35" s="95"/>
      <c r="AB35" s="95">
        <f>'LPLPO GUDANG'!H40</f>
        <v>0</v>
      </c>
      <c r="AC35" s="91"/>
      <c r="AD35" s="91"/>
      <c r="AE35" s="91"/>
      <c r="AF35" s="91"/>
      <c r="AG35" s="92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93">
        <f t="shared" si="9"/>
        <v>0</v>
      </c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93">
        <f t="shared" si="10"/>
        <v>0</v>
      </c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/>
      <c r="DZ35" s="46"/>
      <c r="EA35" s="93">
        <f t="shared" si="11"/>
        <v>0</v>
      </c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/>
      <c r="FE35" s="46"/>
      <c r="FF35" s="46"/>
      <c r="FG35" s="46"/>
      <c r="FH35" s="93">
        <f t="shared" si="12"/>
        <v>0</v>
      </c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93">
        <f t="shared" si="13"/>
        <v>0</v>
      </c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93">
        <f t="shared" si="14"/>
        <v>0</v>
      </c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/>
      <c r="IV35" s="46"/>
      <c r="IW35" s="46"/>
      <c r="IX35" s="46"/>
      <c r="IY35" s="46"/>
      <c r="IZ35" s="46"/>
      <c r="JA35" s="46"/>
      <c r="JB35" s="46"/>
      <c r="JC35" s="93">
        <f t="shared" si="15"/>
        <v>0</v>
      </c>
      <c r="JE35" s="46"/>
      <c r="JF35" s="46"/>
      <c r="JG35" s="46"/>
      <c r="JH35" s="46"/>
      <c r="JI35" s="46"/>
      <c r="JJ35" s="46"/>
      <c r="JK35" s="46"/>
      <c r="JL35" s="46"/>
      <c r="JM35" s="46"/>
      <c r="JN35" s="46"/>
      <c r="JO35" s="46"/>
      <c r="JP35" s="46"/>
      <c r="JQ35" s="46"/>
      <c r="JR35" s="46"/>
      <c r="JS35" s="46"/>
      <c r="JT35" s="46"/>
      <c r="JU35" s="46"/>
      <c r="JV35" s="46"/>
      <c r="JW35" s="46"/>
      <c r="JX35" s="46"/>
      <c r="JY35" s="46"/>
      <c r="JZ35" s="46"/>
      <c r="KA35" s="46"/>
      <c r="KB35" s="46"/>
      <c r="KC35" s="46"/>
      <c r="KD35" s="46"/>
      <c r="KE35" s="46"/>
      <c r="KF35" s="46"/>
      <c r="KG35" s="46"/>
      <c r="KH35" s="46"/>
      <c r="KI35" s="46"/>
      <c r="KJ35" s="93">
        <f t="shared" si="16"/>
        <v>0</v>
      </c>
    </row>
    <row r="36" spans="1:296" ht="20.149999999999999" customHeight="1" x14ac:dyDescent="0.5">
      <c r="A36" s="84">
        <f t="shared" si="17"/>
        <v>27</v>
      </c>
      <c r="B36" s="141" t="s">
        <v>21</v>
      </c>
      <c r="C36" s="159" t="s">
        <v>330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>
        <f t="shared" si="0"/>
        <v>0</v>
      </c>
      <c r="S36" s="46">
        <f t="shared" si="1"/>
        <v>0</v>
      </c>
      <c r="T36" s="46">
        <f t="shared" si="2"/>
        <v>0</v>
      </c>
      <c r="U36" s="46">
        <f t="shared" si="3"/>
        <v>0</v>
      </c>
      <c r="V36" s="46">
        <f t="shared" si="4"/>
        <v>0</v>
      </c>
      <c r="W36" s="46">
        <f t="shared" si="5"/>
        <v>0</v>
      </c>
      <c r="X36" s="46">
        <f t="shared" si="6"/>
        <v>0</v>
      </c>
      <c r="Y36" s="46">
        <f t="shared" si="7"/>
        <v>0</v>
      </c>
      <c r="Z36" s="90">
        <f t="shared" si="8"/>
        <v>0</v>
      </c>
      <c r="AA36" s="95"/>
      <c r="AB36" s="95">
        <f>'LPLPO GUDANG'!H41</f>
        <v>0</v>
      </c>
      <c r="AC36" s="91"/>
      <c r="AD36" s="91"/>
      <c r="AE36" s="91"/>
      <c r="AF36" s="91"/>
      <c r="AG36" s="92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93">
        <f t="shared" si="9"/>
        <v>0</v>
      </c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93">
        <f t="shared" si="10"/>
        <v>0</v>
      </c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93">
        <f t="shared" si="11"/>
        <v>0</v>
      </c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93">
        <f t="shared" si="12"/>
        <v>0</v>
      </c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93">
        <f t="shared" si="13"/>
        <v>0</v>
      </c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93">
        <f t="shared" si="14"/>
        <v>0</v>
      </c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/>
      <c r="IV36" s="46"/>
      <c r="IW36" s="46"/>
      <c r="IX36" s="46"/>
      <c r="IY36" s="46"/>
      <c r="IZ36" s="46"/>
      <c r="JA36" s="46"/>
      <c r="JB36" s="46"/>
      <c r="JC36" s="93">
        <f t="shared" si="15"/>
        <v>0</v>
      </c>
      <c r="JE36" s="46"/>
      <c r="JF36" s="46"/>
      <c r="JG36" s="46"/>
      <c r="JH36" s="46"/>
      <c r="JI36" s="46"/>
      <c r="JJ36" s="46"/>
      <c r="JK36" s="46"/>
      <c r="JL36" s="46"/>
      <c r="JM36" s="46"/>
      <c r="JN36" s="46"/>
      <c r="JO36" s="46"/>
      <c r="JP36" s="46"/>
      <c r="JQ36" s="46"/>
      <c r="JR36" s="46"/>
      <c r="JS36" s="46"/>
      <c r="JT36" s="46"/>
      <c r="JU36" s="46"/>
      <c r="JV36" s="46"/>
      <c r="JW36" s="46"/>
      <c r="JX36" s="46"/>
      <c r="JY36" s="46"/>
      <c r="JZ36" s="46"/>
      <c r="KA36" s="46"/>
      <c r="KB36" s="46"/>
      <c r="KC36" s="46"/>
      <c r="KD36" s="46"/>
      <c r="KE36" s="46"/>
      <c r="KF36" s="46"/>
      <c r="KG36" s="46"/>
      <c r="KH36" s="46"/>
      <c r="KI36" s="46"/>
      <c r="KJ36" s="93">
        <f t="shared" si="16"/>
        <v>0</v>
      </c>
    </row>
    <row r="37" spans="1:296" ht="20.149999999999999" customHeight="1" x14ac:dyDescent="0.5">
      <c r="A37" s="84">
        <f t="shared" si="17"/>
        <v>28</v>
      </c>
      <c r="B37" s="141" t="s">
        <v>23</v>
      </c>
      <c r="C37" s="155" t="s">
        <v>336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>
        <f t="shared" si="0"/>
        <v>0</v>
      </c>
      <c r="S37" s="46">
        <f t="shared" si="1"/>
        <v>0</v>
      </c>
      <c r="T37" s="46">
        <f t="shared" si="2"/>
        <v>0</v>
      </c>
      <c r="U37" s="46">
        <f t="shared" si="3"/>
        <v>0</v>
      </c>
      <c r="V37" s="46">
        <f t="shared" si="4"/>
        <v>0</v>
      </c>
      <c r="W37" s="46">
        <f t="shared" si="5"/>
        <v>0</v>
      </c>
      <c r="X37" s="46">
        <f t="shared" si="6"/>
        <v>0</v>
      </c>
      <c r="Y37" s="46">
        <f t="shared" si="7"/>
        <v>0</v>
      </c>
      <c r="Z37" s="90">
        <f t="shared" si="8"/>
        <v>0</v>
      </c>
      <c r="AA37" s="95"/>
      <c r="AB37" s="95">
        <f>'LPLPO GUDANG'!H42</f>
        <v>0</v>
      </c>
      <c r="AC37" s="91"/>
      <c r="AD37" s="91"/>
      <c r="AE37" s="91"/>
      <c r="AF37" s="91"/>
      <c r="AG37" s="92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93">
        <f t="shared" si="9"/>
        <v>0</v>
      </c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93">
        <f t="shared" si="10"/>
        <v>0</v>
      </c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/>
      <c r="DJ37" s="46"/>
      <c r="DK37" s="46"/>
      <c r="DL37" s="46"/>
      <c r="DM37" s="46"/>
      <c r="DN37" s="46"/>
      <c r="DO37" s="46"/>
      <c r="DP37" s="46"/>
      <c r="DQ37" s="46"/>
      <c r="DR37" s="46"/>
      <c r="DS37" s="46"/>
      <c r="DT37" s="46"/>
      <c r="DU37" s="46"/>
      <c r="DV37" s="46"/>
      <c r="DW37" s="46"/>
      <c r="DX37" s="46"/>
      <c r="DY37" s="46"/>
      <c r="DZ37" s="46"/>
      <c r="EA37" s="93">
        <f t="shared" si="11"/>
        <v>0</v>
      </c>
      <c r="EC37" s="46"/>
      <c r="ED37" s="46"/>
      <c r="EE37" s="46"/>
      <c r="EF37" s="46"/>
      <c r="EG37" s="46"/>
      <c r="EH37" s="46"/>
      <c r="EI37" s="46"/>
      <c r="EJ37" s="46"/>
      <c r="EK37" s="46"/>
      <c r="EL37" s="46"/>
      <c r="EM37" s="46"/>
      <c r="EN37" s="46"/>
      <c r="EO37" s="46"/>
      <c r="EP37" s="46"/>
      <c r="EQ37" s="46"/>
      <c r="ER37" s="46"/>
      <c r="ES37" s="46"/>
      <c r="ET37" s="46"/>
      <c r="EU37" s="46"/>
      <c r="EV37" s="46"/>
      <c r="EW37" s="46"/>
      <c r="EX37" s="46"/>
      <c r="EY37" s="46"/>
      <c r="EZ37" s="46"/>
      <c r="FA37" s="46"/>
      <c r="FB37" s="46"/>
      <c r="FC37" s="46"/>
      <c r="FD37" s="46"/>
      <c r="FE37" s="46"/>
      <c r="FF37" s="46"/>
      <c r="FG37" s="46"/>
      <c r="FH37" s="93">
        <f t="shared" si="12"/>
        <v>0</v>
      </c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93">
        <f t="shared" si="13"/>
        <v>0</v>
      </c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93">
        <f t="shared" si="14"/>
        <v>0</v>
      </c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  <c r="IU37" s="46"/>
      <c r="IV37" s="46"/>
      <c r="IW37" s="46"/>
      <c r="IX37" s="46"/>
      <c r="IY37" s="46"/>
      <c r="IZ37" s="46"/>
      <c r="JA37" s="46"/>
      <c r="JB37" s="46"/>
      <c r="JC37" s="93">
        <f t="shared" si="15"/>
        <v>0</v>
      </c>
      <c r="JE37" s="46"/>
      <c r="JF37" s="46"/>
      <c r="JG37" s="46"/>
      <c r="JH37" s="46"/>
      <c r="JI37" s="46"/>
      <c r="JJ37" s="46"/>
      <c r="JK37" s="46"/>
      <c r="JL37" s="46"/>
      <c r="JM37" s="46"/>
      <c r="JN37" s="46"/>
      <c r="JO37" s="46"/>
      <c r="JP37" s="46"/>
      <c r="JQ37" s="46"/>
      <c r="JR37" s="46"/>
      <c r="JS37" s="46"/>
      <c r="JT37" s="46"/>
      <c r="JU37" s="46"/>
      <c r="JV37" s="46"/>
      <c r="JW37" s="46"/>
      <c r="JX37" s="46"/>
      <c r="JY37" s="46"/>
      <c r="JZ37" s="46"/>
      <c r="KA37" s="46"/>
      <c r="KB37" s="46"/>
      <c r="KC37" s="46"/>
      <c r="KD37" s="46"/>
      <c r="KE37" s="46"/>
      <c r="KF37" s="46"/>
      <c r="KG37" s="46"/>
      <c r="KH37" s="46"/>
      <c r="KI37" s="46"/>
      <c r="KJ37" s="93">
        <f t="shared" si="16"/>
        <v>0</v>
      </c>
    </row>
    <row r="38" spans="1:296" ht="20.149999999999999" customHeight="1" x14ac:dyDescent="0.5">
      <c r="A38" s="84">
        <f t="shared" si="17"/>
        <v>29</v>
      </c>
      <c r="B38" s="141" t="s">
        <v>25</v>
      </c>
      <c r="C38" s="157" t="s">
        <v>327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>
        <f t="shared" si="0"/>
        <v>2500</v>
      </c>
      <c r="S38" s="46">
        <f t="shared" si="1"/>
        <v>0</v>
      </c>
      <c r="T38" s="46">
        <f t="shared" si="2"/>
        <v>0</v>
      </c>
      <c r="U38" s="46">
        <f t="shared" si="3"/>
        <v>0</v>
      </c>
      <c r="V38" s="46">
        <f t="shared" si="4"/>
        <v>0</v>
      </c>
      <c r="W38" s="46">
        <f t="shared" si="5"/>
        <v>0</v>
      </c>
      <c r="X38" s="46">
        <f t="shared" si="6"/>
        <v>0</v>
      </c>
      <c r="Y38" s="46">
        <f t="shared" si="7"/>
        <v>0</v>
      </c>
      <c r="Z38" s="90">
        <f t="shared" si="8"/>
        <v>2500</v>
      </c>
      <c r="AA38" s="95"/>
      <c r="AB38" s="92">
        <f>'LPLPO GUDANG'!H43</f>
        <v>0</v>
      </c>
      <c r="AC38" s="91">
        <v>-100</v>
      </c>
      <c r="AD38" s="91"/>
      <c r="AE38" s="91"/>
      <c r="AF38" s="91"/>
      <c r="AG38" s="92"/>
      <c r="AH38" s="46"/>
      <c r="AI38" s="46">
        <v>1000</v>
      </c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>
        <v>1000</v>
      </c>
      <c r="BA38" s="46"/>
      <c r="BB38" s="46"/>
      <c r="BC38" s="46"/>
      <c r="BD38" s="46"/>
      <c r="BE38" s="46"/>
      <c r="BF38" s="46">
        <v>500</v>
      </c>
      <c r="BG38" s="46"/>
      <c r="BH38" s="46"/>
      <c r="BI38" s="46"/>
      <c r="BJ38" s="46"/>
      <c r="BK38" s="46"/>
      <c r="BL38" s="46"/>
      <c r="BM38" s="93">
        <f t="shared" si="9"/>
        <v>2500</v>
      </c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93">
        <f t="shared" si="10"/>
        <v>0</v>
      </c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/>
      <c r="DJ38" s="46"/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6"/>
      <c r="DW38" s="46"/>
      <c r="DX38" s="46"/>
      <c r="DY38" s="46"/>
      <c r="DZ38" s="46"/>
      <c r="EA38" s="93">
        <f t="shared" si="11"/>
        <v>0</v>
      </c>
      <c r="EC38" s="46"/>
      <c r="ED38" s="46"/>
      <c r="EE38" s="46"/>
      <c r="EF38" s="46"/>
      <c r="EG38" s="46"/>
      <c r="EH38" s="46"/>
      <c r="EI38" s="46"/>
      <c r="EJ38" s="46"/>
      <c r="EK38" s="46"/>
      <c r="EL38" s="46"/>
      <c r="EM38" s="46"/>
      <c r="EN38" s="46"/>
      <c r="EO38" s="46"/>
      <c r="EP38" s="46"/>
      <c r="EQ38" s="46"/>
      <c r="ER38" s="46"/>
      <c r="ES38" s="46"/>
      <c r="ET38" s="46"/>
      <c r="EU38" s="46"/>
      <c r="EV38" s="46"/>
      <c r="EW38" s="46"/>
      <c r="EX38" s="46"/>
      <c r="EY38" s="46"/>
      <c r="EZ38" s="46"/>
      <c r="FA38" s="46"/>
      <c r="FB38" s="46"/>
      <c r="FC38" s="46"/>
      <c r="FD38" s="46"/>
      <c r="FE38" s="46"/>
      <c r="FF38" s="46"/>
      <c r="FG38" s="46"/>
      <c r="FH38" s="93">
        <f t="shared" si="12"/>
        <v>0</v>
      </c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93">
        <f t="shared" si="13"/>
        <v>0</v>
      </c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93">
        <f t="shared" si="14"/>
        <v>0</v>
      </c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  <c r="IT38" s="46"/>
      <c r="IU38" s="46"/>
      <c r="IV38" s="46"/>
      <c r="IW38" s="46"/>
      <c r="IX38" s="46"/>
      <c r="IY38" s="46"/>
      <c r="IZ38" s="46"/>
      <c r="JA38" s="46"/>
      <c r="JB38" s="46"/>
      <c r="JC38" s="93">
        <f t="shared" si="15"/>
        <v>0</v>
      </c>
      <c r="JE38" s="46"/>
      <c r="JF38" s="46"/>
      <c r="JG38" s="46"/>
      <c r="JH38" s="46"/>
      <c r="JI38" s="46"/>
      <c r="JJ38" s="46"/>
      <c r="JK38" s="46"/>
      <c r="JL38" s="46"/>
      <c r="JM38" s="46"/>
      <c r="JN38" s="46"/>
      <c r="JO38" s="46"/>
      <c r="JP38" s="46"/>
      <c r="JQ38" s="46"/>
      <c r="JR38" s="46"/>
      <c r="JS38" s="46"/>
      <c r="JT38" s="46"/>
      <c r="JU38" s="46"/>
      <c r="JV38" s="46"/>
      <c r="JW38" s="46"/>
      <c r="JX38" s="46"/>
      <c r="JY38" s="46"/>
      <c r="JZ38" s="46"/>
      <c r="KA38" s="46"/>
      <c r="KB38" s="46"/>
      <c r="KC38" s="46"/>
      <c r="KD38" s="46"/>
      <c r="KE38" s="46"/>
      <c r="KF38" s="46"/>
      <c r="KG38" s="46"/>
      <c r="KH38" s="46"/>
      <c r="KI38" s="46"/>
      <c r="KJ38" s="93">
        <f t="shared" si="16"/>
        <v>0</v>
      </c>
    </row>
    <row r="39" spans="1:296" x14ac:dyDescent="0.5">
      <c r="A39" s="84">
        <f t="shared" si="17"/>
        <v>30</v>
      </c>
      <c r="B39" s="141" t="s">
        <v>24</v>
      </c>
      <c r="C39" s="160" t="s">
        <v>4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>
        <f t="shared" si="0"/>
        <v>0</v>
      </c>
      <c r="S39" s="46">
        <f t="shared" si="1"/>
        <v>0</v>
      </c>
      <c r="T39" s="46">
        <f t="shared" si="2"/>
        <v>0</v>
      </c>
      <c r="U39" s="46">
        <f t="shared" si="3"/>
        <v>0</v>
      </c>
      <c r="V39" s="46">
        <f t="shared" si="4"/>
        <v>0</v>
      </c>
      <c r="W39" s="46">
        <f t="shared" si="5"/>
        <v>0</v>
      </c>
      <c r="X39" s="46">
        <f t="shared" si="6"/>
        <v>0</v>
      </c>
      <c r="Y39" s="46">
        <f t="shared" si="7"/>
        <v>0</v>
      </c>
      <c r="Z39" s="90">
        <f t="shared" si="8"/>
        <v>0</v>
      </c>
      <c r="AA39" s="95"/>
      <c r="AB39" s="92">
        <f>'LPLPO GUDANG'!H44</f>
        <v>100</v>
      </c>
      <c r="AC39" s="91"/>
      <c r="AD39" s="91"/>
      <c r="AE39" s="91"/>
      <c r="AF39" s="91"/>
      <c r="AG39" s="92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93">
        <f t="shared" si="9"/>
        <v>0</v>
      </c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93">
        <f t="shared" si="10"/>
        <v>0</v>
      </c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6"/>
      <c r="DS39" s="46"/>
      <c r="DT39" s="46"/>
      <c r="DU39" s="46"/>
      <c r="DV39" s="46"/>
      <c r="DW39" s="46"/>
      <c r="DX39" s="46"/>
      <c r="DY39" s="46"/>
      <c r="DZ39" s="46"/>
      <c r="EA39" s="93">
        <f t="shared" si="11"/>
        <v>0</v>
      </c>
      <c r="EC39" s="46"/>
      <c r="ED39" s="46"/>
      <c r="EE39" s="46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6"/>
      <c r="EQ39" s="46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6"/>
      <c r="FC39" s="46"/>
      <c r="FD39" s="46"/>
      <c r="FE39" s="46"/>
      <c r="FF39" s="46"/>
      <c r="FG39" s="46"/>
      <c r="FH39" s="93">
        <f t="shared" si="12"/>
        <v>0</v>
      </c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93">
        <f t="shared" si="13"/>
        <v>0</v>
      </c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93">
        <f t="shared" si="14"/>
        <v>0</v>
      </c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  <c r="IU39" s="46"/>
      <c r="IV39" s="46"/>
      <c r="IW39" s="46"/>
      <c r="IX39" s="46"/>
      <c r="IY39" s="46"/>
      <c r="IZ39" s="46"/>
      <c r="JA39" s="46"/>
      <c r="JB39" s="46"/>
      <c r="JC39" s="93">
        <f t="shared" si="15"/>
        <v>0</v>
      </c>
      <c r="JE39" s="46"/>
      <c r="JF39" s="46"/>
      <c r="JG39" s="46"/>
      <c r="JH39" s="46"/>
      <c r="JI39" s="46"/>
      <c r="JJ39" s="46"/>
      <c r="JK39" s="46"/>
      <c r="JL39" s="46"/>
      <c r="JM39" s="46"/>
      <c r="JN39" s="46"/>
      <c r="JO39" s="46"/>
      <c r="JP39" s="46"/>
      <c r="JQ39" s="46"/>
      <c r="JR39" s="46"/>
      <c r="JS39" s="46"/>
      <c r="JT39" s="46"/>
      <c r="JU39" s="46"/>
      <c r="JV39" s="46"/>
      <c r="JW39" s="46"/>
      <c r="JX39" s="46"/>
      <c r="JY39" s="46"/>
      <c r="JZ39" s="46"/>
      <c r="KA39" s="46"/>
      <c r="KB39" s="46"/>
      <c r="KC39" s="46"/>
      <c r="KD39" s="46"/>
      <c r="KE39" s="46"/>
      <c r="KF39" s="46"/>
      <c r="KG39" s="46"/>
      <c r="KH39" s="46"/>
      <c r="KI39" s="46"/>
      <c r="KJ39" s="93">
        <f t="shared" si="16"/>
        <v>0</v>
      </c>
    </row>
    <row r="40" spans="1:296" ht="20.149999999999999" customHeight="1" x14ac:dyDescent="0.5">
      <c r="A40" s="84">
        <f t="shared" si="17"/>
        <v>31</v>
      </c>
      <c r="B40" s="141" t="s">
        <v>26</v>
      </c>
      <c r="C40" s="157" t="s">
        <v>48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>
        <f t="shared" si="0"/>
        <v>0</v>
      </c>
      <c r="S40" s="46">
        <f t="shared" si="1"/>
        <v>0</v>
      </c>
      <c r="T40" s="46">
        <f t="shared" si="2"/>
        <v>0</v>
      </c>
      <c r="U40" s="46">
        <f t="shared" si="3"/>
        <v>0</v>
      </c>
      <c r="V40" s="46">
        <f t="shared" si="4"/>
        <v>0</v>
      </c>
      <c r="W40" s="46">
        <f t="shared" si="5"/>
        <v>0</v>
      </c>
      <c r="X40" s="46">
        <f t="shared" si="6"/>
        <v>0</v>
      </c>
      <c r="Y40" s="46">
        <f t="shared" si="7"/>
        <v>0</v>
      </c>
      <c r="Z40" s="90">
        <f t="shared" si="8"/>
        <v>0</v>
      </c>
      <c r="AA40" s="95"/>
      <c r="AB40" s="95">
        <f>'LPLPO GUDANG'!H45</f>
        <v>0</v>
      </c>
      <c r="AC40" s="91"/>
      <c r="AD40" s="91"/>
      <c r="AE40" s="91"/>
      <c r="AF40" s="91"/>
      <c r="AG40" s="92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93">
        <f t="shared" si="9"/>
        <v>0</v>
      </c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93">
        <f t="shared" si="10"/>
        <v>0</v>
      </c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93">
        <f t="shared" si="11"/>
        <v>0</v>
      </c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93">
        <f t="shared" si="12"/>
        <v>0</v>
      </c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93">
        <f t="shared" si="13"/>
        <v>0</v>
      </c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93">
        <f t="shared" si="14"/>
        <v>0</v>
      </c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  <c r="IU40" s="46"/>
      <c r="IV40" s="46"/>
      <c r="IW40" s="46"/>
      <c r="IX40" s="46"/>
      <c r="IY40" s="46"/>
      <c r="IZ40" s="46"/>
      <c r="JA40" s="46"/>
      <c r="JB40" s="46"/>
      <c r="JC40" s="93">
        <f t="shared" si="15"/>
        <v>0</v>
      </c>
      <c r="JE40" s="46"/>
      <c r="JF40" s="46"/>
      <c r="JG40" s="46"/>
      <c r="JH40" s="46"/>
      <c r="JI40" s="46"/>
      <c r="JJ40" s="46"/>
      <c r="JK40" s="46"/>
      <c r="JL40" s="46"/>
      <c r="JM40" s="46"/>
      <c r="JN40" s="46"/>
      <c r="JO40" s="46"/>
      <c r="JP40" s="46"/>
      <c r="JQ40" s="46"/>
      <c r="JR40" s="46"/>
      <c r="JS40" s="46"/>
      <c r="JT40" s="46"/>
      <c r="JU40" s="46"/>
      <c r="JV40" s="46"/>
      <c r="JW40" s="46"/>
      <c r="JX40" s="46"/>
      <c r="JY40" s="46"/>
      <c r="JZ40" s="46"/>
      <c r="KA40" s="46"/>
      <c r="KB40" s="46"/>
      <c r="KC40" s="46"/>
      <c r="KD40" s="46"/>
      <c r="KE40" s="46"/>
      <c r="KF40" s="46"/>
      <c r="KG40" s="46"/>
      <c r="KH40" s="46"/>
      <c r="KI40" s="46"/>
      <c r="KJ40" s="93">
        <f t="shared" si="16"/>
        <v>0</v>
      </c>
    </row>
    <row r="41" spans="1:296" ht="20.149999999999999" customHeight="1" x14ac:dyDescent="0.5">
      <c r="A41" s="84">
        <f t="shared" si="17"/>
        <v>32</v>
      </c>
      <c r="B41" s="141" t="s">
        <v>27</v>
      </c>
      <c r="C41" s="157" t="s">
        <v>337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>
        <f t="shared" si="0"/>
        <v>0</v>
      </c>
      <c r="S41" s="46">
        <f t="shared" si="1"/>
        <v>0</v>
      </c>
      <c r="T41" s="46">
        <f t="shared" si="2"/>
        <v>0</v>
      </c>
      <c r="U41" s="46">
        <f t="shared" si="3"/>
        <v>0</v>
      </c>
      <c r="V41" s="46">
        <f t="shared" si="4"/>
        <v>0</v>
      </c>
      <c r="W41" s="46">
        <f t="shared" si="5"/>
        <v>0</v>
      </c>
      <c r="X41" s="46">
        <f t="shared" si="6"/>
        <v>0</v>
      </c>
      <c r="Y41" s="46">
        <f t="shared" si="7"/>
        <v>0</v>
      </c>
      <c r="Z41" s="90">
        <f t="shared" si="8"/>
        <v>0</v>
      </c>
      <c r="AA41" s="95"/>
      <c r="AB41" s="92">
        <f>'LPLPO GUDANG'!H46</f>
        <v>5</v>
      </c>
      <c r="AC41" s="91"/>
      <c r="AD41" s="91"/>
      <c r="AE41" s="91"/>
      <c r="AF41" s="91"/>
      <c r="AG41" s="92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93">
        <f t="shared" si="9"/>
        <v>0</v>
      </c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93">
        <f t="shared" si="10"/>
        <v>0</v>
      </c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/>
      <c r="DJ41" s="46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6"/>
      <c r="DW41" s="46"/>
      <c r="DX41" s="46"/>
      <c r="DY41" s="46"/>
      <c r="DZ41" s="46"/>
      <c r="EA41" s="93">
        <f t="shared" si="11"/>
        <v>0</v>
      </c>
      <c r="EC41" s="46"/>
      <c r="ED41" s="46"/>
      <c r="EE41" s="46"/>
      <c r="EF41" s="46"/>
      <c r="EG41" s="46"/>
      <c r="EH41" s="46"/>
      <c r="EI41" s="46"/>
      <c r="EJ41" s="46"/>
      <c r="EK41" s="46"/>
      <c r="EL41" s="46"/>
      <c r="EM41" s="46"/>
      <c r="EN41" s="46"/>
      <c r="EO41" s="46"/>
      <c r="EP41" s="46"/>
      <c r="EQ41" s="46"/>
      <c r="ER41" s="46"/>
      <c r="ES41" s="46"/>
      <c r="ET41" s="46"/>
      <c r="EU41" s="46"/>
      <c r="EV41" s="46"/>
      <c r="EW41" s="46"/>
      <c r="EX41" s="46"/>
      <c r="EY41" s="46"/>
      <c r="EZ41" s="46"/>
      <c r="FA41" s="46"/>
      <c r="FB41" s="46"/>
      <c r="FC41" s="46"/>
      <c r="FD41" s="46"/>
      <c r="FE41" s="46"/>
      <c r="FF41" s="46"/>
      <c r="FG41" s="46"/>
      <c r="FH41" s="93">
        <f t="shared" si="12"/>
        <v>0</v>
      </c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93">
        <f t="shared" si="13"/>
        <v>0</v>
      </c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93">
        <f t="shared" si="14"/>
        <v>0</v>
      </c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  <c r="IU41" s="46"/>
      <c r="IV41" s="46"/>
      <c r="IW41" s="46"/>
      <c r="IX41" s="46"/>
      <c r="IY41" s="46"/>
      <c r="IZ41" s="46"/>
      <c r="JA41" s="46"/>
      <c r="JB41" s="46"/>
      <c r="JC41" s="93">
        <f t="shared" si="15"/>
        <v>0</v>
      </c>
      <c r="JE41" s="46"/>
      <c r="JF41" s="46"/>
      <c r="JG41" s="46"/>
      <c r="JH41" s="46"/>
      <c r="JI41" s="46"/>
      <c r="JJ41" s="46"/>
      <c r="JK41" s="46"/>
      <c r="JL41" s="46"/>
      <c r="JM41" s="46"/>
      <c r="JN41" s="46"/>
      <c r="JO41" s="46"/>
      <c r="JP41" s="46"/>
      <c r="JQ41" s="46"/>
      <c r="JR41" s="46"/>
      <c r="JS41" s="46"/>
      <c r="JT41" s="46"/>
      <c r="JU41" s="46"/>
      <c r="JV41" s="46"/>
      <c r="JW41" s="46"/>
      <c r="JX41" s="46"/>
      <c r="JY41" s="46"/>
      <c r="JZ41" s="46"/>
      <c r="KA41" s="46"/>
      <c r="KB41" s="46"/>
      <c r="KC41" s="46"/>
      <c r="KD41" s="46"/>
      <c r="KE41" s="46"/>
      <c r="KF41" s="46"/>
      <c r="KG41" s="46"/>
      <c r="KH41" s="46"/>
      <c r="KI41" s="46"/>
      <c r="KJ41" s="93">
        <f t="shared" si="16"/>
        <v>0</v>
      </c>
    </row>
    <row r="42" spans="1:296" ht="20.149999999999999" customHeight="1" x14ac:dyDescent="0.5">
      <c r="A42" s="84">
        <f t="shared" si="17"/>
        <v>33</v>
      </c>
      <c r="B42" s="141" t="s">
        <v>28</v>
      </c>
      <c r="C42" s="157" t="s">
        <v>338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>
        <f t="shared" si="0"/>
        <v>0</v>
      </c>
      <c r="S42" s="46">
        <f t="shared" si="1"/>
        <v>0</v>
      </c>
      <c r="T42" s="46">
        <f t="shared" si="2"/>
        <v>0</v>
      </c>
      <c r="U42" s="46">
        <f t="shared" si="3"/>
        <v>0</v>
      </c>
      <c r="V42" s="46">
        <f t="shared" si="4"/>
        <v>0</v>
      </c>
      <c r="W42" s="46">
        <f t="shared" si="5"/>
        <v>0</v>
      </c>
      <c r="X42" s="46">
        <f t="shared" si="6"/>
        <v>0</v>
      </c>
      <c r="Y42" s="46">
        <f t="shared" si="7"/>
        <v>0</v>
      </c>
      <c r="Z42" s="90">
        <f t="shared" si="8"/>
        <v>0</v>
      </c>
      <c r="AA42" s="95"/>
      <c r="AB42" s="95">
        <f>'LPLPO GUDANG'!H47</f>
        <v>0</v>
      </c>
      <c r="AC42" s="91"/>
      <c r="AD42" s="91"/>
      <c r="AE42" s="91"/>
      <c r="AF42" s="91"/>
      <c r="AG42" s="92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93">
        <f t="shared" si="9"/>
        <v>0</v>
      </c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93">
        <f t="shared" si="10"/>
        <v>0</v>
      </c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/>
      <c r="DJ42" s="46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6"/>
      <c r="DW42" s="46"/>
      <c r="DX42" s="46"/>
      <c r="DY42" s="46"/>
      <c r="DZ42" s="46"/>
      <c r="EA42" s="93">
        <f t="shared" si="11"/>
        <v>0</v>
      </c>
      <c r="EC42" s="46"/>
      <c r="ED42" s="46"/>
      <c r="EE42" s="46"/>
      <c r="EF42" s="46"/>
      <c r="EG42" s="46"/>
      <c r="EH42" s="46"/>
      <c r="EI42" s="46"/>
      <c r="EJ42" s="46"/>
      <c r="EK42" s="46"/>
      <c r="EL42" s="46"/>
      <c r="EM42" s="46"/>
      <c r="EN42" s="46"/>
      <c r="EO42" s="46"/>
      <c r="EP42" s="46"/>
      <c r="EQ42" s="46"/>
      <c r="ER42" s="46"/>
      <c r="ES42" s="46"/>
      <c r="ET42" s="46"/>
      <c r="EU42" s="46"/>
      <c r="EV42" s="46"/>
      <c r="EW42" s="46"/>
      <c r="EX42" s="46"/>
      <c r="EY42" s="46"/>
      <c r="EZ42" s="46"/>
      <c r="FA42" s="46"/>
      <c r="FB42" s="46"/>
      <c r="FC42" s="46"/>
      <c r="FD42" s="46"/>
      <c r="FE42" s="46"/>
      <c r="FF42" s="46"/>
      <c r="FG42" s="46"/>
      <c r="FH42" s="93">
        <f t="shared" si="12"/>
        <v>0</v>
      </c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93">
        <f t="shared" si="13"/>
        <v>0</v>
      </c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93">
        <f t="shared" si="14"/>
        <v>0</v>
      </c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  <c r="IU42" s="46"/>
      <c r="IV42" s="46"/>
      <c r="IW42" s="46"/>
      <c r="IX42" s="46"/>
      <c r="IY42" s="46"/>
      <c r="IZ42" s="46"/>
      <c r="JA42" s="46"/>
      <c r="JB42" s="46"/>
      <c r="JC42" s="93">
        <f t="shared" si="15"/>
        <v>0</v>
      </c>
      <c r="JE42" s="46"/>
      <c r="JF42" s="46"/>
      <c r="JG42" s="46"/>
      <c r="JH42" s="46"/>
      <c r="JI42" s="46"/>
      <c r="JJ42" s="46"/>
      <c r="JK42" s="46"/>
      <c r="JL42" s="46"/>
      <c r="JM42" s="46"/>
      <c r="JN42" s="46"/>
      <c r="JO42" s="46"/>
      <c r="JP42" s="46"/>
      <c r="JQ42" s="46"/>
      <c r="JR42" s="46"/>
      <c r="JS42" s="46"/>
      <c r="JT42" s="46"/>
      <c r="JU42" s="46"/>
      <c r="JV42" s="46"/>
      <c r="JW42" s="46"/>
      <c r="JX42" s="46"/>
      <c r="JY42" s="46"/>
      <c r="JZ42" s="46"/>
      <c r="KA42" s="46"/>
      <c r="KB42" s="46"/>
      <c r="KC42" s="46"/>
      <c r="KD42" s="46"/>
      <c r="KE42" s="46"/>
      <c r="KF42" s="46"/>
      <c r="KG42" s="46"/>
      <c r="KH42" s="46"/>
      <c r="KI42" s="46"/>
      <c r="KJ42" s="93">
        <f t="shared" si="16"/>
        <v>0</v>
      </c>
    </row>
    <row r="43" spans="1:296" ht="20.149999999999999" customHeight="1" x14ac:dyDescent="0.5">
      <c r="A43" s="84">
        <f t="shared" si="17"/>
        <v>34</v>
      </c>
      <c r="B43" s="141" t="s">
        <v>29</v>
      </c>
      <c r="C43" s="157" t="s">
        <v>339</v>
      </c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>
        <f t="shared" si="0"/>
        <v>0</v>
      </c>
      <c r="S43" s="46">
        <f t="shared" si="1"/>
        <v>0</v>
      </c>
      <c r="T43" s="46">
        <f t="shared" si="2"/>
        <v>0</v>
      </c>
      <c r="U43" s="46">
        <f t="shared" si="3"/>
        <v>0</v>
      </c>
      <c r="V43" s="46">
        <f t="shared" si="4"/>
        <v>0</v>
      </c>
      <c r="W43" s="46">
        <f t="shared" si="5"/>
        <v>0</v>
      </c>
      <c r="X43" s="46">
        <f t="shared" si="6"/>
        <v>0</v>
      </c>
      <c r="Y43" s="46">
        <f t="shared" si="7"/>
        <v>0</v>
      </c>
      <c r="Z43" s="90">
        <f t="shared" si="8"/>
        <v>0</v>
      </c>
      <c r="AA43" s="95"/>
      <c r="AB43" s="95">
        <f>'LPLPO GUDANG'!H48</f>
        <v>0</v>
      </c>
      <c r="AC43" s="91"/>
      <c r="AD43" s="91"/>
      <c r="AE43" s="91"/>
      <c r="AF43" s="91"/>
      <c r="AG43" s="92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93">
        <f t="shared" si="9"/>
        <v>0</v>
      </c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93">
        <f t="shared" si="10"/>
        <v>0</v>
      </c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93">
        <f t="shared" si="11"/>
        <v>0</v>
      </c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93">
        <f t="shared" si="12"/>
        <v>0</v>
      </c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93">
        <f t="shared" si="13"/>
        <v>0</v>
      </c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93">
        <f t="shared" si="14"/>
        <v>0</v>
      </c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  <c r="IU43" s="46"/>
      <c r="IV43" s="46"/>
      <c r="IW43" s="46"/>
      <c r="IX43" s="46"/>
      <c r="IY43" s="46"/>
      <c r="IZ43" s="46"/>
      <c r="JA43" s="46"/>
      <c r="JB43" s="46"/>
      <c r="JC43" s="93">
        <f t="shared" si="15"/>
        <v>0</v>
      </c>
      <c r="JE43" s="46"/>
      <c r="JF43" s="46"/>
      <c r="JG43" s="46"/>
      <c r="JH43" s="46"/>
      <c r="JI43" s="46"/>
      <c r="JJ43" s="46"/>
      <c r="JK43" s="46"/>
      <c r="JL43" s="46"/>
      <c r="JM43" s="46"/>
      <c r="JN43" s="46"/>
      <c r="JO43" s="46"/>
      <c r="JP43" s="46"/>
      <c r="JQ43" s="46"/>
      <c r="JR43" s="46"/>
      <c r="JS43" s="46"/>
      <c r="JT43" s="46"/>
      <c r="JU43" s="46"/>
      <c r="JV43" s="46"/>
      <c r="JW43" s="46"/>
      <c r="JX43" s="46"/>
      <c r="JY43" s="46"/>
      <c r="JZ43" s="46"/>
      <c r="KA43" s="46"/>
      <c r="KB43" s="46"/>
      <c r="KC43" s="46"/>
      <c r="KD43" s="46"/>
      <c r="KE43" s="46"/>
      <c r="KF43" s="46"/>
      <c r="KG43" s="46"/>
      <c r="KH43" s="46"/>
      <c r="KI43" s="46"/>
      <c r="KJ43" s="93">
        <f t="shared" si="16"/>
        <v>0</v>
      </c>
    </row>
    <row r="44" spans="1:296" ht="20.149999999999999" customHeight="1" x14ac:dyDescent="0.5">
      <c r="A44" s="84">
        <f t="shared" si="17"/>
        <v>35</v>
      </c>
      <c r="B44" s="141" t="s">
        <v>30</v>
      </c>
      <c r="C44" s="161" t="s">
        <v>337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>
        <f t="shared" si="0"/>
        <v>0</v>
      </c>
      <c r="S44" s="46">
        <f t="shared" si="1"/>
        <v>0</v>
      </c>
      <c r="T44" s="46">
        <f t="shared" si="2"/>
        <v>0</v>
      </c>
      <c r="U44" s="46">
        <f t="shared" si="3"/>
        <v>0</v>
      </c>
      <c r="V44" s="46">
        <f t="shared" si="4"/>
        <v>0</v>
      </c>
      <c r="W44" s="46">
        <f t="shared" si="5"/>
        <v>0</v>
      </c>
      <c r="X44" s="46">
        <f t="shared" si="6"/>
        <v>0</v>
      </c>
      <c r="Y44" s="46">
        <f t="shared" si="7"/>
        <v>0</v>
      </c>
      <c r="Z44" s="90">
        <f t="shared" si="8"/>
        <v>0</v>
      </c>
      <c r="AA44" s="95"/>
      <c r="AB44" s="92">
        <f>'LPLPO GUDANG'!H49</f>
        <v>20</v>
      </c>
      <c r="AC44" s="91"/>
      <c r="AD44" s="91"/>
      <c r="AE44" s="91"/>
      <c r="AF44" s="91"/>
      <c r="AG44" s="92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93">
        <f t="shared" si="9"/>
        <v>0</v>
      </c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93">
        <f t="shared" si="10"/>
        <v>0</v>
      </c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46"/>
      <c r="DY44" s="46"/>
      <c r="DZ44" s="46"/>
      <c r="EA44" s="93">
        <f t="shared" si="11"/>
        <v>0</v>
      </c>
      <c r="EC44" s="46"/>
      <c r="ED44" s="46"/>
      <c r="EE44" s="46"/>
      <c r="EF44" s="46"/>
      <c r="EG44" s="46"/>
      <c r="EH44" s="46"/>
      <c r="EI44" s="46"/>
      <c r="EJ44" s="46"/>
      <c r="EK44" s="46"/>
      <c r="EL44" s="46"/>
      <c r="EM44" s="46"/>
      <c r="EN44" s="46"/>
      <c r="EO44" s="46"/>
      <c r="EP44" s="46"/>
      <c r="EQ44" s="46"/>
      <c r="ER44" s="46"/>
      <c r="ES44" s="46"/>
      <c r="ET44" s="46"/>
      <c r="EU44" s="46"/>
      <c r="EV44" s="46"/>
      <c r="EW44" s="46"/>
      <c r="EX44" s="46"/>
      <c r="EY44" s="46"/>
      <c r="EZ44" s="46"/>
      <c r="FA44" s="46"/>
      <c r="FB44" s="46"/>
      <c r="FC44" s="46"/>
      <c r="FD44" s="46"/>
      <c r="FE44" s="46"/>
      <c r="FF44" s="46"/>
      <c r="FG44" s="46"/>
      <c r="FH44" s="93">
        <f t="shared" si="12"/>
        <v>0</v>
      </c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93">
        <f t="shared" si="13"/>
        <v>0</v>
      </c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93">
        <f t="shared" si="14"/>
        <v>0</v>
      </c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  <c r="IU44" s="46"/>
      <c r="IV44" s="46"/>
      <c r="IW44" s="46"/>
      <c r="IX44" s="46"/>
      <c r="IY44" s="46"/>
      <c r="IZ44" s="46"/>
      <c r="JA44" s="46"/>
      <c r="JB44" s="46"/>
      <c r="JC44" s="93">
        <f t="shared" si="15"/>
        <v>0</v>
      </c>
      <c r="JE44" s="46"/>
      <c r="JF44" s="46"/>
      <c r="JG44" s="46"/>
      <c r="JH44" s="46"/>
      <c r="JI44" s="46"/>
      <c r="JJ44" s="46"/>
      <c r="JK44" s="46"/>
      <c r="JL44" s="46"/>
      <c r="JM44" s="46"/>
      <c r="JN44" s="46"/>
      <c r="JO44" s="46"/>
      <c r="JP44" s="46"/>
      <c r="JQ44" s="46"/>
      <c r="JR44" s="46"/>
      <c r="JS44" s="46"/>
      <c r="JT44" s="46"/>
      <c r="JU44" s="46"/>
      <c r="JV44" s="46"/>
      <c r="JW44" s="46"/>
      <c r="JX44" s="46"/>
      <c r="JY44" s="46"/>
      <c r="JZ44" s="46"/>
      <c r="KA44" s="46"/>
      <c r="KB44" s="46"/>
      <c r="KC44" s="46"/>
      <c r="KD44" s="46"/>
      <c r="KE44" s="46"/>
      <c r="KF44" s="46"/>
      <c r="KG44" s="46"/>
      <c r="KH44" s="46"/>
      <c r="KI44" s="46"/>
      <c r="KJ44" s="93">
        <f t="shared" si="16"/>
        <v>0</v>
      </c>
    </row>
    <row r="45" spans="1:296" ht="20.149999999999999" customHeight="1" x14ac:dyDescent="0.5">
      <c r="A45" s="84">
        <f t="shared" si="17"/>
        <v>36</v>
      </c>
      <c r="B45" s="141" t="s">
        <v>31</v>
      </c>
      <c r="C45" s="162" t="s">
        <v>327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>
        <f t="shared" si="0"/>
        <v>400</v>
      </c>
      <c r="S45" s="46">
        <f t="shared" si="1"/>
        <v>0</v>
      </c>
      <c r="T45" s="46">
        <f t="shared" si="2"/>
        <v>0</v>
      </c>
      <c r="U45" s="46">
        <f t="shared" si="3"/>
        <v>0</v>
      </c>
      <c r="V45" s="46">
        <f t="shared" si="4"/>
        <v>0</v>
      </c>
      <c r="W45" s="46">
        <f t="shared" si="5"/>
        <v>0</v>
      </c>
      <c r="X45" s="46">
        <f t="shared" si="6"/>
        <v>0</v>
      </c>
      <c r="Y45" s="46">
        <f t="shared" si="7"/>
        <v>0</v>
      </c>
      <c r="Z45" s="90">
        <f t="shared" si="8"/>
        <v>400</v>
      </c>
      <c r="AA45" s="95"/>
      <c r="AB45" s="92">
        <f>'LPLPO GUDANG'!H50</f>
        <v>0</v>
      </c>
      <c r="AC45" s="91"/>
      <c r="AD45" s="91"/>
      <c r="AE45" s="91"/>
      <c r="AF45" s="91"/>
      <c r="AG45" s="92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>
        <v>400</v>
      </c>
      <c r="BG45" s="46"/>
      <c r="BH45" s="46"/>
      <c r="BI45" s="46"/>
      <c r="BJ45" s="46"/>
      <c r="BK45" s="46"/>
      <c r="BL45" s="46"/>
      <c r="BM45" s="93">
        <f t="shared" si="9"/>
        <v>400</v>
      </c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93">
        <f t="shared" si="10"/>
        <v>0</v>
      </c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46"/>
      <c r="DY45" s="46"/>
      <c r="DZ45" s="46"/>
      <c r="EA45" s="93">
        <f t="shared" si="11"/>
        <v>0</v>
      </c>
      <c r="EC45" s="46"/>
      <c r="ED45" s="46"/>
      <c r="EE45" s="46"/>
      <c r="EF45" s="46"/>
      <c r="EG45" s="46"/>
      <c r="EH45" s="46"/>
      <c r="EI45" s="46"/>
      <c r="EJ45" s="46"/>
      <c r="EK45" s="46"/>
      <c r="EL45" s="46"/>
      <c r="EM45" s="46"/>
      <c r="EN45" s="46"/>
      <c r="EO45" s="46"/>
      <c r="EP45" s="46"/>
      <c r="EQ45" s="46"/>
      <c r="ER45" s="46"/>
      <c r="ES45" s="46"/>
      <c r="ET45" s="46"/>
      <c r="EU45" s="46"/>
      <c r="EV45" s="46"/>
      <c r="EW45" s="46"/>
      <c r="EX45" s="46"/>
      <c r="EY45" s="46"/>
      <c r="EZ45" s="46"/>
      <c r="FA45" s="46"/>
      <c r="FB45" s="46"/>
      <c r="FC45" s="46"/>
      <c r="FD45" s="46"/>
      <c r="FE45" s="46"/>
      <c r="FF45" s="46"/>
      <c r="FG45" s="46"/>
      <c r="FH45" s="93">
        <f t="shared" si="12"/>
        <v>0</v>
      </c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93">
        <f t="shared" si="13"/>
        <v>0</v>
      </c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93">
        <f t="shared" si="14"/>
        <v>0</v>
      </c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  <c r="IT45" s="46"/>
      <c r="IU45" s="46"/>
      <c r="IV45" s="46"/>
      <c r="IW45" s="46"/>
      <c r="IX45" s="46"/>
      <c r="IY45" s="46"/>
      <c r="IZ45" s="46"/>
      <c r="JA45" s="46"/>
      <c r="JB45" s="46"/>
      <c r="JC45" s="93">
        <f t="shared" si="15"/>
        <v>0</v>
      </c>
      <c r="JE45" s="46"/>
      <c r="JF45" s="46"/>
      <c r="JG45" s="46"/>
      <c r="JH45" s="46"/>
      <c r="JI45" s="46"/>
      <c r="JJ45" s="46"/>
      <c r="JK45" s="46"/>
      <c r="JL45" s="46"/>
      <c r="JM45" s="46"/>
      <c r="JN45" s="46"/>
      <c r="JO45" s="46"/>
      <c r="JP45" s="46"/>
      <c r="JQ45" s="46"/>
      <c r="JR45" s="46"/>
      <c r="JS45" s="46"/>
      <c r="JT45" s="46"/>
      <c r="JU45" s="46"/>
      <c r="JV45" s="46"/>
      <c r="JW45" s="46"/>
      <c r="JX45" s="46"/>
      <c r="JY45" s="46"/>
      <c r="JZ45" s="46"/>
      <c r="KA45" s="46"/>
      <c r="KB45" s="46"/>
      <c r="KC45" s="46"/>
      <c r="KD45" s="46"/>
      <c r="KE45" s="46"/>
      <c r="KF45" s="46"/>
      <c r="KG45" s="46"/>
      <c r="KH45" s="46"/>
      <c r="KI45" s="46"/>
      <c r="KJ45" s="93">
        <f t="shared" si="16"/>
        <v>0</v>
      </c>
    </row>
    <row r="46" spans="1:296" ht="20.149999999999999" customHeight="1" x14ac:dyDescent="0.5">
      <c r="A46" s="84">
        <f t="shared" si="17"/>
        <v>37</v>
      </c>
      <c r="B46" s="141" t="s">
        <v>32</v>
      </c>
      <c r="C46" s="162" t="s">
        <v>340</v>
      </c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>
        <f t="shared" si="0"/>
        <v>0</v>
      </c>
      <c r="S46" s="46">
        <f t="shared" si="1"/>
        <v>0</v>
      </c>
      <c r="T46" s="46">
        <f t="shared" si="2"/>
        <v>0</v>
      </c>
      <c r="U46" s="46">
        <f t="shared" si="3"/>
        <v>0</v>
      </c>
      <c r="V46" s="46">
        <f t="shared" si="4"/>
        <v>0</v>
      </c>
      <c r="W46" s="46">
        <f t="shared" si="5"/>
        <v>0</v>
      </c>
      <c r="X46" s="46">
        <f t="shared" si="6"/>
        <v>0</v>
      </c>
      <c r="Y46" s="46">
        <f t="shared" si="7"/>
        <v>0</v>
      </c>
      <c r="Z46" s="90">
        <f t="shared" si="8"/>
        <v>0</v>
      </c>
      <c r="AA46" s="95"/>
      <c r="AB46" s="92">
        <f>'LPLPO GUDANG'!H51</f>
        <v>200</v>
      </c>
      <c r="AC46" s="91"/>
      <c r="AD46" s="91"/>
      <c r="AE46" s="91"/>
      <c r="AF46" s="91"/>
      <c r="AG46" s="92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93">
        <f t="shared" si="9"/>
        <v>0</v>
      </c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93">
        <f t="shared" si="10"/>
        <v>0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/>
      <c r="DZ46" s="46"/>
      <c r="EA46" s="93">
        <f t="shared" si="11"/>
        <v>0</v>
      </c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/>
      <c r="FE46" s="46"/>
      <c r="FF46" s="46"/>
      <c r="FG46" s="46"/>
      <c r="FH46" s="93">
        <f t="shared" si="12"/>
        <v>0</v>
      </c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93">
        <f t="shared" si="13"/>
        <v>0</v>
      </c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93">
        <f t="shared" si="14"/>
        <v>0</v>
      </c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  <c r="IU46" s="46"/>
      <c r="IV46" s="46"/>
      <c r="IW46" s="46"/>
      <c r="IX46" s="46"/>
      <c r="IY46" s="46"/>
      <c r="IZ46" s="46"/>
      <c r="JA46" s="46"/>
      <c r="JB46" s="46"/>
      <c r="JC46" s="93">
        <f t="shared" si="15"/>
        <v>0</v>
      </c>
      <c r="JE46" s="46"/>
      <c r="JF46" s="46"/>
      <c r="JG46" s="46"/>
      <c r="JH46" s="46"/>
      <c r="JI46" s="46"/>
      <c r="JJ46" s="46"/>
      <c r="JK46" s="46"/>
      <c r="JL46" s="46"/>
      <c r="JM46" s="46"/>
      <c r="JN46" s="46"/>
      <c r="JO46" s="46"/>
      <c r="JP46" s="46"/>
      <c r="JQ46" s="46"/>
      <c r="JR46" s="46"/>
      <c r="JS46" s="46"/>
      <c r="JT46" s="46"/>
      <c r="JU46" s="46"/>
      <c r="JV46" s="46"/>
      <c r="JW46" s="46"/>
      <c r="JX46" s="46"/>
      <c r="JY46" s="46"/>
      <c r="JZ46" s="46"/>
      <c r="KA46" s="46"/>
      <c r="KB46" s="46"/>
      <c r="KC46" s="46"/>
      <c r="KD46" s="46"/>
      <c r="KE46" s="46"/>
      <c r="KF46" s="46"/>
      <c r="KG46" s="46"/>
      <c r="KH46" s="46"/>
      <c r="KI46" s="46"/>
      <c r="KJ46" s="93">
        <f t="shared" si="16"/>
        <v>0</v>
      </c>
    </row>
    <row r="47" spans="1:296" ht="20.149999999999999" customHeight="1" x14ac:dyDescent="0.5">
      <c r="A47" s="84">
        <f t="shared" si="17"/>
        <v>38</v>
      </c>
      <c r="B47" s="141" t="s">
        <v>34</v>
      </c>
      <c r="C47" s="157" t="s">
        <v>48</v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>
        <f t="shared" si="0"/>
        <v>0</v>
      </c>
      <c r="S47" s="46">
        <f t="shared" si="1"/>
        <v>0</v>
      </c>
      <c r="T47" s="46">
        <f t="shared" si="2"/>
        <v>10</v>
      </c>
      <c r="U47" s="46">
        <f t="shared" si="3"/>
        <v>0</v>
      </c>
      <c r="V47" s="46">
        <f t="shared" si="4"/>
        <v>0</v>
      </c>
      <c r="W47" s="46">
        <f t="shared" si="5"/>
        <v>0</v>
      </c>
      <c r="X47" s="46">
        <f t="shared" si="6"/>
        <v>0</v>
      </c>
      <c r="Y47" s="46">
        <f t="shared" si="7"/>
        <v>0</v>
      </c>
      <c r="Z47" s="90">
        <f t="shared" si="8"/>
        <v>10</v>
      </c>
      <c r="AA47" s="95"/>
      <c r="AB47" s="92">
        <f>'LPLPO GUDANG'!H52</f>
        <v>85</v>
      </c>
      <c r="AC47" s="91"/>
      <c r="AD47" s="91"/>
      <c r="AE47" s="91"/>
      <c r="AF47" s="91"/>
      <c r="AG47" s="92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93">
        <f t="shared" si="9"/>
        <v>0</v>
      </c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93">
        <f t="shared" si="10"/>
        <v>0</v>
      </c>
      <c r="CV47" s="46"/>
      <c r="CW47" s="46"/>
      <c r="CX47" s="46">
        <v>10</v>
      </c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93">
        <f t="shared" si="11"/>
        <v>10</v>
      </c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93">
        <f t="shared" si="12"/>
        <v>0</v>
      </c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93">
        <f t="shared" si="13"/>
        <v>0</v>
      </c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93">
        <f t="shared" si="14"/>
        <v>0</v>
      </c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  <c r="IU47" s="46"/>
      <c r="IV47" s="46"/>
      <c r="IW47" s="46"/>
      <c r="IX47" s="46"/>
      <c r="IY47" s="46"/>
      <c r="IZ47" s="46"/>
      <c r="JA47" s="46"/>
      <c r="JB47" s="46"/>
      <c r="JC47" s="93">
        <f t="shared" si="15"/>
        <v>0</v>
      </c>
      <c r="JE47" s="46"/>
      <c r="JF47" s="46"/>
      <c r="JG47" s="46"/>
      <c r="JH47" s="46"/>
      <c r="JI47" s="46"/>
      <c r="JJ47" s="46"/>
      <c r="JK47" s="46"/>
      <c r="JL47" s="46"/>
      <c r="JM47" s="46"/>
      <c r="JN47" s="46"/>
      <c r="JO47" s="46"/>
      <c r="JP47" s="46"/>
      <c r="JQ47" s="46"/>
      <c r="JR47" s="46"/>
      <c r="JS47" s="46"/>
      <c r="JT47" s="46"/>
      <c r="JU47" s="46"/>
      <c r="JV47" s="46"/>
      <c r="JW47" s="46"/>
      <c r="JX47" s="46"/>
      <c r="JY47" s="46"/>
      <c r="JZ47" s="46"/>
      <c r="KA47" s="46"/>
      <c r="KB47" s="46"/>
      <c r="KC47" s="46"/>
      <c r="KD47" s="46"/>
      <c r="KE47" s="46"/>
      <c r="KF47" s="46"/>
      <c r="KG47" s="46"/>
      <c r="KH47" s="46"/>
      <c r="KI47" s="46"/>
      <c r="KJ47" s="93">
        <f t="shared" si="16"/>
        <v>0</v>
      </c>
    </row>
    <row r="48" spans="1:296" ht="20.149999999999999" customHeight="1" x14ac:dyDescent="0.5">
      <c r="A48" s="84">
        <f t="shared" si="17"/>
        <v>39</v>
      </c>
      <c r="B48" s="141" t="s">
        <v>35</v>
      </c>
      <c r="C48" s="155" t="s">
        <v>4</v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>
        <f t="shared" si="0"/>
        <v>0</v>
      </c>
      <c r="S48" s="46">
        <f t="shared" si="1"/>
        <v>0</v>
      </c>
      <c r="T48" s="46">
        <f t="shared" si="2"/>
        <v>0</v>
      </c>
      <c r="U48" s="46">
        <f t="shared" si="3"/>
        <v>0</v>
      </c>
      <c r="V48" s="46">
        <f t="shared" si="4"/>
        <v>0</v>
      </c>
      <c r="W48" s="46">
        <f t="shared" si="5"/>
        <v>0</v>
      </c>
      <c r="X48" s="46">
        <f t="shared" si="6"/>
        <v>0</v>
      </c>
      <c r="Y48" s="46">
        <f t="shared" si="7"/>
        <v>0</v>
      </c>
      <c r="Z48" s="90">
        <f t="shared" si="8"/>
        <v>0</v>
      </c>
      <c r="AA48" s="95"/>
      <c r="AB48" s="92">
        <f>'LPLPO GUDANG'!H53</f>
        <v>15</v>
      </c>
      <c r="AC48" s="91"/>
      <c r="AD48" s="91"/>
      <c r="AE48" s="91"/>
      <c r="AF48" s="91"/>
      <c r="AG48" s="92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93">
        <f t="shared" si="9"/>
        <v>0</v>
      </c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93">
        <f t="shared" si="10"/>
        <v>0</v>
      </c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/>
      <c r="DZ48" s="46"/>
      <c r="EA48" s="93">
        <f t="shared" si="11"/>
        <v>0</v>
      </c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  <c r="EX48" s="46"/>
      <c r="EY48" s="46"/>
      <c r="EZ48" s="46"/>
      <c r="FA48" s="46"/>
      <c r="FB48" s="46"/>
      <c r="FC48" s="46"/>
      <c r="FD48" s="46"/>
      <c r="FE48" s="46"/>
      <c r="FF48" s="46"/>
      <c r="FG48" s="46"/>
      <c r="FH48" s="93">
        <f t="shared" si="12"/>
        <v>0</v>
      </c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93">
        <f t="shared" si="13"/>
        <v>0</v>
      </c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93">
        <f t="shared" si="14"/>
        <v>0</v>
      </c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  <c r="IT48" s="46"/>
      <c r="IU48" s="46"/>
      <c r="IV48" s="46"/>
      <c r="IW48" s="46"/>
      <c r="IX48" s="46"/>
      <c r="IY48" s="46"/>
      <c r="IZ48" s="46"/>
      <c r="JA48" s="46"/>
      <c r="JB48" s="46"/>
      <c r="JC48" s="93">
        <f t="shared" si="15"/>
        <v>0</v>
      </c>
      <c r="JE48" s="46"/>
      <c r="JF48" s="46"/>
      <c r="JG48" s="46"/>
      <c r="JH48" s="46"/>
      <c r="JI48" s="46"/>
      <c r="JJ48" s="46"/>
      <c r="JK48" s="46"/>
      <c r="JL48" s="46"/>
      <c r="JM48" s="46"/>
      <c r="JN48" s="46"/>
      <c r="JO48" s="46"/>
      <c r="JP48" s="46"/>
      <c r="JQ48" s="46"/>
      <c r="JR48" s="46"/>
      <c r="JS48" s="46"/>
      <c r="JT48" s="46"/>
      <c r="JU48" s="46"/>
      <c r="JV48" s="46"/>
      <c r="JW48" s="46"/>
      <c r="JX48" s="46"/>
      <c r="JY48" s="46"/>
      <c r="JZ48" s="46"/>
      <c r="KA48" s="46"/>
      <c r="KB48" s="46"/>
      <c r="KC48" s="46"/>
      <c r="KD48" s="46"/>
      <c r="KE48" s="46"/>
      <c r="KF48" s="46"/>
      <c r="KG48" s="46"/>
      <c r="KH48" s="46"/>
      <c r="KI48" s="46"/>
      <c r="KJ48" s="93">
        <f t="shared" si="16"/>
        <v>0</v>
      </c>
    </row>
    <row r="49" spans="1:296" ht="20.149999999999999" customHeight="1" x14ac:dyDescent="0.5">
      <c r="A49" s="84">
        <f t="shared" si="17"/>
        <v>40</v>
      </c>
      <c r="B49" s="141" t="s">
        <v>282</v>
      </c>
      <c r="C49" s="62" t="s">
        <v>48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>
        <f t="shared" si="0"/>
        <v>0</v>
      </c>
      <c r="S49" s="46">
        <f t="shared" si="1"/>
        <v>0</v>
      </c>
      <c r="T49" s="46">
        <f t="shared" si="2"/>
        <v>0</v>
      </c>
      <c r="U49" s="46">
        <f t="shared" si="3"/>
        <v>0</v>
      </c>
      <c r="V49" s="46">
        <f t="shared" si="4"/>
        <v>0</v>
      </c>
      <c r="W49" s="46">
        <f t="shared" si="5"/>
        <v>0</v>
      </c>
      <c r="X49" s="46">
        <f t="shared" si="6"/>
        <v>0</v>
      </c>
      <c r="Y49" s="46">
        <f t="shared" si="7"/>
        <v>0</v>
      </c>
      <c r="Z49" s="90">
        <f t="shared" si="8"/>
        <v>0</v>
      </c>
      <c r="AA49" s="95"/>
      <c r="AB49" s="95">
        <f>'LPLPO GUDANG'!H54</f>
        <v>0</v>
      </c>
      <c r="AC49" s="91"/>
      <c r="AD49" s="91"/>
      <c r="AE49" s="91"/>
      <c r="AF49" s="91"/>
      <c r="AG49" s="92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93">
        <f t="shared" si="9"/>
        <v>0</v>
      </c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93">
        <f t="shared" si="10"/>
        <v>0</v>
      </c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93">
        <f t="shared" si="11"/>
        <v>0</v>
      </c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  <c r="EX49" s="46"/>
      <c r="EY49" s="46"/>
      <c r="EZ49" s="46"/>
      <c r="FA49" s="46"/>
      <c r="FB49" s="46"/>
      <c r="FC49" s="46"/>
      <c r="FD49" s="46"/>
      <c r="FE49" s="46"/>
      <c r="FF49" s="46"/>
      <c r="FG49" s="46"/>
      <c r="FH49" s="93">
        <f t="shared" si="12"/>
        <v>0</v>
      </c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93">
        <f t="shared" si="13"/>
        <v>0</v>
      </c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93">
        <f t="shared" si="14"/>
        <v>0</v>
      </c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  <c r="IT49" s="46"/>
      <c r="IU49" s="46"/>
      <c r="IV49" s="46"/>
      <c r="IW49" s="46"/>
      <c r="IX49" s="46"/>
      <c r="IY49" s="46"/>
      <c r="IZ49" s="46"/>
      <c r="JA49" s="46"/>
      <c r="JB49" s="46"/>
      <c r="JC49" s="93">
        <f t="shared" si="15"/>
        <v>0</v>
      </c>
      <c r="JE49" s="46"/>
      <c r="JF49" s="46"/>
      <c r="JG49" s="46"/>
      <c r="JH49" s="46"/>
      <c r="JI49" s="46"/>
      <c r="JJ49" s="46"/>
      <c r="JK49" s="46"/>
      <c r="JL49" s="46"/>
      <c r="JM49" s="46"/>
      <c r="JN49" s="46"/>
      <c r="JO49" s="46"/>
      <c r="JP49" s="46"/>
      <c r="JQ49" s="46"/>
      <c r="JR49" s="46"/>
      <c r="JS49" s="46"/>
      <c r="JT49" s="46"/>
      <c r="JU49" s="46"/>
      <c r="JV49" s="46"/>
      <c r="JW49" s="46"/>
      <c r="JX49" s="46"/>
      <c r="JY49" s="46"/>
      <c r="JZ49" s="46"/>
      <c r="KA49" s="46"/>
      <c r="KB49" s="46"/>
      <c r="KC49" s="46"/>
      <c r="KD49" s="46"/>
      <c r="KE49" s="46"/>
      <c r="KF49" s="46"/>
      <c r="KG49" s="46"/>
      <c r="KH49" s="46"/>
      <c r="KI49" s="46"/>
      <c r="KJ49" s="93">
        <f t="shared" si="16"/>
        <v>0</v>
      </c>
    </row>
    <row r="50" spans="1:296" ht="20.149999999999999" customHeight="1" x14ac:dyDescent="0.5">
      <c r="A50" s="84">
        <f t="shared" si="17"/>
        <v>41</v>
      </c>
      <c r="B50" s="141" t="s">
        <v>36</v>
      </c>
      <c r="C50" s="157" t="s">
        <v>341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>
        <f t="shared" si="0"/>
        <v>0</v>
      </c>
      <c r="S50" s="46">
        <f t="shared" si="1"/>
        <v>0</v>
      </c>
      <c r="T50" s="46">
        <f t="shared" si="2"/>
        <v>0</v>
      </c>
      <c r="U50" s="46">
        <f t="shared" si="3"/>
        <v>0</v>
      </c>
      <c r="V50" s="46">
        <f t="shared" si="4"/>
        <v>0</v>
      </c>
      <c r="W50" s="46">
        <f t="shared" si="5"/>
        <v>0</v>
      </c>
      <c r="X50" s="46">
        <f t="shared" si="6"/>
        <v>0</v>
      </c>
      <c r="Y50" s="46">
        <f t="shared" si="7"/>
        <v>0</v>
      </c>
      <c r="Z50" s="90">
        <f t="shared" si="8"/>
        <v>0</v>
      </c>
      <c r="AA50" s="95"/>
      <c r="AB50" s="95">
        <f>'LPLPO GUDANG'!H55</f>
        <v>0</v>
      </c>
      <c r="AC50" s="91"/>
      <c r="AD50" s="91"/>
      <c r="AE50" s="91"/>
      <c r="AF50" s="91"/>
      <c r="AG50" s="92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93">
        <f t="shared" si="9"/>
        <v>0</v>
      </c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93">
        <f t="shared" si="10"/>
        <v>0</v>
      </c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/>
      <c r="DZ50" s="46"/>
      <c r="EA50" s="93">
        <f t="shared" si="11"/>
        <v>0</v>
      </c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  <c r="EN50" s="46"/>
      <c r="EO50" s="46"/>
      <c r="EP50" s="46"/>
      <c r="EQ50" s="46"/>
      <c r="ER50" s="46"/>
      <c r="ES50" s="46"/>
      <c r="ET50" s="46"/>
      <c r="EU50" s="46"/>
      <c r="EV50" s="46"/>
      <c r="EW50" s="46"/>
      <c r="EX50" s="46"/>
      <c r="EY50" s="46"/>
      <c r="EZ50" s="46"/>
      <c r="FA50" s="46"/>
      <c r="FB50" s="46"/>
      <c r="FC50" s="46"/>
      <c r="FD50" s="46"/>
      <c r="FE50" s="46"/>
      <c r="FF50" s="46"/>
      <c r="FG50" s="46"/>
      <c r="FH50" s="93">
        <f t="shared" si="12"/>
        <v>0</v>
      </c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93">
        <f t="shared" si="13"/>
        <v>0</v>
      </c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93">
        <f t="shared" si="14"/>
        <v>0</v>
      </c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  <c r="IT50" s="46"/>
      <c r="IU50" s="46"/>
      <c r="IV50" s="46"/>
      <c r="IW50" s="46"/>
      <c r="IX50" s="46"/>
      <c r="IY50" s="46"/>
      <c r="IZ50" s="46"/>
      <c r="JA50" s="46"/>
      <c r="JB50" s="46"/>
      <c r="JC50" s="93">
        <f t="shared" si="15"/>
        <v>0</v>
      </c>
      <c r="JE50" s="46"/>
      <c r="JF50" s="46"/>
      <c r="JG50" s="46"/>
      <c r="JH50" s="46"/>
      <c r="JI50" s="46"/>
      <c r="JJ50" s="46"/>
      <c r="JK50" s="46"/>
      <c r="JL50" s="46"/>
      <c r="JM50" s="46"/>
      <c r="JN50" s="46"/>
      <c r="JO50" s="46"/>
      <c r="JP50" s="46"/>
      <c r="JQ50" s="46"/>
      <c r="JR50" s="46"/>
      <c r="JS50" s="46"/>
      <c r="JT50" s="46"/>
      <c r="JU50" s="46"/>
      <c r="JV50" s="46"/>
      <c r="JW50" s="46"/>
      <c r="JX50" s="46"/>
      <c r="JY50" s="46"/>
      <c r="JZ50" s="46"/>
      <c r="KA50" s="46"/>
      <c r="KB50" s="46"/>
      <c r="KC50" s="46"/>
      <c r="KD50" s="46"/>
      <c r="KE50" s="46"/>
      <c r="KF50" s="46"/>
      <c r="KG50" s="46"/>
      <c r="KH50" s="46"/>
      <c r="KI50" s="46"/>
      <c r="KJ50" s="93">
        <f t="shared" si="16"/>
        <v>0</v>
      </c>
    </row>
    <row r="51" spans="1:296" ht="20.149999999999999" customHeight="1" x14ac:dyDescent="0.5">
      <c r="A51" s="84">
        <f t="shared" si="17"/>
        <v>42</v>
      </c>
      <c r="B51" s="141" t="s">
        <v>38</v>
      </c>
      <c r="C51" s="155" t="s">
        <v>337</v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>
        <f t="shared" si="0"/>
        <v>0</v>
      </c>
      <c r="S51" s="46">
        <f t="shared" si="1"/>
        <v>0</v>
      </c>
      <c r="T51" s="46">
        <f t="shared" si="2"/>
        <v>0</v>
      </c>
      <c r="U51" s="46">
        <f t="shared" si="3"/>
        <v>0</v>
      </c>
      <c r="V51" s="46">
        <f t="shared" si="4"/>
        <v>0</v>
      </c>
      <c r="W51" s="46">
        <f t="shared" si="5"/>
        <v>0</v>
      </c>
      <c r="X51" s="46">
        <f t="shared" si="6"/>
        <v>0</v>
      </c>
      <c r="Y51" s="46">
        <f t="shared" si="7"/>
        <v>0</v>
      </c>
      <c r="Z51" s="90">
        <f t="shared" si="8"/>
        <v>0</v>
      </c>
      <c r="AA51" s="95"/>
      <c r="AB51" s="95">
        <f>'LPLPO GUDANG'!H56</f>
        <v>0</v>
      </c>
      <c r="AC51" s="91"/>
      <c r="AD51" s="91"/>
      <c r="AE51" s="91"/>
      <c r="AF51" s="91"/>
      <c r="AG51" s="92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93">
        <f t="shared" si="9"/>
        <v>0</v>
      </c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93">
        <f t="shared" si="10"/>
        <v>0</v>
      </c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/>
      <c r="DZ51" s="46"/>
      <c r="EA51" s="93">
        <f t="shared" si="11"/>
        <v>0</v>
      </c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  <c r="EN51" s="46"/>
      <c r="EO51" s="46"/>
      <c r="EP51" s="46"/>
      <c r="EQ51" s="46"/>
      <c r="ER51" s="46"/>
      <c r="ES51" s="46"/>
      <c r="ET51" s="46"/>
      <c r="EU51" s="46"/>
      <c r="EV51" s="46"/>
      <c r="EW51" s="46"/>
      <c r="EX51" s="46"/>
      <c r="EY51" s="46"/>
      <c r="EZ51" s="46"/>
      <c r="FA51" s="46"/>
      <c r="FB51" s="46"/>
      <c r="FC51" s="46"/>
      <c r="FD51" s="46"/>
      <c r="FE51" s="46"/>
      <c r="FF51" s="46"/>
      <c r="FG51" s="46"/>
      <c r="FH51" s="93">
        <f t="shared" si="12"/>
        <v>0</v>
      </c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93">
        <f t="shared" si="13"/>
        <v>0</v>
      </c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93">
        <f t="shared" si="14"/>
        <v>0</v>
      </c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  <c r="IT51" s="46"/>
      <c r="IU51" s="46"/>
      <c r="IV51" s="46"/>
      <c r="IW51" s="46"/>
      <c r="IX51" s="46"/>
      <c r="IY51" s="46"/>
      <c r="IZ51" s="46"/>
      <c r="JA51" s="46"/>
      <c r="JB51" s="46"/>
      <c r="JC51" s="93">
        <f t="shared" si="15"/>
        <v>0</v>
      </c>
      <c r="JE51" s="46"/>
      <c r="JF51" s="46"/>
      <c r="JG51" s="46"/>
      <c r="JH51" s="46"/>
      <c r="JI51" s="46"/>
      <c r="JJ51" s="46"/>
      <c r="JK51" s="46"/>
      <c r="JL51" s="46"/>
      <c r="JM51" s="46"/>
      <c r="JN51" s="46"/>
      <c r="JO51" s="46"/>
      <c r="JP51" s="46"/>
      <c r="JQ51" s="46"/>
      <c r="JR51" s="46"/>
      <c r="JS51" s="46"/>
      <c r="JT51" s="46"/>
      <c r="JU51" s="46"/>
      <c r="JV51" s="46"/>
      <c r="JW51" s="46"/>
      <c r="JX51" s="46"/>
      <c r="JY51" s="46"/>
      <c r="JZ51" s="46"/>
      <c r="KA51" s="46"/>
      <c r="KB51" s="46"/>
      <c r="KC51" s="46"/>
      <c r="KD51" s="46"/>
      <c r="KE51" s="46"/>
      <c r="KF51" s="46"/>
      <c r="KG51" s="46"/>
      <c r="KH51" s="46"/>
      <c r="KI51" s="46"/>
      <c r="KJ51" s="93">
        <f t="shared" si="16"/>
        <v>0</v>
      </c>
    </row>
    <row r="52" spans="1:296" ht="20.149999999999999" customHeight="1" x14ac:dyDescent="0.5">
      <c r="A52" s="84">
        <f t="shared" si="17"/>
        <v>43</v>
      </c>
      <c r="B52" s="141" t="s">
        <v>37</v>
      </c>
      <c r="C52" s="157" t="s">
        <v>327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>
        <f t="shared" si="0"/>
        <v>500</v>
      </c>
      <c r="S52" s="46">
        <f t="shared" si="1"/>
        <v>0</v>
      </c>
      <c r="T52" s="46">
        <f t="shared" si="2"/>
        <v>0</v>
      </c>
      <c r="U52" s="46">
        <f t="shared" si="3"/>
        <v>0</v>
      </c>
      <c r="V52" s="46">
        <f t="shared" si="4"/>
        <v>0</v>
      </c>
      <c r="W52" s="46">
        <f t="shared" si="5"/>
        <v>0</v>
      </c>
      <c r="X52" s="46">
        <f t="shared" si="6"/>
        <v>0</v>
      </c>
      <c r="Y52" s="46">
        <f t="shared" si="7"/>
        <v>0</v>
      </c>
      <c r="Z52" s="90">
        <f t="shared" si="8"/>
        <v>500</v>
      </c>
      <c r="AA52" s="95"/>
      <c r="AB52" s="92">
        <f>'LPLPO GUDANG'!H57</f>
        <v>500</v>
      </c>
      <c r="AC52" s="91" t="s">
        <v>420</v>
      </c>
      <c r="AD52" s="91"/>
      <c r="AE52" s="91"/>
      <c r="AF52" s="91"/>
      <c r="AG52" s="92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>
        <v>500</v>
      </c>
      <c r="BG52" s="46"/>
      <c r="BH52" s="46"/>
      <c r="BI52" s="46"/>
      <c r="BJ52" s="46"/>
      <c r="BK52" s="46"/>
      <c r="BL52" s="46"/>
      <c r="BM52" s="93">
        <f t="shared" si="9"/>
        <v>500</v>
      </c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93">
        <f t="shared" si="10"/>
        <v>0</v>
      </c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/>
      <c r="DZ52" s="46"/>
      <c r="EA52" s="93">
        <f t="shared" si="11"/>
        <v>0</v>
      </c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  <c r="EN52" s="46"/>
      <c r="EO52" s="46"/>
      <c r="EP52" s="46"/>
      <c r="EQ52" s="46"/>
      <c r="ER52" s="46"/>
      <c r="ES52" s="46"/>
      <c r="ET52" s="46"/>
      <c r="EU52" s="46"/>
      <c r="EV52" s="46"/>
      <c r="EW52" s="46"/>
      <c r="EX52" s="46"/>
      <c r="EY52" s="46"/>
      <c r="EZ52" s="46"/>
      <c r="FA52" s="46"/>
      <c r="FB52" s="46"/>
      <c r="FC52" s="46"/>
      <c r="FD52" s="46"/>
      <c r="FE52" s="46"/>
      <c r="FF52" s="46"/>
      <c r="FG52" s="46"/>
      <c r="FH52" s="93">
        <f t="shared" si="12"/>
        <v>0</v>
      </c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93">
        <f t="shared" si="13"/>
        <v>0</v>
      </c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93">
        <f t="shared" si="14"/>
        <v>0</v>
      </c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  <c r="IT52" s="46"/>
      <c r="IU52" s="46"/>
      <c r="IV52" s="46"/>
      <c r="IW52" s="46"/>
      <c r="IX52" s="46"/>
      <c r="IY52" s="46"/>
      <c r="IZ52" s="46"/>
      <c r="JA52" s="46"/>
      <c r="JB52" s="46"/>
      <c r="JC52" s="93">
        <f t="shared" si="15"/>
        <v>0</v>
      </c>
      <c r="JE52" s="46"/>
      <c r="JF52" s="46"/>
      <c r="JG52" s="46"/>
      <c r="JH52" s="46"/>
      <c r="JI52" s="46"/>
      <c r="JJ52" s="46"/>
      <c r="JK52" s="46"/>
      <c r="JL52" s="46"/>
      <c r="JM52" s="46"/>
      <c r="JN52" s="46"/>
      <c r="JO52" s="46"/>
      <c r="JP52" s="46"/>
      <c r="JQ52" s="46"/>
      <c r="JR52" s="46"/>
      <c r="JS52" s="46"/>
      <c r="JT52" s="46"/>
      <c r="JU52" s="46"/>
      <c r="JV52" s="46"/>
      <c r="JW52" s="46"/>
      <c r="JX52" s="46"/>
      <c r="JY52" s="46"/>
      <c r="JZ52" s="46"/>
      <c r="KA52" s="46"/>
      <c r="KB52" s="46"/>
      <c r="KC52" s="46"/>
      <c r="KD52" s="46"/>
      <c r="KE52" s="46"/>
      <c r="KF52" s="46"/>
      <c r="KG52" s="46"/>
      <c r="KH52" s="46"/>
      <c r="KI52" s="46"/>
      <c r="KJ52" s="93">
        <f t="shared" si="16"/>
        <v>0</v>
      </c>
    </row>
    <row r="53" spans="1:296" ht="20.149999999999999" customHeight="1" x14ac:dyDescent="0.5">
      <c r="A53" s="84">
        <f t="shared" si="17"/>
        <v>44</v>
      </c>
      <c r="B53" s="141" t="s">
        <v>261</v>
      </c>
      <c r="C53" s="157" t="s">
        <v>337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>
        <f t="shared" si="0"/>
        <v>0</v>
      </c>
      <c r="S53" s="46">
        <f t="shared" si="1"/>
        <v>0</v>
      </c>
      <c r="T53" s="46">
        <f t="shared" si="2"/>
        <v>0</v>
      </c>
      <c r="U53" s="46">
        <f t="shared" si="3"/>
        <v>0</v>
      </c>
      <c r="V53" s="46">
        <f t="shared" si="4"/>
        <v>0</v>
      </c>
      <c r="W53" s="46">
        <f t="shared" si="5"/>
        <v>0</v>
      </c>
      <c r="X53" s="46">
        <f t="shared" si="6"/>
        <v>0</v>
      </c>
      <c r="Y53" s="46">
        <f t="shared" si="7"/>
        <v>0</v>
      </c>
      <c r="Z53" s="90">
        <f t="shared" si="8"/>
        <v>0</v>
      </c>
      <c r="AA53" s="95"/>
      <c r="AB53" s="95">
        <f>'LPLPO GUDANG'!H58</f>
        <v>0</v>
      </c>
      <c r="AC53" s="91"/>
      <c r="AD53" s="91"/>
      <c r="AE53" s="91"/>
      <c r="AF53" s="91"/>
      <c r="AG53" s="92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93">
        <f t="shared" si="9"/>
        <v>0</v>
      </c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93">
        <f t="shared" si="10"/>
        <v>0</v>
      </c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6"/>
      <c r="DW53" s="46"/>
      <c r="DX53" s="46"/>
      <c r="DY53" s="46"/>
      <c r="DZ53" s="46"/>
      <c r="EA53" s="93">
        <f t="shared" si="11"/>
        <v>0</v>
      </c>
      <c r="EC53" s="46"/>
      <c r="ED53" s="46"/>
      <c r="EE53" s="46"/>
      <c r="EF53" s="46"/>
      <c r="EG53" s="46"/>
      <c r="EH53" s="46"/>
      <c r="EI53" s="46"/>
      <c r="EJ53" s="46"/>
      <c r="EK53" s="46"/>
      <c r="EL53" s="46"/>
      <c r="EM53" s="46"/>
      <c r="EN53" s="46"/>
      <c r="EO53" s="46"/>
      <c r="EP53" s="46"/>
      <c r="EQ53" s="46"/>
      <c r="ER53" s="46"/>
      <c r="ES53" s="46"/>
      <c r="ET53" s="46"/>
      <c r="EU53" s="46"/>
      <c r="EV53" s="46"/>
      <c r="EW53" s="46"/>
      <c r="EX53" s="46"/>
      <c r="EY53" s="46"/>
      <c r="EZ53" s="46"/>
      <c r="FA53" s="46"/>
      <c r="FB53" s="46"/>
      <c r="FC53" s="46"/>
      <c r="FD53" s="46"/>
      <c r="FE53" s="46"/>
      <c r="FF53" s="46"/>
      <c r="FG53" s="46"/>
      <c r="FH53" s="93">
        <f t="shared" si="12"/>
        <v>0</v>
      </c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93">
        <f t="shared" si="13"/>
        <v>0</v>
      </c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93">
        <f t="shared" si="14"/>
        <v>0</v>
      </c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  <c r="IT53" s="46"/>
      <c r="IU53" s="46"/>
      <c r="IV53" s="46"/>
      <c r="IW53" s="46"/>
      <c r="IX53" s="46"/>
      <c r="IY53" s="46"/>
      <c r="IZ53" s="46"/>
      <c r="JA53" s="46"/>
      <c r="JB53" s="46"/>
      <c r="JC53" s="93">
        <f t="shared" si="15"/>
        <v>0</v>
      </c>
      <c r="JE53" s="46"/>
      <c r="JF53" s="46"/>
      <c r="JG53" s="46"/>
      <c r="JH53" s="46"/>
      <c r="JI53" s="46"/>
      <c r="JJ53" s="46"/>
      <c r="JK53" s="46"/>
      <c r="JL53" s="46"/>
      <c r="JM53" s="46"/>
      <c r="JN53" s="46"/>
      <c r="JO53" s="46"/>
      <c r="JP53" s="46"/>
      <c r="JQ53" s="46"/>
      <c r="JR53" s="46"/>
      <c r="JS53" s="46"/>
      <c r="JT53" s="46"/>
      <c r="JU53" s="46"/>
      <c r="JV53" s="46"/>
      <c r="JW53" s="46"/>
      <c r="JX53" s="46"/>
      <c r="JY53" s="46"/>
      <c r="JZ53" s="46"/>
      <c r="KA53" s="46"/>
      <c r="KB53" s="46"/>
      <c r="KC53" s="46"/>
      <c r="KD53" s="46"/>
      <c r="KE53" s="46"/>
      <c r="KF53" s="46"/>
      <c r="KG53" s="46"/>
      <c r="KH53" s="46"/>
      <c r="KI53" s="46"/>
      <c r="KJ53" s="93">
        <f t="shared" si="16"/>
        <v>0</v>
      </c>
    </row>
    <row r="54" spans="1:296" ht="20.149999999999999" customHeight="1" x14ac:dyDescent="0.5">
      <c r="A54" s="84">
        <f t="shared" si="17"/>
        <v>45</v>
      </c>
      <c r="B54" s="141" t="s">
        <v>39</v>
      </c>
      <c r="C54" s="157" t="s">
        <v>342</v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>
        <f t="shared" si="0"/>
        <v>200</v>
      </c>
      <c r="S54" s="46">
        <f t="shared" si="1"/>
        <v>0</v>
      </c>
      <c r="T54" s="46">
        <f t="shared" si="2"/>
        <v>0</v>
      </c>
      <c r="U54" s="46">
        <f t="shared" si="3"/>
        <v>0</v>
      </c>
      <c r="V54" s="46">
        <f t="shared" si="4"/>
        <v>0</v>
      </c>
      <c r="W54" s="46">
        <f t="shared" si="5"/>
        <v>0</v>
      </c>
      <c r="X54" s="46">
        <f t="shared" si="6"/>
        <v>0</v>
      </c>
      <c r="Y54" s="46">
        <f t="shared" si="7"/>
        <v>0</v>
      </c>
      <c r="Z54" s="90">
        <f t="shared" si="8"/>
        <v>200</v>
      </c>
      <c r="AA54" s="95"/>
      <c r="AB54" s="92">
        <f>'LPLPO GUDANG'!H59</f>
        <v>0</v>
      </c>
      <c r="AC54" s="91"/>
      <c r="AD54" s="91"/>
      <c r="AE54" s="91"/>
      <c r="AF54" s="91"/>
      <c r="AG54" s="92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>
        <v>200</v>
      </c>
      <c r="BG54" s="46"/>
      <c r="BH54" s="46"/>
      <c r="BI54" s="46"/>
      <c r="BJ54" s="46"/>
      <c r="BK54" s="46"/>
      <c r="BL54" s="46"/>
      <c r="BM54" s="93">
        <f t="shared" si="9"/>
        <v>200</v>
      </c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93">
        <f t="shared" si="10"/>
        <v>0</v>
      </c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6"/>
      <c r="DW54" s="46"/>
      <c r="DX54" s="46"/>
      <c r="DY54" s="46"/>
      <c r="DZ54" s="46"/>
      <c r="EA54" s="93">
        <f t="shared" si="11"/>
        <v>0</v>
      </c>
      <c r="EC54" s="46"/>
      <c r="ED54" s="46"/>
      <c r="EE54" s="46"/>
      <c r="EF54" s="46"/>
      <c r="EG54" s="46"/>
      <c r="EH54" s="46"/>
      <c r="EI54" s="46"/>
      <c r="EJ54" s="46"/>
      <c r="EK54" s="46"/>
      <c r="EL54" s="46"/>
      <c r="EM54" s="46"/>
      <c r="EN54" s="46"/>
      <c r="EO54" s="46"/>
      <c r="EP54" s="46"/>
      <c r="EQ54" s="46"/>
      <c r="ER54" s="46"/>
      <c r="ES54" s="46"/>
      <c r="ET54" s="46"/>
      <c r="EU54" s="46"/>
      <c r="EV54" s="46"/>
      <c r="EW54" s="46"/>
      <c r="EX54" s="46"/>
      <c r="EY54" s="46"/>
      <c r="EZ54" s="46"/>
      <c r="FA54" s="46"/>
      <c r="FB54" s="46"/>
      <c r="FC54" s="46"/>
      <c r="FD54" s="46"/>
      <c r="FE54" s="46"/>
      <c r="FF54" s="46"/>
      <c r="FG54" s="46"/>
      <c r="FH54" s="93">
        <f t="shared" si="12"/>
        <v>0</v>
      </c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93">
        <f t="shared" si="13"/>
        <v>0</v>
      </c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93">
        <f t="shared" si="14"/>
        <v>0</v>
      </c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  <c r="IT54" s="46"/>
      <c r="IU54" s="46"/>
      <c r="IV54" s="46"/>
      <c r="IW54" s="46"/>
      <c r="IX54" s="46"/>
      <c r="IY54" s="46"/>
      <c r="IZ54" s="46"/>
      <c r="JA54" s="46"/>
      <c r="JB54" s="46"/>
      <c r="JC54" s="93">
        <f t="shared" si="15"/>
        <v>0</v>
      </c>
      <c r="JE54" s="46"/>
      <c r="JF54" s="46"/>
      <c r="JG54" s="46"/>
      <c r="JH54" s="46"/>
      <c r="JI54" s="46"/>
      <c r="JJ54" s="46"/>
      <c r="JK54" s="46"/>
      <c r="JL54" s="46"/>
      <c r="JM54" s="46"/>
      <c r="JN54" s="46"/>
      <c r="JO54" s="46"/>
      <c r="JP54" s="46"/>
      <c r="JQ54" s="46"/>
      <c r="JR54" s="46"/>
      <c r="JS54" s="46"/>
      <c r="JT54" s="46"/>
      <c r="JU54" s="46"/>
      <c r="JV54" s="46"/>
      <c r="JW54" s="46"/>
      <c r="JX54" s="46"/>
      <c r="JY54" s="46"/>
      <c r="JZ54" s="46"/>
      <c r="KA54" s="46"/>
      <c r="KB54" s="46"/>
      <c r="KC54" s="46"/>
      <c r="KD54" s="46"/>
      <c r="KE54" s="46"/>
      <c r="KF54" s="46"/>
      <c r="KG54" s="46"/>
      <c r="KH54" s="46"/>
      <c r="KI54" s="46"/>
      <c r="KJ54" s="93">
        <f t="shared" si="16"/>
        <v>0</v>
      </c>
    </row>
    <row r="55" spans="1:296" ht="20.149999999999999" customHeight="1" x14ac:dyDescent="0.5">
      <c r="A55" s="84">
        <f t="shared" si="17"/>
        <v>46</v>
      </c>
      <c r="B55" s="141" t="s">
        <v>40</v>
      </c>
      <c r="C55" s="155" t="s">
        <v>177</v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>
        <f t="shared" si="0"/>
        <v>0</v>
      </c>
      <c r="S55" s="46">
        <f t="shared" si="1"/>
        <v>0</v>
      </c>
      <c r="T55" s="46">
        <f t="shared" si="2"/>
        <v>0</v>
      </c>
      <c r="U55" s="46">
        <f t="shared" si="3"/>
        <v>0</v>
      </c>
      <c r="V55" s="46">
        <f t="shared" si="4"/>
        <v>0</v>
      </c>
      <c r="W55" s="46">
        <f t="shared" si="5"/>
        <v>0</v>
      </c>
      <c r="X55" s="46">
        <f t="shared" si="6"/>
        <v>0</v>
      </c>
      <c r="Y55" s="46">
        <f t="shared" si="7"/>
        <v>0</v>
      </c>
      <c r="Z55" s="90">
        <f t="shared" si="8"/>
        <v>0</v>
      </c>
      <c r="AA55" s="95"/>
      <c r="AB55" s="95">
        <f>'LPLPO GUDANG'!H60</f>
        <v>0</v>
      </c>
      <c r="AC55" s="91"/>
      <c r="AD55" s="91"/>
      <c r="AE55" s="91"/>
      <c r="AF55" s="91"/>
      <c r="AG55" s="92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93">
        <f t="shared" si="9"/>
        <v>0</v>
      </c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93">
        <f t="shared" si="10"/>
        <v>0</v>
      </c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6"/>
      <c r="DW55" s="46"/>
      <c r="DX55" s="46"/>
      <c r="DY55" s="46"/>
      <c r="DZ55" s="46"/>
      <c r="EA55" s="93">
        <f t="shared" si="11"/>
        <v>0</v>
      </c>
      <c r="EC55" s="46"/>
      <c r="ED55" s="46"/>
      <c r="EE55" s="46"/>
      <c r="EF55" s="46"/>
      <c r="EG55" s="46"/>
      <c r="EH55" s="46"/>
      <c r="EI55" s="46"/>
      <c r="EJ55" s="46"/>
      <c r="EK55" s="46"/>
      <c r="EL55" s="46"/>
      <c r="EM55" s="46"/>
      <c r="EN55" s="46"/>
      <c r="EO55" s="46"/>
      <c r="EP55" s="46"/>
      <c r="EQ55" s="46"/>
      <c r="ER55" s="46"/>
      <c r="ES55" s="46"/>
      <c r="ET55" s="46"/>
      <c r="EU55" s="46"/>
      <c r="EV55" s="46"/>
      <c r="EW55" s="46"/>
      <c r="EX55" s="46"/>
      <c r="EY55" s="46"/>
      <c r="EZ55" s="46"/>
      <c r="FA55" s="46"/>
      <c r="FB55" s="46"/>
      <c r="FC55" s="46"/>
      <c r="FD55" s="46"/>
      <c r="FE55" s="46"/>
      <c r="FF55" s="46"/>
      <c r="FG55" s="46"/>
      <c r="FH55" s="93">
        <f t="shared" si="12"/>
        <v>0</v>
      </c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93">
        <f t="shared" si="13"/>
        <v>0</v>
      </c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93">
        <f t="shared" si="14"/>
        <v>0</v>
      </c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  <c r="IT55" s="46"/>
      <c r="IU55" s="46"/>
      <c r="IV55" s="46"/>
      <c r="IW55" s="46"/>
      <c r="IX55" s="46"/>
      <c r="IY55" s="46"/>
      <c r="IZ55" s="46"/>
      <c r="JA55" s="46"/>
      <c r="JB55" s="46"/>
      <c r="JC55" s="93">
        <f t="shared" si="15"/>
        <v>0</v>
      </c>
      <c r="JE55" s="46"/>
      <c r="JF55" s="46"/>
      <c r="JG55" s="46"/>
      <c r="JH55" s="46"/>
      <c r="JI55" s="46"/>
      <c r="JJ55" s="46"/>
      <c r="JK55" s="46"/>
      <c r="JL55" s="46"/>
      <c r="JM55" s="46"/>
      <c r="JN55" s="46"/>
      <c r="JO55" s="46"/>
      <c r="JP55" s="46"/>
      <c r="JQ55" s="46"/>
      <c r="JR55" s="46"/>
      <c r="JS55" s="46"/>
      <c r="JT55" s="46"/>
      <c r="JU55" s="46"/>
      <c r="JV55" s="46"/>
      <c r="JW55" s="46"/>
      <c r="JX55" s="46"/>
      <c r="JY55" s="46"/>
      <c r="JZ55" s="46"/>
      <c r="KA55" s="46"/>
      <c r="KB55" s="46"/>
      <c r="KC55" s="46"/>
      <c r="KD55" s="46"/>
      <c r="KE55" s="46"/>
      <c r="KF55" s="46"/>
      <c r="KG55" s="46"/>
      <c r="KH55" s="46"/>
      <c r="KI55" s="46"/>
      <c r="KJ55" s="93">
        <f t="shared" si="16"/>
        <v>0</v>
      </c>
    </row>
    <row r="56" spans="1:296" ht="20.149999999999999" customHeight="1" x14ac:dyDescent="0.5">
      <c r="A56" s="84">
        <f t="shared" si="17"/>
        <v>47</v>
      </c>
      <c r="B56" s="141" t="s">
        <v>265</v>
      </c>
      <c r="C56" s="155" t="s">
        <v>343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>
        <f t="shared" si="0"/>
        <v>0</v>
      </c>
      <c r="S56" s="46">
        <f t="shared" si="1"/>
        <v>0</v>
      </c>
      <c r="T56" s="46">
        <f t="shared" si="2"/>
        <v>0</v>
      </c>
      <c r="U56" s="46">
        <f t="shared" si="3"/>
        <v>0</v>
      </c>
      <c r="V56" s="46">
        <f t="shared" si="4"/>
        <v>0</v>
      </c>
      <c r="W56" s="46">
        <f t="shared" si="5"/>
        <v>0</v>
      </c>
      <c r="X56" s="46">
        <f t="shared" si="6"/>
        <v>0</v>
      </c>
      <c r="Y56" s="46">
        <f t="shared" si="7"/>
        <v>0</v>
      </c>
      <c r="Z56" s="90">
        <f t="shared" si="8"/>
        <v>0</v>
      </c>
      <c r="AA56" s="95"/>
      <c r="AB56" s="95">
        <f>'LPLPO GUDANG'!H61</f>
        <v>0</v>
      </c>
      <c r="AC56" s="91"/>
      <c r="AD56" s="91"/>
      <c r="AE56" s="91"/>
      <c r="AF56" s="91"/>
      <c r="AG56" s="92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93">
        <f t="shared" si="9"/>
        <v>0</v>
      </c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93">
        <f t="shared" si="10"/>
        <v>0</v>
      </c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93">
        <f t="shared" si="11"/>
        <v>0</v>
      </c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93">
        <f t="shared" si="12"/>
        <v>0</v>
      </c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93">
        <f t="shared" si="13"/>
        <v>0</v>
      </c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93">
        <f t="shared" si="14"/>
        <v>0</v>
      </c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  <c r="IU56" s="46"/>
      <c r="IV56" s="46"/>
      <c r="IW56" s="46"/>
      <c r="IX56" s="46"/>
      <c r="IY56" s="46"/>
      <c r="IZ56" s="46"/>
      <c r="JA56" s="46"/>
      <c r="JB56" s="46"/>
      <c r="JC56" s="93">
        <f t="shared" si="15"/>
        <v>0</v>
      </c>
      <c r="JE56" s="46"/>
      <c r="JF56" s="46"/>
      <c r="JG56" s="46"/>
      <c r="JH56" s="46"/>
      <c r="JI56" s="46"/>
      <c r="JJ56" s="46"/>
      <c r="JK56" s="46"/>
      <c r="JL56" s="46"/>
      <c r="JM56" s="46"/>
      <c r="JN56" s="46"/>
      <c r="JO56" s="46"/>
      <c r="JP56" s="46"/>
      <c r="JQ56" s="46"/>
      <c r="JR56" s="46"/>
      <c r="JS56" s="46"/>
      <c r="JT56" s="46"/>
      <c r="JU56" s="46"/>
      <c r="JV56" s="46"/>
      <c r="JW56" s="46"/>
      <c r="JX56" s="46"/>
      <c r="JY56" s="46"/>
      <c r="JZ56" s="46"/>
      <c r="KA56" s="46"/>
      <c r="KB56" s="46"/>
      <c r="KC56" s="46"/>
      <c r="KD56" s="46"/>
      <c r="KE56" s="46"/>
      <c r="KF56" s="46"/>
      <c r="KG56" s="46"/>
      <c r="KH56" s="46"/>
      <c r="KI56" s="46"/>
      <c r="KJ56" s="93">
        <f t="shared" si="16"/>
        <v>0</v>
      </c>
    </row>
    <row r="57" spans="1:296" ht="20.149999999999999" customHeight="1" x14ac:dyDescent="0.5">
      <c r="A57" s="84">
        <f t="shared" si="17"/>
        <v>48</v>
      </c>
      <c r="B57" s="141" t="s">
        <v>41</v>
      </c>
      <c r="C57" s="157" t="s">
        <v>327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>
        <f t="shared" si="0"/>
        <v>1900</v>
      </c>
      <c r="S57" s="46">
        <f t="shared" si="1"/>
        <v>0</v>
      </c>
      <c r="T57" s="46">
        <f t="shared" si="2"/>
        <v>100</v>
      </c>
      <c r="U57" s="46">
        <f t="shared" si="3"/>
        <v>0</v>
      </c>
      <c r="V57" s="46">
        <f t="shared" si="4"/>
        <v>0</v>
      </c>
      <c r="W57" s="46">
        <f t="shared" si="5"/>
        <v>0</v>
      </c>
      <c r="X57" s="46">
        <f t="shared" si="6"/>
        <v>0</v>
      </c>
      <c r="Y57" s="46">
        <f t="shared" si="7"/>
        <v>0</v>
      </c>
      <c r="Z57" s="90">
        <f t="shared" si="8"/>
        <v>2000</v>
      </c>
      <c r="AA57" s="95"/>
      <c r="AB57" s="92">
        <f>'LPLPO GUDANG'!H62</f>
        <v>500</v>
      </c>
      <c r="AC57" s="91"/>
      <c r="AD57" s="91"/>
      <c r="AE57" s="91"/>
      <c r="AF57" s="91"/>
      <c r="AG57" s="92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>
        <v>1000</v>
      </c>
      <c r="BA57" s="46"/>
      <c r="BB57" s="46"/>
      <c r="BC57" s="46"/>
      <c r="BD57" s="46"/>
      <c r="BE57" s="46"/>
      <c r="BF57" s="46">
        <v>900</v>
      </c>
      <c r="BG57" s="46"/>
      <c r="BH57" s="46"/>
      <c r="BI57" s="46"/>
      <c r="BJ57" s="46"/>
      <c r="BK57" s="46"/>
      <c r="BL57" s="46"/>
      <c r="BM57" s="93">
        <f t="shared" si="9"/>
        <v>1900</v>
      </c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93">
        <f t="shared" si="10"/>
        <v>0</v>
      </c>
      <c r="CV57" s="46"/>
      <c r="CW57" s="46"/>
      <c r="CX57" s="46">
        <v>100</v>
      </c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6"/>
      <c r="DW57" s="46"/>
      <c r="DX57" s="46"/>
      <c r="DY57" s="46"/>
      <c r="DZ57" s="46"/>
      <c r="EA57" s="93">
        <f t="shared" si="11"/>
        <v>100</v>
      </c>
      <c r="EC57" s="46"/>
      <c r="ED57" s="46"/>
      <c r="EE57" s="46"/>
      <c r="EF57" s="46"/>
      <c r="EG57" s="46"/>
      <c r="EH57" s="46"/>
      <c r="EI57" s="46"/>
      <c r="EJ57" s="46"/>
      <c r="EK57" s="46"/>
      <c r="EL57" s="46"/>
      <c r="EM57" s="46"/>
      <c r="EN57" s="46"/>
      <c r="EO57" s="46"/>
      <c r="EP57" s="46"/>
      <c r="EQ57" s="46"/>
      <c r="ER57" s="46"/>
      <c r="ES57" s="46"/>
      <c r="ET57" s="46"/>
      <c r="EU57" s="46"/>
      <c r="EV57" s="46"/>
      <c r="EW57" s="46"/>
      <c r="EX57" s="46"/>
      <c r="EY57" s="46"/>
      <c r="EZ57" s="46"/>
      <c r="FA57" s="46"/>
      <c r="FB57" s="46"/>
      <c r="FC57" s="46"/>
      <c r="FD57" s="46"/>
      <c r="FE57" s="46"/>
      <c r="FF57" s="46"/>
      <c r="FG57" s="46"/>
      <c r="FH57" s="93">
        <f t="shared" si="12"/>
        <v>0</v>
      </c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93">
        <f t="shared" si="13"/>
        <v>0</v>
      </c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93">
        <f t="shared" si="14"/>
        <v>0</v>
      </c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  <c r="IT57" s="46"/>
      <c r="IU57" s="46"/>
      <c r="IV57" s="46"/>
      <c r="IW57" s="46"/>
      <c r="IX57" s="46"/>
      <c r="IY57" s="46"/>
      <c r="IZ57" s="46"/>
      <c r="JA57" s="46"/>
      <c r="JB57" s="46"/>
      <c r="JC57" s="93">
        <f t="shared" si="15"/>
        <v>0</v>
      </c>
      <c r="JE57" s="46"/>
      <c r="JF57" s="46"/>
      <c r="JG57" s="46"/>
      <c r="JH57" s="46"/>
      <c r="JI57" s="46"/>
      <c r="JJ57" s="46"/>
      <c r="JK57" s="46"/>
      <c r="JL57" s="46"/>
      <c r="JM57" s="46"/>
      <c r="JN57" s="46"/>
      <c r="JO57" s="46"/>
      <c r="JP57" s="46"/>
      <c r="JQ57" s="46"/>
      <c r="JR57" s="46"/>
      <c r="JS57" s="46"/>
      <c r="JT57" s="46"/>
      <c r="JU57" s="46"/>
      <c r="JV57" s="46"/>
      <c r="JW57" s="46"/>
      <c r="JX57" s="46"/>
      <c r="JY57" s="46"/>
      <c r="JZ57" s="46"/>
      <c r="KA57" s="46"/>
      <c r="KB57" s="46"/>
      <c r="KC57" s="46"/>
      <c r="KD57" s="46"/>
      <c r="KE57" s="46"/>
      <c r="KF57" s="46"/>
      <c r="KG57" s="46"/>
      <c r="KH57" s="46"/>
      <c r="KI57" s="46"/>
      <c r="KJ57" s="93">
        <f t="shared" si="16"/>
        <v>0</v>
      </c>
    </row>
    <row r="58" spans="1:296" ht="30" x14ac:dyDescent="0.5">
      <c r="A58" s="84">
        <f t="shared" si="17"/>
        <v>49</v>
      </c>
      <c r="B58" s="141" t="s">
        <v>105</v>
      </c>
      <c r="C58" s="163" t="s">
        <v>327</v>
      </c>
      <c r="D58" s="46"/>
      <c r="E58" s="46"/>
      <c r="F58" s="46"/>
      <c r="G58" s="46"/>
      <c r="H58" s="46"/>
      <c r="I58" s="46">
        <v>100</v>
      </c>
      <c r="J58" s="46"/>
      <c r="K58" s="46">
        <v>100</v>
      </c>
      <c r="L58" s="46"/>
      <c r="M58" s="46"/>
      <c r="N58" s="46"/>
      <c r="O58" s="46"/>
      <c r="P58" s="46"/>
      <c r="Q58" s="46"/>
      <c r="R58" s="46">
        <f t="shared" si="0"/>
        <v>2300</v>
      </c>
      <c r="S58" s="46">
        <f t="shared" si="1"/>
        <v>0</v>
      </c>
      <c r="T58" s="46">
        <f t="shared" si="2"/>
        <v>200</v>
      </c>
      <c r="U58" s="46">
        <f t="shared" si="3"/>
        <v>0</v>
      </c>
      <c r="V58" s="46">
        <f t="shared" si="4"/>
        <v>0</v>
      </c>
      <c r="W58" s="46">
        <f t="shared" si="5"/>
        <v>0</v>
      </c>
      <c r="X58" s="46">
        <f t="shared" si="6"/>
        <v>0</v>
      </c>
      <c r="Y58" s="46">
        <f t="shared" si="7"/>
        <v>0</v>
      </c>
      <c r="Z58" s="90">
        <f t="shared" si="8"/>
        <v>2700</v>
      </c>
      <c r="AA58" s="95"/>
      <c r="AB58" s="92">
        <f>'LPLPO GUDANG'!H63</f>
        <v>0</v>
      </c>
      <c r="AC58" s="91"/>
      <c r="AD58" s="91"/>
      <c r="AE58" s="91"/>
      <c r="AF58" s="91"/>
      <c r="AG58" s="92"/>
      <c r="AH58" s="46"/>
      <c r="AI58" s="46"/>
      <c r="AJ58" s="46">
        <v>1000</v>
      </c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>
        <v>1300</v>
      </c>
      <c r="BG58" s="46"/>
      <c r="BH58" s="46"/>
      <c r="BI58" s="46"/>
      <c r="BJ58" s="46"/>
      <c r="BK58" s="46"/>
      <c r="BL58" s="46"/>
      <c r="BM58" s="93">
        <f t="shared" si="9"/>
        <v>2300</v>
      </c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93">
        <f t="shared" si="10"/>
        <v>0</v>
      </c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  <c r="DL58" s="46">
        <v>200</v>
      </c>
      <c r="DM58" s="46"/>
      <c r="DN58" s="46"/>
      <c r="DO58" s="46"/>
      <c r="DP58" s="46"/>
      <c r="DQ58" s="46"/>
      <c r="DR58" s="46"/>
      <c r="DS58" s="46"/>
      <c r="DT58" s="46"/>
      <c r="DU58" s="46"/>
      <c r="DV58" s="46"/>
      <c r="DW58" s="46"/>
      <c r="DX58" s="46"/>
      <c r="DY58" s="46"/>
      <c r="DZ58" s="46"/>
      <c r="EA58" s="93">
        <f t="shared" si="11"/>
        <v>200</v>
      </c>
      <c r="EC58" s="46"/>
      <c r="ED58" s="46"/>
      <c r="EE58" s="46"/>
      <c r="EF58" s="46"/>
      <c r="EG58" s="46"/>
      <c r="EH58" s="46"/>
      <c r="EI58" s="46"/>
      <c r="EJ58" s="46"/>
      <c r="EK58" s="46"/>
      <c r="EL58" s="46"/>
      <c r="EM58" s="46"/>
      <c r="EN58" s="46"/>
      <c r="EO58" s="46"/>
      <c r="EP58" s="46"/>
      <c r="EQ58" s="46"/>
      <c r="ER58" s="46"/>
      <c r="ES58" s="46"/>
      <c r="ET58" s="46"/>
      <c r="EU58" s="46"/>
      <c r="EV58" s="46"/>
      <c r="EW58" s="46"/>
      <c r="EX58" s="46"/>
      <c r="EY58" s="46"/>
      <c r="EZ58" s="46"/>
      <c r="FA58" s="46"/>
      <c r="FB58" s="46"/>
      <c r="FC58" s="46"/>
      <c r="FD58" s="46"/>
      <c r="FE58" s="46"/>
      <c r="FF58" s="46"/>
      <c r="FG58" s="46"/>
      <c r="FH58" s="93">
        <f t="shared" si="12"/>
        <v>0</v>
      </c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93">
        <f t="shared" si="13"/>
        <v>0</v>
      </c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93">
        <f t="shared" si="14"/>
        <v>0</v>
      </c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  <c r="IT58" s="46"/>
      <c r="IU58" s="46"/>
      <c r="IV58" s="46"/>
      <c r="IW58" s="46"/>
      <c r="IX58" s="46"/>
      <c r="IY58" s="46"/>
      <c r="IZ58" s="46"/>
      <c r="JA58" s="46"/>
      <c r="JB58" s="46"/>
      <c r="JC58" s="93">
        <f t="shared" si="15"/>
        <v>0</v>
      </c>
      <c r="JE58" s="46"/>
      <c r="JF58" s="46"/>
      <c r="JG58" s="46"/>
      <c r="JH58" s="46"/>
      <c r="JI58" s="46"/>
      <c r="JJ58" s="46"/>
      <c r="JK58" s="46"/>
      <c r="JL58" s="46"/>
      <c r="JM58" s="46"/>
      <c r="JN58" s="46"/>
      <c r="JO58" s="46"/>
      <c r="JP58" s="46"/>
      <c r="JQ58" s="46"/>
      <c r="JR58" s="46"/>
      <c r="JS58" s="46"/>
      <c r="JT58" s="46"/>
      <c r="JU58" s="46"/>
      <c r="JV58" s="46"/>
      <c r="JW58" s="46"/>
      <c r="JX58" s="46"/>
      <c r="JY58" s="46"/>
      <c r="JZ58" s="46"/>
      <c r="KA58" s="46"/>
      <c r="KB58" s="46"/>
      <c r="KC58" s="46"/>
      <c r="KD58" s="46"/>
      <c r="KE58" s="46"/>
      <c r="KF58" s="46"/>
      <c r="KG58" s="46"/>
      <c r="KH58" s="46"/>
      <c r="KI58" s="46"/>
      <c r="KJ58" s="93">
        <f t="shared" si="16"/>
        <v>0</v>
      </c>
    </row>
    <row r="59" spans="1:296" ht="20.149999999999999" customHeight="1" x14ac:dyDescent="0.5">
      <c r="A59" s="84">
        <f t="shared" si="17"/>
        <v>50</v>
      </c>
      <c r="B59" s="141" t="s">
        <v>42</v>
      </c>
      <c r="C59" s="163" t="s">
        <v>321</v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>
        <f t="shared" si="0"/>
        <v>40</v>
      </c>
      <c r="S59" s="46">
        <f t="shared" si="1"/>
        <v>0</v>
      </c>
      <c r="T59" s="46">
        <f t="shared" si="2"/>
        <v>0</v>
      </c>
      <c r="U59" s="46">
        <f t="shared" si="3"/>
        <v>0</v>
      </c>
      <c r="V59" s="46">
        <f t="shared" si="4"/>
        <v>0</v>
      </c>
      <c r="W59" s="46">
        <f t="shared" si="5"/>
        <v>0</v>
      </c>
      <c r="X59" s="46">
        <f t="shared" si="6"/>
        <v>0</v>
      </c>
      <c r="Y59" s="46">
        <f t="shared" si="7"/>
        <v>0</v>
      </c>
      <c r="Z59" s="90">
        <f t="shared" si="8"/>
        <v>40</v>
      </c>
      <c r="AA59" s="95"/>
      <c r="AB59" s="92">
        <f>'LPLPO GUDANG'!H64</f>
        <v>40</v>
      </c>
      <c r="AC59" s="91"/>
      <c r="AD59" s="91"/>
      <c r="AE59" s="91"/>
      <c r="AF59" s="91"/>
      <c r="AG59" s="92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>
        <v>40</v>
      </c>
      <c r="BF59" s="46"/>
      <c r="BG59" s="46"/>
      <c r="BH59" s="46"/>
      <c r="BI59" s="46"/>
      <c r="BJ59" s="46"/>
      <c r="BK59" s="46"/>
      <c r="BL59" s="46"/>
      <c r="BM59" s="93">
        <f t="shared" si="9"/>
        <v>40</v>
      </c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93">
        <f t="shared" si="10"/>
        <v>0</v>
      </c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6"/>
      <c r="DW59" s="46"/>
      <c r="DX59" s="46"/>
      <c r="DY59" s="46"/>
      <c r="DZ59" s="46"/>
      <c r="EA59" s="93">
        <f t="shared" si="11"/>
        <v>0</v>
      </c>
      <c r="EC59" s="46"/>
      <c r="ED59" s="46"/>
      <c r="EE59" s="46"/>
      <c r="EF59" s="46"/>
      <c r="EG59" s="46"/>
      <c r="EH59" s="46"/>
      <c r="EI59" s="46"/>
      <c r="EJ59" s="46"/>
      <c r="EK59" s="46"/>
      <c r="EL59" s="46"/>
      <c r="EM59" s="46"/>
      <c r="EN59" s="46"/>
      <c r="EO59" s="46"/>
      <c r="EP59" s="46"/>
      <c r="EQ59" s="46"/>
      <c r="ER59" s="46"/>
      <c r="ES59" s="46"/>
      <c r="ET59" s="46"/>
      <c r="EU59" s="46"/>
      <c r="EV59" s="46"/>
      <c r="EW59" s="46"/>
      <c r="EX59" s="46"/>
      <c r="EY59" s="46"/>
      <c r="EZ59" s="46"/>
      <c r="FA59" s="46"/>
      <c r="FB59" s="46"/>
      <c r="FC59" s="46"/>
      <c r="FD59" s="46"/>
      <c r="FE59" s="46"/>
      <c r="FF59" s="46"/>
      <c r="FG59" s="46"/>
      <c r="FH59" s="93">
        <f t="shared" si="12"/>
        <v>0</v>
      </c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93">
        <f t="shared" si="13"/>
        <v>0</v>
      </c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93">
        <f t="shared" si="14"/>
        <v>0</v>
      </c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  <c r="IU59" s="46"/>
      <c r="IV59" s="46"/>
      <c r="IW59" s="46"/>
      <c r="IX59" s="46"/>
      <c r="IY59" s="46"/>
      <c r="IZ59" s="46"/>
      <c r="JA59" s="46"/>
      <c r="JB59" s="46"/>
      <c r="JC59" s="93">
        <f t="shared" si="15"/>
        <v>0</v>
      </c>
      <c r="JE59" s="46"/>
      <c r="JF59" s="46"/>
      <c r="JG59" s="46"/>
      <c r="JH59" s="46"/>
      <c r="JI59" s="46"/>
      <c r="JJ59" s="46"/>
      <c r="JK59" s="46"/>
      <c r="JL59" s="46"/>
      <c r="JM59" s="46"/>
      <c r="JN59" s="46"/>
      <c r="JO59" s="46"/>
      <c r="JP59" s="46"/>
      <c r="JQ59" s="46"/>
      <c r="JR59" s="46"/>
      <c r="JS59" s="46"/>
      <c r="JT59" s="46"/>
      <c r="JU59" s="46"/>
      <c r="JV59" s="46"/>
      <c r="JW59" s="46"/>
      <c r="JX59" s="46"/>
      <c r="JY59" s="46"/>
      <c r="JZ59" s="46"/>
      <c r="KA59" s="46"/>
      <c r="KB59" s="46"/>
      <c r="KC59" s="46"/>
      <c r="KD59" s="46"/>
      <c r="KE59" s="46"/>
      <c r="KF59" s="46"/>
      <c r="KG59" s="46"/>
      <c r="KH59" s="46"/>
      <c r="KI59" s="46"/>
      <c r="KJ59" s="93">
        <f t="shared" si="16"/>
        <v>0</v>
      </c>
    </row>
    <row r="60" spans="1:296" ht="20.149999999999999" customHeight="1" x14ac:dyDescent="0.5">
      <c r="A60" s="84">
        <f t="shared" si="17"/>
        <v>51</v>
      </c>
      <c r="B60" s="141" t="s">
        <v>43</v>
      </c>
      <c r="C60" s="157" t="s">
        <v>327</v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>
        <f t="shared" si="0"/>
        <v>0</v>
      </c>
      <c r="S60" s="46">
        <f t="shared" si="1"/>
        <v>0</v>
      </c>
      <c r="T60" s="46">
        <f t="shared" si="2"/>
        <v>0</v>
      </c>
      <c r="U60" s="46">
        <f t="shared" si="3"/>
        <v>0</v>
      </c>
      <c r="V60" s="46">
        <f t="shared" si="4"/>
        <v>0</v>
      </c>
      <c r="W60" s="46">
        <f t="shared" si="5"/>
        <v>0</v>
      </c>
      <c r="X60" s="46">
        <f t="shared" si="6"/>
        <v>0</v>
      </c>
      <c r="Y60" s="46">
        <f t="shared" si="7"/>
        <v>0</v>
      </c>
      <c r="Z60" s="90">
        <f t="shared" si="8"/>
        <v>0</v>
      </c>
      <c r="AA60" s="95"/>
      <c r="AB60" s="92">
        <f>'LPLPO GUDANG'!H65</f>
        <v>1000</v>
      </c>
      <c r="AC60" s="91"/>
      <c r="AD60" s="91"/>
      <c r="AE60" s="91"/>
      <c r="AF60" s="91"/>
      <c r="AG60" s="92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93">
        <f t="shared" si="9"/>
        <v>0</v>
      </c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93">
        <f t="shared" si="10"/>
        <v>0</v>
      </c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6"/>
      <c r="DW60" s="46"/>
      <c r="DX60" s="46"/>
      <c r="DY60" s="46"/>
      <c r="DZ60" s="46"/>
      <c r="EA60" s="93">
        <f t="shared" si="11"/>
        <v>0</v>
      </c>
      <c r="EC60" s="46"/>
      <c r="ED60" s="46"/>
      <c r="EE60" s="46"/>
      <c r="EF60" s="46"/>
      <c r="EG60" s="46"/>
      <c r="EH60" s="46"/>
      <c r="EI60" s="46"/>
      <c r="EJ60" s="46"/>
      <c r="EK60" s="46"/>
      <c r="EL60" s="46"/>
      <c r="EM60" s="46"/>
      <c r="EN60" s="46"/>
      <c r="EO60" s="46"/>
      <c r="EP60" s="46"/>
      <c r="EQ60" s="46"/>
      <c r="ER60" s="46"/>
      <c r="ES60" s="46"/>
      <c r="ET60" s="46"/>
      <c r="EU60" s="46"/>
      <c r="EV60" s="46"/>
      <c r="EW60" s="46"/>
      <c r="EX60" s="46"/>
      <c r="EY60" s="46"/>
      <c r="EZ60" s="46"/>
      <c r="FA60" s="46"/>
      <c r="FB60" s="46"/>
      <c r="FC60" s="46"/>
      <c r="FD60" s="46"/>
      <c r="FE60" s="46"/>
      <c r="FF60" s="46"/>
      <c r="FG60" s="46"/>
      <c r="FH60" s="93">
        <f t="shared" si="12"/>
        <v>0</v>
      </c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93">
        <f t="shared" si="13"/>
        <v>0</v>
      </c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93">
        <f t="shared" si="14"/>
        <v>0</v>
      </c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  <c r="IT60" s="46"/>
      <c r="IU60" s="46"/>
      <c r="IV60" s="46"/>
      <c r="IW60" s="46"/>
      <c r="IX60" s="46"/>
      <c r="IY60" s="46"/>
      <c r="IZ60" s="46"/>
      <c r="JA60" s="46"/>
      <c r="JB60" s="46"/>
      <c r="JC60" s="93">
        <f t="shared" si="15"/>
        <v>0</v>
      </c>
      <c r="JE60" s="46"/>
      <c r="JF60" s="46"/>
      <c r="JG60" s="46"/>
      <c r="JH60" s="46"/>
      <c r="JI60" s="46"/>
      <c r="JJ60" s="46"/>
      <c r="JK60" s="46"/>
      <c r="JL60" s="46"/>
      <c r="JM60" s="46"/>
      <c r="JN60" s="46"/>
      <c r="JO60" s="46"/>
      <c r="JP60" s="46"/>
      <c r="JQ60" s="46"/>
      <c r="JR60" s="46"/>
      <c r="JS60" s="46"/>
      <c r="JT60" s="46"/>
      <c r="JU60" s="46"/>
      <c r="JV60" s="46"/>
      <c r="JW60" s="46"/>
      <c r="JX60" s="46"/>
      <c r="JY60" s="46"/>
      <c r="JZ60" s="46"/>
      <c r="KA60" s="46"/>
      <c r="KB60" s="46"/>
      <c r="KC60" s="46"/>
      <c r="KD60" s="46"/>
      <c r="KE60" s="46"/>
      <c r="KF60" s="46"/>
      <c r="KG60" s="46"/>
      <c r="KH60" s="46"/>
      <c r="KI60" s="46"/>
      <c r="KJ60" s="93">
        <f t="shared" si="16"/>
        <v>0</v>
      </c>
    </row>
    <row r="61" spans="1:296" ht="20.149999999999999" customHeight="1" x14ac:dyDescent="0.5">
      <c r="A61" s="84">
        <f t="shared" si="17"/>
        <v>52</v>
      </c>
      <c r="B61" s="141" t="s">
        <v>44</v>
      </c>
      <c r="C61" s="155" t="s">
        <v>327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>
        <f t="shared" si="0"/>
        <v>0</v>
      </c>
      <c r="S61" s="46">
        <f t="shared" si="1"/>
        <v>0</v>
      </c>
      <c r="T61" s="46">
        <f t="shared" si="2"/>
        <v>0</v>
      </c>
      <c r="U61" s="46">
        <f t="shared" si="3"/>
        <v>0</v>
      </c>
      <c r="V61" s="46">
        <f t="shared" si="4"/>
        <v>0</v>
      </c>
      <c r="W61" s="46">
        <f t="shared" si="5"/>
        <v>0</v>
      </c>
      <c r="X61" s="46">
        <f t="shared" si="6"/>
        <v>0</v>
      </c>
      <c r="Y61" s="46">
        <f t="shared" si="7"/>
        <v>0</v>
      </c>
      <c r="Z61" s="90">
        <f t="shared" si="8"/>
        <v>0</v>
      </c>
      <c r="AA61" s="95"/>
      <c r="AB61" s="95">
        <f>'LPLPO GUDANG'!H66</f>
        <v>0</v>
      </c>
      <c r="AC61" s="91"/>
      <c r="AD61" s="91"/>
      <c r="AE61" s="91"/>
      <c r="AF61" s="91"/>
      <c r="AG61" s="92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93">
        <f t="shared" si="9"/>
        <v>0</v>
      </c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93">
        <f t="shared" si="10"/>
        <v>0</v>
      </c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6"/>
      <c r="DP61" s="46"/>
      <c r="DQ61" s="46"/>
      <c r="DR61" s="46"/>
      <c r="DS61" s="46"/>
      <c r="DT61" s="46"/>
      <c r="DU61" s="46"/>
      <c r="DV61" s="46"/>
      <c r="DW61" s="46"/>
      <c r="DX61" s="46"/>
      <c r="DY61" s="46"/>
      <c r="DZ61" s="46"/>
      <c r="EA61" s="93">
        <f t="shared" si="11"/>
        <v>0</v>
      </c>
      <c r="EC61" s="46"/>
      <c r="ED61" s="46"/>
      <c r="EE61" s="46"/>
      <c r="EF61" s="46"/>
      <c r="EG61" s="46"/>
      <c r="EH61" s="46"/>
      <c r="EI61" s="46"/>
      <c r="EJ61" s="46"/>
      <c r="EK61" s="46"/>
      <c r="EL61" s="46"/>
      <c r="EM61" s="46"/>
      <c r="EN61" s="46"/>
      <c r="EO61" s="46"/>
      <c r="EP61" s="46"/>
      <c r="EQ61" s="46"/>
      <c r="ER61" s="46"/>
      <c r="ES61" s="46"/>
      <c r="ET61" s="46"/>
      <c r="EU61" s="46"/>
      <c r="EV61" s="46"/>
      <c r="EW61" s="46"/>
      <c r="EX61" s="46"/>
      <c r="EY61" s="46"/>
      <c r="EZ61" s="46"/>
      <c r="FA61" s="46"/>
      <c r="FB61" s="46"/>
      <c r="FC61" s="46"/>
      <c r="FD61" s="46"/>
      <c r="FE61" s="46"/>
      <c r="FF61" s="46"/>
      <c r="FG61" s="46"/>
      <c r="FH61" s="93">
        <f t="shared" si="12"/>
        <v>0</v>
      </c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93">
        <f t="shared" si="13"/>
        <v>0</v>
      </c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93">
        <f t="shared" si="14"/>
        <v>0</v>
      </c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  <c r="IT61" s="46"/>
      <c r="IU61" s="46"/>
      <c r="IV61" s="46"/>
      <c r="IW61" s="46"/>
      <c r="IX61" s="46"/>
      <c r="IY61" s="46"/>
      <c r="IZ61" s="46"/>
      <c r="JA61" s="46"/>
      <c r="JB61" s="46"/>
      <c r="JC61" s="93">
        <f t="shared" si="15"/>
        <v>0</v>
      </c>
      <c r="JE61" s="46"/>
      <c r="JF61" s="46"/>
      <c r="JG61" s="46"/>
      <c r="JH61" s="46"/>
      <c r="JI61" s="46"/>
      <c r="JJ61" s="46"/>
      <c r="JK61" s="46"/>
      <c r="JL61" s="46"/>
      <c r="JM61" s="46"/>
      <c r="JN61" s="46"/>
      <c r="JO61" s="46"/>
      <c r="JP61" s="46"/>
      <c r="JQ61" s="46"/>
      <c r="JR61" s="46"/>
      <c r="JS61" s="46"/>
      <c r="JT61" s="46"/>
      <c r="JU61" s="46"/>
      <c r="JV61" s="46"/>
      <c r="JW61" s="46"/>
      <c r="JX61" s="46"/>
      <c r="JY61" s="46"/>
      <c r="JZ61" s="46"/>
      <c r="KA61" s="46"/>
      <c r="KB61" s="46"/>
      <c r="KC61" s="46"/>
      <c r="KD61" s="46"/>
      <c r="KE61" s="46"/>
      <c r="KF61" s="46"/>
      <c r="KG61" s="46"/>
      <c r="KH61" s="46"/>
      <c r="KI61" s="46"/>
      <c r="KJ61" s="93">
        <f t="shared" si="16"/>
        <v>0</v>
      </c>
    </row>
    <row r="62" spans="1:296" ht="20.149999999999999" customHeight="1" x14ac:dyDescent="0.5">
      <c r="A62" s="84">
        <f t="shared" si="17"/>
        <v>53</v>
      </c>
      <c r="B62" s="141" t="s">
        <v>45</v>
      </c>
      <c r="C62" s="161" t="s">
        <v>335</v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>
        <f t="shared" si="0"/>
        <v>0</v>
      </c>
      <c r="S62" s="46">
        <f t="shared" si="1"/>
        <v>0</v>
      </c>
      <c r="T62" s="46">
        <f t="shared" si="2"/>
        <v>0</v>
      </c>
      <c r="U62" s="46">
        <f t="shared" si="3"/>
        <v>0</v>
      </c>
      <c r="V62" s="46">
        <f t="shared" si="4"/>
        <v>0</v>
      </c>
      <c r="W62" s="46">
        <f t="shared" si="5"/>
        <v>0</v>
      </c>
      <c r="X62" s="46">
        <f t="shared" si="6"/>
        <v>0</v>
      </c>
      <c r="Y62" s="46">
        <f t="shared" si="7"/>
        <v>0</v>
      </c>
      <c r="Z62" s="90">
        <f t="shared" si="8"/>
        <v>0</v>
      </c>
      <c r="AA62" s="95"/>
      <c r="AB62" s="92">
        <f>'LPLPO GUDANG'!H67</f>
        <v>72</v>
      </c>
      <c r="AC62" s="91" t="s">
        <v>421</v>
      </c>
      <c r="AD62" s="91"/>
      <c r="AE62" s="91"/>
      <c r="AF62" s="91"/>
      <c r="AG62" s="92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93">
        <f t="shared" si="9"/>
        <v>0</v>
      </c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93">
        <f t="shared" si="10"/>
        <v>0</v>
      </c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  <c r="DK62" s="46"/>
      <c r="DL62" s="46"/>
      <c r="DM62" s="46"/>
      <c r="DN62" s="46"/>
      <c r="DO62" s="46"/>
      <c r="DP62" s="46"/>
      <c r="DQ62" s="46"/>
      <c r="DR62" s="46"/>
      <c r="DS62" s="46"/>
      <c r="DT62" s="46"/>
      <c r="DU62" s="46"/>
      <c r="DV62" s="46"/>
      <c r="DW62" s="46"/>
      <c r="DX62" s="46"/>
      <c r="DY62" s="46"/>
      <c r="DZ62" s="46"/>
      <c r="EA62" s="93">
        <f t="shared" si="11"/>
        <v>0</v>
      </c>
      <c r="EC62" s="46"/>
      <c r="ED62" s="46"/>
      <c r="EE62" s="46"/>
      <c r="EF62" s="46"/>
      <c r="EG62" s="46"/>
      <c r="EH62" s="46"/>
      <c r="EI62" s="46"/>
      <c r="EJ62" s="46"/>
      <c r="EK62" s="46"/>
      <c r="EL62" s="46"/>
      <c r="EM62" s="46"/>
      <c r="EN62" s="46"/>
      <c r="EO62" s="46"/>
      <c r="EP62" s="46"/>
      <c r="EQ62" s="46"/>
      <c r="ER62" s="46"/>
      <c r="ES62" s="46"/>
      <c r="ET62" s="46"/>
      <c r="EU62" s="46"/>
      <c r="EV62" s="46"/>
      <c r="EW62" s="46"/>
      <c r="EX62" s="46"/>
      <c r="EY62" s="46"/>
      <c r="EZ62" s="46"/>
      <c r="FA62" s="46"/>
      <c r="FB62" s="46"/>
      <c r="FC62" s="46"/>
      <c r="FD62" s="46"/>
      <c r="FE62" s="46"/>
      <c r="FF62" s="46"/>
      <c r="FG62" s="46"/>
      <c r="FH62" s="93">
        <f t="shared" si="12"/>
        <v>0</v>
      </c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93">
        <f t="shared" si="13"/>
        <v>0</v>
      </c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93">
        <f t="shared" si="14"/>
        <v>0</v>
      </c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  <c r="IT62" s="46"/>
      <c r="IU62" s="46"/>
      <c r="IV62" s="46"/>
      <c r="IW62" s="46"/>
      <c r="IX62" s="46"/>
      <c r="IY62" s="46"/>
      <c r="IZ62" s="46"/>
      <c r="JA62" s="46"/>
      <c r="JB62" s="46"/>
      <c r="JC62" s="93">
        <f t="shared" si="15"/>
        <v>0</v>
      </c>
      <c r="JE62" s="46"/>
      <c r="JF62" s="46"/>
      <c r="JG62" s="46"/>
      <c r="JH62" s="46"/>
      <c r="JI62" s="46"/>
      <c r="JJ62" s="46"/>
      <c r="JK62" s="46"/>
      <c r="JL62" s="46"/>
      <c r="JM62" s="46"/>
      <c r="JN62" s="46"/>
      <c r="JO62" s="46"/>
      <c r="JP62" s="46"/>
      <c r="JQ62" s="46"/>
      <c r="JR62" s="46"/>
      <c r="JS62" s="46"/>
      <c r="JT62" s="46"/>
      <c r="JU62" s="46"/>
      <c r="JV62" s="46"/>
      <c r="JW62" s="46"/>
      <c r="JX62" s="46"/>
      <c r="JY62" s="46"/>
      <c r="JZ62" s="46"/>
      <c r="KA62" s="46"/>
      <c r="KB62" s="46"/>
      <c r="KC62" s="46"/>
      <c r="KD62" s="46"/>
      <c r="KE62" s="46"/>
      <c r="KF62" s="46"/>
      <c r="KG62" s="46"/>
      <c r="KH62" s="46"/>
      <c r="KI62" s="46"/>
      <c r="KJ62" s="93">
        <f t="shared" si="16"/>
        <v>0</v>
      </c>
    </row>
    <row r="63" spans="1:296" ht="20.149999999999999" customHeight="1" x14ac:dyDescent="0.5">
      <c r="A63" s="84">
        <f t="shared" si="17"/>
        <v>54</v>
      </c>
      <c r="B63" s="141" t="s">
        <v>46</v>
      </c>
      <c r="C63" s="161" t="s">
        <v>344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>
        <f t="shared" si="0"/>
        <v>300</v>
      </c>
      <c r="S63" s="46">
        <f t="shared" si="1"/>
        <v>0</v>
      </c>
      <c r="T63" s="46">
        <f t="shared" si="2"/>
        <v>0</v>
      </c>
      <c r="U63" s="46">
        <f t="shared" si="3"/>
        <v>0</v>
      </c>
      <c r="V63" s="46">
        <f t="shared" si="4"/>
        <v>0</v>
      </c>
      <c r="W63" s="46">
        <f t="shared" si="5"/>
        <v>0</v>
      </c>
      <c r="X63" s="46">
        <f t="shared" si="6"/>
        <v>0</v>
      </c>
      <c r="Y63" s="46">
        <f t="shared" si="7"/>
        <v>0</v>
      </c>
      <c r="Z63" s="90">
        <f t="shared" si="8"/>
        <v>300</v>
      </c>
      <c r="AA63" s="95"/>
      <c r="AB63" s="92">
        <f>'LPLPO GUDANG'!H68</f>
        <v>0</v>
      </c>
      <c r="AC63" s="91"/>
      <c r="AD63" s="91"/>
      <c r="AE63" s="91"/>
      <c r="AF63" s="91"/>
      <c r="AG63" s="92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>
        <v>300</v>
      </c>
      <c r="BG63" s="46"/>
      <c r="BH63" s="46"/>
      <c r="BI63" s="46"/>
      <c r="BJ63" s="46"/>
      <c r="BK63" s="46"/>
      <c r="BL63" s="46"/>
      <c r="BM63" s="93">
        <f t="shared" si="9"/>
        <v>300</v>
      </c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93">
        <f t="shared" si="10"/>
        <v>0</v>
      </c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/>
      <c r="DJ63" s="46"/>
      <c r="DK63" s="46"/>
      <c r="DL63" s="46"/>
      <c r="DM63" s="46"/>
      <c r="DN63" s="46"/>
      <c r="DO63" s="46"/>
      <c r="DP63" s="46"/>
      <c r="DQ63" s="46"/>
      <c r="DR63" s="46"/>
      <c r="DS63" s="46"/>
      <c r="DT63" s="46"/>
      <c r="DU63" s="46"/>
      <c r="DV63" s="46"/>
      <c r="DW63" s="46"/>
      <c r="DX63" s="46"/>
      <c r="DY63" s="46"/>
      <c r="DZ63" s="46"/>
      <c r="EA63" s="93">
        <f t="shared" si="11"/>
        <v>0</v>
      </c>
      <c r="EC63" s="46"/>
      <c r="ED63" s="46"/>
      <c r="EE63" s="46"/>
      <c r="EF63" s="46"/>
      <c r="EG63" s="46"/>
      <c r="EH63" s="46"/>
      <c r="EI63" s="46"/>
      <c r="EJ63" s="46"/>
      <c r="EK63" s="46"/>
      <c r="EL63" s="46"/>
      <c r="EM63" s="46"/>
      <c r="EN63" s="46"/>
      <c r="EO63" s="46"/>
      <c r="EP63" s="46"/>
      <c r="EQ63" s="46"/>
      <c r="ER63" s="46"/>
      <c r="ES63" s="46"/>
      <c r="ET63" s="46"/>
      <c r="EU63" s="46"/>
      <c r="EV63" s="46"/>
      <c r="EW63" s="46"/>
      <c r="EX63" s="46"/>
      <c r="EY63" s="46"/>
      <c r="EZ63" s="46"/>
      <c r="FA63" s="46"/>
      <c r="FB63" s="46"/>
      <c r="FC63" s="46"/>
      <c r="FD63" s="46"/>
      <c r="FE63" s="46"/>
      <c r="FF63" s="46"/>
      <c r="FG63" s="46"/>
      <c r="FH63" s="93">
        <f t="shared" si="12"/>
        <v>0</v>
      </c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93">
        <f t="shared" si="13"/>
        <v>0</v>
      </c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93">
        <f t="shared" si="14"/>
        <v>0</v>
      </c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  <c r="IT63" s="46"/>
      <c r="IU63" s="46"/>
      <c r="IV63" s="46"/>
      <c r="IW63" s="46"/>
      <c r="IX63" s="46"/>
      <c r="IY63" s="46"/>
      <c r="IZ63" s="46"/>
      <c r="JA63" s="46"/>
      <c r="JB63" s="46"/>
      <c r="JC63" s="93">
        <f t="shared" si="15"/>
        <v>0</v>
      </c>
      <c r="JE63" s="46"/>
      <c r="JF63" s="46"/>
      <c r="JG63" s="46"/>
      <c r="JH63" s="46"/>
      <c r="JI63" s="46"/>
      <c r="JJ63" s="46"/>
      <c r="JK63" s="46"/>
      <c r="JL63" s="46"/>
      <c r="JM63" s="46"/>
      <c r="JN63" s="46"/>
      <c r="JO63" s="46"/>
      <c r="JP63" s="46"/>
      <c r="JQ63" s="46"/>
      <c r="JR63" s="46"/>
      <c r="JS63" s="46"/>
      <c r="JT63" s="46"/>
      <c r="JU63" s="46"/>
      <c r="JV63" s="46"/>
      <c r="JW63" s="46"/>
      <c r="JX63" s="46"/>
      <c r="JY63" s="46"/>
      <c r="JZ63" s="46"/>
      <c r="KA63" s="46"/>
      <c r="KB63" s="46"/>
      <c r="KC63" s="46"/>
      <c r="KD63" s="46"/>
      <c r="KE63" s="46"/>
      <c r="KF63" s="46"/>
      <c r="KG63" s="46"/>
      <c r="KH63" s="46"/>
      <c r="KI63" s="46"/>
      <c r="KJ63" s="93">
        <f t="shared" si="16"/>
        <v>0</v>
      </c>
    </row>
    <row r="64" spans="1:296" ht="20.149999999999999" customHeight="1" x14ac:dyDescent="0.5">
      <c r="A64" s="84">
        <f t="shared" si="17"/>
        <v>55</v>
      </c>
      <c r="B64" s="141" t="s">
        <v>47</v>
      </c>
      <c r="C64" s="157" t="s">
        <v>48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>
        <f t="shared" si="0"/>
        <v>0</v>
      </c>
      <c r="S64" s="46">
        <f t="shared" si="1"/>
        <v>0</v>
      </c>
      <c r="T64" s="46">
        <f t="shared" si="2"/>
        <v>10</v>
      </c>
      <c r="U64" s="46">
        <f t="shared" si="3"/>
        <v>0</v>
      </c>
      <c r="V64" s="46">
        <f t="shared" si="4"/>
        <v>0</v>
      </c>
      <c r="W64" s="46">
        <f t="shared" si="5"/>
        <v>0</v>
      </c>
      <c r="X64" s="46">
        <f t="shared" si="6"/>
        <v>0</v>
      </c>
      <c r="Y64" s="46">
        <f t="shared" si="7"/>
        <v>0</v>
      </c>
      <c r="Z64" s="90">
        <f t="shared" si="8"/>
        <v>10</v>
      </c>
      <c r="AA64" s="95"/>
      <c r="AB64" s="92">
        <f>'LPLPO GUDANG'!H69</f>
        <v>90</v>
      </c>
      <c r="AC64" s="91">
        <v>-1</v>
      </c>
      <c r="AD64" s="91"/>
      <c r="AE64" s="91"/>
      <c r="AF64" s="91"/>
      <c r="AG64" s="92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93">
        <f t="shared" si="9"/>
        <v>0</v>
      </c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93">
        <f t="shared" si="10"/>
        <v>0</v>
      </c>
      <c r="CV64" s="46"/>
      <c r="CW64" s="46"/>
      <c r="CX64" s="46">
        <v>10</v>
      </c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/>
      <c r="DJ64" s="46"/>
      <c r="DK64" s="46"/>
      <c r="DL64" s="46"/>
      <c r="DM64" s="46"/>
      <c r="DN64" s="46"/>
      <c r="DO64" s="46"/>
      <c r="DP64" s="46"/>
      <c r="DQ64" s="46"/>
      <c r="DR64" s="46"/>
      <c r="DS64" s="46"/>
      <c r="DT64" s="46"/>
      <c r="DU64" s="46"/>
      <c r="DV64" s="46"/>
      <c r="DW64" s="46"/>
      <c r="DX64" s="46"/>
      <c r="DY64" s="46"/>
      <c r="DZ64" s="46"/>
      <c r="EA64" s="93">
        <f t="shared" si="11"/>
        <v>10</v>
      </c>
      <c r="EC64" s="46"/>
      <c r="ED64" s="46"/>
      <c r="EE64" s="46"/>
      <c r="EF64" s="46"/>
      <c r="EG64" s="46"/>
      <c r="EH64" s="46"/>
      <c r="EI64" s="46"/>
      <c r="EJ64" s="46"/>
      <c r="EK64" s="46"/>
      <c r="EL64" s="46"/>
      <c r="EM64" s="46"/>
      <c r="EN64" s="46"/>
      <c r="EO64" s="46"/>
      <c r="EP64" s="46"/>
      <c r="EQ64" s="46"/>
      <c r="ER64" s="46"/>
      <c r="ES64" s="46"/>
      <c r="ET64" s="46"/>
      <c r="EU64" s="46"/>
      <c r="EV64" s="46"/>
      <c r="EW64" s="46"/>
      <c r="EX64" s="46"/>
      <c r="EY64" s="46"/>
      <c r="EZ64" s="46"/>
      <c r="FA64" s="46"/>
      <c r="FB64" s="46"/>
      <c r="FC64" s="46"/>
      <c r="FD64" s="46"/>
      <c r="FE64" s="46"/>
      <c r="FF64" s="46"/>
      <c r="FG64" s="46"/>
      <c r="FH64" s="93">
        <f t="shared" si="12"/>
        <v>0</v>
      </c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93">
        <f t="shared" si="13"/>
        <v>0</v>
      </c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93">
        <f t="shared" si="14"/>
        <v>0</v>
      </c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  <c r="IT64" s="46"/>
      <c r="IU64" s="46"/>
      <c r="IV64" s="46"/>
      <c r="IW64" s="46"/>
      <c r="IX64" s="46"/>
      <c r="IY64" s="46"/>
      <c r="IZ64" s="46"/>
      <c r="JA64" s="46"/>
      <c r="JB64" s="46"/>
      <c r="JC64" s="93">
        <f t="shared" si="15"/>
        <v>0</v>
      </c>
      <c r="JE64" s="46"/>
      <c r="JF64" s="46"/>
      <c r="JG64" s="46"/>
      <c r="JH64" s="46"/>
      <c r="JI64" s="46"/>
      <c r="JJ64" s="46"/>
      <c r="JK64" s="46"/>
      <c r="JL64" s="46"/>
      <c r="JM64" s="46"/>
      <c r="JN64" s="46"/>
      <c r="JO64" s="46"/>
      <c r="JP64" s="46"/>
      <c r="JQ64" s="46"/>
      <c r="JR64" s="46"/>
      <c r="JS64" s="46"/>
      <c r="JT64" s="46"/>
      <c r="JU64" s="46"/>
      <c r="JV64" s="46"/>
      <c r="JW64" s="46"/>
      <c r="JX64" s="46"/>
      <c r="JY64" s="46"/>
      <c r="JZ64" s="46"/>
      <c r="KA64" s="46"/>
      <c r="KB64" s="46"/>
      <c r="KC64" s="46"/>
      <c r="KD64" s="46"/>
      <c r="KE64" s="46"/>
      <c r="KF64" s="46"/>
      <c r="KG64" s="46"/>
      <c r="KH64" s="46"/>
      <c r="KI64" s="46"/>
      <c r="KJ64" s="93">
        <f t="shared" si="16"/>
        <v>0</v>
      </c>
    </row>
    <row r="65" spans="1:296" x14ac:dyDescent="0.5">
      <c r="A65" s="84">
        <f t="shared" si="17"/>
        <v>56</v>
      </c>
      <c r="B65" s="141" t="s">
        <v>49</v>
      </c>
      <c r="C65" s="157" t="s">
        <v>341</v>
      </c>
      <c r="D65" s="46"/>
      <c r="E65" s="46"/>
      <c r="F65" s="46">
        <v>100</v>
      </c>
      <c r="G65" s="46"/>
      <c r="H65" s="46"/>
      <c r="I65" s="46">
        <v>100</v>
      </c>
      <c r="J65" s="46"/>
      <c r="K65" s="46"/>
      <c r="L65" s="46"/>
      <c r="M65" s="46"/>
      <c r="N65" s="46"/>
      <c r="O65" s="46"/>
      <c r="P65" s="46"/>
      <c r="Q65" s="46"/>
      <c r="R65" s="46">
        <f t="shared" si="0"/>
        <v>1200</v>
      </c>
      <c r="S65" s="46">
        <f t="shared" si="1"/>
        <v>0</v>
      </c>
      <c r="T65" s="46">
        <f t="shared" si="2"/>
        <v>100</v>
      </c>
      <c r="U65" s="46">
        <f t="shared" si="3"/>
        <v>0</v>
      </c>
      <c r="V65" s="46">
        <f t="shared" si="4"/>
        <v>0</v>
      </c>
      <c r="W65" s="46">
        <f t="shared" si="5"/>
        <v>0</v>
      </c>
      <c r="X65" s="46">
        <f t="shared" si="6"/>
        <v>0</v>
      </c>
      <c r="Y65" s="46">
        <f t="shared" si="7"/>
        <v>0</v>
      </c>
      <c r="Z65" s="90">
        <f t="shared" si="8"/>
        <v>1500</v>
      </c>
      <c r="AA65" s="95"/>
      <c r="AB65" s="92">
        <f>'LPLPO GUDANG'!H70</f>
        <v>500</v>
      </c>
      <c r="AC65" s="91"/>
      <c r="AD65" s="91"/>
      <c r="AE65" s="91"/>
      <c r="AF65" s="91"/>
      <c r="AG65" s="92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>
        <v>1200</v>
      </c>
      <c r="BF65" s="46"/>
      <c r="BG65" s="46"/>
      <c r="BH65" s="46"/>
      <c r="BI65" s="46"/>
      <c r="BJ65" s="46"/>
      <c r="BK65" s="46"/>
      <c r="BL65" s="46"/>
      <c r="BM65" s="93">
        <f t="shared" si="9"/>
        <v>1200</v>
      </c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93">
        <f t="shared" si="10"/>
        <v>0</v>
      </c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/>
      <c r="DJ65" s="46"/>
      <c r="DK65" s="46"/>
      <c r="DL65" s="46">
        <v>100</v>
      </c>
      <c r="DM65" s="46"/>
      <c r="DN65" s="46"/>
      <c r="DO65" s="46"/>
      <c r="DP65" s="46"/>
      <c r="DQ65" s="46"/>
      <c r="DR65" s="46"/>
      <c r="DS65" s="46"/>
      <c r="DT65" s="46"/>
      <c r="DU65" s="46"/>
      <c r="DV65" s="46"/>
      <c r="DW65" s="46"/>
      <c r="DX65" s="46"/>
      <c r="DY65" s="46"/>
      <c r="DZ65" s="46"/>
      <c r="EA65" s="93">
        <f t="shared" si="11"/>
        <v>100</v>
      </c>
      <c r="EC65" s="46"/>
      <c r="ED65" s="46"/>
      <c r="EE65" s="46"/>
      <c r="EF65" s="46"/>
      <c r="EG65" s="46"/>
      <c r="EH65" s="46"/>
      <c r="EI65" s="46"/>
      <c r="EJ65" s="46"/>
      <c r="EK65" s="46"/>
      <c r="EL65" s="46"/>
      <c r="EM65" s="46"/>
      <c r="EN65" s="46"/>
      <c r="EO65" s="46"/>
      <c r="EP65" s="46"/>
      <c r="EQ65" s="46"/>
      <c r="ER65" s="46"/>
      <c r="ES65" s="46"/>
      <c r="ET65" s="46"/>
      <c r="EU65" s="46"/>
      <c r="EV65" s="46"/>
      <c r="EW65" s="46"/>
      <c r="EX65" s="46"/>
      <c r="EY65" s="46"/>
      <c r="EZ65" s="46"/>
      <c r="FA65" s="46"/>
      <c r="FB65" s="46"/>
      <c r="FC65" s="46"/>
      <c r="FD65" s="46"/>
      <c r="FE65" s="46"/>
      <c r="FF65" s="46"/>
      <c r="FG65" s="46"/>
      <c r="FH65" s="93">
        <f t="shared" si="12"/>
        <v>0</v>
      </c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93">
        <f t="shared" si="13"/>
        <v>0</v>
      </c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93">
        <f t="shared" si="14"/>
        <v>0</v>
      </c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  <c r="IT65" s="46"/>
      <c r="IU65" s="46"/>
      <c r="IV65" s="46"/>
      <c r="IW65" s="46"/>
      <c r="IX65" s="46"/>
      <c r="IY65" s="46"/>
      <c r="IZ65" s="46"/>
      <c r="JA65" s="46"/>
      <c r="JB65" s="46"/>
      <c r="JC65" s="93">
        <f t="shared" si="15"/>
        <v>0</v>
      </c>
      <c r="JE65" s="46"/>
      <c r="JF65" s="46"/>
      <c r="JG65" s="46"/>
      <c r="JH65" s="46"/>
      <c r="JI65" s="46"/>
      <c r="JJ65" s="46"/>
      <c r="JK65" s="46"/>
      <c r="JL65" s="46"/>
      <c r="JM65" s="46"/>
      <c r="JN65" s="46"/>
      <c r="JO65" s="46"/>
      <c r="JP65" s="46"/>
      <c r="JQ65" s="46"/>
      <c r="JR65" s="46"/>
      <c r="JS65" s="46"/>
      <c r="JT65" s="46"/>
      <c r="JU65" s="46"/>
      <c r="JV65" s="46"/>
      <c r="JW65" s="46"/>
      <c r="JX65" s="46"/>
      <c r="JY65" s="46"/>
      <c r="JZ65" s="46"/>
      <c r="KA65" s="46"/>
      <c r="KB65" s="46"/>
      <c r="KC65" s="46"/>
      <c r="KD65" s="46"/>
      <c r="KE65" s="46"/>
      <c r="KF65" s="46"/>
      <c r="KG65" s="46"/>
      <c r="KH65" s="46"/>
      <c r="KI65" s="46"/>
      <c r="KJ65" s="93">
        <f t="shared" si="16"/>
        <v>0</v>
      </c>
    </row>
    <row r="66" spans="1:296" ht="36" x14ac:dyDescent="0.5">
      <c r="A66" s="84">
        <f t="shared" si="17"/>
        <v>57</v>
      </c>
      <c r="B66" s="141" t="s">
        <v>50</v>
      </c>
      <c r="C66" s="157" t="s">
        <v>327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>
        <f t="shared" si="0"/>
        <v>0</v>
      </c>
      <c r="S66" s="46">
        <f t="shared" si="1"/>
        <v>0</v>
      </c>
      <c r="T66" s="46">
        <f t="shared" si="2"/>
        <v>0</v>
      </c>
      <c r="U66" s="46">
        <f t="shared" si="3"/>
        <v>0</v>
      </c>
      <c r="V66" s="46">
        <f t="shared" si="4"/>
        <v>0</v>
      </c>
      <c r="W66" s="46">
        <f t="shared" si="5"/>
        <v>0</v>
      </c>
      <c r="X66" s="46">
        <f t="shared" si="6"/>
        <v>0</v>
      </c>
      <c r="Y66" s="46">
        <f t="shared" si="7"/>
        <v>0</v>
      </c>
      <c r="Z66" s="90">
        <f t="shared" si="8"/>
        <v>0</v>
      </c>
      <c r="AA66" s="95"/>
      <c r="AB66" s="95">
        <f>'LPLPO GUDANG'!H71</f>
        <v>0</v>
      </c>
      <c r="AC66" s="91"/>
      <c r="AD66" s="91"/>
      <c r="AE66" s="91"/>
      <c r="AF66" s="91"/>
      <c r="AG66" s="92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93">
        <f t="shared" si="9"/>
        <v>0</v>
      </c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93">
        <f t="shared" si="10"/>
        <v>0</v>
      </c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/>
      <c r="DJ66" s="46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6"/>
      <c r="DW66" s="46"/>
      <c r="DX66" s="46"/>
      <c r="DY66" s="46"/>
      <c r="DZ66" s="46"/>
      <c r="EA66" s="93">
        <f t="shared" si="11"/>
        <v>0</v>
      </c>
      <c r="EC66" s="46"/>
      <c r="ED66" s="46"/>
      <c r="EE66" s="46"/>
      <c r="EF66" s="46"/>
      <c r="EG66" s="46"/>
      <c r="EH66" s="46"/>
      <c r="EI66" s="46"/>
      <c r="EJ66" s="46"/>
      <c r="EK66" s="46"/>
      <c r="EL66" s="46"/>
      <c r="EM66" s="46"/>
      <c r="EN66" s="46"/>
      <c r="EO66" s="46"/>
      <c r="EP66" s="46"/>
      <c r="EQ66" s="46"/>
      <c r="ER66" s="46"/>
      <c r="ES66" s="46"/>
      <c r="ET66" s="46"/>
      <c r="EU66" s="46"/>
      <c r="EV66" s="46"/>
      <c r="EW66" s="46"/>
      <c r="EX66" s="46"/>
      <c r="EY66" s="46"/>
      <c r="EZ66" s="46"/>
      <c r="FA66" s="46"/>
      <c r="FB66" s="46"/>
      <c r="FC66" s="46"/>
      <c r="FD66" s="46"/>
      <c r="FE66" s="46"/>
      <c r="FF66" s="46"/>
      <c r="FG66" s="46"/>
      <c r="FH66" s="93">
        <f t="shared" si="12"/>
        <v>0</v>
      </c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93">
        <f t="shared" si="13"/>
        <v>0</v>
      </c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93">
        <f t="shared" si="14"/>
        <v>0</v>
      </c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  <c r="IT66" s="46"/>
      <c r="IU66" s="46"/>
      <c r="IV66" s="46"/>
      <c r="IW66" s="46"/>
      <c r="IX66" s="46"/>
      <c r="IY66" s="46"/>
      <c r="IZ66" s="46"/>
      <c r="JA66" s="46"/>
      <c r="JB66" s="46"/>
      <c r="JC66" s="93">
        <f t="shared" si="15"/>
        <v>0</v>
      </c>
      <c r="JE66" s="46"/>
      <c r="JF66" s="46"/>
      <c r="JG66" s="46"/>
      <c r="JH66" s="46"/>
      <c r="JI66" s="46"/>
      <c r="JJ66" s="46"/>
      <c r="JK66" s="46"/>
      <c r="JL66" s="46"/>
      <c r="JM66" s="46"/>
      <c r="JN66" s="46"/>
      <c r="JO66" s="46"/>
      <c r="JP66" s="46"/>
      <c r="JQ66" s="46"/>
      <c r="JR66" s="46"/>
      <c r="JS66" s="46"/>
      <c r="JT66" s="46"/>
      <c r="JU66" s="46"/>
      <c r="JV66" s="46"/>
      <c r="JW66" s="46"/>
      <c r="JX66" s="46"/>
      <c r="JY66" s="46"/>
      <c r="JZ66" s="46"/>
      <c r="KA66" s="46"/>
      <c r="KB66" s="46"/>
      <c r="KC66" s="46"/>
      <c r="KD66" s="46"/>
      <c r="KE66" s="46"/>
      <c r="KF66" s="46"/>
      <c r="KG66" s="46"/>
      <c r="KH66" s="46"/>
      <c r="KI66" s="46"/>
      <c r="KJ66" s="93">
        <f t="shared" si="16"/>
        <v>0</v>
      </c>
    </row>
    <row r="67" spans="1:296" ht="20.149999999999999" customHeight="1" x14ac:dyDescent="0.5">
      <c r="A67" s="84">
        <f t="shared" si="17"/>
        <v>58</v>
      </c>
      <c r="B67" s="141" t="s">
        <v>51</v>
      </c>
      <c r="C67" s="157" t="s">
        <v>327</v>
      </c>
      <c r="D67" s="46"/>
      <c r="E67" s="46"/>
      <c r="F67" s="46"/>
      <c r="G67" s="46"/>
      <c r="H67" s="46">
        <v>100</v>
      </c>
      <c r="I67" s="46"/>
      <c r="J67" s="46"/>
      <c r="K67" s="46"/>
      <c r="L67" s="46"/>
      <c r="M67" s="46"/>
      <c r="N67" s="46"/>
      <c r="O67" s="46"/>
      <c r="P67" s="46"/>
      <c r="Q67" s="46"/>
      <c r="R67" s="46">
        <f t="shared" si="0"/>
        <v>2200</v>
      </c>
      <c r="S67" s="46">
        <f t="shared" si="1"/>
        <v>0</v>
      </c>
      <c r="T67" s="46">
        <f t="shared" si="2"/>
        <v>0</v>
      </c>
      <c r="U67" s="46">
        <f t="shared" si="3"/>
        <v>0</v>
      </c>
      <c r="V67" s="46">
        <f t="shared" si="4"/>
        <v>0</v>
      </c>
      <c r="W67" s="46">
        <f t="shared" si="5"/>
        <v>0</v>
      </c>
      <c r="X67" s="46">
        <f t="shared" si="6"/>
        <v>0</v>
      </c>
      <c r="Y67" s="46">
        <f t="shared" si="7"/>
        <v>0</v>
      </c>
      <c r="Z67" s="90">
        <f t="shared" si="8"/>
        <v>2300</v>
      </c>
      <c r="AA67" s="95"/>
      <c r="AB67" s="92">
        <f>'LPLPO GUDANG'!H72</f>
        <v>0</v>
      </c>
      <c r="AC67" s="91"/>
      <c r="AD67" s="91"/>
      <c r="AE67" s="91"/>
      <c r="AF67" s="91"/>
      <c r="AG67" s="92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>
        <v>1000</v>
      </c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>
        <v>1200</v>
      </c>
      <c r="BG67" s="46"/>
      <c r="BH67" s="46"/>
      <c r="BI67" s="46"/>
      <c r="BJ67" s="46"/>
      <c r="BK67" s="46"/>
      <c r="BL67" s="46"/>
      <c r="BM67" s="93">
        <f t="shared" si="9"/>
        <v>2200</v>
      </c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93">
        <f t="shared" si="10"/>
        <v>0</v>
      </c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/>
      <c r="DJ67" s="46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6"/>
      <c r="DW67" s="46"/>
      <c r="DX67" s="46"/>
      <c r="DY67" s="46"/>
      <c r="DZ67" s="46"/>
      <c r="EA67" s="93">
        <f t="shared" si="11"/>
        <v>0</v>
      </c>
      <c r="EC67" s="46"/>
      <c r="ED67" s="46"/>
      <c r="EE67" s="46"/>
      <c r="EF67" s="46"/>
      <c r="EG67" s="46"/>
      <c r="EH67" s="46"/>
      <c r="EI67" s="46"/>
      <c r="EJ67" s="46"/>
      <c r="EK67" s="46"/>
      <c r="EL67" s="46"/>
      <c r="EM67" s="46"/>
      <c r="EN67" s="46"/>
      <c r="EO67" s="46"/>
      <c r="EP67" s="46"/>
      <c r="EQ67" s="46"/>
      <c r="ER67" s="46"/>
      <c r="ES67" s="46"/>
      <c r="ET67" s="46"/>
      <c r="EU67" s="46"/>
      <c r="EV67" s="46"/>
      <c r="EW67" s="46"/>
      <c r="EX67" s="46"/>
      <c r="EY67" s="46"/>
      <c r="EZ67" s="46"/>
      <c r="FA67" s="46"/>
      <c r="FB67" s="46"/>
      <c r="FC67" s="46"/>
      <c r="FD67" s="46"/>
      <c r="FE67" s="46"/>
      <c r="FF67" s="46"/>
      <c r="FG67" s="46"/>
      <c r="FH67" s="93">
        <f t="shared" si="12"/>
        <v>0</v>
      </c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93">
        <f t="shared" si="13"/>
        <v>0</v>
      </c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93">
        <f t="shared" si="14"/>
        <v>0</v>
      </c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  <c r="IT67" s="46"/>
      <c r="IU67" s="46"/>
      <c r="IV67" s="46"/>
      <c r="IW67" s="46"/>
      <c r="IX67" s="46"/>
      <c r="IY67" s="46"/>
      <c r="IZ67" s="46"/>
      <c r="JA67" s="46"/>
      <c r="JB67" s="46"/>
      <c r="JC67" s="93">
        <f t="shared" si="15"/>
        <v>0</v>
      </c>
      <c r="JE67" s="46"/>
      <c r="JF67" s="46"/>
      <c r="JG67" s="46"/>
      <c r="JH67" s="46"/>
      <c r="JI67" s="46"/>
      <c r="JJ67" s="46"/>
      <c r="JK67" s="46"/>
      <c r="JL67" s="46"/>
      <c r="JM67" s="46"/>
      <c r="JN67" s="46"/>
      <c r="JO67" s="46"/>
      <c r="JP67" s="46"/>
      <c r="JQ67" s="46"/>
      <c r="JR67" s="46"/>
      <c r="JS67" s="46"/>
      <c r="JT67" s="46"/>
      <c r="JU67" s="46"/>
      <c r="JV67" s="46"/>
      <c r="JW67" s="46"/>
      <c r="JX67" s="46"/>
      <c r="JY67" s="46"/>
      <c r="JZ67" s="46"/>
      <c r="KA67" s="46"/>
      <c r="KB67" s="46"/>
      <c r="KC67" s="46"/>
      <c r="KD67" s="46"/>
      <c r="KE67" s="46"/>
      <c r="KF67" s="46"/>
      <c r="KG67" s="46"/>
      <c r="KH67" s="46"/>
      <c r="KI67" s="46"/>
      <c r="KJ67" s="93">
        <f t="shared" si="16"/>
        <v>0</v>
      </c>
    </row>
    <row r="68" spans="1:296" ht="20.149999999999999" customHeight="1" x14ac:dyDescent="0.5">
      <c r="A68" s="84">
        <f t="shared" si="17"/>
        <v>59</v>
      </c>
      <c r="B68" s="141" t="s">
        <v>251</v>
      </c>
      <c r="C68" s="157" t="s">
        <v>327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>
        <f t="shared" si="0"/>
        <v>800</v>
      </c>
      <c r="S68" s="46">
        <f t="shared" si="1"/>
        <v>0</v>
      </c>
      <c r="T68" s="46">
        <f t="shared" si="2"/>
        <v>100</v>
      </c>
      <c r="U68" s="46">
        <f t="shared" si="3"/>
        <v>0</v>
      </c>
      <c r="V68" s="46">
        <f t="shared" si="4"/>
        <v>0</v>
      </c>
      <c r="W68" s="46">
        <f t="shared" si="5"/>
        <v>0</v>
      </c>
      <c r="X68" s="46">
        <f t="shared" si="6"/>
        <v>0</v>
      </c>
      <c r="Y68" s="46">
        <f t="shared" si="7"/>
        <v>0</v>
      </c>
      <c r="Z68" s="90">
        <f t="shared" si="8"/>
        <v>900</v>
      </c>
      <c r="AA68" s="95"/>
      <c r="AB68" s="95">
        <f>'LPLPO GUDANG'!H73</f>
        <v>0</v>
      </c>
      <c r="AC68" s="91"/>
      <c r="AD68" s="91"/>
      <c r="AE68" s="91"/>
      <c r="AF68" s="91"/>
      <c r="AG68" s="92"/>
      <c r="AH68" s="46"/>
      <c r="AI68" s="46"/>
      <c r="AJ68" s="46">
        <v>500</v>
      </c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>
        <v>300</v>
      </c>
      <c r="BF68" s="46"/>
      <c r="BG68" s="46"/>
      <c r="BH68" s="46"/>
      <c r="BI68" s="46"/>
      <c r="BJ68" s="46"/>
      <c r="BK68" s="46"/>
      <c r="BL68" s="46"/>
      <c r="BM68" s="93">
        <f t="shared" si="9"/>
        <v>800</v>
      </c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93">
        <f t="shared" si="10"/>
        <v>0</v>
      </c>
      <c r="CV68" s="46"/>
      <c r="CW68" s="46"/>
      <c r="CX68" s="46">
        <v>100</v>
      </c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/>
      <c r="DJ68" s="46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6"/>
      <c r="DW68" s="46"/>
      <c r="DX68" s="46"/>
      <c r="DY68" s="46"/>
      <c r="DZ68" s="46"/>
      <c r="EA68" s="93">
        <f t="shared" si="11"/>
        <v>100</v>
      </c>
      <c r="EC68" s="46"/>
      <c r="ED68" s="46"/>
      <c r="EE68" s="46"/>
      <c r="EF68" s="46"/>
      <c r="EG68" s="46"/>
      <c r="EH68" s="46"/>
      <c r="EI68" s="46"/>
      <c r="EJ68" s="46"/>
      <c r="EK68" s="46"/>
      <c r="EL68" s="46"/>
      <c r="EM68" s="46"/>
      <c r="EN68" s="46"/>
      <c r="EO68" s="46"/>
      <c r="EP68" s="46"/>
      <c r="EQ68" s="46"/>
      <c r="ER68" s="46"/>
      <c r="ES68" s="46"/>
      <c r="ET68" s="46"/>
      <c r="EU68" s="46"/>
      <c r="EV68" s="46"/>
      <c r="EW68" s="46"/>
      <c r="EX68" s="46"/>
      <c r="EY68" s="46"/>
      <c r="EZ68" s="46"/>
      <c r="FA68" s="46"/>
      <c r="FB68" s="46"/>
      <c r="FC68" s="46"/>
      <c r="FD68" s="46"/>
      <c r="FE68" s="46"/>
      <c r="FF68" s="46"/>
      <c r="FG68" s="46"/>
      <c r="FH68" s="93">
        <f t="shared" si="12"/>
        <v>0</v>
      </c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93">
        <f t="shared" si="13"/>
        <v>0</v>
      </c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93">
        <f t="shared" si="14"/>
        <v>0</v>
      </c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  <c r="IT68" s="46"/>
      <c r="IU68" s="46"/>
      <c r="IV68" s="46"/>
      <c r="IW68" s="46"/>
      <c r="IX68" s="46"/>
      <c r="IY68" s="46"/>
      <c r="IZ68" s="46"/>
      <c r="JA68" s="46"/>
      <c r="JB68" s="46"/>
      <c r="JC68" s="93">
        <f t="shared" si="15"/>
        <v>0</v>
      </c>
      <c r="JE68" s="46"/>
      <c r="JF68" s="46"/>
      <c r="JG68" s="46"/>
      <c r="JH68" s="46"/>
      <c r="JI68" s="46"/>
      <c r="JJ68" s="46"/>
      <c r="JK68" s="46"/>
      <c r="JL68" s="46"/>
      <c r="JM68" s="46"/>
      <c r="JN68" s="46"/>
      <c r="JO68" s="46"/>
      <c r="JP68" s="46"/>
      <c r="JQ68" s="46"/>
      <c r="JR68" s="46"/>
      <c r="JS68" s="46"/>
      <c r="JT68" s="46"/>
      <c r="JU68" s="46"/>
      <c r="JV68" s="46"/>
      <c r="JW68" s="46"/>
      <c r="JX68" s="46"/>
      <c r="JY68" s="46"/>
      <c r="JZ68" s="46"/>
      <c r="KA68" s="46"/>
      <c r="KB68" s="46"/>
      <c r="KC68" s="46"/>
      <c r="KD68" s="46"/>
      <c r="KE68" s="46"/>
      <c r="KF68" s="46"/>
      <c r="KG68" s="46"/>
      <c r="KH68" s="46"/>
      <c r="KI68" s="46"/>
      <c r="KJ68" s="93">
        <f t="shared" si="16"/>
        <v>0</v>
      </c>
    </row>
    <row r="69" spans="1:296" ht="20.149999999999999" customHeight="1" x14ac:dyDescent="0.5">
      <c r="A69" s="84">
        <f t="shared" si="17"/>
        <v>60</v>
      </c>
      <c r="B69" s="141" t="s">
        <v>52</v>
      </c>
      <c r="C69" s="157" t="s">
        <v>327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>
        <f t="shared" si="0"/>
        <v>0</v>
      </c>
      <c r="S69" s="46">
        <f t="shared" si="1"/>
        <v>0</v>
      </c>
      <c r="T69" s="46">
        <f t="shared" si="2"/>
        <v>0</v>
      </c>
      <c r="U69" s="46">
        <f t="shared" si="3"/>
        <v>0</v>
      </c>
      <c r="V69" s="46">
        <f t="shared" si="4"/>
        <v>0</v>
      </c>
      <c r="W69" s="46">
        <f t="shared" si="5"/>
        <v>0</v>
      </c>
      <c r="X69" s="46">
        <f t="shared" si="6"/>
        <v>0</v>
      </c>
      <c r="Y69" s="46">
        <f t="shared" si="7"/>
        <v>0</v>
      </c>
      <c r="Z69" s="90">
        <f t="shared" si="8"/>
        <v>0</v>
      </c>
      <c r="AA69" s="95"/>
      <c r="AB69" s="92">
        <f>'LPLPO GUDANG'!H74</f>
        <v>500</v>
      </c>
      <c r="AC69" s="91"/>
      <c r="AD69" s="91"/>
      <c r="AE69" s="91"/>
      <c r="AF69" s="91"/>
      <c r="AG69" s="92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93">
        <f t="shared" si="9"/>
        <v>0</v>
      </c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93">
        <f t="shared" si="10"/>
        <v>0</v>
      </c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/>
      <c r="DJ69" s="46"/>
      <c r="DK69" s="46"/>
      <c r="DL69" s="46"/>
      <c r="DM69" s="46"/>
      <c r="DN69" s="46"/>
      <c r="DO69" s="46"/>
      <c r="DP69" s="46"/>
      <c r="DQ69" s="46"/>
      <c r="DR69" s="46"/>
      <c r="DS69" s="46"/>
      <c r="DT69" s="46"/>
      <c r="DU69" s="46"/>
      <c r="DV69" s="46"/>
      <c r="DW69" s="46"/>
      <c r="DX69" s="46"/>
      <c r="DY69" s="46"/>
      <c r="DZ69" s="46"/>
      <c r="EA69" s="93">
        <f t="shared" si="11"/>
        <v>0</v>
      </c>
      <c r="EC69" s="46"/>
      <c r="ED69" s="46"/>
      <c r="EE69" s="46"/>
      <c r="EF69" s="46"/>
      <c r="EG69" s="46"/>
      <c r="EH69" s="46"/>
      <c r="EI69" s="46"/>
      <c r="EJ69" s="46"/>
      <c r="EK69" s="46"/>
      <c r="EL69" s="46"/>
      <c r="EM69" s="46"/>
      <c r="EN69" s="46"/>
      <c r="EO69" s="46"/>
      <c r="EP69" s="46"/>
      <c r="EQ69" s="46"/>
      <c r="ER69" s="46"/>
      <c r="ES69" s="46"/>
      <c r="ET69" s="46"/>
      <c r="EU69" s="46"/>
      <c r="EV69" s="46"/>
      <c r="EW69" s="46"/>
      <c r="EX69" s="46"/>
      <c r="EY69" s="46"/>
      <c r="EZ69" s="46"/>
      <c r="FA69" s="46"/>
      <c r="FB69" s="46"/>
      <c r="FC69" s="46"/>
      <c r="FD69" s="46"/>
      <c r="FE69" s="46"/>
      <c r="FF69" s="46"/>
      <c r="FG69" s="46"/>
      <c r="FH69" s="93">
        <f t="shared" si="12"/>
        <v>0</v>
      </c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46"/>
      <c r="GM69" s="46"/>
      <c r="GN69" s="46"/>
      <c r="GO69" s="93">
        <f t="shared" si="13"/>
        <v>0</v>
      </c>
      <c r="GQ69" s="46"/>
      <c r="GR69" s="46"/>
      <c r="GS69" s="46"/>
      <c r="GT69" s="46"/>
      <c r="GU69" s="46"/>
      <c r="GV69" s="46"/>
      <c r="GW69" s="46"/>
      <c r="GX69" s="46"/>
      <c r="GY69" s="46"/>
      <c r="GZ69" s="46"/>
      <c r="HA69" s="46"/>
      <c r="HB69" s="46"/>
      <c r="HC69" s="46"/>
      <c r="HD69" s="46"/>
      <c r="HE69" s="46"/>
      <c r="HF69" s="46"/>
      <c r="HG69" s="46"/>
      <c r="HH69" s="46"/>
      <c r="HI69" s="46"/>
      <c r="HJ69" s="46"/>
      <c r="HK69" s="46"/>
      <c r="HL69" s="46"/>
      <c r="HM69" s="46"/>
      <c r="HN69" s="46"/>
      <c r="HO69" s="46"/>
      <c r="HP69" s="46"/>
      <c r="HQ69" s="46"/>
      <c r="HR69" s="46"/>
      <c r="HS69" s="46"/>
      <c r="HT69" s="46"/>
      <c r="HU69" s="46"/>
      <c r="HV69" s="93">
        <f t="shared" si="14"/>
        <v>0</v>
      </c>
      <c r="HX69" s="46"/>
      <c r="HY69" s="46"/>
      <c r="HZ69" s="46"/>
      <c r="IA69" s="46"/>
      <c r="IB69" s="46"/>
      <c r="IC69" s="46"/>
      <c r="ID69" s="46"/>
      <c r="IE69" s="46"/>
      <c r="IF69" s="46"/>
      <c r="IG69" s="46"/>
      <c r="IH69" s="46"/>
      <c r="II69" s="46"/>
      <c r="IJ69" s="46"/>
      <c r="IK69" s="46"/>
      <c r="IL69" s="46"/>
      <c r="IM69" s="46"/>
      <c r="IN69" s="46"/>
      <c r="IO69" s="46"/>
      <c r="IP69" s="46"/>
      <c r="IQ69" s="46"/>
      <c r="IR69" s="46"/>
      <c r="IS69" s="46"/>
      <c r="IT69" s="46"/>
      <c r="IU69" s="46"/>
      <c r="IV69" s="46"/>
      <c r="IW69" s="46"/>
      <c r="IX69" s="46"/>
      <c r="IY69" s="46"/>
      <c r="IZ69" s="46"/>
      <c r="JA69" s="46"/>
      <c r="JB69" s="46"/>
      <c r="JC69" s="93">
        <f t="shared" si="15"/>
        <v>0</v>
      </c>
      <c r="JE69" s="46"/>
      <c r="JF69" s="46"/>
      <c r="JG69" s="46"/>
      <c r="JH69" s="46"/>
      <c r="JI69" s="46"/>
      <c r="JJ69" s="46"/>
      <c r="JK69" s="46"/>
      <c r="JL69" s="46"/>
      <c r="JM69" s="46"/>
      <c r="JN69" s="46"/>
      <c r="JO69" s="46"/>
      <c r="JP69" s="46"/>
      <c r="JQ69" s="46"/>
      <c r="JR69" s="46"/>
      <c r="JS69" s="46"/>
      <c r="JT69" s="46"/>
      <c r="JU69" s="46"/>
      <c r="JV69" s="46"/>
      <c r="JW69" s="46"/>
      <c r="JX69" s="46"/>
      <c r="JY69" s="46"/>
      <c r="JZ69" s="46"/>
      <c r="KA69" s="46"/>
      <c r="KB69" s="46"/>
      <c r="KC69" s="46"/>
      <c r="KD69" s="46"/>
      <c r="KE69" s="46"/>
      <c r="KF69" s="46"/>
      <c r="KG69" s="46"/>
      <c r="KH69" s="46"/>
      <c r="KI69" s="46"/>
      <c r="KJ69" s="93">
        <f t="shared" si="16"/>
        <v>0</v>
      </c>
    </row>
    <row r="70" spans="1:296" ht="20.149999999999999" customHeight="1" x14ac:dyDescent="0.5">
      <c r="A70" s="84">
        <f t="shared" si="17"/>
        <v>61</v>
      </c>
      <c r="B70" s="141" t="s">
        <v>53</v>
      </c>
      <c r="C70" s="160" t="s">
        <v>48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>
        <f t="shared" si="0"/>
        <v>0</v>
      </c>
      <c r="S70" s="46">
        <f t="shared" si="1"/>
        <v>0</v>
      </c>
      <c r="T70" s="46">
        <f t="shared" si="2"/>
        <v>0</v>
      </c>
      <c r="U70" s="46">
        <f t="shared" si="3"/>
        <v>0</v>
      </c>
      <c r="V70" s="46">
        <f t="shared" si="4"/>
        <v>0</v>
      </c>
      <c r="W70" s="46">
        <f t="shared" si="5"/>
        <v>0</v>
      </c>
      <c r="X70" s="46">
        <f t="shared" si="6"/>
        <v>0</v>
      </c>
      <c r="Y70" s="46">
        <f t="shared" si="7"/>
        <v>0</v>
      </c>
      <c r="Z70" s="90">
        <f t="shared" si="8"/>
        <v>0</v>
      </c>
      <c r="AA70" s="95"/>
      <c r="AB70" s="92">
        <f>'LPLPO GUDANG'!H75</f>
        <v>24</v>
      </c>
      <c r="AC70" s="91"/>
      <c r="AD70" s="91"/>
      <c r="AE70" s="91"/>
      <c r="AF70" s="91"/>
      <c r="AG70" s="92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93">
        <f t="shared" si="9"/>
        <v>0</v>
      </c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93">
        <f t="shared" si="10"/>
        <v>0</v>
      </c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/>
      <c r="DJ70" s="46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6"/>
      <c r="DW70" s="46"/>
      <c r="DX70" s="46"/>
      <c r="DY70" s="46"/>
      <c r="DZ70" s="46"/>
      <c r="EA70" s="93">
        <f t="shared" si="11"/>
        <v>0</v>
      </c>
      <c r="EC70" s="46"/>
      <c r="ED70" s="46"/>
      <c r="EE70" s="46"/>
      <c r="EF70" s="46"/>
      <c r="EG70" s="46"/>
      <c r="EH70" s="46"/>
      <c r="EI70" s="46"/>
      <c r="EJ70" s="46"/>
      <c r="EK70" s="46"/>
      <c r="EL70" s="46"/>
      <c r="EM70" s="46"/>
      <c r="EN70" s="46"/>
      <c r="EO70" s="46"/>
      <c r="EP70" s="46"/>
      <c r="EQ70" s="46"/>
      <c r="ER70" s="46"/>
      <c r="ES70" s="46"/>
      <c r="ET70" s="46"/>
      <c r="EU70" s="46"/>
      <c r="EV70" s="46"/>
      <c r="EW70" s="46"/>
      <c r="EX70" s="46"/>
      <c r="EY70" s="46"/>
      <c r="EZ70" s="46"/>
      <c r="FA70" s="46"/>
      <c r="FB70" s="46"/>
      <c r="FC70" s="46"/>
      <c r="FD70" s="46"/>
      <c r="FE70" s="46"/>
      <c r="FF70" s="46"/>
      <c r="FG70" s="46"/>
      <c r="FH70" s="93">
        <f t="shared" si="12"/>
        <v>0</v>
      </c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46"/>
      <c r="GM70" s="46"/>
      <c r="GN70" s="46"/>
      <c r="GO70" s="93">
        <f t="shared" si="13"/>
        <v>0</v>
      </c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46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93">
        <f t="shared" si="14"/>
        <v>0</v>
      </c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46"/>
      <c r="IJ70" s="46"/>
      <c r="IK70" s="46"/>
      <c r="IL70" s="46"/>
      <c r="IM70" s="46"/>
      <c r="IN70" s="46"/>
      <c r="IO70" s="46"/>
      <c r="IP70" s="46"/>
      <c r="IQ70" s="46"/>
      <c r="IR70" s="46"/>
      <c r="IS70" s="46"/>
      <c r="IT70" s="46"/>
      <c r="IU70" s="46"/>
      <c r="IV70" s="46"/>
      <c r="IW70" s="46"/>
      <c r="IX70" s="46"/>
      <c r="IY70" s="46"/>
      <c r="IZ70" s="46"/>
      <c r="JA70" s="46"/>
      <c r="JB70" s="46"/>
      <c r="JC70" s="93">
        <f t="shared" si="15"/>
        <v>0</v>
      </c>
      <c r="JE70" s="46"/>
      <c r="JF70" s="46"/>
      <c r="JG70" s="46"/>
      <c r="JH70" s="46"/>
      <c r="JI70" s="46"/>
      <c r="JJ70" s="46"/>
      <c r="JK70" s="46"/>
      <c r="JL70" s="46"/>
      <c r="JM70" s="46"/>
      <c r="JN70" s="46"/>
      <c r="JO70" s="46"/>
      <c r="JP70" s="46"/>
      <c r="JQ70" s="46"/>
      <c r="JR70" s="46"/>
      <c r="JS70" s="46"/>
      <c r="JT70" s="46"/>
      <c r="JU70" s="46"/>
      <c r="JV70" s="46"/>
      <c r="JW70" s="46"/>
      <c r="JX70" s="46"/>
      <c r="JY70" s="46"/>
      <c r="JZ70" s="46"/>
      <c r="KA70" s="46"/>
      <c r="KB70" s="46"/>
      <c r="KC70" s="46"/>
      <c r="KD70" s="46"/>
      <c r="KE70" s="46"/>
      <c r="KF70" s="46"/>
      <c r="KG70" s="46"/>
      <c r="KH70" s="46"/>
      <c r="KI70" s="46"/>
      <c r="KJ70" s="93">
        <f t="shared" si="16"/>
        <v>0</v>
      </c>
    </row>
    <row r="71" spans="1:296" ht="20.149999999999999" customHeight="1" x14ac:dyDescent="0.5">
      <c r="A71" s="84">
        <f t="shared" si="17"/>
        <v>62</v>
      </c>
      <c r="B71" s="141" t="s">
        <v>54</v>
      </c>
      <c r="C71" s="157" t="s">
        <v>332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>
        <f t="shared" si="0"/>
        <v>0</v>
      </c>
      <c r="S71" s="46">
        <f t="shared" si="1"/>
        <v>0</v>
      </c>
      <c r="T71" s="46">
        <f t="shared" si="2"/>
        <v>0</v>
      </c>
      <c r="U71" s="46">
        <f t="shared" si="3"/>
        <v>0</v>
      </c>
      <c r="V71" s="46">
        <f t="shared" si="4"/>
        <v>0</v>
      </c>
      <c r="W71" s="46">
        <f t="shared" si="5"/>
        <v>0</v>
      </c>
      <c r="X71" s="46">
        <f t="shared" si="6"/>
        <v>0</v>
      </c>
      <c r="Y71" s="46">
        <f t="shared" si="7"/>
        <v>0</v>
      </c>
      <c r="Z71" s="90">
        <f t="shared" si="8"/>
        <v>0</v>
      </c>
      <c r="AA71" s="95"/>
      <c r="AB71" s="92">
        <f>'LPLPO GUDANG'!H76</f>
        <v>400</v>
      </c>
      <c r="AC71" s="91"/>
      <c r="AD71" s="91"/>
      <c r="AE71" s="91"/>
      <c r="AF71" s="91"/>
      <c r="AG71" s="92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93">
        <f t="shared" si="9"/>
        <v>0</v>
      </c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93">
        <f t="shared" si="10"/>
        <v>0</v>
      </c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/>
      <c r="DJ71" s="46"/>
      <c r="DK71" s="46"/>
      <c r="DL71" s="46"/>
      <c r="DM71" s="46"/>
      <c r="DN71" s="46"/>
      <c r="DO71" s="46"/>
      <c r="DP71" s="46"/>
      <c r="DQ71" s="46"/>
      <c r="DR71" s="46"/>
      <c r="DS71" s="46"/>
      <c r="DT71" s="46"/>
      <c r="DU71" s="46"/>
      <c r="DV71" s="46"/>
      <c r="DW71" s="46"/>
      <c r="DX71" s="46"/>
      <c r="DY71" s="46"/>
      <c r="DZ71" s="46"/>
      <c r="EA71" s="93">
        <f t="shared" si="11"/>
        <v>0</v>
      </c>
      <c r="EC71" s="46"/>
      <c r="ED71" s="46"/>
      <c r="EE71" s="46"/>
      <c r="EF71" s="46"/>
      <c r="EG71" s="46"/>
      <c r="EH71" s="46"/>
      <c r="EI71" s="46"/>
      <c r="EJ71" s="46"/>
      <c r="EK71" s="46"/>
      <c r="EL71" s="46"/>
      <c r="EM71" s="46"/>
      <c r="EN71" s="46"/>
      <c r="EO71" s="46"/>
      <c r="EP71" s="46"/>
      <c r="EQ71" s="46"/>
      <c r="ER71" s="46"/>
      <c r="ES71" s="46"/>
      <c r="ET71" s="46"/>
      <c r="EU71" s="46"/>
      <c r="EV71" s="46"/>
      <c r="EW71" s="46"/>
      <c r="EX71" s="46"/>
      <c r="EY71" s="46"/>
      <c r="EZ71" s="46"/>
      <c r="FA71" s="46"/>
      <c r="FB71" s="46"/>
      <c r="FC71" s="46"/>
      <c r="FD71" s="46"/>
      <c r="FE71" s="46"/>
      <c r="FF71" s="46"/>
      <c r="FG71" s="46"/>
      <c r="FH71" s="93">
        <f t="shared" si="12"/>
        <v>0</v>
      </c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46"/>
      <c r="GM71" s="46"/>
      <c r="GN71" s="46"/>
      <c r="GO71" s="93">
        <f t="shared" si="13"/>
        <v>0</v>
      </c>
      <c r="GQ71" s="46"/>
      <c r="GR71" s="46"/>
      <c r="GS71" s="46"/>
      <c r="GT71" s="46"/>
      <c r="GU71" s="46"/>
      <c r="GV71" s="46"/>
      <c r="GW71" s="46"/>
      <c r="GX71" s="46"/>
      <c r="GY71" s="46"/>
      <c r="GZ71" s="46"/>
      <c r="HA71" s="46"/>
      <c r="HB71" s="46"/>
      <c r="HC71" s="46"/>
      <c r="HD71" s="46"/>
      <c r="HE71" s="46"/>
      <c r="HF71" s="46"/>
      <c r="HG71" s="46"/>
      <c r="HH71" s="46"/>
      <c r="HI71" s="46"/>
      <c r="HJ71" s="46"/>
      <c r="HK71" s="46"/>
      <c r="HL71" s="46"/>
      <c r="HM71" s="46"/>
      <c r="HN71" s="46"/>
      <c r="HO71" s="46"/>
      <c r="HP71" s="46"/>
      <c r="HQ71" s="46"/>
      <c r="HR71" s="46"/>
      <c r="HS71" s="46"/>
      <c r="HT71" s="46"/>
      <c r="HU71" s="46"/>
      <c r="HV71" s="93">
        <f t="shared" si="14"/>
        <v>0</v>
      </c>
      <c r="HX71" s="46"/>
      <c r="HY71" s="46"/>
      <c r="HZ71" s="46"/>
      <c r="IA71" s="46"/>
      <c r="IB71" s="46"/>
      <c r="IC71" s="46"/>
      <c r="ID71" s="46"/>
      <c r="IE71" s="46"/>
      <c r="IF71" s="46"/>
      <c r="IG71" s="46"/>
      <c r="IH71" s="46"/>
      <c r="II71" s="46"/>
      <c r="IJ71" s="46"/>
      <c r="IK71" s="46"/>
      <c r="IL71" s="46"/>
      <c r="IM71" s="46"/>
      <c r="IN71" s="46"/>
      <c r="IO71" s="46"/>
      <c r="IP71" s="46"/>
      <c r="IQ71" s="46"/>
      <c r="IR71" s="46"/>
      <c r="IS71" s="46"/>
      <c r="IT71" s="46"/>
      <c r="IU71" s="46"/>
      <c r="IV71" s="46"/>
      <c r="IW71" s="46"/>
      <c r="IX71" s="46"/>
      <c r="IY71" s="46"/>
      <c r="IZ71" s="46"/>
      <c r="JA71" s="46"/>
      <c r="JB71" s="46"/>
      <c r="JC71" s="93">
        <f t="shared" si="15"/>
        <v>0</v>
      </c>
      <c r="JE71" s="46"/>
      <c r="JF71" s="46"/>
      <c r="JG71" s="46"/>
      <c r="JH71" s="46"/>
      <c r="JI71" s="46"/>
      <c r="JJ71" s="46"/>
      <c r="JK71" s="46"/>
      <c r="JL71" s="46"/>
      <c r="JM71" s="46"/>
      <c r="JN71" s="46"/>
      <c r="JO71" s="46"/>
      <c r="JP71" s="46"/>
      <c r="JQ71" s="46"/>
      <c r="JR71" s="46"/>
      <c r="JS71" s="46"/>
      <c r="JT71" s="46"/>
      <c r="JU71" s="46"/>
      <c r="JV71" s="46"/>
      <c r="JW71" s="46"/>
      <c r="JX71" s="46"/>
      <c r="JY71" s="46"/>
      <c r="JZ71" s="46"/>
      <c r="KA71" s="46"/>
      <c r="KB71" s="46"/>
      <c r="KC71" s="46"/>
      <c r="KD71" s="46"/>
      <c r="KE71" s="46"/>
      <c r="KF71" s="46"/>
      <c r="KG71" s="46"/>
      <c r="KH71" s="46"/>
      <c r="KI71" s="46"/>
      <c r="KJ71" s="93">
        <f t="shared" si="16"/>
        <v>0</v>
      </c>
    </row>
    <row r="72" spans="1:296" ht="36" x14ac:dyDescent="0.5">
      <c r="A72" s="84">
        <f t="shared" si="17"/>
        <v>63</v>
      </c>
      <c r="B72" s="141" t="s">
        <v>252</v>
      </c>
      <c r="C72" s="155" t="s">
        <v>340</v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>
        <f t="shared" si="0"/>
        <v>0</v>
      </c>
      <c r="S72" s="46">
        <f t="shared" si="1"/>
        <v>0</v>
      </c>
      <c r="T72" s="46">
        <f t="shared" si="2"/>
        <v>0</v>
      </c>
      <c r="U72" s="46">
        <f t="shared" si="3"/>
        <v>0</v>
      </c>
      <c r="V72" s="46">
        <f t="shared" si="4"/>
        <v>0</v>
      </c>
      <c r="W72" s="46">
        <f t="shared" si="5"/>
        <v>0</v>
      </c>
      <c r="X72" s="46">
        <f t="shared" si="6"/>
        <v>0</v>
      </c>
      <c r="Y72" s="46">
        <f t="shared" si="7"/>
        <v>0</v>
      </c>
      <c r="Z72" s="90">
        <f t="shared" si="8"/>
        <v>0</v>
      </c>
      <c r="AA72" s="95"/>
      <c r="AB72" s="92">
        <f>'LPLPO GUDANG'!H77</f>
        <v>200</v>
      </c>
      <c r="AC72" s="91"/>
      <c r="AD72" s="91"/>
      <c r="AE72" s="91"/>
      <c r="AF72" s="91"/>
      <c r="AG72" s="92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93">
        <f t="shared" si="9"/>
        <v>0</v>
      </c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93">
        <f t="shared" si="10"/>
        <v>0</v>
      </c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/>
      <c r="DJ72" s="46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6"/>
      <c r="DW72" s="46"/>
      <c r="DX72" s="46"/>
      <c r="DY72" s="46"/>
      <c r="DZ72" s="46"/>
      <c r="EA72" s="93">
        <f t="shared" si="11"/>
        <v>0</v>
      </c>
      <c r="EC72" s="46"/>
      <c r="ED72" s="46"/>
      <c r="EE72" s="46"/>
      <c r="EF72" s="46"/>
      <c r="EG72" s="46"/>
      <c r="EH72" s="46"/>
      <c r="EI72" s="46"/>
      <c r="EJ72" s="46"/>
      <c r="EK72" s="46"/>
      <c r="EL72" s="46"/>
      <c r="EM72" s="46"/>
      <c r="EN72" s="46"/>
      <c r="EO72" s="46"/>
      <c r="EP72" s="46"/>
      <c r="EQ72" s="46"/>
      <c r="ER72" s="46"/>
      <c r="ES72" s="46"/>
      <c r="ET72" s="46"/>
      <c r="EU72" s="46"/>
      <c r="EV72" s="46"/>
      <c r="EW72" s="46"/>
      <c r="EX72" s="46"/>
      <c r="EY72" s="46"/>
      <c r="EZ72" s="46"/>
      <c r="FA72" s="46"/>
      <c r="FB72" s="46"/>
      <c r="FC72" s="46"/>
      <c r="FD72" s="46"/>
      <c r="FE72" s="46"/>
      <c r="FF72" s="46"/>
      <c r="FG72" s="46"/>
      <c r="FH72" s="93">
        <f t="shared" si="12"/>
        <v>0</v>
      </c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L72" s="46"/>
      <c r="GM72" s="46"/>
      <c r="GN72" s="46"/>
      <c r="GO72" s="93">
        <f t="shared" si="13"/>
        <v>0</v>
      </c>
      <c r="GQ72" s="46"/>
      <c r="GR72" s="46"/>
      <c r="GS72" s="46"/>
      <c r="GT72" s="46"/>
      <c r="GU72" s="46"/>
      <c r="GV72" s="46"/>
      <c r="GW72" s="46"/>
      <c r="GX72" s="46"/>
      <c r="GY72" s="46"/>
      <c r="GZ72" s="46"/>
      <c r="HA72" s="46"/>
      <c r="HB72" s="46"/>
      <c r="HC72" s="46"/>
      <c r="HD72" s="46"/>
      <c r="HE72" s="46"/>
      <c r="HF72" s="46"/>
      <c r="HG72" s="46"/>
      <c r="HH72" s="46"/>
      <c r="HI72" s="46"/>
      <c r="HJ72" s="46"/>
      <c r="HK72" s="46"/>
      <c r="HL72" s="46"/>
      <c r="HM72" s="46"/>
      <c r="HN72" s="46"/>
      <c r="HO72" s="46"/>
      <c r="HP72" s="46"/>
      <c r="HQ72" s="46"/>
      <c r="HR72" s="46"/>
      <c r="HS72" s="46"/>
      <c r="HT72" s="46"/>
      <c r="HU72" s="46"/>
      <c r="HV72" s="93">
        <f t="shared" si="14"/>
        <v>0</v>
      </c>
      <c r="HX72" s="46"/>
      <c r="HY72" s="46"/>
      <c r="HZ72" s="46"/>
      <c r="IA72" s="46"/>
      <c r="IB72" s="46"/>
      <c r="IC72" s="46"/>
      <c r="ID72" s="46"/>
      <c r="IE72" s="46"/>
      <c r="IF72" s="46"/>
      <c r="IG72" s="46"/>
      <c r="IH72" s="46"/>
      <c r="II72" s="46"/>
      <c r="IJ72" s="46"/>
      <c r="IK72" s="46"/>
      <c r="IL72" s="46"/>
      <c r="IM72" s="46"/>
      <c r="IN72" s="46"/>
      <c r="IO72" s="46"/>
      <c r="IP72" s="46"/>
      <c r="IQ72" s="46"/>
      <c r="IR72" s="46"/>
      <c r="IS72" s="46"/>
      <c r="IT72" s="46"/>
      <c r="IU72" s="46"/>
      <c r="IV72" s="46"/>
      <c r="IW72" s="46"/>
      <c r="IX72" s="46"/>
      <c r="IY72" s="46"/>
      <c r="IZ72" s="46"/>
      <c r="JA72" s="46"/>
      <c r="JB72" s="46"/>
      <c r="JC72" s="93">
        <f t="shared" si="15"/>
        <v>0</v>
      </c>
      <c r="JE72" s="46"/>
      <c r="JF72" s="46"/>
      <c r="JG72" s="46"/>
      <c r="JH72" s="46"/>
      <c r="JI72" s="46"/>
      <c r="JJ72" s="46"/>
      <c r="JK72" s="46"/>
      <c r="JL72" s="46"/>
      <c r="JM72" s="46"/>
      <c r="JN72" s="46"/>
      <c r="JO72" s="46"/>
      <c r="JP72" s="46"/>
      <c r="JQ72" s="46"/>
      <c r="JR72" s="46"/>
      <c r="JS72" s="46"/>
      <c r="JT72" s="46"/>
      <c r="JU72" s="46"/>
      <c r="JV72" s="46"/>
      <c r="JW72" s="46"/>
      <c r="JX72" s="46"/>
      <c r="JY72" s="46"/>
      <c r="JZ72" s="46"/>
      <c r="KA72" s="46"/>
      <c r="KB72" s="46"/>
      <c r="KC72" s="46"/>
      <c r="KD72" s="46"/>
      <c r="KE72" s="46"/>
      <c r="KF72" s="46"/>
      <c r="KG72" s="46"/>
      <c r="KH72" s="46"/>
      <c r="KI72" s="46"/>
      <c r="KJ72" s="93">
        <f t="shared" si="16"/>
        <v>0</v>
      </c>
    </row>
    <row r="73" spans="1:296" ht="20.149999999999999" customHeight="1" x14ac:dyDescent="0.5">
      <c r="A73" s="84">
        <f t="shared" si="17"/>
        <v>64</v>
      </c>
      <c r="B73" s="141" t="s">
        <v>55</v>
      </c>
      <c r="C73" s="153" t="s">
        <v>346</v>
      </c>
      <c r="D73" s="46"/>
      <c r="E73" s="46"/>
      <c r="F73" s="46"/>
      <c r="G73" s="46"/>
      <c r="H73" s="46"/>
      <c r="I73" s="46">
        <v>5</v>
      </c>
      <c r="J73" s="46"/>
      <c r="K73" s="46"/>
      <c r="L73" s="46"/>
      <c r="M73" s="46"/>
      <c r="N73" s="46"/>
      <c r="O73" s="46"/>
      <c r="P73" s="46"/>
      <c r="Q73" s="46"/>
      <c r="R73" s="46">
        <f t="shared" si="0"/>
        <v>0</v>
      </c>
      <c r="S73" s="46">
        <f t="shared" si="1"/>
        <v>10</v>
      </c>
      <c r="T73" s="46">
        <f t="shared" si="2"/>
        <v>0</v>
      </c>
      <c r="U73" s="46">
        <f t="shared" si="3"/>
        <v>0</v>
      </c>
      <c r="V73" s="46">
        <f t="shared" si="4"/>
        <v>0</v>
      </c>
      <c r="W73" s="46">
        <f t="shared" si="5"/>
        <v>0</v>
      </c>
      <c r="X73" s="46">
        <f t="shared" si="6"/>
        <v>0</v>
      </c>
      <c r="Y73" s="46">
        <f t="shared" si="7"/>
        <v>0</v>
      </c>
      <c r="Z73" s="90">
        <f t="shared" si="8"/>
        <v>15</v>
      </c>
      <c r="AA73" s="95"/>
      <c r="AB73" s="92">
        <f>'LPLPO GUDANG'!H78</f>
        <v>65</v>
      </c>
      <c r="AC73" s="91"/>
      <c r="AD73" s="91"/>
      <c r="AE73" s="91"/>
      <c r="AF73" s="91"/>
      <c r="AG73" s="92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93">
        <f t="shared" si="9"/>
        <v>0</v>
      </c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>
        <v>10</v>
      </c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93">
        <f t="shared" si="10"/>
        <v>10</v>
      </c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/>
      <c r="DJ73" s="46"/>
      <c r="DK73" s="46"/>
      <c r="DL73" s="46"/>
      <c r="DM73" s="46"/>
      <c r="DN73" s="46"/>
      <c r="DO73" s="46"/>
      <c r="DP73" s="46"/>
      <c r="DQ73" s="46"/>
      <c r="DR73" s="46"/>
      <c r="DS73" s="46"/>
      <c r="DT73" s="46"/>
      <c r="DU73" s="46"/>
      <c r="DV73" s="46"/>
      <c r="DW73" s="46"/>
      <c r="DX73" s="46"/>
      <c r="DY73" s="46"/>
      <c r="DZ73" s="46"/>
      <c r="EA73" s="93">
        <f t="shared" si="11"/>
        <v>0</v>
      </c>
      <c r="EC73" s="46"/>
      <c r="ED73" s="46"/>
      <c r="EE73" s="46"/>
      <c r="EF73" s="46"/>
      <c r="EG73" s="46"/>
      <c r="EH73" s="46"/>
      <c r="EI73" s="46"/>
      <c r="EJ73" s="46"/>
      <c r="EK73" s="46"/>
      <c r="EL73" s="46"/>
      <c r="EM73" s="46"/>
      <c r="EN73" s="46"/>
      <c r="EO73" s="46"/>
      <c r="EP73" s="46"/>
      <c r="EQ73" s="46"/>
      <c r="ER73" s="46"/>
      <c r="ES73" s="46"/>
      <c r="ET73" s="46"/>
      <c r="EU73" s="46"/>
      <c r="EV73" s="46"/>
      <c r="EW73" s="46"/>
      <c r="EX73" s="46"/>
      <c r="EY73" s="46"/>
      <c r="EZ73" s="46"/>
      <c r="FA73" s="46"/>
      <c r="FB73" s="46"/>
      <c r="FC73" s="46"/>
      <c r="FD73" s="46"/>
      <c r="FE73" s="46"/>
      <c r="FF73" s="46"/>
      <c r="FG73" s="46"/>
      <c r="FH73" s="93">
        <f t="shared" si="12"/>
        <v>0</v>
      </c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L73" s="46"/>
      <c r="GM73" s="46"/>
      <c r="GN73" s="46"/>
      <c r="GO73" s="93">
        <f t="shared" si="13"/>
        <v>0</v>
      </c>
      <c r="GQ73" s="46"/>
      <c r="GR73" s="46"/>
      <c r="GS73" s="46"/>
      <c r="GT73" s="46"/>
      <c r="GU73" s="46"/>
      <c r="GV73" s="46"/>
      <c r="GW73" s="46"/>
      <c r="GX73" s="46"/>
      <c r="GY73" s="46"/>
      <c r="GZ73" s="46"/>
      <c r="HA73" s="46"/>
      <c r="HB73" s="46"/>
      <c r="HC73" s="46"/>
      <c r="HD73" s="46"/>
      <c r="HE73" s="46"/>
      <c r="HF73" s="46"/>
      <c r="HG73" s="46"/>
      <c r="HH73" s="46"/>
      <c r="HI73" s="46"/>
      <c r="HJ73" s="46"/>
      <c r="HK73" s="46"/>
      <c r="HL73" s="46"/>
      <c r="HM73" s="46"/>
      <c r="HN73" s="46"/>
      <c r="HO73" s="46"/>
      <c r="HP73" s="46"/>
      <c r="HQ73" s="46"/>
      <c r="HR73" s="46"/>
      <c r="HS73" s="46"/>
      <c r="HT73" s="46"/>
      <c r="HU73" s="46"/>
      <c r="HV73" s="93">
        <f t="shared" si="14"/>
        <v>0</v>
      </c>
      <c r="HX73" s="46"/>
      <c r="HY73" s="46"/>
      <c r="HZ73" s="46"/>
      <c r="IA73" s="46"/>
      <c r="IB73" s="46"/>
      <c r="IC73" s="46"/>
      <c r="ID73" s="46"/>
      <c r="IE73" s="46"/>
      <c r="IF73" s="46"/>
      <c r="IG73" s="46"/>
      <c r="IH73" s="46"/>
      <c r="II73" s="46"/>
      <c r="IJ73" s="46"/>
      <c r="IK73" s="46"/>
      <c r="IL73" s="46"/>
      <c r="IM73" s="46"/>
      <c r="IN73" s="46"/>
      <c r="IO73" s="46"/>
      <c r="IP73" s="46"/>
      <c r="IQ73" s="46"/>
      <c r="IR73" s="46"/>
      <c r="IS73" s="46"/>
      <c r="IT73" s="46"/>
      <c r="IU73" s="46"/>
      <c r="IV73" s="46"/>
      <c r="IW73" s="46"/>
      <c r="IX73" s="46"/>
      <c r="IY73" s="46"/>
      <c r="IZ73" s="46"/>
      <c r="JA73" s="46"/>
      <c r="JB73" s="46"/>
      <c r="JC73" s="93">
        <f t="shared" si="15"/>
        <v>0</v>
      </c>
      <c r="JE73" s="46"/>
      <c r="JF73" s="46"/>
      <c r="JG73" s="46"/>
      <c r="JH73" s="46"/>
      <c r="JI73" s="46"/>
      <c r="JJ73" s="46"/>
      <c r="JK73" s="46"/>
      <c r="JL73" s="46"/>
      <c r="JM73" s="46"/>
      <c r="JN73" s="46"/>
      <c r="JO73" s="46"/>
      <c r="JP73" s="46"/>
      <c r="JQ73" s="46"/>
      <c r="JR73" s="46"/>
      <c r="JS73" s="46"/>
      <c r="JT73" s="46"/>
      <c r="JU73" s="46"/>
      <c r="JV73" s="46"/>
      <c r="JW73" s="46"/>
      <c r="JX73" s="46"/>
      <c r="JY73" s="46"/>
      <c r="JZ73" s="46"/>
      <c r="KA73" s="46"/>
      <c r="KB73" s="46"/>
      <c r="KC73" s="46"/>
      <c r="KD73" s="46"/>
      <c r="KE73" s="46"/>
      <c r="KF73" s="46"/>
      <c r="KG73" s="46"/>
      <c r="KH73" s="46"/>
      <c r="KI73" s="46"/>
      <c r="KJ73" s="93">
        <f t="shared" si="16"/>
        <v>0</v>
      </c>
    </row>
    <row r="74" spans="1:296" ht="20.149999999999999" customHeight="1" x14ac:dyDescent="0.5">
      <c r="A74" s="84">
        <f t="shared" si="17"/>
        <v>65</v>
      </c>
      <c r="B74" s="141" t="s">
        <v>56</v>
      </c>
      <c r="C74" s="162" t="s">
        <v>347</v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>
        <f t="shared" si="0"/>
        <v>0</v>
      </c>
      <c r="S74" s="46">
        <f t="shared" si="1"/>
        <v>0</v>
      </c>
      <c r="T74" s="46">
        <f t="shared" si="2"/>
        <v>0</v>
      </c>
      <c r="U74" s="46">
        <f t="shared" si="3"/>
        <v>0</v>
      </c>
      <c r="V74" s="46">
        <f t="shared" si="4"/>
        <v>0</v>
      </c>
      <c r="W74" s="46">
        <f t="shared" si="5"/>
        <v>0</v>
      </c>
      <c r="X74" s="46">
        <f t="shared" si="6"/>
        <v>0</v>
      </c>
      <c r="Y74" s="46">
        <f t="shared" si="7"/>
        <v>0</v>
      </c>
      <c r="Z74" s="90">
        <f t="shared" si="8"/>
        <v>0</v>
      </c>
      <c r="AA74" s="95"/>
      <c r="AB74" s="92">
        <f>'LPLPO GUDANG'!H79</f>
        <v>24</v>
      </c>
      <c r="AC74" s="91"/>
      <c r="AD74" s="91"/>
      <c r="AE74" s="91"/>
      <c r="AF74" s="91"/>
      <c r="AG74" s="92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93">
        <f t="shared" si="9"/>
        <v>0</v>
      </c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93">
        <f t="shared" si="10"/>
        <v>0</v>
      </c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/>
      <c r="DJ74" s="46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6"/>
      <c r="DW74" s="46"/>
      <c r="DX74" s="46"/>
      <c r="DY74" s="46"/>
      <c r="DZ74" s="46"/>
      <c r="EA74" s="93">
        <f t="shared" si="11"/>
        <v>0</v>
      </c>
      <c r="EC74" s="46"/>
      <c r="ED74" s="46"/>
      <c r="EE74" s="46"/>
      <c r="EF74" s="46"/>
      <c r="EG74" s="46"/>
      <c r="EH74" s="46"/>
      <c r="EI74" s="46"/>
      <c r="EJ74" s="46"/>
      <c r="EK74" s="46"/>
      <c r="EL74" s="46"/>
      <c r="EM74" s="46"/>
      <c r="EN74" s="46"/>
      <c r="EO74" s="46"/>
      <c r="EP74" s="46"/>
      <c r="EQ74" s="46"/>
      <c r="ER74" s="46"/>
      <c r="ES74" s="46"/>
      <c r="ET74" s="46"/>
      <c r="EU74" s="46"/>
      <c r="EV74" s="46"/>
      <c r="EW74" s="46"/>
      <c r="EX74" s="46"/>
      <c r="EY74" s="46"/>
      <c r="EZ74" s="46"/>
      <c r="FA74" s="46"/>
      <c r="FB74" s="46"/>
      <c r="FC74" s="46"/>
      <c r="FD74" s="46"/>
      <c r="FE74" s="46"/>
      <c r="FF74" s="46"/>
      <c r="FG74" s="46"/>
      <c r="FH74" s="93">
        <f t="shared" si="12"/>
        <v>0</v>
      </c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L74" s="46"/>
      <c r="GM74" s="46"/>
      <c r="GN74" s="46"/>
      <c r="GO74" s="93">
        <f t="shared" si="13"/>
        <v>0</v>
      </c>
      <c r="GQ74" s="46"/>
      <c r="GR74" s="46"/>
      <c r="GS74" s="46"/>
      <c r="GT74" s="46"/>
      <c r="GU74" s="46"/>
      <c r="GV74" s="46"/>
      <c r="GW74" s="46"/>
      <c r="GX74" s="46"/>
      <c r="GY74" s="46"/>
      <c r="GZ74" s="46"/>
      <c r="HA74" s="46"/>
      <c r="HB74" s="46"/>
      <c r="HC74" s="46"/>
      <c r="HD74" s="46"/>
      <c r="HE74" s="46"/>
      <c r="HF74" s="46"/>
      <c r="HG74" s="46"/>
      <c r="HH74" s="46"/>
      <c r="HI74" s="46"/>
      <c r="HJ74" s="46"/>
      <c r="HK74" s="46"/>
      <c r="HL74" s="46"/>
      <c r="HM74" s="46"/>
      <c r="HN74" s="46"/>
      <c r="HO74" s="46"/>
      <c r="HP74" s="46"/>
      <c r="HQ74" s="46"/>
      <c r="HR74" s="46"/>
      <c r="HS74" s="46"/>
      <c r="HT74" s="46"/>
      <c r="HU74" s="46"/>
      <c r="HV74" s="93">
        <f t="shared" si="14"/>
        <v>0</v>
      </c>
      <c r="HX74" s="46"/>
      <c r="HY74" s="46"/>
      <c r="HZ74" s="46"/>
      <c r="IA74" s="46"/>
      <c r="IB74" s="46"/>
      <c r="IC74" s="46"/>
      <c r="ID74" s="46"/>
      <c r="IE74" s="46"/>
      <c r="IF74" s="46"/>
      <c r="IG74" s="46"/>
      <c r="IH74" s="46"/>
      <c r="II74" s="46"/>
      <c r="IJ74" s="46"/>
      <c r="IK74" s="46"/>
      <c r="IL74" s="46"/>
      <c r="IM74" s="46"/>
      <c r="IN74" s="46"/>
      <c r="IO74" s="46"/>
      <c r="IP74" s="46"/>
      <c r="IQ74" s="46"/>
      <c r="IR74" s="46"/>
      <c r="IS74" s="46"/>
      <c r="IT74" s="46"/>
      <c r="IU74" s="46"/>
      <c r="IV74" s="46"/>
      <c r="IW74" s="46"/>
      <c r="IX74" s="46"/>
      <c r="IY74" s="46"/>
      <c r="IZ74" s="46"/>
      <c r="JA74" s="46"/>
      <c r="JB74" s="46"/>
      <c r="JC74" s="93">
        <f t="shared" si="15"/>
        <v>0</v>
      </c>
      <c r="JE74" s="46"/>
      <c r="JF74" s="46"/>
      <c r="JG74" s="46"/>
      <c r="JH74" s="46"/>
      <c r="JI74" s="46"/>
      <c r="JJ74" s="46"/>
      <c r="JK74" s="46"/>
      <c r="JL74" s="46"/>
      <c r="JM74" s="46"/>
      <c r="JN74" s="46"/>
      <c r="JO74" s="46"/>
      <c r="JP74" s="46"/>
      <c r="JQ74" s="46"/>
      <c r="JR74" s="46"/>
      <c r="JS74" s="46"/>
      <c r="JT74" s="46"/>
      <c r="JU74" s="46"/>
      <c r="JV74" s="46"/>
      <c r="JW74" s="46"/>
      <c r="JX74" s="46"/>
      <c r="JY74" s="46"/>
      <c r="JZ74" s="46"/>
      <c r="KA74" s="46"/>
      <c r="KB74" s="46"/>
      <c r="KC74" s="46"/>
      <c r="KD74" s="46"/>
      <c r="KE74" s="46"/>
      <c r="KF74" s="46"/>
      <c r="KG74" s="46"/>
      <c r="KH74" s="46"/>
      <c r="KI74" s="46"/>
      <c r="KJ74" s="93">
        <f t="shared" si="16"/>
        <v>0</v>
      </c>
    </row>
    <row r="75" spans="1:296" x14ac:dyDescent="0.5">
      <c r="A75" s="84">
        <f t="shared" si="17"/>
        <v>66</v>
      </c>
      <c r="B75" s="141" t="s">
        <v>57</v>
      </c>
      <c r="C75" s="161" t="s">
        <v>48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>
        <f t="shared" ref="R75:R138" si="18">BM75</f>
        <v>0</v>
      </c>
      <c r="S75" s="46">
        <f t="shared" ref="S75:S138" si="19">CT75</f>
        <v>0</v>
      </c>
      <c r="T75" s="46">
        <f t="shared" ref="T75:T138" si="20">EA75</f>
        <v>0</v>
      </c>
      <c r="U75" s="46">
        <f t="shared" ref="U75:U138" si="21">FH75</f>
        <v>0</v>
      </c>
      <c r="V75" s="46">
        <f t="shared" ref="V75:V138" si="22">GO75</f>
        <v>0</v>
      </c>
      <c r="W75" s="46">
        <f t="shared" ref="W75:W138" si="23">HV75</f>
        <v>0</v>
      </c>
      <c r="X75" s="46">
        <f t="shared" ref="X75:X138" si="24">JC75</f>
        <v>0</v>
      </c>
      <c r="Y75" s="46">
        <f t="shared" ref="Y75:Y138" si="25">KJ75</f>
        <v>0</v>
      </c>
      <c r="Z75" s="90">
        <f t="shared" ref="Z75:Z138" si="26">SUM(D75:Y75)</f>
        <v>0</v>
      </c>
      <c r="AA75" s="95"/>
      <c r="AB75" s="95">
        <f>'LPLPO GUDANG'!H80</f>
        <v>0</v>
      </c>
      <c r="AC75" s="91"/>
      <c r="AD75" s="91"/>
      <c r="AE75" s="91"/>
      <c r="AF75" s="91"/>
      <c r="AG75" s="92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93">
        <f t="shared" ref="BM75:BM138" si="27">SUM(AH75:BL75)</f>
        <v>0</v>
      </c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93">
        <f t="shared" ref="CT75:CT125" si="28">SUM(BO75:CS75)</f>
        <v>0</v>
      </c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/>
      <c r="DJ75" s="46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6"/>
      <c r="DW75" s="46"/>
      <c r="DX75" s="46"/>
      <c r="DY75" s="46"/>
      <c r="DZ75" s="46"/>
      <c r="EA75" s="93">
        <f t="shared" ref="EA75:EA138" si="29">SUM(CV75:DZ75)</f>
        <v>0</v>
      </c>
      <c r="EC75" s="46"/>
      <c r="ED75" s="46"/>
      <c r="EE75" s="46"/>
      <c r="EF75" s="46"/>
      <c r="EG75" s="46"/>
      <c r="EH75" s="46"/>
      <c r="EI75" s="46"/>
      <c r="EJ75" s="46"/>
      <c r="EK75" s="46"/>
      <c r="EL75" s="46"/>
      <c r="EM75" s="46"/>
      <c r="EN75" s="46"/>
      <c r="EO75" s="46"/>
      <c r="EP75" s="46"/>
      <c r="EQ75" s="46"/>
      <c r="ER75" s="46"/>
      <c r="ES75" s="46"/>
      <c r="ET75" s="46"/>
      <c r="EU75" s="46"/>
      <c r="EV75" s="46"/>
      <c r="EW75" s="46"/>
      <c r="EX75" s="46"/>
      <c r="EY75" s="46"/>
      <c r="EZ75" s="46"/>
      <c r="FA75" s="46"/>
      <c r="FB75" s="46"/>
      <c r="FC75" s="46"/>
      <c r="FD75" s="46"/>
      <c r="FE75" s="46"/>
      <c r="FF75" s="46"/>
      <c r="FG75" s="46"/>
      <c r="FH75" s="93">
        <f t="shared" ref="FH75:FH138" si="30">SUM(EC75:FG75)</f>
        <v>0</v>
      </c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93">
        <f t="shared" ref="GO75:GO125" si="31">SUM(FJ75:GN75)</f>
        <v>0</v>
      </c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93">
        <f t="shared" ref="HV75:HV125" si="32">SUM(GQ75:HU75)</f>
        <v>0</v>
      </c>
      <c r="HX75" s="46"/>
      <c r="HY75" s="46"/>
      <c r="HZ75" s="46"/>
      <c r="IA75" s="46"/>
      <c r="IB75" s="46"/>
      <c r="IC75" s="46"/>
      <c r="ID75" s="46"/>
      <c r="IE75" s="46"/>
      <c r="IF75" s="46"/>
      <c r="IG75" s="46"/>
      <c r="IH75" s="46"/>
      <c r="II75" s="46"/>
      <c r="IJ75" s="46"/>
      <c r="IK75" s="46"/>
      <c r="IL75" s="46"/>
      <c r="IM75" s="46"/>
      <c r="IN75" s="46"/>
      <c r="IO75" s="46"/>
      <c r="IP75" s="46"/>
      <c r="IQ75" s="46"/>
      <c r="IR75" s="46"/>
      <c r="IS75" s="46"/>
      <c r="IT75" s="46"/>
      <c r="IU75" s="46"/>
      <c r="IV75" s="46"/>
      <c r="IW75" s="46"/>
      <c r="IX75" s="46"/>
      <c r="IY75" s="46"/>
      <c r="IZ75" s="46"/>
      <c r="JA75" s="46"/>
      <c r="JB75" s="46"/>
      <c r="JC75" s="93">
        <f t="shared" ref="JC75:JC125" si="33">SUM(HX75:JB75)</f>
        <v>0</v>
      </c>
      <c r="JE75" s="46"/>
      <c r="JF75" s="46"/>
      <c r="JG75" s="46"/>
      <c r="JH75" s="46"/>
      <c r="JI75" s="46"/>
      <c r="JJ75" s="46"/>
      <c r="JK75" s="46"/>
      <c r="JL75" s="46"/>
      <c r="JM75" s="46"/>
      <c r="JN75" s="46"/>
      <c r="JO75" s="46"/>
      <c r="JP75" s="46"/>
      <c r="JQ75" s="46"/>
      <c r="JR75" s="46"/>
      <c r="JS75" s="46"/>
      <c r="JT75" s="46"/>
      <c r="JU75" s="46"/>
      <c r="JV75" s="46"/>
      <c r="JW75" s="46"/>
      <c r="JX75" s="46"/>
      <c r="JY75" s="46"/>
      <c r="JZ75" s="46"/>
      <c r="KA75" s="46"/>
      <c r="KB75" s="46"/>
      <c r="KC75" s="46"/>
      <c r="KD75" s="46"/>
      <c r="KE75" s="46"/>
      <c r="KF75" s="46"/>
      <c r="KG75" s="46"/>
      <c r="KH75" s="46"/>
      <c r="KI75" s="46"/>
      <c r="KJ75" s="93">
        <f t="shared" ref="KJ75:KJ125" si="34">SUM(JE75:KI75)</f>
        <v>0</v>
      </c>
    </row>
    <row r="76" spans="1:296" ht="30" customHeight="1" x14ac:dyDescent="0.5">
      <c r="A76" s="84">
        <f t="shared" ref="A76:A139" si="35">A75+1</f>
        <v>67</v>
      </c>
      <c r="B76" s="141" t="s">
        <v>59</v>
      </c>
      <c r="C76" s="157" t="s">
        <v>48</v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>
        <f t="shared" si="18"/>
        <v>0</v>
      </c>
      <c r="S76" s="46">
        <f t="shared" si="19"/>
        <v>0</v>
      </c>
      <c r="T76" s="46">
        <f t="shared" si="20"/>
        <v>0</v>
      </c>
      <c r="U76" s="46">
        <f t="shared" si="21"/>
        <v>0</v>
      </c>
      <c r="V76" s="46">
        <f t="shared" si="22"/>
        <v>0</v>
      </c>
      <c r="W76" s="46">
        <f t="shared" si="23"/>
        <v>0</v>
      </c>
      <c r="X76" s="46">
        <f t="shared" si="24"/>
        <v>0</v>
      </c>
      <c r="Y76" s="46">
        <f t="shared" si="25"/>
        <v>0</v>
      </c>
      <c r="Z76" s="90">
        <f t="shared" si="26"/>
        <v>0</v>
      </c>
      <c r="AA76" s="95"/>
      <c r="AB76" s="95">
        <f>'LPLPO GUDANG'!H81</f>
        <v>0</v>
      </c>
      <c r="AC76" s="91"/>
      <c r="AD76" s="91"/>
      <c r="AE76" s="91"/>
      <c r="AF76" s="91"/>
      <c r="AG76" s="92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93">
        <f t="shared" si="27"/>
        <v>0</v>
      </c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93">
        <f t="shared" si="28"/>
        <v>0</v>
      </c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/>
      <c r="DJ76" s="46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6"/>
      <c r="DW76" s="46"/>
      <c r="DX76" s="46"/>
      <c r="DY76" s="46"/>
      <c r="DZ76" s="46"/>
      <c r="EA76" s="93">
        <f t="shared" si="29"/>
        <v>0</v>
      </c>
      <c r="EC76" s="46"/>
      <c r="ED76" s="46"/>
      <c r="EE76" s="46"/>
      <c r="EF76" s="46"/>
      <c r="EG76" s="46"/>
      <c r="EH76" s="46"/>
      <c r="EI76" s="46"/>
      <c r="EJ76" s="46"/>
      <c r="EK76" s="46"/>
      <c r="EL76" s="46"/>
      <c r="EM76" s="46"/>
      <c r="EN76" s="46"/>
      <c r="EO76" s="46"/>
      <c r="EP76" s="46"/>
      <c r="EQ76" s="46"/>
      <c r="ER76" s="46"/>
      <c r="ES76" s="46"/>
      <c r="ET76" s="46"/>
      <c r="EU76" s="46"/>
      <c r="EV76" s="46"/>
      <c r="EW76" s="46"/>
      <c r="EX76" s="46"/>
      <c r="EY76" s="46"/>
      <c r="EZ76" s="46"/>
      <c r="FA76" s="46"/>
      <c r="FB76" s="46"/>
      <c r="FC76" s="46"/>
      <c r="FD76" s="46"/>
      <c r="FE76" s="46"/>
      <c r="FF76" s="46"/>
      <c r="FG76" s="46"/>
      <c r="FH76" s="93">
        <f t="shared" si="30"/>
        <v>0</v>
      </c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L76" s="46"/>
      <c r="GM76" s="46"/>
      <c r="GN76" s="46"/>
      <c r="GO76" s="93">
        <f t="shared" si="31"/>
        <v>0</v>
      </c>
      <c r="GQ76" s="46"/>
      <c r="GR76" s="46"/>
      <c r="GS76" s="46"/>
      <c r="GT76" s="46"/>
      <c r="GU76" s="46"/>
      <c r="GV76" s="46"/>
      <c r="GW76" s="46"/>
      <c r="GX76" s="46"/>
      <c r="GY76" s="46"/>
      <c r="GZ76" s="46"/>
      <c r="HA76" s="46"/>
      <c r="HB76" s="46"/>
      <c r="HC76" s="46"/>
      <c r="HD76" s="46"/>
      <c r="HE76" s="46"/>
      <c r="HF76" s="46"/>
      <c r="HG76" s="46"/>
      <c r="HH76" s="46"/>
      <c r="HI76" s="46"/>
      <c r="HJ76" s="46"/>
      <c r="HK76" s="46"/>
      <c r="HL76" s="46"/>
      <c r="HM76" s="46"/>
      <c r="HN76" s="46"/>
      <c r="HO76" s="46"/>
      <c r="HP76" s="46"/>
      <c r="HQ76" s="46"/>
      <c r="HR76" s="46"/>
      <c r="HS76" s="46"/>
      <c r="HT76" s="46"/>
      <c r="HU76" s="46"/>
      <c r="HV76" s="93">
        <f t="shared" si="32"/>
        <v>0</v>
      </c>
      <c r="HX76" s="46"/>
      <c r="HY76" s="46"/>
      <c r="HZ76" s="46"/>
      <c r="IA76" s="46"/>
      <c r="IB76" s="46"/>
      <c r="IC76" s="46"/>
      <c r="ID76" s="46"/>
      <c r="IE76" s="46"/>
      <c r="IF76" s="46"/>
      <c r="IG76" s="46"/>
      <c r="IH76" s="46"/>
      <c r="II76" s="46"/>
      <c r="IJ76" s="46"/>
      <c r="IK76" s="46"/>
      <c r="IL76" s="46"/>
      <c r="IM76" s="46"/>
      <c r="IN76" s="46"/>
      <c r="IO76" s="46"/>
      <c r="IP76" s="46"/>
      <c r="IQ76" s="46"/>
      <c r="IR76" s="46"/>
      <c r="IS76" s="46"/>
      <c r="IT76" s="46"/>
      <c r="IU76" s="46"/>
      <c r="IV76" s="46"/>
      <c r="IW76" s="46"/>
      <c r="IX76" s="46"/>
      <c r="IY76" s="46"/>
      <c r="IZ76" s="46"/>
      <c r="JA76" s="46"/>
      <c r="JB76" s="46"/>
      <c r="JC76" s="93">
        <f t="shared" si="33"/>
        <v>0</v>
      </c>
      <c r="JE76" s="46"/>
      <c r="JF76" s="46"/>
      <c r="JG76" s="46"/>
      <c r="JH76" s="46"/>
      <c r="JI76" s="46"/>
      <c r="JJ76" s="46"/>
      <c r="JK76" s="46"/>
      <c r="JL76" s="46"/>
      <c r="JM76" s="46"/>
      <c r="JN76" s="46"/>
      <c r="JO76" s="46"/>
      <c r="JP76" s="46"/>
      <c r="JQ76" s="46"/>
      <c r="JR76" s="46"/>
      <c r="JS76" s="46"/>
      <c r="JT76" s="46"/>
      <c r="JU76" s="46"/>
      <c r="JV76" s="46"/>
      <c r="JW76" s="46"/>
      <c r="JX76" s="46"/>
      <c r="JY76" s="46"/>
      <c r="JZ76" s="46"/>
      <c r="KA76" s="46"/>
      <c r="KB76" s="46"/>
      <c r="KC76" s="46"/>
      <c r="KD76" s="46"/>
      <c r="KE76" s="46"/>
      <c r="KF76" s="46"/>
      <c r="KG76" s="46"/>
      <c r="KH76" s="46"/>
      <c r="KI76" s="46"/>
      <c r="KJ76" s="93">
        <f t="shared" si="34"/>
        <v>0</v>
      </c>
    </row>
    <row r="77" spans="1:296" ht="30" customHeight="1" x14ac:dyDescent="0.5">
      <c r="A77" s="84">
        <f t="shared" si="35"/>
        <v>68</v>
      </c>
      <c r="B77" s="141" t="s">
        <v>58</v>
      </c>
      <c r="C77" s="157" t="s">
        <v>48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>
        <f t="shared" si="18"/>
        <v>0</v>
      </c>
      <c r="S77" s="46">
        <f t="shared" si="19"/>
        <v>0</v>
      </c>
      <c r="T77" s="46">
        <f t="shared" si="20"/>
        <v>0</v>
      </c>
      <c r="U77" s="46">
        <f t="shared" si="21"/>
        <v>0</v>
      </c>
      <c r="V77" s="46">
        <f t="shared" si="22"/>
        <v>0</v>
      </c>
      <c r="W77" s="46">
        <f t="shared" si="23"/>
        <v>0</v>
      </c>
      <c r="X77" s="46">
        <f t="shared" si="24"/>
        <v>0</v>
      </c>
      <c r="Y77" s="46">
        <f t="shared" si="25"/>
        <v>0</v>
      </c>
      <c r="Z77" s="90">
        <f t="shared" si="26"/>
        <v>0</v>
      </c>
      <c r="AA77" s="95"/>
      <c r="AB77" s="95">
        <f>'LPLPO GUDANG'!H82</f>
        <v>0</v>
      </c>
      <c r="AC77" s="91"/>
      <c r="AD77" s="91"/>
      <c r="AE77" s="91"/>
      <c r="AF77" s="91"/>
      <c r="AG77" s="92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93">
        <f t="shared" si="27"/>
        <v>0</v>
      </c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93">
        <f t="shared" si="28"/>
        <v>0</v>
      </c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/>
      <c r="DJ77" s="46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6"/>
      <c r="DW77" s="46"/>
      <c r="DX77" s="46"/>
      <c r="DY77" s="46"/>
      <c r="DZ77" s="46"/>
      <c r="EA77" s="93">
        <f t="shared" si="29"/>
        <v>0</v>
      </c>
      <c r="EC77" s="46"/>
      <c r="ED77" s="46"/>
      <c r="EE77" s="46"/>
      <c r="EF77" s="46"/>
      <c r="EG77" s="46"/>
      <c r="EH77" s="46"/>
      <c r="EI77" s="46"/>
      <c r="EJ77" s="46"/>
      <c r="EK77" s="46"/>
      <c r="EL77" s="46"/>
      <c r="EM77" s="46"/>
      <c r="EN77" s="46"/>
      <c r="EO77" s="46"/>
      <c r="EP77" s="46"/>
      <c r="EQ77" s="46"/>
      <c r="ER77" s="46"/>
      <c r="ES77" s="46"/>
      <c r="ET77" s="46"/>
      <c r="EU77" s="46"/>
      <c r="EV77" s="46"/>
      <c r="EW77" s="46"/>
      <c r="EX77" s="46"/>
      <c r="EY77" s="46"/>
      <c r="EZ77" s="46"/>
      <c r="FA77" s="46"/>
      <c r="FB77" s="46"/>
      <c r="FC77" s="46"/>
      <c r="FD77" s="46"/>
      <c r="FE77" s="46"/>
      <c r="FF77" s="46"/>
      <c r="FG77" s="46"/>
      <c r="FH77" s="93">
        <f t="shared" si="30"/>
        <v>0</v>
      </c>
      <c r="FJ77" s="46"/>
      <c r="FK77" s="46"/>
      <c r="FL77" s="46"/>
      <c r="FM77" s="46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L77" s="46"/>
      <c r="GM77" s="46"/>
      <c r="GN77" s="46"/>
      <c r="GO77" s="93">
        <f t="shared" si="31"/>
        <v>0</v>
      </c>
      <c r="GQ77" s="46"/>
      <c r="GR77" s="46"/>
      <c r="GS77" s="46"/>
      <c r="GT77" s="46"/>
      <c r="GU77" s="46"/>
      <c r="GV77" s="46"/>
      <c r="GW77" s="46"/>
      <c r="GX77" s="46"/>
      <c r="GY77" s="46"/>
      <c r="GZ77" s="46"/>
      <c r="HA77" s="46"/>
      <c r="HB77" s="46"/>
      <c r="HC77" s="46"/>
      <c r="HD77" s="46"/>
      <c r="HE77" s="46"/>
      <c r="HF77" s="46"/>
      <c r="HG77" s="46"/>
      <c r="HH77" s="46"/>
      <c r="HI77" s="46"/>
      <c r="HJ77" s="46"/>
      <c r="HK77" s="46"/>
      <c r="HL77" s="46"/>
      <c r="HM77" s="46"/>
      <c r="HN77" s="46"/>
      <c r="HO77" s="46"/>
      <c r="HP77" s="46"/>
      <c r="HQ77" s="46"/>
      <c r="HR77" s="46"/>
      <c r="HS77" s="46"/>
      <c r="HT77" s="46"/>
      <c r="HU77" s="46"/>
      <c r="HV77" s="93">
        <f t="shared" si="32"/>
        <v>0</v>
      </c>
      <c r="HX77" s="46"/>
      <c r="HY77" s="46"/>
      <c r="HZ77" s="46"/>
      <c r="IA77" s="46"/>
      <c r="IB77" s="46"/>
      <c r="IC77" s="46"/>
      <c r="ID77" s="46"/>
      <c r="IE77" s="46"/>
      <c r="IF77" s="46"/>
      <c r="IG77" s="46"/>
      <c r="IH77" s="46"/>
      <c r="II77" s="46"/>
      <c r="IJ77" s="46"/>
      <c r="IK77" s="46"/>
      <c r="IL77" s="46"/>
      <c r="IM77" s="46"/>
      <c r="IN77" s="46"/>
      <c r="IO77" s="46"/>
      <c r="IP77" s="46"/>
      <c r="IQ77" s="46"/>
      <c r="IR77" s="46"/>
      <c r="IS77" s="46"/>
      <c r="IT77" s="46"/>
      <c r="IU77" s="46"/>
      <c r="IV77" s="46"/>
      <c r="IW77" s="46"/>
      <c r="IX77" s="46"/>
      <c r="IY77" s="46"/>
      <c r="IZ77" s="46"/>
      <c r="JA77" s="46"/>
      <c r="JB77" s="46"/>
      <c r="JC77" s="93">
        <f t="shared" si="33"/>
        <v>0</v>
      </c>
      <c r="JE77" s="46"/>
      <c r="JF77" s="46"/>
      <c r="JG77" s="46"/>
      <c r="JH77" s="46"/>
      <c r="JI77" s="46"/>
      <c r="JJ77" s="46"/>
      <c r="JK77" s="46"/>
      <c r="JL77" s="46"/>
      <c r="JM77" s="46"/>
      <c r="JN77" s="46"/>
      <c r="JO77" s="46"/>
      <c r="JP77" s="46"/>
      <c r="JQ77" s="46"/>
      <c r="JR77" s="46"/>
      <c r="JS77" s="46"/>
      <c r="JT77" s="46"/>
      <c r="JU77" s="46"/>
      <c r="JV77" s="46"/>
      <c r="JW77" s="46"/>
      <c r="JX77" s="46"/>
      <c r="JY77" s="46"/>
      <c r="JZ77" s="46"/>
      <c r="KA77" s="46"/>
      <c r="KB77" s="46"/>
      <c r="KC77" s="46"/>
      <c r="KD77" s="46"/>
      <c r="KE77" s="46"/>
      <c r="KF77" s="46"/>
      <c r="KG77" s="46"/>
      <c r="KH77" s="46"/>
      <c r="KI77" s="46"/>
      <c r="KJ77" s="93">
        <f t="shared" si="34"/>
        <v>0</v>
      </c>
    </row>
    <row r="78" spans="1:296" ht="36" x14ac:dyDescent="0.5">
      <c r="A78" s="84">
        <f t="shared" si="35"/>
        <v>69</v>
      </c>
      <c r="B78" s="141" t="s">
        <v>60</v>
      </c>
      <c r="C78" s="157" t="s">
        <v>327</v>
      </c>
      <c r="D78" s="46"/>
      <c r="E78" s="46"/>
      <c r="F78" s="46"/>
      <c r="G78" s="46"/>
      <c r="H78" s="46"/>
      <c r="I78" s="46">
        <v>100</v>
      </c>
      <c r="J78" s="46"/>
      <c r="K78" s="46"/>
      <c r="L78" s="46"/>
      <c r="M78" s="46">
        <v>100</v>
      </c>
      <c r="N78" s="46"/>
      <c r="O78" s="46"/>
      <c r="P78" s="46"/>
      <c r="Q78" s="46"/>
      <c r="R78" s="46">
        <f t="shared" si="18"/>
        <v>2000</v>
      </c>
      <c r="S78" s="46">
        <f t="shared" si="19"/>
        <v>0</v>
      </c>
      <c r="T78" s="46">
        <f t="shared" si="20"/>
        <v>0</v>
      </c>
      <c r="U78" s="46">
        <f t="shared" si="21"/>
        <v>0</v>
      </c>
      <c r="V78" s="46">
        <f t="shared" si="22"/>
        <v>0</v>
      </c>
      <c r="W78" s="46">
        <f t="shared" si="23"/>
        <v>0</v>
      </c>
      <c r="X78" s="46">
        <f t="shared" si="24"/>
        <v>0</v>
      </c>
      <c r="Y78" s="46">
        <f t="shared" si="25"/>
        <v>0</v>
      </c>
      <c r="Z78" s="90">
        <f t="shared" si="26"/>
        <v>2200</v>
      </c>
      <c r="AA78" s="95"/>
      <c r="AB78" s="92">
        <f>'LPLPO GUDANG'!H83</f>
        <v>1000</v>
      </c>
      <c r="AC78" s="91"/>
      <c r="AD78" s="91"/>
      <c r="AE78" s="91"/>
      <c r="AF78" s="91"/>
      <c r="AG78" s="92"/>
      <c r="AH78" s="46"/>
      <c r="AI78" s="46"/>
      <c r="AJ78" s="46">
        <v>1000</v>
      </c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>
        <v>1000</v>
      </c>
      <c r="BG78" s="46"/>
      <c r="BH78" s="46"/>
      <c r="BI78" s="46"/>
      <c r="BJ78" s="46"/>
      <c r="BK78" s="46"/>
      <c r="BL78" s="46"/>
      <c r="BM78" s="93">
        <f t="shared" si="27"/>
        <v>2000</v>
      </c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93">
        <f t="shared" si="28"/>
        <v>0</v>
      </c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6"/>
      <c r="DJ78" s="46"/>
      <c r="DK78" s="46"/>
      <c r="DL78" s="46"/>
      <c r="DM78" s="46"/>
      <c r="DN78" s="46"/>
      <c r="DO78" s="46"/>
      <c r="DP78" s="46"/>
      <c r="DQ78" s="46"/>
      <c r="DR78" s="46"/>
      <c r="DS78" s="46"/>
      <c r="DT78" s="46"/>
      <c r="DU78" s="46"/>
      <c r="DV78" s="46"/>
      <c r="DW78" s="46"/>
      <c r="DX78" s="46"/>
      <c r="DY78" s="46"/>
      <c r="DZ78" s="46"/>
      <c r="EA78" s="93">
        <f t="shared" si="29"/>
        <v>0</v>
      </c>
      <c r="EC78" s="46"/>
      <c r="ED78" s="46"/>
      <c r="EE78" s="46"/>
      <c r="EF78" s="46"/>
      <c r="EG78" s="46"/>
      <c r="EH78" s="46"/>
      <c r="EI78" s="46"/>
      <c r="EJ78" s="46"/>
      <c r="EK78" s="46"/>
      <c r="EL78" s="46"/>
      <c r="EM78" s="46"/>
      <c r="EN78" s="46"/>
      <c r="EO78" s="46"/>
      <c r="EP78" s="46"/>
      <c r="EQ78" s="46"/>
      <c r="ER78" s="46"/>
      <c r="ES78" s="46"/>
      <c r="ET78" s="46"/>
      <c r="EU78" s="46"/>
      <c r="EV78" s="46"/>
      <c r="EW78" s="46"/>
      <c r="EX78" s="46"/>
      <c r="EY78" s="46"/>
      <c r="EZ78" s="46"/>
      <c r="FA78" s="46"/>
      <c r="FB78" s="46"/>
      <c r="FC78" s="46"/>
      <c r="FD78" s="46"/>
      <c r="FE78" s="46"/>
      <c r="FF78" s="46"/>
      <c r="FG78" s="46"/>
      <c r="FH78" s="93">
        <f t="shared" si="30"/>
        <v>0</v>
      </c>
      <c r="FJ78" s="46"/>
      <c r="FK78" s="46"/>
      <c r="FL78" s="46"/>
      <c r="FM78" s="46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L78" s="46"/>
      <c r="GM78" s="46"/>
      <c r="GN78" s="46"/>
      <c r="GO78" s="93">
        <f t="shared" si="31"/>
        <v>0</v>
      </c>
      <c r="GQ78" s="46"/>
      <c r="GR78" s="46"/>
      <c r="GS78" s="46"/>
      <c r="GT78" s="46"/>
      <c r="GU78" s="46"/>
      <c r="GV78" s="46"/>
      <c r="GW78" s="46"/>
      <c r="GX78" s="46"/>
      <c r="GY78" s="46"/>
      <c r="GZ78" s="46"/>
      <c r="HA78" s="46"/>
      <c r="HB78" s="46"/>
      <c r="HC78" s="46"/>
      <c r="HD78" s="46"/>
      <c r="HE78" s="46"/>
      <c r="HF78" s="46"/>
      <c r="HG78" s="46"/>
      <c r="HH78" s="46"/>
      <c r="HI78" s="46"/>
      <c r="HJ78" s="46"/>
      <c r="HK78" s="46"/>
      <c r="HL78" s="46"/>
      <c r="HM78" s="46"/>
      <c r="HN78" s="46"/>
      <c r="HO78" s="46"/>
      <c r="HP78" s="46"/>
      <c r="HQ78" s="46"/>
      <c r="HR78" s="46"/>
      <c r="HS78" s="46"/>
      <c r="HT78" s="46"/>
      <c r="HU78" s="46"/>
      <c r="HV78" s="93">
        <f t="shared" si="32"/>
        <v>0</v>
      </c>
      <c r="HX78" s="46"/>
      <c r="HY78" s="46"/>
      <c r="HZ78" s="46"/>
      <c r="IA78" s="46"/>
      <c r="IB78" s="46"/>
      <c r="IC78" s="46"/>
      <c r="ID78" s="46"/>
      <c r="IE78" s="46"/>
      <c r="IF78" s="46"/>
      <c r="IG78" s="46"/>
      <c r="IH78" s="46"/>
      <c r="II78" s="46"/>
      <c r="IJ78" s="46"/>
      <c r="IK78" s="46"/>
      <c r="IL78" s="46"/>
      <c r="IM78" s="46"/>
      <c r="IN78" s="46"/>
      <c r="IO78" s="46"/>
      <c r="IP78" s="46"/>
      <c r="IQ78" s="46"/>
      <c r="IR78" s="46"/>
      <c r="IS78" s="46"/>
      <c r="IT78" s="46"/>
      <c r="IU78" s="46"/>
      <c r="IV78" s="46"/>
      <c r="IW78" s="46"/>
      <c r="IX78" s="46"/>
      <c r="IY78" s="46"/>
      <c r="IZ78" s="46"/>
      <c r="JA78" s="46"/>
      <c r="JB78" s="46"/>
      <c r="JC78" s="93">
        <f t="shared" si="33"/>
        <v>0</v>
      </c>
      <c r="JE78" s="46"/>
      <c r="JF78" s="46"/>
      <c r="JG78" s="46"/>
      <c r="JH78" s="46"/>
      <c r="JI78" s="46"/>
      <c r="JJ78" s="46"/>
      <c r="JK78" s="46"/>
      <c r="JL78" s="46"/>
      <c r="JM78" s="46"/>
      <c r="JN78" s="46"/>
      <c r="JO78" s="46"/>
      <c r="JP78" s="46"/>
      <c r="JQ78" s="46"/>
      <c r="JR78" s="46"/>
      <c r="JS78" s="46"/>
      <c r="JT78" s="46"/>
      <c r="JU78" s="46"/>
      <c r="JV78" s="46"/>
      <c r="JW78" s="46"/>
      <c r="JX78" s="46"/>
      <c r="JY78" s="46"/>
      <c r="JZ78" s="46"/>
      <c r="KA78" s="46"/>
      <c r="KB78" s="46"/>
      <c r="KC78" s="46"/>
      <c r="KD78" s="46"/>
      <c r="KE78" s="46"/>
      <c r="KF78" s="46"/>
      <c r="KG78" s="46"/>
      <c r="KH78" s="46"/>
      <c r="KI78" s="46"/>
      <c r="KJ78" s="93">
        <f t="shared" si="34"/>
        <v>0</v>
      </c>
    </row>
    <row r="79" spans="1:296" ht="36" x14ac:dyDescent="0.5">
      <c r="A79" s="84">
        <f t="shared" si="35"/>
        <v>70</v>
      </c>
      <c r="B79" s="141" t="s">
        <v>280</v>
      </c>
      <c r="C79" s="157" t="s">
        <v>327</v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>
        <f t="shared" si="18"/>
        <v>0</v>
      </c>
      <c r="S79" s="46">
        <f t="shared" si="19"/>
        <v>0</v>
      </c>
      <c r="T79" s="46">
        <f t="shared" si="20"/>
        <v>0</v>
      </c>
      <c r="U79" s="46">
        <f t="shared" si="21"/>
        <v>0</v>
      </c>
      <c r="V79" s="46">
        <f t="shared" si="22"/>
        <v>0</v>
      </c>
      <c r="W79" s="46">
        <f t="shared" si="23"/>
        <v>0</v>
      </c>
      <c r="X79" s="46">
        <f t="shared" si="24"/>
        <v>0</v>
      </c>
      <c r="Y79" s="46">
        <f t="shared" si="25"/>
        <v>0</v>
      </c>
      <c r="Z79" s="90">
        <f t="shared" si="26"/>
        <v>0</v>
      </c>
      <c r="AA79" s="95"/>
      <c r="AB79" s="92">
        <f>'LPLPO GUDANG'!H84</f>
        <v>1000</v>
      </c>
      <c r="AC79" s="91"/>
      <c r="AD79" s="91"/>
      <c r="AE79" s="91"/>
      <c r="AF79" s="91"/>
      <c r="AG79" s="92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93">
        <f t="shared" si="27"/>
        <v>0</v>
      </c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93">
        <f t="shared" si="28"/>
        <v>0</v>
      </c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/>
      <c r="DJ79" s="46"/>
      <c r="DK79" s="46"/>
      <c r="DL79" s="46"/>
      <c r="DM79" s="46"/>
      <c r="DN79" s="46"/>
      <c r="DO79" s="46"/>
      <c r="DP79" s="46"/>
      <c r="DQ79" s="46"/>
      <c r="DR79" s="46"/>
      <c r="DS79" s="46"/>
      <c r="DT79" s="46"/>
      <c r="DU79" s="46"/>
      <c r="DV79" s="46"/>
      <c r="DW79" s="46"/>
      <c r="DX79" s="46"/>
      <c r="DY79" s="46"/>
      <c r="DZ79" s="46"/>
      <c r="EA79" s="93">
        <f t="shared" si="29"/>
        <v>0</v>
      </c>
      <c r="EC79" s="46"/>
      <c r="ED79" s="46"/>
      <c r="EE79" s="46"/>
      <c r="EF79" s="46"/>
      <c r="EG79" s="46"/>
      <c r="EH79" s="46"/>
      <c r="EI79" s="46"/>
      <c r="EJ79" s="46"/>
      <c r="EK79" s="46"/>
      <c r="EL79" s="46"/>
      <c r="EM79" s="46"/>
      <c r="EN79" s="46"/>
      <c r="EO79" s="46"/>
      <c r="EP79" s="46"/>
      <c r="EQ79" s="46"/>
      <c r="ER79" s="46"/>
      <c r="ES79" s="46"/>
      <c r="ET79" s="46"/>
      <c r="EU79" s="46"/>
      <c r="EV79" s="46"/>
      <c r="EW79" s="46"/>
      <c r="EX79" s="46"/>
      <c r="EY79" s="46"/>
      <c r="EZ79" s="46"/>
      <c r="FA79" s="46"/>
      <c r="FB79" s="46"/>
      <c r="FC79" s="46"/>
      <c r="FD79" s="46"/>
      <c r="FE79" s="46"/>
      <c r="FF79" s="46"/>
      <c r="FG79" s="46"/>
      <c r="FH79" s="93">
        <f t="shared" si="30"/>
        <v>0</v>
      </c>
      <c r="FJ79" s="46"/>
      <c r="FK79" s="46"/>
      <c r="FL79" s="46"/>
      <c r="FM79" s="46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L79" s="46"/>
      <c r="GM79" s="46"/>
      <c r="GN79" s="46"/>
      <c r="GO79" s="93">
        <f t="shared" si="31"/>
        <v>0</v>
      </c>
      <c r="GQ79" s="46"/>
      <c r="GR79" s="46"/>
      <c r="GS79" s="46"/>
      <c r="GT79" s="46"/>
      <c r="GU79" s="46"/>
      <c r="GV79" s="46"/>
      <c r="GW79" s="46"/>
      <c r="GX79" s="46"/>
      <c r="GY79" s="46"/>
      <c r="GZ79" s="46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93">
        <f t="shared" si="32"/>
        <v>0</v>
      </c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  <c r="IT79" s="46"/>
      <c r="IU79" s="46"/>
      <c r="IV79" s="46"/>
      <c r="IW79" s="46"/>
      <c r="IX79" s="46"/>
      <c r="IY79" s="46"/>
      <c r="IZ79" s="46"/>
      <c r="JA79" s="46"/>
      <c r="JB79" s="46"/>
      <c r="JC79" s="93">
        <f t="shared" si="33"/>
        <v>0</v>
      </c>
      <c r="JE79" s="46"/>
      <c r="JF79" s="46"/>
      <c r="JG79" s="46"/>
      <c r="JH79" s="46"/>
      <c r="JI79" s="46"/>
      <c r="JJ79" s="46"/>
      <c r="JK79" s="46"/>
      <c r="JL79" s="46"/>
      <c r="JM79" s="46"/>
      <c r="JN79" s="46"/>
      <c r="JO79" s="46"/>
      <c r="JP79" s="46"/>
      <c r="JQ79" s="46"/>
      <c r="JR79" s="46"/>
      <c r="JS79" s="46"/>
      <c r="JT79" s="46"/>
      <c r="JU79" s="46"/>
      <c r="JV79" s="46"/>
      <c r="JW79" s="46"/>
      <c r="JX79" s="46"/>
      <c r="JY79" s="46"/>
      <c r="JZ79" s="46"/>
      <c r="KA79" s="46"/>
      <c r="KB79" s="46"/>
      <c r="KC79" s="46"/>
      <c r="KD79" s="46"/>
      <c r="KE79" s="46"/>
      <c r="KF79" s="46"/>
      <c r="KG79" s="46"/>
      <c r="KH79" s="46"/>
      <c r="KI79" s="46"/>
      <c r="KJ79" s="93">
        <f t="shared" si="34"/>
        <v>0</v>
      </c>
    </row>
    <row r="80" spans="1:296" ht="36" x14ac:dyDescent="0.5">
      <c r="A80" s="84">
        <f t="shared" si="35"/>
        <v>71</v>
      </c>
      <c r="B80" s="141" t="s">
        <v>61</v>
      </c>
      <c r="C80" s="157" t="s">
        <v>327</v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>
        <f t="shared" si="18"/>
        <v>0</v>
      </c>
      <c r="S80" s="46">
        <f t="shared" si="19"/>
        <v>0</v>
      </c>
      <c r="T80" s="46">
        <f t="shared" si="20"/>
        <v>0</v>
      </c>
      <c r="U80" s="46">
        <f t="shared" si="21"/>
        <v>0</v>
      </c>
      <c r="V80" s="46">
        <f t="shared" si="22"/>
        <v>0</v>
      </c>
      <c r="W80" s="46">
        <f t="shared" si="23"/>
        <v>0</v>
      </c>
      <c r="X80" s="46">
        <f t="shared" si="24"/>
        <v>0</v>
      </c>
      <c r="Y80" s="46">
        <f t="shared" si="25"/>
        <v>0</v>
      </c>
      <c r="Z80" s="90">
        <f t="shared" si="26"/>
        <v>0</v>
      </c>
      <c r="AA80" s="95"/>
      <c r="AB80" s="95">
        <f>'LPLPO GUDANG'!H85</f>
        <v>0</v>
      </c>
      <c r="AC80" s="91"/>
      <c r="AD80" s="91"/>
      <c r="AE80" s="91"/>
      <c r="AF80" s="91"/>
      <c r="AG80" s="92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93">
        <f t="shared" si="27"/>
        <v>0</v>
      </c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93">
        <f t="shared" si="28"/>
        <v>0</v>
      </c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6"/>
      <c r="DW80" s="46"/>
      <c r="DX80" s="46"/>
      <c r="DY80" s="46"/>
      <c r="DZ80" s="46"/>
      <c r="EA80" s="93">
        <f t="shared" si="29"/>
        <v>0</v>
      </c>
      <c r="EC80" s="46"/>
      <c r="ED80" s="46"/>
      <c r="EE80" s="46"/>
      <c r="EF80" s="46"/>
      <c r="EG80" s="46"/>
      <c r="EH80" s="46"/>
      <c r="EI80" s="46"/>
      <c r="EJ80" s="46"/>
      <c r="EK80" s="46"/>
      <c r="EL80" s="46"/>
      <c r="EM80" s="46"/>
      <c r="EN80" s="46"/>
      <c r="EO80" s="46"/>
      <c r="EP80" s="46"/>
      <c r="EQ80" s="46"/>
      <c r="ER80" s="46"/>
      <c r="ES80" s="46"/>
      <c r="ET80" s="46"/>
      <c r="EU80" s="46"/>
      <c r="EV80" s="46"/>
      <c r="EW80" s="46"/>
      <c r="EX80" s="46"/>
      <c r="EY80" s="46"/>
      <c r="EZ80" s="46"/>
      <c r="FA80" s="46"/>
      <c r="FB80" s="46"/>
      <c r="FC80" s="46"/>
      <c r="FD80" s="46"/>
      <c r="FE80" s="46"/>
      <c r="FF80" s="46"/>
      <c r="FG80" s="46"/>
      <c r="FH80" s="93">
        <f t="shared" si="30"/>
        <v>0</v>
      </c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93">
        <f t="shared" si="31"/>
        <v>0</v>
      </c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93">
        <f t="shared" si="32"/>
        <v>0</v>
      </c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  <c r="IT80" s="46"/>
      <c r="IU80" s="46"/>
      <c r="IV80" s="46"/>
      <c r="IW80" s="46"/>
      <c r="IX80" s="46"/>
      <c r="IY80" s="46"/>
      <c r="IZ80" s="46"/>
      <c r="JA80" s="46"/>
      <c r="JB80" s="46"/>
      <c r="JC80" s="93">
        <f t="shared" si="33"/>
        <v>0</v>
      </c>
      <c r="JE80" s="46"/>
      <c r="JF80" s="46"/>
      <c r="JG80" s="46"/>
      <c r="JH80" s="46"/>
      <c r="JI80" s="46"/>
      <c r="JJ80" s="46"/>
      <c r="JK80" s="46"/>
      <c r="JL80" s="46"/>
      <c r="JM80" s="46"/>
      <c r="JN80" s="46"/>
      <c r="JO80" s="46"/>
      <c r="JP80" s="46"/>
      <c r="JQ80" s="46"/>
      <c r="JR80" s="46"/>
      <c r="JS80" s="46"/>
      <c r="JT80" s="46"/>
      <c r="JU80" s="46"/>
      <c r="JV80" s="46"/>
      <c r="JW80" s="46"/>
      <c r="JX80" s="46"/>
      <c r="JY80" s="46"/>
      <c r="JZ80" s="46"/>
      <c r="KA80" s="46"/>
      <c r="KB80" s="46"/>
      <c r="KC80" s="46"/>
      <c r="KD80" s="46"/>
      <c r="KE80" s="46"/>
      <c r="KF80" s="46"/>
      <c r="KG80" s="46"/>
      <c r="KH80" s="46"/>
      <c r="KI80" s="46"/>
      <c r="KJ80" s="93">
        <f t="shared" si="34"/>
        <v>0</v>
      </c>
    </row>
    <row r="81" spans="1:296" ht="45" x14ac:dyDescent="0.5">
      <c r="A81" s="84">
        <f t="shared" si="35"/>
        <v>72</v>
      </c>
      <c r="B81" s="141" t="s">
        <v>253</v>
      </c>
      <c r="C81" s="157" t="s">
        <v>327</v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>
        <f t="shared" si="18"/>
        <v>0</v>
      </c>
      <c r="S81" s="46">
        <f t="shared" si="19"/>
        <v>0</v>
      </c>
      <c r="T81" s="46">
        <f t="shared" si="20"/>
        <v>0</v>
      </c>
      <c r="U81" s="46">
        <f t="shared" si="21"/>
        <v>0</v>
      </c>
      <c r="V81" s="46">
        <f t="shared" si="22"/>
        <v>0</v>
      </c>
      <c r="W81" s="46">
        <f t="shared" si="23"/>
        <v>0</v>
      </c>
      <c r="X81" s="46">
        <f t="shared" si="24"/>
        <v>0</v>
      </c>
      <c r="Y81" s="46">
        <f t="shared" si="25"/>
        <v>0</v>
      </c>
      <c r="Z81" s="90">
        <f t="shared" si="26"/>
        <v>0</v>
      </c>
      <c r="AA81" s="95"/>
      <c r="AB81" s="92">
        <f>'LPLPO GUDANG'!H86</f>
        <v>500</v>
      </c>
      <c r="AC81" s="91"/>
      <c r="AD81" s="91"/>
      <c r="AE81" s="91"/>
      <c r="AF81" s="91"/>
      <c r="AG81" s="92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93">
        <f t="shared" si="27"/>
        <v>0</v>
      </c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93">
        <f t="shared" si="28"/>
        <v>0</v>
      </c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6"/>
      <c r="DW81" s="46"/>
      <c r="DX81" s="46"/>
      <c r="DY81" s="46"/>
      <c r="DZ81" s="46"/>
      <c r="EA81" s="93">
        <f t="shared" si="29"/>
        <v>0</v>
      </c>
      <c r="EC81" s="46"/>
      <c r="ED81" s="46"/>
      <c r="EE81" s="46"/>
      <c r="EF81" s="46"/>
      <c r="EG81" s="46"/>
      <c r="EH81" s="46"/>
      <c r="EI81" s="46"/>
      <c r="EJ81" s="46"/>
      <c r="EK81" s="46"/>
      <c r="EL81" s="46"/>
      <c r="EM81" s="46"/>
      <c r="EN81" s="46"/>
      <c r="EO81" s="46"/>
      <c r="EP81" s="46"/>
      <c r="EQ81" s="46"/>
      <c r="ER81" s="46"/>
      <c r="ES81" s="46"/>
      <c r="ET81" s="46"/>
      <c r="EU81" s="46"/>
      <c r="EV81" s="46"/>
      <c r="EW81" s="46"/>
      <c r="EX81" s="46"/>
      <c r="EY81" s="46"/>
      <c r="EZ81" s="46"/>
      <c r="FA81" s="46"/>
      <c r="FB81" s="46"/>
      <c r="FC81" s="46"/>
      <c r="FD81" s="46"/>
      <c r="FE81" s="46"/>
      <c r="FF81" s="46"/>
      <c r="FG81" s="46"/>
      <c r="FH81" s="93">
        <f t="shared" si="30"/>
        <v>0</v>
      </c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93">
        <f t="shared" si="31"/>
        <v>0</v>
      </c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93">
        <f t="shared" si="32"/>
        <v>0</v>
      </c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  <c r="IT81" s="46"/>
      <c r="IU81" s="46"/>
      <c r="IV81" s="46"/>
      <c r="IW81" s="46"/>
      <c r="IX81" s="46"/>
      <c r="IY81" s="46"/>
      <c r="IZ81" s="46"/>
      <c r="JA81" s="46"/>
      <c r="JB81" s="46"/>
      <c r="JC81" s="93">
        <f t="shared" si="33"/>
        <v>0</v>
      </c>
      <c r="JE81" s="46"/>
      <c r="JF81" s="46"/>
      <c r="JG81" s="46"/>
      <c r="JH81" s="46"/>
      <c r="JI81" s="46"/>
      <c r="JJ81" s="46"/>
      <c r="JK81" s="46"/>
      <c r="JL81" s="46"/>
      <c r="JM81" s="46"/>
      <c r="JN81" s="46"/>
      <c r="JO81" s="46"/>
      <c r="JP81" s="46"/>
      <c r="JQ81" s="46"/>
      <c r="JR81" s="46"/>
      <c r="JS81" s="46"/>
      <c r="JT81" s="46"/>
      <c r="JU81" s="46"/>
      <c r="JV81" s="46"/>
      <c r="JW81" s="46"/>
      <c r="JX81" s="46"/>
      <c r="JY81" s="46"/>
      <c r="JZ81" s="46"/>
      <c r="KA81" s="46"/>
      <c r="KB81" s="46"/>
      <c r="KC81" s="46"/>
      <c r="KD81" s="46"/>
      <c r="KE81" s="46"/>
      <c r="KF81" s="46"/>
      <c r="KG81" s="46"/>
      <c r="KH81" s="46"/>
      <c r="KI81" s="46"/>
      <c r="KJ81" s="93">
        <f t="shared" si="34"/>
        <v>0</v>
      </c>
    </row>
    <row r="82" spans="1:296" ht="45" x14ac:dyDescent="0.5">
      <c r="A82" s="84">
        <f t="shared" si="35"/>
        <v>73</v>
      </c>
      <c r="B82" s="141" t="s">
        <v>62</v>
      </c>
      <c r="C82" s="157" t="s">
        <v>319</v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>
        <f t="shared" si="18"/>
        <v>0</v>
      </c>
      <c r="S82" s="46">
        <f t="shared" si="19"/>
        <v>0</v>
      </c>
      <c r="T82" s="46">
        <f t="shared" si="20"/>
        <v>0</v>
      </c>
      <c r="U82" s="46">
        <f t="shared" si="21"/>
        <v>0</v>
      </c>
      <c r="V82" s="46">
        <f t="shared" si="22"/>
        <v>0</v>
      </c>
      <c r="W82" s="46">
        <f t="shared" si="23"/>
        <v>0</v>
      </c>
      <c r="X82" s="46">
        <f t="shared" si="24"/>
        <v>0</v>
      </c>
      <c r="Y82" s="46">
        <f t="shared" si="25"/>
        <v>0</v>
      </c>
      <c r="Z82" s="90">
        <f t="shared" si="26"/>
        <v>0</v>
      </c>
      <c r="AA82" s="95"/>
      <c r="AB82" s="92">
        <f>'LPLPO GUDANG'!H87</f>
        <v>30</v>
      </c>
      <c r="AC82" s="91"/>
      <c r="AD82" s="91"/>
      <c r="AE82" s="91"/>
      <c r="AF82" s="91"/>
      <c r="AG82" s="92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93">
        <f t="shared" si="27"/>
        <v>0</v>
      </c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93">
        <f t="shared" si="28"/>
        <v>0</v>
      </c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6"/>
      <c r="DW82" s="46"/>
      <c r="DX82" s="46"/>
      <c r="DY82" s="46"/>
      <c r="DZ82" s="46"/>
      <c r="EA82" s="93">
        <f t="shared" si="29"/>
        <v>0</v>
      </c>
      <c r="EC82" s="46"/>
      <c r="ED82" s="46"/>
      <c r="EE82" s="46"/>
      <c r="EF82" s="46"/>
      <c r="EG82" s="46"/>
      <c r="EH82" s="46"/>
      <c r="EI82" s="46"/>
      <c r="EJ82" s="46"/>
      <c r="EK82" s="46"/>
      <c r="EL82" s="46"/>
      <c r="EM82" s="46"/>
      <c r="EN82" s="46"/>
      <c r="EO82" s="46"/>
      <c r="EP82" s="46"/>
      <c r="EQ82" s="46"/>
      <c r="ER82" s="46"/>
      <c r="ES82" s="46"/>
      <c r="ET82" s="46"/>
      <c r="EU82" s="46"/>
      <c r="EV82" s="46"/>
      <c r="EW82" s="46"/>
      <c r="EX82" s="46"/>
      <c r="EY82" s="46"/>
      <c r="EZ82" s="46"/>
      <c r="FA82" s="46"/>
      <c r="FB82" s="46"/>
      <c r="FC82" s="46"/>
      <c r="FD82" s="46"/>
      <c r="FE82" s="46"/>
      <c r="FF82" s="46"/>
      <c r="FG82" s="46"/>
      <c r="FH82" s="93">
        <f t="shared" si="30"/>
        <v>0</v>
      </c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93">
        <f t="shared" si="31"/>
        <v>0</v>
      </c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93">
        <f t="shared" si="32"/>
        <v>0</v>
      </c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  <c r="IT82" s="46"/>
      <c r="IU82" s="46"/>
      <c r="IV82" s="46"/>
      <c r="IW82" s="46"/>
      <c r="IX82" s="46"/>
      <c r="IY82" s="46"/>
      <c r="IZ82" s="46"/>
      <c r="JA82" s="46"/>
      <c r="JB82" s="46"/>
      <c r="JC82" s="93">
        <f t="shared" si="33"/>
        <v>0</v>
      </c>
      <c r="JE82" s="46"/>
      <c r="JF82" s="46"/>
      <c r="JG82" s="46"/>
      <c r="JH82" s="46"/>
      <c r="JI82" s="46"/>
      <c r="JJ82" s="46"/>
      <c r="JK82" s="46"/>
      <c r="JL82" s="46"/>
      <c r="JM82" s="46"/>
      <c r="JN82" s="46"/>
      <c r="JO82" s="46"/>
      <c r="JP82" s="46"/>
      <c r="JQ82" s="46"/>
      <c r="JR82" s="46"/>
      <c r="JS82" s="46"/>
      <c r="JT82" s="46"/>
      <c r="JU82" s="46"/>
      <c r="JV82" s="46"/>
      <c r="JW82" s="46"/>
      <c r="JX82" s="46"/>
      <c r="JY82" s="46"/>
      <c r="JZ82" s="46"/>
      <c r="KA82" s="46"/>
      <c r="KB82" s="46"/>
      <c r="KC82" s="46"/>
      <c r="KD82" s="46"/>
      <c r="KE82" s="46"/>
      <c r="KF82" s="46"/>
      <c r="KG82" s="46"/>
      <c r="KH82" s="46"/>
      <c r="KI82" s="46"/>
      <c r="KJ82" s="93">
        <f t="shared" si="34"/>
        <v>0</v>
      </c>
    </row>
    <row r="83" spans="1:296" ht="20.149999999999999" customHeight="1" x14ac:dyDescent="0.5">
      <c r="A83" s="84">
        <f t="shared" si="35"/>
        <v>74</v>
      </c>
      <c r="B83" s="141" t="s">
        <v>63</v>
      </c>
      <c r="C83" s="155" t="s">
        <v>348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>
        <f t="shared" si="18"/>
        <v>0</v>
      </c>
      <c r="S83" s="46">
        <f t="shared" si="19"/>
        <v>0</v>
      </c>
      <c r="T83" s="46">
        <f t="shared" si="20"/>
        <v>0</v>
      </c>
      <c r="U83" s="46">
        <f t="shared" si="21"/>
        <v>0</v>
      </c>
      <c r="V83" s="46">
        <f t="shared" si="22"/>
        <v>0</v>
      </c>
      <c r="W83" s="46">
        <f t="shared" si="23"/>
        <v>0</v>
      </c>
      <c r="X83" s="46">
        <f t="shared" si="24"/>
        <v>0</v>
      </c>
      <c r="Y83" s="46">
        <f t="shared" si="25"/>
        <v>0</v>
      </c>
      <c r="Z83" s="90">
        <f t="shared" si="26"/>
        <v>0</v>
      </c>
      <c r="AA83" s="95"/>
      <c r="AB83" s="92">
        <f>'LPLPO GUDANG'!H88</f>
        <v>85</v>
      </c>
      <c r="AC83" s="91" t="s">
        <v>423</v>
      </c>
      <c r="AD83" s="91"/>
      <c r="AE83" s="91"/>
      <c r="AF83" s="91"/>
      <c r="AG83" s="92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93">
        <f t="shared" si="27"/>
        <v>0</v>
      </c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93">
        <f t="shared" si="28"/>
        <v>0</v>
      </c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  <c r="DL83" s="46"/>
      <c r="DM83" s="46"/>
      <c r="DN83" s="46"/>
      <c r="DO83" s="46"/>
      <c r="DP83" s="46"/>
      <c r="DQ83" s="46"/>
      <c r="DR83" s="46"/>
      <c r="DS83" s="46"/>
      <c r="DT83" s="46"/>
      <c r="DU83" s="46"/>
      <c r="DV83" s="46"/>
      <c r="DW83" s="46"/>
      <c r="DX83" s="46"/>
      <c r="DY83" s="46"/>
      <c r="DZ83" s="46"/>
      <c r="EA83" s="93">
        <f t="shared" si="29"/>
        <v>0</v>
      </c>
      <c r="EC83" s="46"/>
      <c r="ED83" s="46"/>
      <c r="EE83" s="46"/>
      <c r="EF83" s="46"/>
      <c r="EG83" s="46"/>
      <c r="EH83" s="46"/>
      <c r="EI83" s="46"/>
      <c r="EJ83" s="46"/>
      <c r="EK83" s="46"/>
      <c r="EL83" s="46"/>
      <c r="EM83" s="46"/>
      <c r="EN83" s="46"/>
      <c r="EO83" s="46"/>
      <c r="EP83" s="46"/>
      <c r="EQ83" s="46"/>
      <c r="ER83" s="46"/>
      <c r="ES83" s="46"/>
      <c r="ET83" s="46"/>
      <c r="EU83" s="46"/>
      <c r="EV83" s="46"/>
      <c r="EW83" s="46"/>
      <c r="EX83" s="46"/>
      <c r="EY83" s="46"/>
      <c r="EZ83" s="46"/>
      <c r="FA83" s="46"/>
      <c r="FB83" s="46"/>
      <c r="FC83" s="46"/>
      <c r="FD83" s="46"/>
      <c r="FE83" s="46"/>
      <c r="FF83" s="46"/>
      <c r="FG83" s="46"/>
      <c r="FH83" s="93">
        <f t="shared" si="30"/>
        <v>0</v>
      </c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93">
        <f t="shared" si="31"/>
        <v>0</v>
      </c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93">
        <f t="shared" si="32"/>
        <v>0</v>
      </c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  <c r="IT83" s="46"/>
      <c r="IU83" s="46"/>
      <c r="IV83" s="46"/>
      <c r="IW83" s="46"/>
      <c r="IX83" s="46"/>
      <c r="IY83" s="46"/>
      <c r="IZ83" s="46"/>
      <c r="JA83" s="46"/>
      <c r="JB83" s="46"/>
      <c r="JC83" s="93">
        <f t="shared" si="33"/>
        <v>0</v>
      </c>
      <c r="JE83" s="46"/>
      <c r="JF83" s="46"/>
      <c r="JG83" s="46"/>
      <c r="JH83" s="46"/>
      <c r="JI83" s="46"/>
      <c r="JJ83" s="46"/>
      <c r="JK83" s="46"/>
      <c r="JL83" s="46"/>
      <c r="JM83" s="46"/>
      <c r="JN83" s="46"/>
      <c r="JO83" s="46"/>
      <c r="JP83" s="46"/>
      <c r="JQ83" s="46"/>
      <c r="JR83" s="46"/>
      <c r="JS83" s="46"/>
      <c r="JT83" s="46"/>
      <c r="JU83" s="46"/>
      <c r="JV83" s="46"/>
      <c r="JW83" s="46"/>
      <c r="JX83" s="46"/>
      <c r="JY83" s="46"/>
      <c r="JZ83" s="46"/>
      <c r="KA83" s="46"/>
      <c r="KB83" s="46"/>
      <c r="KC83" s="46"/>
      <c r="KD83" s="46"/>
      <c r="KE83" s="46"/>
      <c r="KF83" s="46"/>
      <c r="KG83" s="46"/>
      <c r="KH83" s="46"/>
      <c r="KI83" s="46"/>
      <c r="KJ83" s="93">
        <f t="shared" si="34"/>
        <v>0</v>
      </c>
    </row>
    <row r="84" spans="1:296" ht="20.149999999999999" customHeight="1" x14ac:dyDescent="0.5">
      <c r="A84" s="84">
        <f t="shared" si="35"/>
        <v>75</v>
      </c>
      <c r="B84" s="141" t="s">
        <v>106</v>
      </c>
      <c r="C84" s="165" t="s">
        <v>4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>
        <f t="shared" si="18"/>
        <v>100</v>
      </c>
      <c r="S84" s="46">
        <f t="shared" si="19"/>
        <v>0</v>
      </c>
      <c r="T84" s="46">
        <f t="shared" si="20"/>
        <v>0</v>
      </c>
      <c r="U84" s="46">
        <f t="shared" si="21"/>
        <v>0</v>
      </c>
      <c r="V84" s="46">
        <f t="shared" si="22"/>
        <v>0</v>
      </c>
      <c r="W84" s="46">
        <f t="shared" si="23"/>
        <v>0</v>
      </c>
      <c r="X84" s="46">
        <f t="shared" si="24"/>
        <v>0</v>
      </c>
      <c r="Y84" s="46">
        <f t="shared" si="25"/>
        <v>0</v>
      </c>
      <c r="Z84" s="90">
        <f t="shared" si="26"/>
        <v>100</v>
      </c>
      <c r="AA84" s="95"/>
      <c r="AB84" s="95">
        <f>'LPLPO GUDANG'!H89</f>
        <v>0</v>
      </c>
      <c r="AC84" s="91"/>
      <c r="AD84" s="91"/>
      <c r="AE84" s="91"/>
      <c r="AF84" s="91"/>
      <c r="AG84" s="92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>
        <v>100</v>
      </c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93">
        <f t="shared" si="27"/>
        <v>100</v>
      </c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93">
        <f t="shared" si="28"/>
        <v>0</v>
      </c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  <c r="DM84" s="46"/>
      <c r="DN84" s="46"/>
      <c r="DO84" s="46"/>
      <c r="DP84" s="46"/>
      <c r="DQ84" s="46"/>
      <c r="DR84" s="46"/>
      <c r="DS84" s="46"/>
      <c r="DT84" s="46"/>
      <c r="DU84" s="46"/>
      <c r="DV84" s="46"/>
      <c r="DW84" s="46"/>
      <c r="DX84" s="46"/>
      <c r="DY84" s="46"/>
      <c r="DZ84" s="46"/>
      <c r="EA84" s="93">
        <f t="shared" si="29"/>
        <v>0</v>
      </c>
      <c r="EC84" s="46"/>
      <c r="ED84" s="46"/>
      <c r="EE84" s="46"/>
      <c r="EF84" s="46"/>
      <c r="EG84" s="46"/>
      <c r="EH84" s="46"/>
      <c r="EI84" s="46"/>
      <c r="EJ84" s="46"/>
      <c r="EK84" s="46"/>
      <c r="EL84" s="46"/>
      <c r="EM84" s="46"/>
      <c r="EN84" s="46"/>
      <c r="EO84" s="46"/>
      <c r="EP84" s="46"/>
      <c r="EQ84" s="46"/>
      <c r="ER84" s="46"/>
      <c r="ES84" s="46"/>
      <c r="ET84" s="46"/>
      <c r="EU84" s="46"/>
      <c r="EV84" s="46"/>
      <c r="EW84" s="46"/>
      <c r="EX84" s="46"/>
      <c r="EY84" s="46"/>
      <c r="EZ84" s="46"/>
      <c r="FA84" s="46"/>
      <c r="FB84" s="46"/>
      <c r="FC84" s="46"/>
      <c r="FD84" s="46"/>
      <c r="FE84" s="46"/>
      <c r="FF84" s="46"/>
      <c r="FG84" s="46"/>
      <c r="FH84" s="93">
        <f t="shared" si="30"/>
        <v>0</v>
      </c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93">
        <f t="shared" si="31"/>
        <v>0</v>
      </c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93">
        <f t="shared" si="32"/>
        <v>0</v>
      </c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  <c r="IT84" s="46"/>
      <c r="IU84" s="46"/>
      <c r="IV84" s="46"/>
      <c r="IW84" s="46"/>
      <c r="IX84" s="46"/>
      <c r="IY84" s="46"/>
      <c r="IZ84" s="46"/>
      <c r="JA84" s="46"/>
      <c r="JB84" s="46"/>
      <c r="JC84" s="93">
        <f t="shared" si="33"/>
        <v>0</v>
      </c>
      <c r="JE84" s="46"/>
      <c r="JF84" s="46"/>
      <c r="JG84" s="46"/>
      <c r="JH84" s="46"/>
      <c r="JI84" s="46"/>
      <c r="JJ84" s="46"/>
      <c r="JK84" s="46"/>
      <c r="JL84" s="46"/>
      <c r="JM84" s="46"/>
      <c r="JN84" s="46"/>
      <c r="JO84" s="46"/>
      <c r="JP84" s="46"/>
      <c r="JQ84" s="46"/>
      <c r="JR84" s="46"/>
      <c r="JS84" s="46"/>
      <c r="JT84" s="46"/>
      <c r="JU84" s="46"/>
      <c r="JV84" s="46"/>
      <c r="JW84" s="46"/>
      <c r="JX84" s="46"/>
      <c r="JY84" s="46"/>
      <c r="JZ84" s="46"/>
      <c r="KA84" s="46"/>
      <c r="KB84" s="46"/>
      <c r="KC84" s="46"/>
      <c r="KD84" s="46"/>
      <c r="KE84" s="46"/>
      <c r="KF84" s="46"/>
      <c r="KG84" s="46"/>
      <c r="KH84" s="46"/>
      <c r="KI84" s="46"/>
      <c r="KJ84" s="93">
        <f t="shared" si="34"/>
        <v>0</v>
      </c>
    </row>
    <row r="85" spans="1:296" ht="20.149999999999999" customHeight="1" x14ac:dyDescent="0.5">
      <c r="A85" s="84">
        <f t="shared" si="35"/>
        <v>76</v>
      </c>
      <c r="B85" s="141" t="s">
        <v>65</v>
      </c>
      <c r="C85" s="157" t="s">
        <v>344</v>
      </c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>
        <f t="shared" si="18"/>
        <v>4000</v>
      </c>
      <c r="S85" s="46">
        <f t="shared" si="19"/>
        <v>0</v>
      </c>
      <c r="T85" s="46">
        <f t="shared" si="20"/>
        <v>0</v>
      </c>
      <c r="U85" s="46">
        <f t="shared" si="21"/>
        <v>0</v>
      </c>
      <c r="V85" s="46">
        <f t="shared" si="22"/>
        <v>0</v>
      </c>
      <c r="W85" s="46">
        <f t="shared" si="23"/>
        <v>0</v>
      </c>
      <c r="X85" s="46">
        <f t="shared" si="24"/>
        <v>0</v>
      </c>
      <c r="Y85" s="46">
        <f t="shared" si="25"/>
        <v>0</v>
      </c>
      <c r="Z85" s="90">
        <f t="shared" si="26"/>
        <v>4000</v>
      </c>
      <c r="AA85" s="95"/>
      <c r="AB85" s="95">
        <f>'LPLPO GUDANG'!H90</f>
        <v>0</v>
      </c>
      <c r="AC85" s="91"/>
      <c r="AD85" s="91"/>
      <c r="AE85" s="91"/>
      <c r="AF85" s="91"/>
      <c r="AG85" s="92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>
        <v>4000</v>
      </c>
      <c r="BF85" s="46"/>
      <c r="BG85" s="46"/>
      <c r="BH85" s="46"/>
      <c r="BI85" s="46"/>
      <c r="BJ85" s="46"/>
      <c r="BK85" s="46"/>
      <c r="BL85" s="46"/>
      <c r="BM85" s="93">
        <f t="shared" si="27"/>
        <v>4000</v>
      </c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93">
        <f t="shared" si="28"/>
        <v>0</v>
      </c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/>
      <c r="DJ85" s="46"/>
      <c r="DK85" s="46"/>
      <c r="DL85" s="46"/>
      <c r="DM85" s="46"/>
      <c r="DN85" s="46"/>
      <c r="DO85" s="46"/>
      <c r="DP85" s="46"/>
      <c r="DQ85" s="46"/>
      <c r="DR85" s="46"/>
      <c r="DS85" s="46"/>
      <c r="DT85" s="46"/>
      <c r="DU85" s="46"/>
      <c r="DV85" s="46"/>
      <c r="DW85" s="46"/>
      <c r="DX85" s="46"/>
      <c r="DY85" s="46"/>
      <c r="DZ85" s="46"/>
      <c r="EA85" s="93">
        <f t="shared" si="29"/>
        <v>0</v>
      </c>
      <c r="EC85" s="46"/>
      <c r="ED85" s="46"/>
      <c r="EE85" s="46"/>
      <c r="EF85" s="46"/>
      <c r="EG85" s="46"/>
      <c r="EH85" s="46"/>
      <c r="EI85" s="46"/>
      <c r="EJ85" s="46"/>
      <c r="EK85" s="46"/>
      <c r="EL85" s="46"/>
      <c r="EM85" s="46"/>
      <c r="EN85" s="46"/>
      <c r="EO85" s="46"/>
      <c r="EP85" s="46"/>
      <c r="EQ85" s="46"/>
      <c r="ER85" s="46"/>
      <c r="ES85" s="46"/>
      <c r="ET85" s="46"/>
      <c r="EU85" s="46"/>
      <c r="EV85" s="46"/>
      <c r="EW85" s="46"/>
      <c r="EX85" s="46"/>
      <c r="EY85" s="46"/>
      <c r="EZ85" s="46"/>
      <c r="FA85" s="46"/>
      <c r="FB85" s="46"/>
      <c r="FC85" s="46"/>
      <c r="FD85" s="46"/>
      <c r="FE85" s="46"/>
      <c r="FF85" s="46"/>
      <c r="FG85" s="46"/>
      <c r="FH85" s="93">
        <f t="shared" si="30"/>
        <v>0</v>
      </c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93">
        <f t="shared" si="31"/>
        <v>0</v>
      </c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93">
        <f t="shared" si="32"/>
        <v>0</v>
      </c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  <c r="IT85" s="46"/>
      <c r="IU85" s="46"/>
      <c r="IV85" s="46"/>
      <c r="IW85" s="46"/>
      <c r="IX85" s="46"/>
      <c r="IY85" s="46"/>
      <c r="IZ85" s="46"/>
      <c r="JA85" s="46"/>
      <c r="JB85" s="46"/>
      <c r="JC85" s="93">
        <f t="shared" si="33"/>
        <v>0</v>
      </c>
      <c r="JE85" s="46"/>
      <c r="JF85" s="46"/>
      <c r="JG85" s="46"/>
      <c r="JH85" s="46"/>
      <c r="JI85" s="46"/>
      <c r="JJ85" s="46"/>
      <c r="JK85" s="46"/>
      <c r="JL85" s="46"/>
      <c r="JM85" s="46"/>
      <c r="JN85" s="46"/>
      <c r="JO85" s="46"/>
      <c r="JP85" s="46"/>
      <c r="JQ85" s="46"/>
      <c r="JR85" s="46"/>
      <c r="JS85" s="46"/>
      <c r="JT85" s="46"/>
      <c r="JU85" s="46"/>
      <c r="JV85" s="46"/>
      <c r="JW85" s="46"/>
      <c r="JX85" s="46"/>
      <c r="JY85" s="46"/>
      <c r="JZ85" s="46"/>
      <c r="KA85" s="46"/>
      <c r="KB85" s="46"/>
      <c r="KC85" s="46"/>
      <c r="KD85" s="46"/>
      <c r="KE85" s="46"/>
      <c r="KF85" s="46"/>
      <c r="KG85" s="46"/>
      <c r="KH85" s="46"/>
      <c r="KI85" s="46"/>
      <c r="KJ85" s="93">
        <f t="shared" si="34"/>
        <v>0</v>
      </c>
    </row>
    <row r="86" spans="1:296" x14ac:dyDescent="0.5">
      <c r="A86" s="84">
        <f t="shared" si="35"/>
        <v>77</v>
      </c>
      <c r="B86" s="141" t="s">
        <v>264</v>
      </c>
      <c r="C86" s="157" t="s">
        <v>4</v>
      </c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>
        <f t="shared" si="18"/>
        <v>0</v>
      </c>
      <c r="S86" s="46">
        <f t="shared" si="19"/>
        <v>0</v>
      </c>
      <c r="T86" s="46">
        <f t="shared" si="20"/>
        <v>0</v>
      </c>
      <c r="U86" s="46">
        <f t="shared" si="21"/>
        <v>0</v>
      </c>
      <c r="V86" s="46">
        <f t="shared" si="22"/>
        <v>0</v>
      </c>
      <c r="W86" s="46">
        <f t="shared" si="23"/>
        <v>0</v>
      </c>
      <c r="X86" s="46">
        <f t="shared" si="24"/>
        <v>0</v>
      </c>
      <c r="Y86" s="46">
        <f t="shared" si="25"/>
        <v>0</v>
      </c>
      <c r="Z86" s="90">
        <f t="shared" si="26"/>
        <v>0</v>
      </c>
      <c r="AA86" s="95"/>
      <c r="AB86" s="95">
        <f>'LPLPO GUDANG'!H91</f>
        <v>0</v>
      </c>
      <c r="AC86" s="91"/>
      <c r="AD86" s="91"/>
      <c r="AE86" s="91"/>
      <c r="AF86" s="91"/>
      <c r="AG86" s="92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93">
        <f t="shared" si="27"/>
        <v>0</v>
      </c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93">
        <f t="shared" si="28"/>
        <v>0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  <c r="DL86" s="46"/>
      <c r="DM86" s="46"/>
      <c r="DN86" s="46"/>
      <c r="DO86" s="46"/>
      <c r="DP86" s="46"/>
      <c r="DQ86" s="46"/>
      <c r="DR86" s="46"/>
      <c r="DS86" s="46"/>
      <c r="DT86" s="46"/>
      <c r="DU86" s="46"/>
      <c r="DV86" s="46"/>
      <c r="DW86" s="46"/>
      <c r="DX86" s="46"/>
      <c r="DY86" s="46"/>
      <c r="DZ86" s="46"/>
      <c r="EA86" s="93">
        <f t="shared" si="29"/>
        <v>0</v>
      </c>
      <c r="EC86" s="46"/>
      <c r="ED86" s="46"/>
      <c r="EE86" s="46"/>
      <c r="EF86" s="46"/>
      <c r="EG86" s="46"/>
      <c r="EH86" s="46"/>
      <c r="EI86" s="46"/>
      <c r="EJ86" s="46"/>
      <c r="EK86" s="46"/>
      <c r="EL86" s="46"/>
      <c r="EM86" s="46"/>
      <c r="EN86" s="46"/>
      <c r="EO86" s="46"/>
      <c r="EP86" s="46"/>
      <c r="EQ86" s="46"/>
      <c r="ER86" s="46"/>
      <c r="ES86" s="46"/>
      <c r="ET86" s="46"/>
      <c r="EU86" s="46"/>
      <c r="EV86" s="46"/>
      <c r="EW86" s="46"/>
      <c r="EX86" s="46"/>
      <c r="EY86" s="46"/>
      <c r="EZ86" s="46"/>
      <c r="FA86" s="46"/>
      <c r="FB86" s="46"/>
      <c r="FC86" s="46"/>
      <c r="FD86" s="46"/>
      <c r="FE86" s="46"/>
      <c r="FF86" s="46"/>
      <c r="FG86" s="46"/>
      <c r="FH86" s="93">
        <f t="shared" si="30"/>
        <v>0</v>
      </c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93">
        <f t="shared" si="31"/>
        <v>0</v>
      </c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93">
        <f t="shared" si="32"/>
        <v>0</v>
      </c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  <c r="IT86" s="46"/>
      <c r="IU86" s="46"/>
      <c r="IV86" s="46"/>
      <c r="IW86" s="46"/>
      <c r="IX86" s="46"/>
      <c r="IY86" s="46"/>
      <c r="IZ86" s="46"/>
      <c r="JA86" s="46"/>
      <c r="JB86" s="46"/>
      <c r="JC86" s="93">
        <f t="shared" si="33"/>
        <v>0</v>
      </c>
      <c r="JE86" s="46"/>
      <c r="JF86" s="46"/>
      <c r="JG86" s="46"/>
      <c r="JH86" s="46"/>
      <c r="JI86" s="46"/>
      <c r="JJ86" s="46"/>
      <c r="JK86" s="46"/>
      <c r="JL86" s="46"/>
      <c r="JM86" s="46"/>
      <c r="JN86" s="46"/>
      <c r="JO86" s="46"/>
      <c r="JP86" s="46"/>
      <c r="JQ86" s="46"/>
      <c r="JR86" s="46"/>
      <c r="JS86" s="46"/>
      <c r="JT86" s="46"/>
      <c r="JU86" s="46"/>
      <c r="JV86" s="46"/>
      <c r="JW86" s="46"/>
      <c r="JX86" s="46"/>
      <c r="JY86" s="46"/>
      <c r="JZ86" s="46"/>
      <c r="KA86" s="46"/>
      <c r="KB86" s="46"/>
      <c r="KC86" s="46"/>
      <c r="KD86" s="46"/>
      <c r="KE86" s="46"/>
      <c r="KF86" s="46"/>
      <c r="KG86" s="46"/>
      <c r="KH86" s="46"/>
      <c r="KI86" s="46"/>
      <c r="KJ86" s="93">
        <f t="shared" si="34"/>
        <v>0</v>
      </c>
    </row>
    <row r="87" spans="1:296" x14ac:dyDescent="0.5">
      <c r="A87" s="84">
        <f t="shared" si="35"/>
        <v>78</v>
      </c>
      <c r="B87" s="141" t="s">
        <v>66</v>
      </c>
      <c r="C87" s="161" t="s">
        <v>327</v>
      </c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>
        <f t="shared" si="18"/>
        <v>0</v>
      </c>
      <c r="S87" s="46">
        <f t="shared" si="19"/>
        <v>0</v>
      </c>
      <c r="T87" s="46">
        <f t="shared" si="20"/>
        <v>0</v>
      </c>
      <c r="U87" s="46">
        <f t="shared" si="21"/>
        <v>0</v>
      </c>
      <c r="V87" s="46">
        <f t="shared" si="22"/>
        <v>0</v>
      </c>
      <c r="W87" s="46">
        <f t="shared" si="23"/>
        <v>0</v>
      </c>
      <c r="X87" s="46">
        <f t="shared" si="24"/>
        <v>0</v>
      </c>
      <c r="Y87" s="46">
        <f t="shared" si="25"/>
        <v>0</v>
      </c>
      <c r="Z87" s="90">
        <f t="shared" si="26"/>
        <v>0</v>
      </c>
      <c r="AA87" s="95"/>
      <c r="AB87" s="92">
        <f>'LPLPO GUDANG'!H92</f>
        <v>400</v>
      </c>
      <c r="AC87" s="91"/>
      <c r="AD87" s="91"/>
      <c r="AE87" s="91"/>
      <c r="AF87" s="91"/>
      <c r="AG87" s="92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93">
        <f t="shared" si="27"/>
        <v>0</v>
      </c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93">
        <f t="shared" si="28"/>
        <v>0</v>
      </c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  <c r="DL87" s="46"/>
      <c r="DM87" s="46"/>
      <c r="DN87" s="46"/>
      <c r="DO87" s="46"/>
      <c r="DP87" s="46"/>
      <c r="DQ87" s="46"/>
      <c r="DR87" s="46"/>
      <c r="DS87" s="46"/>
      <c r="DT87" s="46"/>
      <c r="DU87" s="46"/>
      <c r="DV87" s="46"/>
      <c r="DW87" s="46"/>
      <c r="DX87" s="46"/>
      <c r="DY87" s="46"/>
      <c r="DZ87" s="46"/>
      <c r="EA87" s="93">
        <f t="shared" si="29"/>
        <v>0</v>
      </c>
      <c r="EC87" s="46"/>
      <c r="ED87" s="46"/>
      <c r="EE87" s="46"/>
      <c r="EF87" s="46"/>
      <c r="EG87" s="46"/>
      <c r="EH87" s="46"/>
      <c r="EI87" s="46"/>
      <c r="EJ87" s="46"/>
      <c r="EK87" s="46"/>
      <c r="EL87" s="46"/>
      <c r="EM87" s="46"/>
      <c r="EN87" s="46"/>
      <c r="EO87" s="46"/>
      <c r="EP87" s="46"/>
      <c r="EQ87" s="46"/>
      <c r="ER87" s="46"/>
      <c r="ES87" s="46"/>
      <c r="ET87" s="46"/>
      <c r="EU87" s="46"/>
      <c r="EV87" s="46"/>
      <c r="EW87" s="46"/>
      <c r="EX87" s="46"/>
      <c r="EY87" s="46"/>
      <c r="EZ87" s="46"/>
      <c r="FA87" s="46"/>
      <c r="FB87" s="46"/>
      <c r="FC87" s="46"/>
      <c r="FD87" s="46"/>
      <c r="FE87" s="46"/>
      <c r="FF87" s="46"/>
      <c r="FG87" s="46"/>
      <c r="FH87" s="93">
        <f t="shared" si="30"/>
        <v>0</v>
      </c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93">
        <f t="shared" si="31"/>
        <v>0</v>
      </c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93">
        <f t="shared" si="32"/>
        <v>0</v>
      </c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  <c r="IT87" s="46"/>
      <c r="IU87" s="46"/>
      <c r="IV87" s="46"/>
      <c r="IW87" s="46"/>
      <c r="IX87" s="46"/>
      <c r="IY87" s="46"/>
      <c r="IZ87" s="46"/>
      <c r="JA87" s="46"/>
      <c r="JB87" s="46"/>
      <c r="JC87" s="93">
        <f t="shared" si="33"/>
        <v>0</v>
      </c>
      <c r="JE87" s="46"/>
      <c r="JF87" s="46"/>
      <c r="JG87" s="46"/>
      <c r="JH87" s="46"/>
      <c r="JI87" s="46"/>
      <c r="JJ87" s="46"/>
      <c r="JK87" s="46"/>
      <c r="JL87" s="46"/>
      <c r="JM87" s="46"/>
      <c r="JN87" s="46"/>
      <c r="JO87" s="46"/>
      <c r="JP87" s="46"/>
      <c r="JQ87" s="46"/>
      <c r="JR87" s="46"/>
      <c r="JS87" s="46"/>
      <c r="JT87" s="46"/>
      <c r="JU87" s="46"/>
      <c r="JV87" s="46"/>
      <c r="JW87" s="46"/>
      <c r="JX87" s="46"/>
      <c r="JY87" s="46"/>
      <c r="JZ87" s="46"/>
      <c r="KA87" s="46"/>
      <c r="KB87" s="46"/>
      <c r="KC87" s="46"/>
      <c r="KD87" s="46"/>
      <c r="KE87" s="46"/>
      <c r="KF87" s="46"/>
      <c r="KG87" s="46"/>
      <c r="KH87" s="46"/>
      <c r="KI87" s="46"/>
      <c r="KJ87" s="93">
        <f t="shared" si="34"/>
        <v>0</v>
      </c>
    </row>
    <row r="88" spans="1:296" ht="36" x14ac:dyDescent="0.5">
      <c r="A88" s="84">
        <f t="shared" si="35"/>
        <v>79</v>
      </c>
      <c r="B88" s="141" t="s">
        <v>67</v>
      </c>
      <c r="C88" s="157" t="s">
        <v>327</v>
      </c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>
        <f t="shared" si="18"/>
        <v>1000</v>
      </c>
      <c r="S88" s="46">
        <f t="shared" si="19"/>
        <v>0</v>
      </c>
      <c r="T88" s="46">
        <f t="shared" si="20"/>
        <v>0</v>
      </c>
      <c r="U88" s="46">
        <f t="shared" si="21"/>
        <v>0</v>
      </c>
      <c r="V88" s="46">
        <f t="shared" si="22"/>
        <v>0</v>
      </c>
      <c r="W88" s="46">
        <f t="shared" si="23"/>
        <v>0</v>
      </c>
      <c r="X88" s="46">
        <f t="shared" si="24"/>
        <v>0</v>
      </c>
      <c r="Y88" s="46">
        <f t="shared" si="25"/>
        <v>0</v>
      </c>
      <c r="Z88" s="90">
        <f t="shared" si="26"/>
        <v>1000</v>
      </c>
      <c r="AA88" s="95"/>
      <c r="AB88" s="92">
        <f>'LPLPO GUDANG'!H93</f>
        <v>500</v>
      </c>
      <c r="AC88" s="91"/>
      <c r="AD88" s="91"/>
      <c r="AE88" s="91"/>
      <c r="AF88" s="91"/>
      <c r="AG88" s="92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>
        <v>1000</v>
      </c>
      <c r="BG88" s="46"/>
      <c r="BH88" s="46"/>
      <c r="BI88" s="46"/>
      <c r="BJ88" s="46"/>
      <c r="BK88" s="46"/>
      <c r="BL88" s="46"/>
      <c r="BM88" s="93">
        <f t="shared" si="27"/>
        <v>1000</v>
      </c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93">
        <f t="shared" si="28"/>
        <v>0</v>
      </c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  <c r="DL88" s="46"/>
      <c r="DM88" s="46"/>
      <c r="DN88" s="46"/>
      <c r="DO88" s="46"/>
      <c r="DP88" s="46"/>
      <c r="DQ88" s="46"/>
      <c r="DR88" s="46"/>
      <c r="DS88" s="46"/>
      <c r="DT88" s="46"/>
      <c r="DU88" s="46"/>
      <c r="DV88" s="46"/>
      <c r="DW88" s="46"/>
      <c r="DX88" s="46"/>
      <c r="DY88" s="46"/>
      <c r="DZ88" s="46"/>
      <c r="EA88" s="93">
        <f t="shared" si="29"/>
        <v>0</v>
      </c>
      <c r="EC88" s="46"/>
      <c r="ED88" s="46"/>
      <c r="EE88" s="46"/>
      <c r="EF88" s="46"/>
      <c r="EG88" s="46"/>
      <c r="EH88" s="46"/>
      <c r="EI88" s="46"/>
      <c r="EJ88" s="46"/>
      <c r="EK88" s="46"/>
      <c r="EL88" s="46"/>
      <c r="EM88" s="46"/>
      <c r="EN88" s="46"/>
      <c r="EO88" s="46"/>
      <c r="EP88" s="46"/>
      <c r="EQ88" s="46"/>
      <c r="ER88" s="46"/>
      <c r="ES88" s="46"/>
      <c r="ET88" s="46"/>
      <c r="EU88" s="46"/>
      <c r="EV88" s="46"/>
      <c r="EW88" s="46"/>
      <c r="EX88" s="46"/>
      <c r="EY88" s="46"/>
      <c r="EZ88" s="46"/>
      <c r="FA88" s="46"/>
      <c r="FB88" s="46"/>
      <c r="FC88" s="46"/>
      <c r="FD88" s="46"/>
      <c r="FE88" s="46"/>
      <c r="FF88" s="46"/>
      <c r="FG88" s="46"/>
      <c r="FH88" s="93">
        <f t="shared" si="30"/>
        <v>0</v>
      </c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93">
        <f t="shared" si="31"/>
        <v>0</v>
      </c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93">
        <f t="shared" si="32"/>
        <v>0</v>
      </c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  <c r="IT88" s="46"/>
      <c r="IU88" s="46"/>
      <c r="IV88" s="46"/>
      <c r="IW88" s="46"/>
      <c r="IX88" s="46"/>
      <c r="IY88" s="46"/>
      <c r="IZ88" s="46"/>
      <c r="JA88" s="46"/>
      <c r="JB88" s="46"/>
      <c r="JC88" s="93">
        <f t="shared" si="33"/>
        <v>0</v>
      </c>
      <c r="JE88" s="46"/>
      <c r="JF88" s="46"/>
      <c r="JG88" s="46"/>
      <c r="JH88" s="46"/>
      <c r="JI88" s="46"/>
      <c r="JJ88" s="46"/>
      <c r="JK88" s="46"/>
      <c r="JL88" s="46"/>
      <c r="JM88" s="46"/>
      <c r="JN88" s="46"/>
      <c r="JO88" s="46"/>
      <c r="JP88" s="46"/>
      <c r="JQ88" s="46"/>
      <c r="JR88" s="46"/>
      <c r="JS88" s="46"/>
      <c r="JT88" s="46"/>
      <c r="JU88" s="46"/>
      <c r="JV88" s="46"/>
      <c r="JW88" s="46"/>
      <c r="JX88" s="46"/>
      <c r="JY88" s="46"/>
      <c r="JZ88" s="46"/>
      <c r="KA88" s="46"/>
      <c r="KB88" s="46"/>
      <c r="KC88" s="46"/>
      <c r="KD88" s="46"/>
      <c r="KE88" s="46"/>
      <c r="KF88" s="46"/>
      <c r="KG88" s="46"/>
      <c r="KH88" s="46"/>
      <c r="KI88" s="46"/>
      <c r="KJ88" s="93">
        <f t="shared" si="34"/>
        <v>0</v>
      </c>
    </row>
    <row r="89" spans="1:296" ht="20.149999999999999" customHeight="1" x14ac:dyDescent="0.5">
      <c r="A89" s="84">
        <f t="shared" si="35"/>
        <v>80</v>
      </c>
      <c r="B89" s="141" t="s">
        <v>68</v>
      </c>
      <c r="C89" s="157" t="s">
        <v>327</v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>
        <f t="shared" si="18"/>
        <v>0</v>
      </c>
      <c r="S89" s="46">
        <f t="shared" si="19"/>
        <v>0</v>
      </c>
      <c r="T89" s="46">
        <f t="shared" si="20"/>
        <v>0</v>
      </c>
      <c r="U89" s="46">
        <f t="shared" si="21"/>
        <v>0</v>
      </c>
      <c r="V89" s="46">
        <f t="shared" si="22"/>
        <v>0</v>
      </c>
      <c r="W89" s="46">
        <f t="shared" si="23"/>
        <v>0</v>
      </c>
      <c r="X89" s="46">
        <f t="shared" si="24"/>
        <v>0</v>
      </c>
      <c r="Y89" s="46">
        <f t="shared" si="25"/>
        <v>0</v>
      </c>
      <c r="Z89" s="90">
        <f t="shared" si="26"/>
        <v>0</v>
      </c>
      <c r="AA89" s="95"/>
      <c r="AB89" s="95">
        <f>'LPLPO GUDANG'!H94</f>
        <v>0</v>
      </c>
      <c r="AC89" s="91"/>
      <c r="AD89" s="91"/>
      <c r="AE89" s="91"/>
      <c r="AF89" s="91"/>
      <c r="AG89" s="92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93">
        <f t="shared" si="27"/>
        <v>0</v>
      </c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93">
        <f t="shared" si="28"/>
        <v>0</v>
      </c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  <c r="DK89" s="46"/>
      <c r="DL89" s="46"/>
      <c r="DM89" s="46"/>
      <c r="DN89" s="46"/>
      <c r="DO89" s="46"/>
      <c r="DP89" s="46"/>
      <c r="DQ89" s="46"/>
      <c r="DR89" s="46"/>
      <c r="DS89" s="46"/>
      <c r="DT89" s="46"/>
      <c r="DU89" s="46"/>
      <c r="DV89" s="46"/>
      <c r="DW89" s="46"/>
      <c r="DX89" s="46"/>
      <c r="DY89" s="46"/>
      <c r="DZ89" s="46"/>
      <c r="EA89" s="93">
        <f t="shared" si="29"/>
        <v>0</v>
      </c>
      <c r="EC89" s="46"/>
      <c r="ED89" s="46"/>
      <c r="EE89" s="46"/>
      <c r="EF89" s="46"/>
      <c r="EG89" s="46"/>
      <c r="EH89" s="46"/>
      <c r="EI89" s="46"/>
      <c r="EJ89" s="46"/>
      <c r="EK89" s="46"/>
      <c r="EL89" s="46"/>
      <c r="EM89" s="46"/>
      <c r="EN89" s="46"/>
      <c r="EO89" s="46"/>
      <c r="EP89" s="46"/>
      <c r="EQ89" s="46"/>
      <c r="ER89" s="46"/>
      <c r="ES89" s="46"/>
      <c r="ET89" s="46"/>
      <c r="EU89" s="46"/>
      <c r="EV89" s="46"/>
      <c r="EW89" s="46"/>
      <c r="EX89" s="46"/>
      <c r="EY89" s="46"/>
      <c r="EZ89" s="46"/>
      <c r="FA89" s="46"/>
      <c r="FB89" s="46"/>
      <c r="FC89" s="46"/>
      <c r="FD89" s="46"/>
      <c r="FE89" s="46"/>
      <c r="FF89" s="46"/>
      <c r="FG89" s="46"/>
      <c r="FH89" s="93">
        <f t="shared" si="30"/>
        <v>0</v>
      </c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93">
        <f t="shared" si="31"/>
        <v>0</v>
      </c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93">
        <f t="shared" si="32"/>
        <v>0</v>
      </c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  <c r="IT89" s="46"/>
      <c r="IU89" s="46"/>
      <c r="IV89" s="46"/>
      <c r="IW89" s="46"/>
      <c r="IX89" s="46"/>
      <c r="IY89" s="46"/>
      <c r="IZ89" s="46"/>
      <c r="JA89" s="46"/>
      <c r="JB89" s="46"/>
      <c r="JC89" s="93">
        <f t="shared" si="33"/>
        <v>0</v>
      </c>
      <c r="JE89" s="46"/>
      <c r="JF89" s="46"/>
      <c r="JG89" s="46"/>
      <c r="JH89" s="46"/>
      <c r="JI89" s="46"/>
      <c r="JJ89" s="46"/>
      <c r="JK89" s="46"/>
      <c r="JL89" s="46"/>
      <c r="JM89" s="46"/>
      <c r="JN89" s="46"/>
      <c r="JO89" s="46"/>
      <c r="JP89" s="46"/>
      <c r="JQ89" s="46"/>
      <c r="JR89" s="46"/>
      <c r="JS89" s="46"/>
      <c r="JT89" s="46"/>
      <c r="JU89" s="46"/>
      <c r="JV89" s="46"/>
      <c r="JW89" s="46"/>
      <c r="JX89" s="46"/>
      <c r="JY89" s="46"/>
      <c r="JZ89" s="46"/>
      <c r="KA89" s="46"/>
      <c r="KB89" s="46"/>
      <c r="KC89" s="46"/>
      <c r="KD89" s="46"/>
      <c r="KE89" s="46"/>
      <c r="KF89" s="46"/>
      <c r="KG89" s="46"/>
      <c r="KH89" s="46"/>
      <c r="KI89" s="46"/>
      <c r="KJ89" s="93">
        <f t="shared" si="34"/>
        <v>0</v>
      </c>
    </row>
    <row r="90" spans="1:296" ht="20.149999999999999" customHeight="1" x14ac:dyDescent="0.5">
      <c r="A90" s="84">
        <f t="shared" si="35"/>
        <v>81</v>
      </c>
      <c r="B90" s="141" t="s">
        <v>69</v>
      </c>
      <c r="C90" s="45" t="s">
        <v>327</v>
      </c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>
        <f t="shared" si="18"/>
        <v>500</v>
      </c>
      <c r="S90" s="46">
        <f t="shared" si="19"/>
        <v>0</v>
      </c>
      <c r="T90" s="46">
        <f t="shared" si="20"/>
        <v>0</v>
      </c>
      <c r="U90" s="46">
        <f t="shared" si="21"/>
        <v>0</v>
      </c>
      <c r="V90" s="46">
        <f t="shared" si="22"/>
        <v>0</v>
      </c>
      <c r="W90" s="46">
        <f t="shared" si="23"/>
        <v>0</v>
      </c>
      <c r="X90" s="46">
        <f t="shared" si="24"/>
        <v>0</v>
      </c>
      <c r="Y90" s="46">
        <f t="shared" si="25"/>
        <v>0</v>
      </c>
      <c r="Z90" s="90">
        <f t="shared" si="26"/>
        <v>500</v>
      </c>
      <c r="AA90" s="95"/>
      <c r="AB90" s="92">
        <f>'LPLPO GUDANG'!H95</f>
        <v>500</v>
      </c>
      <c r="AC90" s="91"/>
      <c r="AD90" s="91"/>
      <c r="AE90" s="91"/>
      <c r="AF90" s="91"/>
      <c r="AG90" s="92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>
        <v>500</v>
      </c>
      <c r="BG90" s="46"/>
      <c r="BH90" s="46"/>
      <c r="BI90" s="46"/>
      <c r="BJ90" s="46"/>
      <c r="BK90" s="46"/>
      <c r="BL90" s="46"/>
      <c r="BM90" s="93">
        <f t="shared" si="27"/>
        <v>500</v>
      </c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93">
        <f t="shared" si="28"/>
        <v>0</v>
      </c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  <c r="DL90" s="46"/>
      <c r="DM90" s="46"/>
      <c r="DN90" s="46"/>
      <c r="DO90" s="46"/>
      <c r="DP90" s="46"/>
      <c r="DQ90" s="46"/>
      <c r="DR90" s="46"/>
      <c r="DS90" s="46"/>
      <c r="DT90" s="46"/>
      <c r="DU90" s="46"/>
      <c r="DV90" s="46"/>
      <c r="DW90" s="46"/>
      <c r="DX90" s="46"/>
      <c r="DY90" s="46"/>
      <c r="DZ90" s="46"/>
      <c r="EA90" s="93">
        <f t="shared" si="29"/>
        <v>0</v>
      </c>
      <c r="EC90" s="46"/>
      <c r="ED90" s="46"/>
      <c r="EE90" s="46"/>
      <c r="EF90" s="46"/>
      <c r="EG90" s="46"/>
      <c r="EH90" s="46"/>
      <c r="EI90" s="46"/>
      <c r="EJ90" s="46"/>
      <c r="EK90" s="46"/>
      <c r="EL90" s="46"/>
      <c r="EM90" s="46"/>
      <c r="EN90" s="46"/>
      <c r="EO90" s="46"/>
      <c r="EP90" s="46"/>
      <c r="EQ90" s="46"/>
      <c r="ER90" s="46"/>
      <c r="ES90" s="46"/>
      <c r="ET90" s="46"/>
      <c r="EU90" s="46"/>
      <c r="EV90" s="46"/>
      <c r="EW90" s="46"/>
      <c r="EX90" s="46"/>
      <c r="EY90" s="46"/>
      <c r="EZ90" s="46"/>
      <c r="FA90" s="46"/>
      <c r="FB90" s="46"/>
      <c r="FC90" s="46"/>
      <c r="FD90" s="46"/>
      <c r="FE90" s="46"/>
      <c r="FF90" s="46"/>
      <c r="FG90" s="46"/>
      <c r="FH90" s="93">
        <f t="shared" si="30"/>
        <v>0</v>
      </c>
      <c r="FJ90" s="46"/>
      <c r="FK90" s="46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93">
        <f t="shared" si="31"/>
        <v>0</v>
      </c>
      <c r="GQ90" s="46"/>
      <c r="GR90" s="46"/>
      <c r="GS90" s="46"/>
      <c r="GT90" s="46"/>
      <c r="GU90" s="46"/>
      <c r="GV90" s="46"/>
      <c r="GW90" s="46"/>
      <c r="GX90" s="46"/>
      <c r="GY90" s="46"/>
      <c r="GZ90" s="46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93">
        <f t="shared" si="32"/>
        <v>0</v>
      </c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  <c r="IT90" s="46"/>
      <c r="IU90" s="46"/>
      <c r="IV90" s="46"/>
      <c r="IW90" s="46"/>
      <c r="IX90" s="46"/>
      <c r="IY90" s="46"/>
      <c r="IZ90" s="46"/>
      <c r="JA90" s="46"/>
      <c r="JB90" s="46"/>
      <c r="JC90" s="93">
        <f t="shared" si="33"/>
        <v>0</v>
      </c>
      <c r="JE90" s="46"/>
      <c r="JF90" s="46"/>
      <c r="JG90" s="46"/>
      <c r="JH90" s="46"/>
      <c r="JI90" s="46"/>
      <c r="JJ90" s="46"/>
      <c r="JK90" s="46"/>
      <c r="JL90" s="46"/>
      <c r="JM90" s="46"/>
      <c r="JN90" s="46"/>
      <c r="JO90" s="46"/>
      <c r="JP90" s="46"/>
      <c r="JQ90" s="46"/>
      <c r="JR90" s="46"/>
      <c r="JS90" s="46"/>
      <c r="JT90" s="46"/>
      <c r="JU90" s="46"/>
      <c r="JV90" s="46"/>
      <c r="JW90" s="46"/>
      <c r="JX90" s="46"/>
      <c r="JY90" s="46"/>
      <c r="JZ90" s="46"/>
      <c r="KA90" s="46"/>
      <c r="KB90" s="46"/>
      <c r="KC90" s="46"/>
      <c r="KD90" s="46"/>
      <c r="KE90" s="46"/>
      <c r="KF90" s="46"/>
      <c r="KG90" s="46"/>
      <c r="KH90" s="46"/>
      <c r="KI90" s="46"/>
      <c r="KJ90" s="93">
        <f t="shared" si="34"/>
        <v>0</v>
      </c>
    </row>
    <row r="91" spans="1:296" ht="20.149999999999999" customHeight="1" x14ac:dyDescent="0.5">
      <c r="A91" s="84">
        <f t="shared" si="35"/>
        <v>82</v>
      </c>
      <c r="B91" s="141" t="s">
        <v>257</v>
      </c>
      <c r="C91" s="157" t="s">
        <v>48</v>
      </c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>
        <f t="shared" si="18"/>
        <v>0</v>
      </c>
      <c r="S91" s="46">
        <f t="shared" si="19"/>
        <v>0</v>
      </c>
      <c r="T91" s="46">
        <f t="shared" si="20"/>
        <v>0</v>
      </c>
      <c r="U91" s="46">
        <f t="shared" si="21"/>
        <v>0</v>
      </c>
      <c r="V91" s="46">
        <f t="shared" si="22"/>
        <v>0</v>
      </c>
      <c r="W91" s="46">
        <f t="shared" si="23"/>
        <v>0</v>
      </c>
      <c r="X91" s="46">
        <f t="shared" si="24"/>
        <v>0</v>
      </c>
      <c r="Y91" s="46">
        <f t="shared" si="25"/>
        <v>0</v>
      </c>
      <c r="Z91" s="90">
        <f t="shared" si="26"/>
        <v>0</v>
      </c>
      <c r="AA91" s="95"/>
      <c r="AB91" s="95">
        <f>'LPLPO GUDANG'!H96</f>
        <v>0</v>
      </c>
      <c r="AC91" s="91"/>
      <c r="AD91" s="91"/>
      <c r="AE91" s="91"/>
      <c r="AF91" s="91"/>
      <c r="AG91" s="92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93">
        <f t="shared" si="27"/>
        <v>0</v>
      </c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93">
        <f t="shared" si="28"/>
        <v>0</v>
      </c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  <c r="DK91" s="46"/>
      <c r="DL91" s="46"/>
      <c r="DM91" s="46"/>
      <c r="DN91" s="46"/>
      <c r="DO91" s="46"/>
      <c r="DP91" s="46"/>
      <c r="DQ91" s="46"/>
      <c r="DR91" s="46"/>
      <c r="DS91" s="46"/>
      <c r="DT91" s="46"/>
      <c r="DU91" s="46"/>
      <c r="DV91" s="46"/>
      <c r="DW91" s="46"/>
      <c r="DX91" s="46"/>
      <c r="DY91" s="46"/>
      <c r="DZ91" s="46"/>
      <c r="EA91" s="93">
        <f t="shared" si="29"/>
        <v>0</v>
      </c>
      <c r="EC91" s="46"/>
      <c r="ED91" s="46"/>
      <c r="EE91" s="46"/>
      <c r="EF91" s="46"/>
      <c r="EG91" s="46"/>
      <c r="EH91" s="46"/>
      <c r="EI91" s="46"/>
      <c r="EJ91" s="46"/>
      <c r="EK91" s="46"/>
      <c r="EL91" s="46"/>
      <c r="EM91" s="46"/>
      <c r="EN91" s="46"/>
      <c r="EO91" s="46"/>
      <c r="EP91" s="46"/>
      <c r="EQ91" s="46"/>
      <c r="ER91" s="46"/>
      <c r="ES91" s="46"/>
      <c r="ET91" s="46"/>
      <c r="EU91" s="46"/>
      <c r="EV91" s="46"/>
      <c r="EW91" s="46"/>
      <c r="EX91" s="46"/>
      <c r="EY91" s="46"/>
      <c r="EZ91" s="46"/>
      <c r="FA91" s="46"/>
      <c r="FB91" s="46"/>
      <c r="FC91" s="46"/>
      <c r="FD91" s="46"/>
      <c r="FE91" s="46"/>
      <c r="FF91" s="46"/>
      <c r="FG91" s="46"/>
      <c r="FH91" s="93">
        <f t="shared" si="30"/>
        <v>0</v>
      </c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93">
        <f t="shared" si="31"/>
        <v>0</v>
      </c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93">
        <f t="shared" si="32"/>
        <v>0</v>
      </c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  <c r="IT91" s="46"/>
      <c r="IU91" s="46"/>
      <c r="IV91" s="46"/>
      <c r="IW91" s="46"/>
      <c r="IX91" s="46"/>
      <c r="IY91" s="46"/>
      <c r="IZ91" s="46"/>
      <c r="JA91" s="46"/>
      <c r="JB91" s="46"/>
      <c r="JC91" s="93">
        <f t="shared" si="33"/>
        <v>0</v>
      </c>
      <c r="JE91" s="46"/>
      <c r="JF91" s="46"/>
      <c r="JG91" s="46"/>
      <c r="JH91" s="46"/>
      <c r="JI91" s="46"/>
      <c r="JJ91" s="46"/>
      <c r="JK91" s="46"/>
      <c r="JL91" s="46"/>
      <c r="JM91" s="46"/>
      <c r="JN91" s="46"/>
      <c r="JO91" s="46"/>
      <c r="JP91" s="46"/>
      <c r="JQ91" s="46"/>
      <c r="JR91" s="46"/>
      <c r="JS91" s="46"/>
      <c r="JT91" s="46"/>
      <c r="JU91" s="46"/>
      <c r="JV91" s="46"/>
      <c r="JW91" s="46"/>
      <c r="JX91" s="46"/>
      <c r="JY91" s="46"/>
      <c r="JZ91" s="46"/>
      <c r="KA91" s="46"/>
      <c r="KB91" s="46"/>
      <c r="KC91" s="46"/>
      <c r="KD91" s="46"/>
      <c r="KE91" s="46"/>
      <c r="KF91" s="46"/>
      <c r="KG91" s="46"/>
      <c r="KH91" s="46"/>
      <c r="KI91" s="46"/>
      <c r="KJ91" s="93">
        <f t="shared" si="34"/>
        <v>0</v>
      </c>
    </row>
    <row r="92" spans="1:296" ht="20.149999999999999" customHeight="1" x14ac:dyDescent="0.5">
      <c r="A92" s="84">
        <f t="shared" si="35"/>
        <v>83</v>
      </c>
      <c r="B92" s="141" t="s">
        <v>70</v>
      </c>
      <c r="C92" s="160" t="s">
        <v>349</v>
      </c>
      <c r="D92" s="46"/>
      <c r="E92" s="46"/>
      <c r="F92" s="46"/>
      <c r="G92" s="46"/>
      <c r="H92" s="46"/>
      <c r="I92" s="46">
        <v>5</v>
      </c>
      <c r="J92" s="46"/>
      <c r="K92" s="46"/>
      <c r="L92" s="46"/>
      <c r="M92" s="46"/>
      <c r="N92" s="46"/>
      <c r="O92" s="46"/>
      <c r="P92" s="46">
        <v>5</v>
      </c>
      <c r="Q92" s="46"/>
      <c r="R92" s="46">
        <f t="shared" si="18"/>
        <v>0</v>
      </c>
      <c r="S92" s="46">
        <f t="shared" si="19"/>
        <v>0</v>
      </c>
      <c r="T92" s="46">
        <f t="shared" si="20"/>
        <v>0</v>
      </c>
      <c r="U92" s="46">
        <f t="shared" si="21"/>
        <v>0</v>
      </c>
      <c r="V92" s="46">
        <f t="shared" si="22"/>
        <v>0</v>
      </c>
      <c r="W92" s="46">
        <f t="shared" si="23"/>
        <v>0</v>
      </c>
      <c r="X92" s="46">
        <f t="shared" si="24"/>
        <v>0</v>
      </c>
      <c r="Y92" s="46">
        <f t="shared" si="25"/>
        <v>0</v>
      </c>
      <c r="Z92" s="90">
        <f t="shared" si="26"/>
        <v>10</v>
      </c>
      <c r="AA92" s="95"/>
      <c r="AB92" s="92">
        <f>'LPLPO GUDANG'!H97</f>
        <v>40</v>
      </c>
      <c r="AC92" s="91">
        <v>-5</v>
      </c>
      <c r="AD92" s="91"/>
      <c r="AE92" s="91"/>
      <c r="AF92" s="91"/>
      <c r="AG92" s="92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93">
        <f t="shared" si="27"/>
        <v>0</v>
      </c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93">
        <f t="shared" si="28"/>
        <v>0</v>
      </c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  <c r="DK92" s="46"/>
      <c r="DL92" s="46"/>
      <c r="DM92" s="46"/>
      <c r="DN92" s="46"/>
      <c r="DO92" s="46"/>
      <c r="DP92" s="46"/>
      <c r="DQ92" s="46"/>
      <c r="DR92" s="46"/>
      <c r="DS92" s="46"/>
      <c r="DT92" s="46"/>
      <c r="DU92" s="46"/>
      <c r="DV92" s="46"/>
      <c r="DW92" s="46"/>
      <c r="DX92" s="46"/>
      <c r="DY92" s="46"/>
      <c r="DZ92" s="46"/>
      <c r="EA92" s="93">
        <f t="shared" si="29"/>
        <v>0</v>
      </c>
      <c r="EC92" s="46"/>
      <c r="ED92" s="46"/>
      <c r="EE92" s="46"/>
      <c r="EF92" s="46"/>
      <c r="EG92" s="46"/>
      <c r="EH92" s="46"/>
      <c r="EI92" s="46"/>
      <c r="EJ92" s="46"/>
      <c r="EK92" s="46"/>
      <c r="EL92" s="46"/>
      <c r="EM92" s="46"/>
      <c r="EN92" s="46"/>
      <c r="EO92" s="46"/>
      <c r="EP92" s="46"/>
      <c r="EQ92" s="46"/>
      <c r="ER92" s="46"/>
      <c r="ES92" s="46"/>
      <c r="ET92" s="46"/>
      <c r="EU92" s="46"/>
      <c r="EV92" s="46"/>
      <c r="EW92" s="46"/>
      <c r="EX92" s="46"/>
      <c r="EY92" s="46"/>
      <c r="EZ92" s="46"/>
      <c r="FA92" s="46"/>
      <c r="FB92" s="46"/>
      <c r="FC92" s="46"/>
      <c r="FD92" s="46"/>
      <c r="FE92" s="46"/>
      <c r="FF92" s="46"/>
      <c r="FG92" s="46"/>
      <c r="FH92" s="93">
        <f t="shared" si="30"/>
        <v>0</v>
      </c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93">
        <f t="shared" si="31"/>
        <v>0</v>
      </c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93">
        <f t="shared" si="32"/>
        <v>0</v>
      </c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  <c r="IT92" s="46"/>
      <c r="IU92" s="46"/>
      <c r="IV92" s="46"/>
      <c r="IW92" s="46"/>
      <c r="IX92" s="46"/>
      <c r="IY92" s="46"/>
      <c r="IZ92" s="46"/>
      <c r="JA92" s="46"/>
      <c r="JB92" s="46"/>
      <c r="JC92" s="93">
        <f t="shared" si="33"/>
        <v>0</v>
      </c>
      <c r="JE92" s="46"/>
      <c r="JF92" s="46"/>
      <c r="JG92" s="46"/>
      <c r="JH92" s="46"/>
      <c r="JI92" s="46"/>
      <c r="JJ92" s="46"/>
      <c r="JK92" s="46"/>
      <c r="JL92" s="46"/>
      <c r="JM92" s="46"/>
      <c r="JN92" s="46"/>
      <c r="JO92" s="46"/>
      <c r="JP92" s="46"/>
      <c r="JQ92" s="46"/>
      <c r="JR92" s="46"/>
      <c r="JS92" s="46"/>
      <c r="JT92" s="46"/>
      <c r="JU92" s="46"/>
      <c r="JV92" s="46"/>
      <c r="JW92" s="46"/>
      <c r="JX92" s="46"/>
      <c r="JY92" s="46"/>
      <c r="JZ92" s="46"/>
      <c r="KA92" s="46"/>
      <c r="KB92" s="46"/>
      <c r="KC92" s="46"/>
      <c r="KD92" s="46"/>
      <c r="KE92" s="46"/>
      <c r="KF92" s="46"/>
      <c r="KG92" s="46"/>
      <c r="KH92" s="46"/>
      <c r="KI92" s="46"/>
      <c r="KJ92" s="93">
        <f t="shared" si="34"/>
        <v>0</v>
      </c>
    </row>
    <row r="93" spans="1:296" x14ac:dyDescent="0.5">
      <c r="A93" s="84">
        <f t="shared" si="35"/>
        <v>84</v>
      </c>
      <c r="B93" s="141" t="s">
        <v>72</v>
      </c>
      <c r="C93" s="160" t="s">
        <v>321</v>
      </c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>
        <f t="shared" si="18"/>
        <v>50</v>
      </c>
      <c r="S93" s="46">
        <f t="shared" si="19"/>
        <v>40</v>
      </c>
      <c r="T93" s="46">
        <f t="shared" si="20"/>
        <v>0</v>
      </c>
      <c r="U93" s="46">
        <f t="shared" si="21"/>
        <v>0</v>
      </c>
      <c r="V93" s="46">
        <f t="shared" si="22"/>
        <v>10</v>
      </c>
      <c r="W93" s="46">
        <f t="shared" si="23"/>
        <v>0</v>
      </c>
      <c r="X93" s="46">
        <f t="shared" si="24"/>
        <v>0</v>
      </c>
      <c r="Y93" s="46">
        <f t="shared" si="25"/>
        <v>0</v>
      </c>
      <c r="Z93" s="90">
        <f t="shared" si="26"/>
        <v>100</v>
      </c>
      <c r="AA93" s="95"/>
      <c r="AB93" s="95">
        <f>'LPLPO GUDANG'!H98</f>
        <v>0</v>
      </c>
      <c r="AC93" s="91"/>
      <c r="AD93" s="91"/>
      <c r="AE93" s="91"/>
      <c r="AF93" s="91"/>
      <c r="AG93" s="92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>
        <v>50</v>
      </c>
      <c r="BF93" s="46"/>
      <c r="BG93" s="46"/>
      <c r="BH93" s="46"/>
      <c r="BI93" s="46"/>
      <c r="BJ93" s="46"/>
      <c r="BK93" s="46"/>
      <c r="BL93" s="46"/>
      <c r="BM93" s="93">
        <f t="shared" si="27"/>
        <v>50</v>
      </c>
      <c r="BO93" s="46"/>
      <c r="BP93" s="46"/>
      <c r="BQ93" s="46">
        <v>20</v>
      </c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>
        <v>20</v>
      </c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93">
        <f t="shared" si="28"/>
        <v>40</v>
      </c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  <c r="DK93" s="46"/>
      <c r="DL93" s="46"/>
      <c r="DM93" s="46"/>
      <c r="DN93" s="46"/>
      <c r="DO93" s="46"/>
      <c r="DP93" s="46"/>
      <c r="DQ93" s="46"/>
      <c r="DR93" s="46"/>
      <c r="DS93" s="46"/>
      <c r="DT93" s="46"/>
      <c r="DU93" s="46"/>
      <c r="DV93" s="46"/>
      <c r="DW93" s="46"/>
      <c r="DX93" s="46"/>
      <c r="DY93" s="46"/>
      <c r="DZ93" s="46"/>
      <c r="EA93" s="93">
        <f t="shared" si="29"/>
        <v>0</v>
      </c>
      <c r="EC93" s="46"/>
      <c r="ED93" s="46"/>
      <c r="EE93" s="46"/>
      <c r="EF93" s="46"/>
      <c r="EG93" s="46"/>
      <c r="EH93" s="46"/>
      <c r="EI93" s="46"/>
      <c r="EJ93" s="46"/>
      <c r="EK93" s="46"/>
      <c r="EL93" s="46"/>
      <c r="EM93" s="46"/>
      <c r="EN93" s="46"/>
      <c r="EO93" s="46"/>
      <c r="EP93" s="46"/>
      <c r="EQ93" s="46"/>
      <c r="ER93" s="46"/>
      <c r="ES93" s="46"/>
      <c r="ET93" s="46"/>
      <c r="EU93" s="46"/>
      <c r="EV93" s="46"/>
      <c r="EW93" s="46"/>
      <c r="EX93" s="46"/>
      <c r="EY93" s="46"/>
      <c r="EZ93" s="46"/>
      <c r="FA93" s="46"/>
      <c r="FB93" s="46"/>
      <c r="FC93" s="46"/>
      <c r="FD93" s="46"/>
      <c r="FE93" s="46"/>
      <c r="FF93" s="46"/>
      <c r="FG93" s="46"/>
      <c r="FH93" s="93">
        <f t="shared" si="30"/>
        <v>0</v>
      </c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>
        <v>10</v>
      </c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93">
        <f t="shared" si="31"/>
        <v>10</v>
      </c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93">
        <f t="shared" si="32"/>
        <v>0</v>
      </c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  <c r="IT93" s="46"/>
      <c r="IU93" s="46"/>
      <c r="IV93" s="46"/>
      <c r="IW93" s="46"/>
      <c r="IX93" s="46"/>
      <c r="IY93" s="46"/>
      <c r="IZ93" s="46"/>
      <c r="JA93" s="46"/>
      <c r="JB93" s="46"/>
      <c r="JC93" s="93">
        <f t="shared" si="33"/>
        <v>0</v>
      </c>
      <c r="JE93" s="46"/>
      <c r="JF93" s="46"/>
      <c r="JG93" s="46"/>
      <c r="JH93" s="46"/>
      <c r="JI93" s="46"/>
      <c r="JJ93" s="46"/>
      <c r="JK93" s="46"/>
      <c r="JL93" s="46"/>
      <c r="JM93" s="46"/>
      <c r="JN93" s="46"/>
      <c r="JO93" s="46"/>
      <c r="JP93" s="46"/>
      <c r="JQ93" s="46"/>
      <c r="JR93" s="46"/>
      <c r="JS93" s="46"/>
      <c r="JT93" s="46"/>
      <c r="JU93" s="46"/>
      <c r="JV93" s="46"/>
      <c r="JW93" s="46"/>
      <c r="JX93" s="46"/>
      <c r="JY93" s="46"/>
      <c r="JZ93" s="46"/>
      <c r="KA93" s="46"/>
      <c r="KB93" s="46"/>
      <c r="KC93" s="46"/>
      <c r="KD93" s="46"/>
      <c r="KE93" s="46"/>
      <c r="KF93" s="46"/>
      <c r="KG93" s="46"/>
      <c r="KH93" s="46"/>
      <c r="KI93" s="46"/>
      <c r="KJ93" s="93">
        <f t="shared" si="34"/>
        <v>0</v>
      </c>
    </row>
    <row r="94" spans="1:296" x14ac:dyDescent="0.5">
      <c r="A94" s="84">
        <f t="shared" si="35"/>
        <v>85</v>
      </c>
      <c r="B94" s="141" t="s">
        <v>71</v>
      </c>
      <c r="C94" s="160" t="s">
        <v>340</v>
      </c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>
        <f t="shared" si="18"/>
        <v>1000</v>
      </c>
      <c r="S94" s="46">
        <f t="shared" si="19"/>
        <v>0</v>
      </c>
      <c r="T94" s="46">
        <f t="shared" si="20"/>
        <v>0</v>
      </c>
      <c r="U94" s="46">
        <f t="shared" si="21"/>
        <v>0</v>
      </c>
      <c r="V94" s="46">
        <f t="shared" si="22"/>
        <v>0</v>
      </c>
      <c r="W94" s="46">
        <f t="shared" si="23"/>
        <v>0</v>
      </c>
      <c r="X94" s="46">
        <f t="shared" si="24"/>
        <v>0</v>
      </c>
      <c r="Y94" s="46">
        <f t="shared" si="25"/>
        <v>0</v>
      </c>
      <c r="Z94" s="90">
        <f t="shared" si="26"/>
        <v>1000</v>
      </c>
      <c r="AA94" s="95"/>
      <c r="AB94" s="92">
        <f>'LPLPO GUDANG'!H99</f>
        <v>1000</v>
      </c>
      <c r="AC94" s="91"/>
      <c r="AD94" s="91"/>
      <c r="AE94" s="91"/>
      <c r="AF94" s="91"/>
      <c r="AG94" s="92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>
        <v>1000</v>
      </c>
      <c r="BG94" s="46"/>
      <c r="BH94" s="46"/>
      <c r="BI94" s="46"/>
      <c r="BJ94" s="46"/>
      <c r="BK94" s="46"/>
      <c r="BL94" s="46"/>
      <c r="BM94" s="93">
        <f t="shared" si="27"/>
        <v>1000</v>
      </c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93">
        <f t="shared" si="28"/>
        <v>0</v>
      </c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  <c r="DL94" s="46"/>
      <c r="DM94" s="46"/>
      <c r="DN94" s="46"/>
      <c r="DO94" s="46"/>
      <c r="DP94" s="46"/>
      <c r="DQ94" s="46"/>
      <c r="DR94" s="46"/>
      <c r="DS94" s="46"/>
      <c r="DT94" s="46"/>
      <c r="DU94" s="46"/>
      <c r="DV94" s="46"/>
      <c r="DW94" s="46"/>
      <c r="DX94" s="46"/>
      <c r="DY94" s="46"/>
      <c r="DZ94" s="46"/>
      <c r="EA94" s="93">
        <f t="shared" si="29"/>
        <v>0</v>
      </c>
      <c r="EC94" s="46"/>
      <c r="ED94" s="46"/>
      <c r="EE94" s="46"/>
      <c r="EF94" s="46"/>
      <c r="EG94" s="46"/>
      <c r="EH94" s="46"/>
      <c r="EI94" s="46"/>
      <c r="EJ94" s="46"/>
      <c r="EK94" s="46"/>
      <c r="EL94" s="46"/>
      <c r="EM94" s="46"/>
      <c r="EN94" s="46"/>
      <c r="EO94" s="46"/>
      <c r="EP94" s="46"/>
      <c r="EQ94" s="46"/>
      <c r="ER94" s="46"/>
      <c r="ES94" s="46"/>
      <c r="ET94" s="46"/>
      <c r="EU94" s="46"/>
      <c r="EV94" s="46"/>
      <c r="EW94" s="46"/>
      <c r="EX94" s="46"/>
      <c r="EY94" s="46"/>
      <c r="EZ94" s="46"/>
      <c r="FA94" s="46"/>
      <c r="FB94" s="46"/>
      <c r="FC94" s="46"/>
      <c r="FD94" s="46"/>
      <c r="FE94" s="46"/>
      <c r="FF94" s="46"/>
      <c r="FG94" s="46"/>
      <c r="FH94" s="93">
        <f t="shared" si="30"/>
        <v>0</v>
      </c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93">
        <f t="shared" si="31"/>
        <v>0</v>
      </c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93">
        <f t="shared" si="32"/>
        <v>0</v>
      </c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  <c r="IT94" s="46"/>
      <c r="IU94" s="46"/>
      <c r="IV94" s="46"/>
      <c r="IW94" s="46"/>
      <c r="IX94" s="46"/>
      <c r="IY94" s="46"/>
      <c r="IZ94" s="46"/>
      <c r="JA94" s="46"/>
      <c r="JB94" s="46"/>
      <c r="JC94" s="93">
        <f t="shared" si="33"/>
        <v>0</v>
      </c>
      <c r="JE94" s="46"/>
      <c r="JF94" s="46"/>
      <c r="JG94" s="46"/>
      <c r="JH94" s="46"/>
      <c r="JI94" s="46"/>
      <c r="JJ94" s="46"/>
      <c r="JK94" s="46"/>
      <c r="JL94" s="46"/>
      <c r="JM94" s="46"/>
      <c r="JN94" s="46"/>
      <c r="JO94" s="46"/>
      <c r="JP94" s="46"/>
      <c r="JQ94" s="46"/>
      <c r="JR94" s="46"/>
      <c r="JS94" s="46"/>
      <c r="JT94" s="46"/>
      <c r="JU94" s="46"/>
      <c r="JV94" s="46"/>
      <c r="JW94" s="46"/>
      <c r="JX94" s="46"/>
      <c r="JY94" s="46"/>
      <c r="JZ94" s="46"/>
      <c r="KA94" s="46"/>
      <c r="KB94" s="46"/>
      <c r="KC94" s="46"/>
      <c r="KD94" s="46"/>
      <c r="KE94" s="46"/>
      <c r="KF94" s="46"/>
      <c r="KG94" s="46"/>
      <c r="KH94" s="46"/>
      <c r="KI94" s="46"/>
      <c r="KJ94" s="93">
        <f t="shared" si="34"/>
        <v>0</v>
      </c>
    </row>
    <row r="95" spans="1:296" x14ac:dyDescent="0.5">
      <c r="A95" s="84">
        <f t="shared" si="35"/>
        <v>86</v>
      </c>
      <c r="B95" s="141" t="s">
        <v>73</v>
      </c>
      <c r="C95" s="159" t="s">
        <v>332</v>
      </c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>
        <f t="shared" si="18"/>
        <v>2000</v>
      </c>
      <c r="S95" s="46">
        <f t="shared" si="19"/>
        <v>0</v>
      </c>
      <c r="T95" s="46">
        <f t="shared" si="20"/>
        <v>200</v>
      </c>
      <c r="U95" s="46">
        <f t="shared" si="21"/>
        <v>0</v>
      </c>
      <c r="V95" s="46">
        <f t="shared" si="22"/>
        <v>0</v>
      </c>
      <c r="W95" s="46">
        <f t="shared" si="23"/>
        <v>0</v>
      </c>
      <c r="X95" s="46">
        <f t="shared" si="24"/>
        <v>0</v>
      </c>
      <c r="Y95" s="46">
        <f t="shared" si="25"/>
        <v>0</v>
      </c>
      <c r="Z95" s="90">
        <f t="shared" si="26"/>
        <v>2200</v>
      </c>
      <c r="AA95" s="95"/>
      <c r="AB95" s="92">
        <f>'LPLPO GUDANG'!H100</f>
        <v>800</v>
      </c>
      <c r="AC95" s="91" t="s">
        <v>422</v>
      </c>
      <c r="AD95" s="91"/>
      <c r="AE95" s="91"/>
      <c r="AF95" s="91"/>
      <c r="AG95" s="92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>
        <v>1000</v>
      </c>
      <c r="BA95" s="46"/>
      <c r="BB95" s="46"/>
      <c r="BC95" s="46"/>
      <c r="BD95" s="46"/>
      <c r="BE95" s="46"/>
      <c r="BF95" s="46">
        <v>1000</v>
      </c>
      <c r="BG95" s="46"/>
      <c r="BH95" s="46"/>
      <c r="BI95" s="46"/>
      <c r="BJ95" s="46"/>
      <c r="BK95" s="46"/>
      <c r="BL95" s="46"/>
      <c r="BM95" s="93">
        <f t="shared" si="27"/>
        <v>2000</v>
      </c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93">
        <f t="shared" si="28"/>
        <v>0</v>
      </c>
      <c r="CV95" s="46"/>
      <c r="CW95" s="46"/>
      <c r="CX95" s="46">
        <v>200</v>
      </c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  <c r="DL95" s="46"/>
      <c r="DM95" s="46"/>
      <c r="DN95" s="46"/>
      <c r="DO95" s="46"/>
      <c r="DP95" s="46"/>
      <c r="DQ95" s="46"/>
      <c r="DR95" s="46"/>
      <c r="DS95" s="46"/>
      <c r="DT95" s="46"/>
      <c r="DU95" s="46"/>
      <c r="DV95" s="46"/>
      <c r="DW95" s="46"/>
      <c r="DX95" s="46"/>
      <c r="DY95" s="46"/>
      <c r="DZ95" s="46"/>
      <c r="EA95" s="93">
        <f t="shared" si="29"/>
        <v>200</v>
      </c>
      <c r="EC95" s="46"/>
      <c r="ED95" s="46"/>
      <c r="EE95" s="46"/>
      <c r="EF95" s="46"/>
      <c r="EG95" s="46"/>
      <c r="EH95" s="46"/>
      <c r="EI95" s="46"/>
      <c r="EJ95" s="46"/>
      <c r="EK95" s="46"/>
      <c r="EL95" s="46"/>
      <c r="EM95" s="46"/>
      <c r="EN95" s="46"/>
      <c r="EO95" s="46"/>
      <c r="EP95" s="46"/>
      <c r="EQ95" s="46"/>
      <c r="ER95" s="46"/>
      <c r="ES95" s="46"/>
      <c r="ET95" s="46"/>
      <c r="EU95" s="46"/>
      <c r="EV95" s="46"/>
      <c r="EW95" s="46"/>
      <c r="EX95" s="46"/>
      <c r="EY95" s="46"/>
      <c r="EZ95" s="46"/>
      <c r="FA95" s="46"/>
      <c r="FB95" s="46"/>
      <c r="FC95" s="46"/>
      <c r="FD95" s="46"/>
      <c r="FE95" s="46"/>
      <c r="FF95" s="46"/>
      <c r="FG95" s="46"/>
      <c r="FH95" s="93">
        <f t="shared" si="30"/>
        <v>0</v>
      </c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93">
        <f t="shared" si="31"/>
        <v>0</v>
      </c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93">
        <f t="shared" si="32"/>
        <v>0</v>
      </c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  <c r="IT95" s="46"/>
      <c r="IU95" s="46"/>
      <c r="IV95" s="46"/>
      <c r="IW95" s="46"/>
      <c r="IX95" s="46"/>
      <c r="IY95" s="46"/>
      <c r="IZ95" s="46"/>
      <c r="JA95" s="46"/>
      <c r="JB95" s="46"/>
      <c r="JC95" s="93">
        <f t="shared" si="33"/>
        <v>0</v>
      </c>
      <c r="JE95" s="46"/>
      <c r="JF95" s="46"/>
      <c r="JG95" s="46"/>
      <c r="JH95" s="46"/>
      <c r="JI95" s="46"/>
      <c r="JJ95" s="46"/>
      <c r="JK95" s="46"/>
      <c r="JL95" s="46"/>
      <c r="JM95" s="46"/>
      <c r="JN95" s="46"/>
      <c r="JO95" s="46"/>
      <c r="JP95" s="46"/>
      <c r="JQ95" s="46"/>
      <c r="JR95" s="46"/>
      <c r="JS95" s="46"/>
      <c r="JT95" s="46"/>
      <c r="JU95" s="46"/>
      <c r="JV95" s="46"/>
      <c r="JW95" s="46"/>
      <c r="JX95" s="46"/>
      <c r="JY95" s="46"/>
      <c r="JZ95" s="46"/>
      <c r="KA95" s="46"/>
      <c r="KB95" s="46"/>
      <c r="KC95" s="46"/>
      <c r="KD95" s="46"/>
      <c r="KE95" s="46"/>
      <c r="KF95" s="46"/>
      <c r="KG95" s="46"/>
      <c r="KH95" s="46"/>
      <c r="KI95" s="46"/>
      <c r="KJ95" s="93">
        <f t="shared" si="34"/>
        <v>0</v>
      </c>
    </row>
    <row r="96" spans="1:296" ht="20.149999999999999" customHeight="1" x14ac:dyDescent="0.5">
      <c r="A96" s="84">
        <f t="shared" si="35"/>
        <v>87</v>
      </c>
      <c r="B96" s="141" t="s">
        <v>74</v>
      </c>
      <c r="C96" s="157" t="s">
        <v>327</v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>
        <f t="shared" si="18"/>
        <v>0</v>
      </c>
      <c r="S96" s="46">
        <f t="shared" si="19"/>
        <v>0</v>
      </c>
      <c r="T96" s="46">
        <f t="shared" si="20"/>
        <v>0</v>
      </c>
      <c r="U96" s="46">
        <f t="shared" si="21"/>
        <v>0</v>
      </c>
      <c r="V96" s="46">
        <f t="shared" si="22"/>
        <v>0</v>
      </c>
      <c r="W96" s="46">
        <f t="shared" si="23"/>
        <v>0</v>
      </c>
      <c r="X96" s="46">
        <f t="shared" si="24"/>
        <v>0</v>
      </c>
      <c r="Y96" s="46">
        <f t="shared" si="25"/>
        <v>0</v>
      </c>
      <c r="Z96" s="90">
        <f t="shared" si="26"/>
        <v>0</v>
      </c>
      <c r="AA96" s="95"/>
      <c r="AB96" s="92">
        <f>'LPLPO GUDANG'!H101</f>
        <v>300</v>
      </c>
      <c r="AC96" s="91"/>
      <c r="AD96" s="91"/>
      <c r="AE96" s="91"/>
      <c r="AF96" s="91"/>
      <c r="AG96" s="92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93">
        <f t="shared" si="27"/>
        <v>0</v>
      </c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93">
        <f t="shared" si="28"/>
        <v>0</v>
      </c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  <c r="DL96" s="46"/>
      <c r="DM96" s="46"/>
      <c r="DN96" s="46"/>
      <c r="DO96" s="46"/>
      <c r="DP96" s="46"/>
      <c r="DQ96" s="46"/>
      <c r="DR96" s="46"/>
      <c r="DS96" s="46"/>
      <c r="DT96" s="46"/>
      <c r="DU96" s="46"/>
      <c r="DV96" s="46"/>
      <c r="DW96" s="46"/>
      <c r="DX96" s="46"/>
      <c r="DY96" s="46"/>
      <c r="DZ96" s="46"/>
      <c r="EA96" s="93">
        <f t="shared" si="29"/>
        <v>0</v>
      </c>
      <c r="EC96" s="46"/>
      <c r="ED96" s="46"/>
      <c r="EE96" s="46"/>
      <c r="EF96" s="46"/>
      <c r="EG96" s="46"/>
      <c r="EH96" s="46"/>
      <c r="EI96" s="46"/>
      <c r="EJ96" s="46"/>
      <c r="EK96" s="46"/>
      <c r="EL96" s="46"/>
      <c r="EM96" s="46"/>
      <c r="EN96" s="46"/>
      <c r="EO96" s="46"/>
      <c r="EP96" s="46"/>
      <c r="EQ96" s="46"/>
      <c r="ER96" s="46"/>
      <c r="ES96" s="46"/>
      <c r="ET96" s="46"/>
      <c r="EU96" s="46"/>
      <c r="EV96" s="46"/>
      <c r="EW96" s="46"/>
      <c r="EX96" s="46"/>
      <c r="EY96" s="46"/>
      <c r="EZ96" s="46"/>
      <c r="FA96" s="46"/>
      <c r="FB96" s="46"/>
      <c r="FC96" s="46"/>
      <c r="FD96" s="46"/>
      <c r="FE96" s="46"/>
      <c r="FF96" s="46"/>
      <c r="FG96" s="46"/>
      <c r="FH96" s="93">
        <f t="shared" si="30"/>
        <v>0</v>
      </c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93">
        <f t="shared" si="31"/>
        <v>0</v>
      </c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93">
        <f t="shared" si="32"/>
        <v>0</v>
      </c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  <c r="IT96" s="46"/>
      <c r="IU96" s="46"/>
      <c r="IV96" s="46"/>
      <c r="IW96" s="46"/>
      <c r="IX96" s="46"/>
      <c r="IY96" s="46"/>
      <c r="IZ96" s="46"/>
      <c r="JA96" s="46"/>
      <c r="JB96" s="46"/>
      <c r="JC96" s="93">
        <f t="shared" si="33"/>
        <v>0</v>
      </c>
      <c r="JE96" s="46"/>
      <c r="JF96" s="46"/>
      <c r="JG96" s="46"/>
      <c r="JH96" s="46"/>
      <c r="JI96" s="46"/>
      <c r="JJ96" s="46"/>
      <c r="JK96" s="46"/>
      <c r="JL96" s="46"/>
      <c r="JM96" s="46"/>
      <c r="JN96" s="46"/>
      <c r="JO96" s="46"/>
      <c r="JP96" s="46"/>
      <c r="JQ96" s="46"/>
      <c r="JR96" s="46"/>
      <c r="JS96" s="46"/>
      <c r="JT96" s="46"/>
      <c r="JU96" s="46"/>
      <c r="JV96" s="46"/>
      <c r="JW96" s="46"/>
      <c r="JX96" s="46"/>
      <c r="JY96" s="46"/>
      <c r="JZ96" s="46"/>
      <c r="KA96" s="46"/>
      <c r="KB96" s="46"/>
      <c r="KC96" s="46"/>
      <c r="KD96" s="46"/>
      <c r="KE96" s="46"/>
      <c r="KF96" s="46"/>
      <c r="KG96" s="46"/>
      <c r="KH96" s="46"/>
      <c r="KI96" s="46"/>
      <c r="KJ96" s="93">
        <f t="shared" si="34"/>
        <v>0</v>
      </c>
    </row>
    <row r="97" spans="1:296" ht="20.149999999999999" customHeight="1" x14ac:dyDescent="0.5">
      <c r="A97" s="84">
        <f t="shared" si="35"/>
        <v>88</v>
      </c>
      <c r="B97" s="141" t="s">
        <v>75</v>
      </c>
      <c r="C97" s="166" t="s">
        <v>327</v>
      </c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>
        <f t="shared" si="18"/>
        <v>0</v>
      </c>
      <c r="S97" s="46">
        <f t="shared" si="19"/>
        <v>0</v>
      </c>
      <c r="T97" s="46">
        <f t="shared" si="20"/>
        <v>0</v>
      </c>
      <c r="U97" s="46">
        <f t="shared" si="21"/>
        <v>0</v>
      </c>
      <c r="V97" s="46">
        <f t="shared" si="22"/>
        <v>0</v>
      </c>
      <c r="W97" s="46">
        <f t="shared" si="23"/>
        <v>0</v>
      </c>
      <c r="X97" s="46">
        <f t="shared" si="24"/>
        <v>0</v>
      </c>
      <c r="Y97" s="46">
        <f t="shared" si="25"/>
        <v>0</v>
      </c>
      <c r="Z97" s="90">
        <f t="shared" si="26"/>
        <v>0</v>
      </c>
      <c r="AA97" s="95"/>
      <c r="AB97" s="95">
        <f>'LPLPO GUDANG'!H102</f>
        <v>0</v>
      </c>
      <c r="AC97" s="95"/>
      <c r="AD97" s="91"/>
      <c r="AE97" s="91"/>
      <c r="AF97" s="91"/>
      <c r="AG97" s="92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93">
        <f t="shared" si="27"/>
        <v>0</v>
      </c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93">
        <f t="shared" si="28"/>
        <v>0</v>
      </c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  <c r="DK97" s="46"/>
      <c r="DL97" s="46"/>
      <c r="DM97" s="46"/>
      <c r="DN97" s="46"/>
      <c r="DO97" s="46"/>
      <c r="DP97" s="46"/>
      <c r="DQ97" s="46"/>
      <c r="DR97" s="46"/>
      <c r="DS97" s="46"/>
      <c r="DT97" s="46"/>
      <c r="DU97" s="46"/>
      <c r="DV97" s="46"/>
      <c r="DW97" s="46"/>
      <c r="DX97" s="46"/>
      <c r="DY97" s="46"/>
      <c r="DZ97" s="46"/>
      <c r="EA97" s="93">
        <f t="shared" si="29"/>
        <v>0</v>
      </c>
      <c r="EC97" s="46"/>
      <c r="ED97" s="46"/>
      <c r="EE97" s="46"/>
      <c r="EF97" s="46"/>
      <c r="EG97" s="46"/>
      <c r="EH97" s="46"/>
      <c r="EI97" s="46"/>
      <c r="EJ97" s="46"/>
      <c r="EK97" s="46"/>
      <c r="EL97" s="46"/>
      <c r="EM97" s="46"/>
      <c r="EN97" s="46"/>
      <c r="EO97" s="46"/>
      <c r="EP97" s="46"/>
      <c r="EQ97" s="46"/>
      <c r="ER97" s="46"/>
      <c r="ES97" s="46"/>
      <c r="ET97" s="46"/>
      <c r="EU97" s="46"/>
      <c r="EV97" s="46"/>
      <c r="EW97" s="46"/>
      <c r="EX97" s="46"/>
      <c r="EY97" s="46"/>
      <c r="EZ97" s="46"/>
      <c r="FA97" s="46"/>
      <c r="FB97" s="46"/>
      <c r="FC97" s="46"/>
      <c r="FD97" s="46"/>
      <c r="FE97" s="46"/>
      <c r="FF97" s="46"/>
      <c r="FG97" s="46"/>
      <c r="FH97" s="93">
        <f t="shared" si="30"/>
        <v>0</v>
      </c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93">
        <f t="shared" si="31"/>
        <v>0</v>
      </c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93">
        <f t="shared" si="32"/>
        <v>0</v>
      </c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  <c r="IT97" s="46"/>
      <c r="IU97" s="46"/>
      <c r="IV97" s="46"/>
      <c r="IW97" s="46"/>
      <c r="IX97" s="46"/>
      <c r="IY97" s="46"/>
      <c r="IZ97" s="46"/>
      <c r="JA97" s="46"/>
      <c r="JB97" s="46"/>
      <c r="JC97" s="93">
        <f t="shared" si="33"/>
        <v>0</v>
      </c>
      <c r="JE97" s="46"/>
      <c r="JF97" s="46"/>
      <c r="JG97" s="46"/>
      <c r="JH97" s="46"/>
      <c r="JI97" s="46"/>
      <c r="JJ97" s="46"/>
      <c r="JK97" s="46"/>
      <c r="JL97" s="46"/>
      <c r="JM97" s="46"/>
      <c r="JN97" s="46"/>
      <c r="JO97" s="46"/>
      <c r="JP97" s="46"/>
      <c r="JQ97" s="46"/>
      <c r="JR97" s="46"/>
      <c r="JS97" s="46"/>
      <c r="JT97" s="46"/>
      <c r="JU97" s="46"/>
      <c r="JV97" s="46"/>
      <c r="JW97" s="46"/>
      <c r="JX97" s="46"/>
      <c r="JY97" s="46"/>
      <c r="JZ97" s="46"/>
      <c r="KA97" s="46"/>
      <c r="KB97" s="46"/>
      <c r="KC97" s="46"/>
      <c r="KD97" s="46"/>
      <c r="KE97" s="46"/>
      <c r="KF97" s="46"/>
      <c r="KG97" s="46"/>
      <c r="KH97" s="46"/>
      <c r="KI97" s="46"/>
      <c r="KJ97" s="93">
        <f t="shared" si="34"/>
        <v>0</v>
      </c>
    </row>
    <row r="98" spans="1:296" ht="20.149999999999999" customHeight="1" x14ac:dyDescent="0.5">
      <c r="A98" s="84">
        <f t="shared" si="35"/>
        <v>89</v>
      </c>
      <c r="B98" s="141" t="s">
        <v>281</v>
      </c>
      <c r="C98" s="154" t="s">
        <v>188</v>
      </c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>
        <f t="shared" si="18"/>
        <v>0</v>
      </c>
      <c r="S98" s="46">
        <f t="shared" si="19"/>
        <v>0</v>
      </c>
      <c r="T98" s="46">
        <f t="shared" si="20"/>
        <v>0</v>
      </c>
      <c r="U98" s="46">
        <f t="shared" si="21"/>
        <v>0</v>
      </c>
      <c r="V98" s="46">
        <f t="shared" si="22"/>
        <v>0</v>
      </c>
      <c r="W98" s="46">
        <f t="shared" si="23"/>
        <v>0</v>
      </c>
      <c r="X98" s="46">
        <f t="shared" si="24"/>
        <v>0</v>
      </c>
      <c r="Y98" s="46">
        <f t="shared" si="25"/>
        <v>0</v>
      </c>
      <c r="Z98" s="90">
        <f t="shared" si="26"/>
        <v>0</v>
      </c>
      <c r="AA98" s="95"/>
      <c r="AB98" s="95">
        <f>'LPLPO GUDANG'!H103</f>
        <v>0</v>
      </c>
      <c r="AC98" s="91"/>
      <c r="AD98" s="91"/>
      <c r="AE98" s="91"/>
      <c r="AF98" s="91"/>
      <c r="AG98" s="92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93">
        <f t="shared" si="27"/>
        <v>0</v>
      </c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93">
        <f t="shared" si="28"/>
        <v>0</v>
      </c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  <c r="DK98" s="46"/>
      <c r="DL98" s="46"/>
      <c r="DM98" s="46"/>
      <c r="DN98" s="46"/>
      <c r="DO98" s="46"/>
      <c r="DP98" s="46"/>
      <c r="DQ98" s="46"/>
      <c r="DR98" s="46"/>
      <c r="DS98" s="46"/>
      <c r="DT98" s="46"/>
      <c r="DU98" s="46"/>
      <c r="DV98" s="46"/>
      <c r="DW98" s="46"/>
      <c r="DX98" s="46"/>
      <c r="DY98" s="46"/>
      <c r="DZ98" s="46"/>
      <c r="EA98" s="93">
        <f t="shared" si="29"/>
        <v>0</v>
      </c>
      <c r="EC98" s="46"/>
      <c r="ED98" s="46"/>
      <c r="EE98" s="46"/>
      <c r="EF98" s="46"/>
      <c r="EG98" s="46"/>
      <c r="EH98" s="46"/>
      <c r="EI98" s="46"/>
      <c r="EJ98" s="46"/>
      <c r="EK98" s="46"/>
      <c r="EL98" s="46"/>
      <c r="EM98" s="46"/>
      <c r="EN98" s="46"/>
      <c r="EO98" s="46"/>
      <c r="EP98" s="46"/>
      <c r="EQ98" s="46"/>
      <c r="ER98" s="46"/>
      <c r="ES98" s="46"/>
      <c r="ET98" s="46"/>
      <c r="EU98" s="46"/>
      <c r="EV98" s="46"/>
      <c r="EW98" s="46"/>
      <c r="EX98" s="46"/>
      <c r="EY98" s="46"/>
      <c r="EZ98" s="46"/>
      <c r="FA98" s="46"/>
      <c r="FB98" s="46"/>
      <c r="FC98" s="46"/>
      <c r="FD98" s="46"/>
      <c r="FE98" s="46"/>
      <c r="FF98" s="46"/>
      <c r="FG98" s="46"/>
      <c r="FH98" s="93">
        <f t="shared" si="30"/>
        <v>0</v>
      </c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93">
        <f t="shared" si="31"/>
        <v>0</v>
      </c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93">
        <f t="shared" si="32"/>
        <v>0</v>
      </c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  <c r="IT98" s="46"/>
      <c r="IU98" s="46"/>
      <c r="IV98" s="46"/>
      <c r="IW98" s="46"/>
      <c r="IX98" s="46"/>
      <c r="IY98" s="46"/>
      <c r="IZ98" s="46"/>
      <c r="JA98" s="46"/>
      <c r="JB98" s="46"/>
      <c r="JC98" s="93">
        <f t="shared" si="33"/>
        <v>0</v>
      </c>
      <c r="JE98" s="46"/>
      <c r="JF98" s="46"/>
      <c r="JG98" s="46"/>
      <c r="JH98" s="46"/>
      <c r="JI98" s="46"/>
      <c r="JJ98" s="46"/>
      <c r="JK98" s="46"/>
      <c r="JL98" s="46"/>
      <c r="JM98" s="46"/>
      <c r="JN98" s="46"/>
      <c r="JO98" s="46"/>
      <c r="JP98" s="46"/>
      <c r="JQ98" s="46"/>
      <c r="JR98" s="46"/>
      <c r="JS98" s="46"/>
      <c r="JT98" s="46"/>
      <c r="JU98" s="46"/>
      <c r="JV98" s="46"/>
      <c r="JW98" s="46"/>
      <c r="JX98" s="46"/>
      <c r="JY98" s="46"/>
      <c r="JZ98" s="46"/>
      <c r="KA98" s="46"/>
      <c r="KB98" s="46"/>
      <c r="KC98" s="46"/>
      <c r="KD98" s="46"/>
      <c r="KE98" s="46"/>
      <c r="KF98" s="46"/>
      <c r="KG98" s="46"/>
      <c r="KH98" s="46"/>
      <c r="KI98" s="46"/>
      <c r="KJ98" s="93">
        <f t="shared" si="34"/>
        <v>0</v>
      </c>
    </row>
    <row r="99" spans="1:296" ht="20.149999999999999" customHeight="1" x14ac:dyDescent="0.5">
      <c r="A99" s="84">
        <f t="shared" si="35"/>
        <v>90</v>
      </c>
      <c r="B99" s="141" t="s">
        <v>76</v>
      </c>
      <c r="C99" s="154" t="s">
        <v>4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>
        <f t="shared" si="18"/>
        <v>0</v>
      </c>
      <c r="S99" s="46">
        <f t="shared" si="19"/>
        <v>0</v>
      </c>
      <c r="T99" s="46">
        <f t="shared" si="20"/>
        <v>0</v>
      </c>
      <c r="U99" s="46">
        <f t="shared" si="21"/>
        <v>0</v>
      </c>
      <c r="V99" s="46">
        <f t="shared" si="22"/>
        <v>0</v>
      </c>
      <c r="W99" s="46">
        <f t="shared" si="23"/>
        <v>0</v>
      </c>
      <c r="X99" s="46">
        <f t="shared" si="24"/>
        <v>0</v>
      </c>
      <c r="Y99" s="46">
        <f t="shared" si="25"/>
        <v>0</v>
      </c>
      <c r="Z99" s="90">
        <f t="shared" si="26"/>
        <v>0</v>
      </c>
      <c r="AA99" s="95"/>
      <c r="AB99" s="95">
        <f>'LPLPO GUDANG'!H104</f>
        <v>0</v>
      </c>
      <c r="AC99" s="91"/>
      <c r="AD99" s="91"/>
      <c r="AE99" s="91"/>
      <c r="AF99" s="91"/>
      <c r="AG99" s="92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93">
        <f t="shared" si="27"/>
        <v>0</v>
      </c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93">
        <f t="shared" si="28"/>
        <v>0</v>
      </c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  <c r="DK99" s="46"/>
      <c r="DL99" s="46"/>
      <c r="DM99" s="46"/>
      <c r="DN99" s="46"/>
      <c r="DO99" s="46"/>
      <c r="DP99" s="46"/>
      <c r="DQ99" s="46"/>
      <c r="DR99" s="46"/>
      <c r="DS99" s="46"/>
      <c r="DT99" s="46"/>
      <c r="DU99" s="46"/>
      <c r="DV99" s="46"/>
      <c r="DW99" s="46"/>
      <c r="DX99" s="46"/>
      <c r="DY99" s="46"/>
      <c r="DZ99" s="46"/>
      <c r="EA99" s="93">
        <f t="shared" si="29"/>
        <v>0</v>
      </c>
      <c r="EC99" s="46"/>
      <c r="ED99" s="46"/>
      <c r="EE99" s="46"/>
      <c r="EF99" s="46"/>
      <c r="EG99" s="46"/>
      <c r="EH99" s="46"/>
      <c r="EI99" s="46"/>
      <c r="EJ99" s="46"/>
      <c r="EK99" s="46"/>
      <c r="EL99" s="46"/>
      <c r="EM99" s="46"/>
      <c r="EN99" s="46"/>
      <c r="EO99" s="46"/>
      <c r="EP99" s="46"/>
      <c r="EQ99" s="46"/>
      <c r="ER99" s="46"/>
      <c r="ES99" s="46"/>
      <c r="ET99" s="46"/>
      <c r="EU99" s="46"/>
      <c r="EV99" s="46"/>
      <c r="EW99" s="46"/>
      <c r="EX99" s="46"/>
      <c r="EY99" s="46"/>
      <c r="EZ99" s="46"/>
      <c r="FA99" s="46"/>
      <c r="FB99" s="46"/>
      <c r="FC99" s="46"/>
      <c r="FD99" s="46"/>
      <c r="FE99" s="46"/>
      <c r="FF99" s="46"/>
      <c r="FG99" s="46"/>
      <c r="FH99" s="93">
        <f t="shared" si="30"/>
        <v>0</v>
      </c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93">
        <f t="shared" si="31"/>
        <v>0</v>
      </c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93">
        <f t="shared" si="32"/>
        <v>0</v>
      </c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  <c r="IT99" s="46"/>
      <c r="IU99" s="46"/>
      <c r="IV99" s="46"/>
      <c r="IW99" s="46"/>
      <c r="IX99" s="46"/>
      <c r="IY99" s="46"/>
      <c r="IZ99" s="46"/>
      <c r="JA99" s="46"/>
      <c r="JB99" s="46"/>
      <c r="JC99" s="93">
        <f t="shared" si="33"/>
        <v>0</v>
      </c>
      <c r="JE99" s="46"/>
      <c r="JF99" s="46"/>
      <c r="JG99" s="46"/>
      <c r="JH99" s="46"/>
      <c r="JI99" s="46"/>
      <c r="JJ99" s="46"/>
      <c r="JK99" s="46"/>
      <c r="JL99" s="46"/>
      <c r="JM99" s="46"/>
      <c r="JN99" s="46"/>
      <c r="JO99" s="46"/>
      <c r="JP99" s="46"/>
      <c r="JQ99" s="46"/>
      <c r="JR99" s="46"/>
      <c r="JS99" s="46"/>
      <c r="JT99" s="46"/>
      <c r="JU99" s="46"/>
      <c r="JV99" s="46"/>
      <c r="JW99" s="46"/>
      <c r="JX99" s="46"/>
      <c r="JY99" s="46"/>
      <c r="JZ99" s="46"/>
      <c r="KA99" s="46"/>
      <c r="KB99" s="46"/>
      <c r="KC99" s="46"/>
      <c r="KD99" s="46"/>
      <c r="KE99" s="46"/>
      <c r="KF99" s="46"/>
      <c r="KG99" s="46"/>
      <c r="KH99" s="46"/>
      <c r="KI99" s="46"/>
      <c r="KJ99" s="93">
        <f t="shared" si="34"/>
        <v>0</v>
      </c>
    </row>
    <row r="100" spans="1:296" ht="20.149999999999999" customHeight="1" x14ac:dyDescent="0.5">
      <c r="A100" s="84">
        <f t="shared" si="35"/>
        <v>91</v>
      </c>
      <c r="B100" s="141" t="s">
        <v>77</v>
      </c>
      <c r="C100" s="154" t="s">
        <v>64</v>
      </c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>
        <f t="shared" si="18"/>
        <v>250</v>
      </c>
      <c r="S100" s="46">
        <f t="shared" si="19"/>
        <v>0</v>
      </c>
      <c r="T100" s="46">
        <f t="shared" si="20"/>
        <v>0</v>
      </c>
      <c r="U100" s="46">
        <f t="shared" si="21"/>
        <v>0</v>
      </c>
      <c r="V100" s="46">
        <f t="shared" si="22"/>
        <v>0</v>
      </c>
      <c r="W100" s="46">
        <f t="shared" si="23"/>
        <v>0</v>
      </c>
      <c r="X100" s="46">
        <f t="shared" si="24"/>
        <v>0</v>
      </c>
      <c r="Y100" s="46">
        <f t="shared" si="25"/>
        <v>0</v>
      </c>
      <c r="Z100" s="90">
        <f t="shared" si="26"/>
        <v>250</v>
      </c>
      <c r="AA100" s="95"/>
      <c r="AB100" s="95">
        <f>'LPLPO GUDANG'!H105</f>
        <v>0</v>
      </c>
      <c r="AC100" s="95"/>
      <c r="AD100" s="91"/>
      <c r="AE100" s="91"/>
      <c r="AF100" s="91"/>
      <c r="AG100" s="92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>
        <v>100</v>
      </c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>
        <v>150</v>
      </c>
      <c r="BF100" s="46"/>
      <c r="BG100" s="46"/>
      <c r="BH100" s="46"/>
      <c r="BI100" s="46"/>
      <c r="BJ100" s="46"/>
      <c r="BK100" s="46"/>
      <c r="BL100" s="46"/>
      <c r="BM100" s="93">
        <f t="shared" si="27"/>
        <v>250</v>
      </c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93">
        <f t="shared" si="28"/>
        <v>0</v>
      </c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  <c r="DL100" s="46"/>
      <c r="DM100" s="46"/>
      <c r="DN100" s="46"/>
      <c r="DO100" s="46"/>
      <c r="DP100" s="46"/>
      <c r="DQ100" s="46"/>
      <c r="DR100" s="46"/>
      <c r="DS100" s="46"/>
      <c r="DT100" s="46"/>
      <c r="DU100" s="46"/>
      <c r="DV100" s="46"/>
      <c r="DW100" s="46"/>
      <c r="DX100" s="46"/>
      <c r="DY100" s="46"/>
      <c r="DZ100" s="46"/>
      <c r="EA100" s="93">
        <f t="shared" si="29"/>
        <v>0</v>
      </c>
      <c r="EC100" s="46"/>
      <c r="ED100" s="46"/>
      <c r="EE100" s="46"/>
      <c r="EF100" s="46"/>
      <c r="EG100" s="46"/>
      <c r="EH100" s="46"/>
      <c r="EI100" s="46"/>
      <c r="EJ100" s="46"/>
      <c r="EK100" s="46"/>
      <c r="EL100" s="46"/>
      <c r="EM100" s="46"/>
      <c r="EN100" s="46"/>
      <c r="EO100" s="46"/>
      <c r="EP100" s="46"/>
      <c r="EQ100" s="46"/>
      <c r="ER100" s="46"/>
      <c r="ES100" s="46"/>
      <c r="ET100" s="46"/>
      <c r="EU100" s="46"/>
      <c r="EV100" s="46"/>
      <c r="EW100" s="46"/>
      <c r="EX100" s="46"/>
      <c r="EY100" s="46"/>
      <c r="EZ100" s="46"/>
      <c r="FA100" s="46"/>
      <c r="FB100" s="46"/>
      <c r="FC100" s="46"/>
      <c r="FD100" s="46"/>
      <c r="FE100" s="46"/>
      <c r="FF100" s="46"/>
      <c r="FG100" s="46"/>
      <c r="FH100" s="93">
        <f t="shared" si="30"/>
        <v>0</v>
      </c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93">
        <f t="shared" si="31"/>
        <v>0</v>
      </c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93">
        <f t="shared" si="32"/>
        <v>0</v>
      </c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  <c r="IT100" s="46"/>
      <c r="IU100" s="46"/>
      <c r="IV100" s="46"/>
      <c r="IW100" s="46"/>
      <c r="IX100" s="46"/>
      <c r="IY100" s="46"/>
      <c r="IZ100" s="46"/>
      <c r="JA100" s="46"/>
      <c r="JB100" s="46"/>
      <c r="JC100" s="93">
        <f t="shared" si="33"/>
        <v>0</v>
      </c>
      <c r="JE100" s="46"/>
      <c r="JF100" s="46"/>
      <c r="JG100" s="46"/>
      <c r="JH100" s="46"/>
      <c r="JI100" s="46"/>
      <c r="JJ100" s="46"/>
      <c r="JK100" s="46"/>
      <c r="JL100" s="46"/>
      <c r="JM100" s="46"/>
      <c r="JN100" s="46"/>
      <c r="JO100" s="46"/>
      <c r="JP100" s="46"/>
      <c r="JQ100" s="46"/>
      <c r="JR100" s="46"/>
      <c r="JS100" s="46"/>
      <c r="JT100" s="46"/>
      <c r="JU100" s="46"/>
      <c r="JV100" s="46"/>
      <c r="JW100" s="46"/>
      <c r="JX100" s="46"/>
      <c r="JY100" s="46"/>
      <c r="JZ100" s="46"/>
      <c r="KA100" s="46"/>
      <c r="KB100" s="46"/>
      <c r="KC100" s="46"/>
      <c r="KD100" s="46"/>
      <c r="KE100" s="46"/>
      <c r="KF100" s="46"/>
      <c r="KG100" s="46"/>
      <c r="KH100" s="46"/>
      <c r="KI100" s="46"/>
      <c r="KJ100" s="93">
        <f t="shared" si="34"/>
        <v>0</v>
      </c>
    </row>
    <row r="101" spans="1:296" ht="20.149999999999999" customHeight="1" x14ac:dyDescent="0.5">
      <c r="A101" s="84">
        <f t="shared" si="35"/>
        <v>92</v>
      </c>
      <c r="B101" s="141" t="s">
        <v>78</v>
      </c>
      <c r="C101" s="157" t="s">
        <v>345</v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>
        <f t="shared" si="18"/>
        <v>1000</v>
      </c>
      <c r="S101" s="46">
        <f t="shared" si="19"/>
        <v>0</v>
      </c>
      <c r="T101" s="46">
        <f t="shared" si="20"/>
        <v>0</v>
      </c>
      <c r="U101" s="46">
        <f t="shared" si="21"/>
        <v>0</v>
      </c>
      <c r="V101" s="46">
        <f t="shared" si="22"/>
        <v>0</v>
      </c>
      <c r="W101" s="46">
        <f t="shared" si="23"/>
        <v>0</v>
      </c>
      <c r="X101" s="46">
        <f t="shared" si="24"/>
        <v>0</v>
      </c>
      <c r="Y101" s="46">
        <f t="shared" si="25"/>
        <v>0</v>
      </c>
      <c r="Z101" s="90">
        <f t="shared" si="26"/>
        <v>1000</v>
      </c>
      <c r="AA101" s="95"/>
      <c r="AB101" s="92">
        <f>'LPLPO GUDANG'!H106</f>
        <v>1100</v>
      </c>
      <c r="AC101" s="91"/>
      <c r="AD101" s="91"/>
      <c r="AE101" s="91"/>
      <c r="AF101" s="91"/>
      <c r="AG101" s="92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>
        <v>1000</v>
      </c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93">
        <f t="shared" si="27"/>
        <v>1000</v>
      </c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93">
        <f t="shared" si="28"/>
        <v>0</v>
      </c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  <c r="DG101" s="46"/>
      <c r="DH101" s="46"/>
      <c r="DI101" s="46"/>
      <c r="DJ101" s="46"/>
      <c r="DK101" s="46"/>
      <c r="DL101" s="46"/>
      <c r="DM101" s="46"/>
      <c r="DN101" s="46"/>
      <c r="DO101" s="46"/>
      <c r="DP101" s="46"/>
      <c r="DQ101" s="46"/>
      <c r="DR101" s="46"/>
      <c r="DS101" s="46"/>
      <c r="DT101" s="46"/>
      <c r="DU101" s="46"/>
      <c r="DV101" s="46"/>
      <c r="DW101" s="46"/>
      <c r="DX101" s="46"/>
      <c r="DY101" s="46"/>
      <c r="DZ101" s="46"/>
      <c r="EA101" s="93">
        <f t="shared" si="29"/>
        <v>0</v>
      </c>
      <c r="EC101" s="46"/>
      <c r="ED101" s="46"/>
      <c r="EE101" s="46"/>
      <c r="EF101" s="46"/>
      <c r="EG101" s="46"/>
      <c r="EH101" s="46"/>
      <c r="EI101" s="46"/>
      <c r="EJ101" s="46"/>
      <c r="EK101" s="46"/>
      <c r="EL101" s="46"/>
      <c r="EM101" s="46"/>
      <c r="EN101" s="46"/>
      <c r="EO101" s="46"/>
      <c r="EP101" s="46"/>
      <c r="EQ101" s="46"/>
      <c r="ER101" s="46"/>
      <c r="ES101" s="46"/>
      <c r="ET101" s="46"/>
      <c r="EU101" s="46"/>
      <c r="EV101" s="46"/>
      <c r="EW101" s="46"/>
      <c r="EX101" s="46"/>
      <c r="EY101" s="46"/>
      <c r="EZ101" s="46"/>
      <c r="FA101" s="46"/>
      <c r="FB101" s="46"/>
      <c r="FC101" s="46"/>
      <c r="FD101" s="46"/>
      <c r="FE101" s="46"/>
      <c r="FF101" s="46"/>
      <c r="FG101" s="46"/>
      <c r="FH101" s="93">
        <f t="shared" si="30"/>
        <v>0</v>
      </c>
      <c r="FJ101" s="46"/>
      <c r="FK101" s="46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93">
        <f t="shared" si="31"/>
        <v>0</v>
      </c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46"/>
      <c r="HN101" s="46"/>
      <c r="HO101" s="46"/>
      <c r="HP101" s="46"/>
      <c r="HQ101" s="46"/>
      <c r="HR101" s="46"/>
      <c r="HS101" s="46"/>
      <c r="HT101" s="46"/>
      <c r="HU101" s="46"/>
      <c r="HV101" s="93">
        <f t="shared" si="32"/>
        <v>0</v>
      </c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  <c r="IT101" s="46"/>
      <c r="IU101" s="46"/>
      <c r="IV101" s="46"/>
      <c r="IW101" s="46"/>
      <c r="IX101" s="46"/>
      <c r="IY101" s="46"/>
      <c r="IZ101" s="46"/>
      <c r="JA101" s="46"/>
      <c r="JB101" s="46"/>
      <c r="JC101" s="93">
        <f t="shared" si="33"/>
        <v>0</v>
      </c>
      <c r="JE101" s="46"/>
      <c r="JF101" s="46"/>
      <c r="JG101" s="46"/>
      <c r="JH101" s="46"/>
      <c r="JI101" s="46"/>
      <c r="JJ101" s="46"/>
      <c r="JK101" s="46"/>
      <c r="JL101" s="46"/>
      <c r="JM101" s="46"/>
      <c r="JN101" s="46"/>
      <c r="JO101" s="46"/>
      <c r="JP101" s="46"/>
      <c r="JQ101" s="46"/>
      <c r="JR101" s="46"/>
      <c r="JS101" s="46"/>
      <c r="JT101" s="46"/>
      <c r="JU101" s="46"/>
      <c r="JV101" s="46"/>
      <c r="JW101" s="46"/>
      <c r="JX101" s="46"/>
      <c r="JY101" s="46"/>
      <c r="JZ101" s="46"/>
      <c r="KA101" s="46"/>
      <c r="KB101" s="46"/>
      <c r="KC101" s="46"/>
      <c r="KD101" s="46"/>
      <c r="KE101" s="46"/>
      <c r="KF101" s="46"/>
      <c r="KG101" s="46"/>
      <c r="KH101" s="46"/>
      <c r="KI101" s="46"/>
      <c r="KJ101" s="93">
        <f t="shared" si="34"/>
        <v>0</v>
      </c>
    </row>
    <row r="102" spans="1:296" ht="20.149999999999999" customHeight="1" x14ac:dyDescent="0.5">
      <c r="A102" s="84">
        <f t="shared" si="35"/>
        <v>93</v>
      </c>
      <c r="B102" s="141" t="s">
        <v>79</v>
      </c>
      <c r="C102" s="167" t="s">
        <v>4</v>
      </c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>
        <f t="shared" si="18"/>
        <v>300</v>
      </c>
      <c r="S102" s="46">
        <f t="shared" si="19"/>
        <v>0</v>
      </c>
      <c r="T102" s="46">
        <f t="shared" si="20"/>
        <v>0</v>
      </c>
      <c r="U102" s="46">
        <f t="shared" si="21"/>
        <v>0</v>
      </c>
      <c r="V102" s="46">
        <f t="shared" si="22"/>
        <v>0</v>
      </c>
      <c r="W102" s="46">
        <f t="shared" si="23"/>
        <v>0</v>
      </c>
      <c r="X102" s="46">
        <f t="shared" si="24"/>
        <v>0</v>
      </c>
      <c r="Y102" s="46">
        <f t="shared" si="25"/>
        <v>0</v>
      </c>
      <c r="Z102" s="90">
        <f t="shared" si="26"/>
        <v>300</v>
      </c>
      <c r="AA102" s="95"/>
      <c r="AB102" s="95">
        <f>'LPLPO GUDANG'!H107</f>
        <v>0</v>
      </c>
      <c r="AC102" s="91"/>
      <c r="AD102" s="91"/>
      <c r="AE102" s="91"/>
      <c r="AF102" s="91"/>
      <c r="AG102" s="92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>
        <v>100</v>
      </c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>
        <v>200</v>
      </c>
      <c r="BF102" s="46"/>
      <c r="BG102" s="46"/>
      <c r="BH102" s="46"/>
      <c r="BI102" s="46"/>
      <c r="BJ102" s="46"/>
      <c r="BK102" s="46"/>
      <c r="BL102" s="46"/>
      <c r="BM102" s="93">
        <f t="shared" si="27"/>
        <v>300</v>
      </c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93">
        <f t="shared" si="28"/>
        <v>0</v>
      </c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  <c r="DG102" s="46"/>
      <c r="DH102" s="46"/>
      <c r="DI102" s="46"/>
      <c r="DJ102" s="46"/>
      <c r="DK102" s="46"/>
      <c r="DL102" s="46"/>
      <c r="DM102" s="46"/>
      <c r="DN102" s="46"/>
      <c r="DO102" s="46"/>
      <c r="DP102" s="46"/>
      <c r="DQ102" s="46"/>
      <c r="DR102" s="46"/>
      <c r="DS102" s="46"/>
      <c r="DT102" s="46"/>
      <c r="DU102" s="46"/>
      <c r="DV102" s="46"/>
      <c r="DW102" s="46"/>
      <c r="DX102" s="46"/>
      <c r="DY102" s="46"/>
      <c r="DZ102" s="46"/>
      <c r="EA102" s="93">
        <f t="shared" si="29"/>
        <v>0</v>
      </c>
      <c r="EC102" s="46"/>
      <c r="ED102" s="46"/>
      <c r="EE102" s="46"/>
      <c r="EF102" s="46"/>
      <c r="EG102" s="46"/>
      <c r="EH102" s="46"/>
      <c r="EI102" s="46"/>
      <c r="EJ102" s="46"/>
      <c r="EK102" s="46"/>
      <c r="EL102" s="46"/>
      <c r="EM102" s="46"/>
      <c r="EN102" s="46"/>
      <c r="EO102" s="46"/>
      <c r="EP102" s="46"/>
      <c r="EQ102" s="46"/>
      <c r="ER102" s="46"/>
      <c r="ES102" s="46"/>
      <c r="ET102" s="46"/>
      <c r="EU102" s="46"/>
      <c r="EV102" s="46"/>
      <c r="EW102" s="46"/>
      <c r="EX102" s="46"/>
      <c r="EY102" s="46"/>
      <c r="EZ102" s="46"/>
      <c r="FA102" s="46"/>
      <c r="FB102" s="46"/>
      <c r="FC102" s="46"/>
      <c r="FD102" s="46"/>
      <c r="FE102" s="46"/>
      <c r="FF102" s="46"/>
      <c r="FG102" s="46"/>
      <c r="FH102" s="93">
        <f t="shared" si="30"/>
        <v>0</v>
      </c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93">
        <f t="shared" si="31"/>
        <v>0</v>
      </c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93">
        <f t="shared" si="32"/>
        <v>0</v>
      </c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  <c r="IT102" s="46"/>
      <c r="IU102" s="46"/>
      <c r="IV102" s="46"/>
      <c r="IW102" s="46"/>
      <c r="IX102" s="46"/>
      <c r="IY102" s="46"/>
      <c r="IZ102" s="46"/>
      <c r="JA102" s="46"/>
      <c r="JB102" s="46"/>
      <c r="JC102" s="93">
        <f t="shared" si="33"/>
        <v>0</v>
      </c>
      <c r="JE102" s="46"/>
      <c r="JF102" s="46"/>
      <c r="JG102" s="46"/>
      <c r="JH102" s="46"/>
      <c r="JI102" s="46"/>
      <c r="JJ102" s="46"/>
      <c r="JK102" s="46"/>
      <c r="JL102" s="46"/>
      <c r="JM102" s="46"/>
      <c r="JN102" s="46"/>
      <c r="JO102" s="46"/>
      <c r="JP102" s="46"/>
      <c r="JQ102" s="46"/>
      <c r="JR102" s="46"/>
      <c r="JS102" s="46"/>
      <c r="JT102" s="46"/>
      <c r="JU102" s="46"/>
      <c r="JV102" s="46"/>
      <c r="JW102" s="46"/>
      <c r="JX102" s="46"/>
      <c r="JY102" s="46"/>
      <c r="JZ102" s="46"/>
      <c r="KA102" s="46"/>
      <c r="KB102" s="46"/>
      <c r="KC102" s="46"/>
      <c r="KD102" s="46"/>
      <c r="KE102" s="46"/>
      <c r="KF102" s="46"/>
      <c r="KG102" s="46"/>
      <c r="KH102" s="46"/>
      <c r="KI102" s="46"/>
      <c r="KJ102" s="93">
        <f t="shared" si="34"/>
        <v>0</v>
      </c>
    </row>
    <row r="103" spans="1:296" ht="20.149999999999999" customHeight="1" x14ac:dyDescent="0.5">
      <c r="A103" s="84">
        <f t="shared" si="35"/>
        <v>94</v>
      </c>
      <c r="B103" s="141" t="s">
        <v>80</v>
      </c>
      <c r="C103" s="157" t="s">
        <v>350</v>
      </c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>
        <f t="shared" si="18"/>
        <v>0</v>
      </c>
      <c r="S103" s="46">
        <f t="shared" si="19"/>
        <v>0</v>
      </c>
      <c r="T103" s="46">
        <f t="shared" si="20"/>
        <v>0</v>
      </c>
      <c r="U103" s="46">
        <f t="shared" si="21"/>
        <v>0</v>
      </c>
      <c r="V103" s="46">
        <f t="shared" si="22"/>
        <v>0</v>
      </c>
      <c r="W103" s="46">
        <f t="shared" si="23"/>
        <v>0</v>
      </c>
      <c r="X103" s="46">
        <f t="shared" si="24"/>
        <v>0</v>
      </c>
      <c r="Y103" s="46">
        <f t="shared" si="25"/>
        <v>0</v>
      </c>
      <c r="Z103" s="90">
        <f t="shared" si="26"/>
        <v>0</v>
      </c>
      <c r="AA103" s="95"/>
      <c r="AB103" s="92">
        <f>'LPLPO GUDANG'!H108</f>
        <v>750</v>
      </c>
      <c r="AC103" s="91"/>
      <c r="AD103" s="91"/>
      <c r="AE103" s="91"/>
      <c r="AF103" s="91"/>
      <c r="AG103" s="92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93">
        <f t="shared" si="27"/>
        <v>0</v>
      </c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93">
        <f t="shared" si="28"/>
        <v>0</v>
      </c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46"/>
      <c r="DJ103" s="46"/>
      <c r="DK103" s="46"/>
      <c r="DL103" s="46"/>
      <c r="DM103" s="46"/>
      <c r="DN103" s="46"/>
      <c r="DO103" s="46"/>
      <c r="DP103" s="46"/>
      <c r="DQ103" s="46"/>
      <c r="DR103" s="46"/>
      <c r="DS103" s="46"/>
      <c r="DT103" s="46"/>
      <c r="DU103" s="46"/>
      <c r="DV103" s="46"/>
      <c r="DW103" s="46"/>
      <c r="DX103" s="46"/>
      <c r="DY103" s="46"/>
      <c r="DZ103" s="46"/>
      <c r="EA103" s="93">
        <f t="shared" si="29"/>
        <v>0</v>
      </c>
      <c r="EC103" s="46"/>
      <c r="ED103" s="46"/>
      <c r="EE103" s="46"/>
      <c r="EF103" s="46"/>
      <c r="EG103" s="46"/>
      <c r="EH103" s="46"/>
      <c r="EI103" s="46"/>
      <c r="EJ103" s="46"/>
      <c r="EK103" s="46"/>
      <c r="EL103" s="46"/>
      <c r="EM103" s="46"/>
      <c r="EN103" s="46"/>
      <c r="EO103" s="46"/>
      <c r="EP103" s="46"/>
      <c r="EQ103" s="46"/>
      <c r="ER103" s="46"/>
      <c r="ES103" s="46"/>
      <c r="ET103" s="46"/>
      <c r="EU103" s="46"/>
      <c r="EV103" s="46"/>
      <c r="EW103" s="46"/>
      <c r="EX103" s="46"/>
      <c r="EY103" s="46"/>
      <c r="EZ103" s="46"/>
      <c r="FA103" s="46"/>
      <c r="FB103" s="46"/>
      <c r="FC103" s="46"/>
      <c r="FD103" s="46"/>
      <c r="FE103" s="46"/>
      <c r="FF103" s="46"/>
      <c r="FG103" s="46"/>
      <c r="FH103" s="93">
        <f t="shared" si="30"/>
        <v>0</v>
      </c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93">
        <f t="shared" si="31"/>
        <v>0</v>
      </c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93">
        <f t="shared" si="32"/>
        <v>0</v>
      </c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  <c r="IT103" s="46"/>
      <c r="IU103" s="46"/>
      <c r="IV103" s="46"/>
      <c r="IW103" s="46"/>
      <c r="IX103" s="46"/>
      <c r="IY103" s="46"/>
      <c r="IZ103" s="46"/>
      <c r="JA103" s="46"/>
      <c r="JB103" s="46"/>
      <c r="JC103" s="93">
        <f t="shared" si="33"/>
        <v>0</v>
      </c>
      <c r="JE103" s="46"/>
      <c r="JF103" s="46"/>
      <c r="JG103" s="46"/>
      <c r="JH103" s="46"/>
      <c r="JI103" s="46"/>
      <c r="JJ103" s="46"/>
      <c r="JK103" s="46"/>
      <c r="JL103" s="46"/>
      <c r="JM103" s="46"/>
      <c r="JN103" s="46"/>
      <c r="JO103" s="46"/>
      <c r="JP103" s="46"/>
      <c r="JQ103" s="46"/>
      <c r="JR103" s="46"/>
      <c r="JS103" s="46"/>
      <c r="JT103" s="46"/>
      <c r="JU103" s="46"/>
      <c r="JV103" s="46"/>
      <c r="JW103" s="46"/>
      <c r="JX103" s="46"/>
      <c r="JY103" s="46"/>
      <c r="JZ103" s="46"/>
      <c r="KA103" s="46"/>
      <c r="KB103" s="46"/>
      <c r="KC103" s="46"/>
      <c r="KD103" s="46"/>
      <c r="KE103" s="46"/>
      <c r="KF103" s="46"/>
      <c r="KG103" s="46"/>
      <c r="KH103" s="46"/>
      <c r="KI103" s="46"/>
      <c r="KJ103" s="93">
        <f t="shared" si="34"/>
        <v>0</v>
      </c>
    </row>
    <row r="104" spans="1:296" ht="20.149999999999999" customHeight="1" x14ac:dyDescent="0.5">
      <c r="A104" s="84">
        <f t="shared" si="35"/>
        <v>95</v>
      </c>
      <c r="B104" s="141" t="s">
        <v>263</v>
      </c>
      <c r="C104" s="168" t="s">
        <v>48</v>
      </c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>
        <f t="shared" si="18"/>
        <v>0</v>
      </c>
      <c r="S104" s="46">
        <f t="shared" si="19"/>
        <v>0</v>
      </c>
      <c r="T104" s="46">
        <f t="shared" si="20"/>
        <v>0</v>
      </c>
      <c r="U104" s="46">
        <f t="shared" si="21"/>
        <v>0</v>
      </c>
      <c r="V104" s="46">
        <f t="shared" si="22"/>
        <v>0</v>
      </c>
      <c r="W104" s="46">
        <f t="shared" si="23"/>
        <v>0</v>
      </c>
      <c r="X104" s="46">
        <f t="shared" si="24"/>
        <v>0</v>
      </c>
      <c r="Y104" s="46">
        <f t="shared" si="25"/>
        <v>0</v>
      </c>
      <c r="Z104" s="90">
        <f t="shared" si="26"/>
        <v>0</v>
      </c>
      <c r="AA104" s="95"/>
      <c r="AB104" s="95">
        <f>'LPLPO GUDANG'!H109</f>
        <v>0</v>
      </c>
      <c r="AC104" s="91"/>
      <c r="AD104" s="91"/>
      <c r="AE104" s="91"/>
      <c r="AF104" s="91"/>
      <c r="AG104" s="92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93">
        <f t="shared" si="27"/>
        <v>0</v>
      </c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93">
        <f t="shared" si="28"/>
        <v>0</v>
      </c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  <c r="DG104" s="46"/>
      <c r="DH104" s="46"/>
      <c r="DI104" s="46"/>
      <c r="DJ104" s="46"/>
      <c r="DK104" s="46"/>
      <c r="DL104" s="46"/>
      <c r="DM104" s="46"/>
      <c r="DN104" s="46"/>
      <c r="DO104" s="46"/>
      <c r="DP104" s="46"/>
      <c r="DQ104" s="46"/>
      <c r="DR104" s="46"/>
      <c r="DS104" s="46"/>
      <c r="DT104" s="46"/>
      <c r="DU104" s="46"/>
      <c r="DV104" s="46"/>
      <c r="DW104" s="46"/>
      <c r="DX104" s="46"/>
      <c r="DY104" s="46"/>
      <c r="DZ104" s="46"/>
      <c r="EA104" s="93">
        <f t="shared" si="29"/>
        <v>0</v>
      </c>
      <c r="EC104" s="46"/>
      <c r="ED104" s="46"/>
      <c r="EE104" s="46"/>
      <c r="EF104" s="46"/>
      <c r="EG104" s="46"/>
      <c r="EH104" s="46"/>
      <c r="EI104" s="46"/>
      <c r="EJ104" s="46"/>
      <c r="EK104" s="46"/>
      <c r="EL104" s="46"/>
      <c r="EM104" s="46"/>
      <c r="EN104" s="46"/>
      <c r="EO104" s="46"/>
      <c r="EP104" s="46"/>
      <c r="EQ104" s="46"/>
      <c r="ER104" s="46"/>
      <c r="ES104" s="46"/>
      <c r="ET104" s="46"/>
      <c r="EU104" s="46"/>
      <c r="EV104" s="46"/>
      <c r="EW104" s="46"/>
      <c r="EX104" s="46"/>
      <c r="EY104" s="46"/>
      <c r="EZ104" s="46"/>
      <c r="FA104" s="46"/>
      <c r="FB104" s="46"/>
      <c r="FC104" s="46"/>
      <c r="FD104" s="46"/>
      <c r="FE104" s="46"/>
      <c r="FF104" s="46"/>
      <c r="FG104" s="46"/>
      <c r="FH104" s="93">
        <f t="shared" si="30"/>
        <v>0</v>
      </c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93">
        <f t="shared" si="31"/>
        <v>0</v>
      </c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93">
        <f t="shared" si="32"/>
        <v>0</v>
      </c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  <c r="IT104" s="46"/>
      <c r="IU104" s="46"/>
      <c r="IV104" s="46"/>
      <c r="IW104" s="46"/>
      <c r="IX104" s="46"/>
      <c r="IY104" s="46"/>
      <c r="IZ104" s="46"/>
      <c r="JA104" s="46"/>
      <c r="JB104" s="46"/>
      <c r="JC104" s="93">
        <f t="shared" si="33"/>
        <v>0</v>
      </c>
      <c r="JE104" s="46"/>
      <c r="JF104" s="46"/>
      <c r="JG104" s="46"/>
      <c r="JH104" s="46"/>
      <c r="JI104" s="46"/>
      <c r="JJ104" s="46"/>
      <c r="JK104" s="46"/>
      <c r="JL104" s="46"/>
      <c r="JM104" s="46"/>
      <c r="JN104" s="46"/>
      <c r="JO104" s="46"/>
      <c r="JP104" s="46"/>
      <c r="JQ104" s="46"/>
      <c r="JR104" s="46"/>
      <c r="JS104" s="46"/>
      <c r="JT104" s="46"/>
      <c r="JU104" s="46"/>
      <c r="JV104" s="46"/>
      <c r="JW104" s="46"/>
      <c r="JX104" s="46"/>
      <c r="JY104" s="46"/>
      <c r="JZ104" s="46"/>
      <c r="KA104" s="46"/>
      <c r="KB104" s="46"/>
      <c r="KC104" s="46"/>
      <c r="KD104" s="46"/>
      <c r="KE104" s="46"/>
      <c r="KF104" s="46"/>
      <c r="KG104" s="46"/>
      <c r="KH104" s="46"/>
      <c r="KI104" s="46"/>
      <c r="KJ104" s="93">
        <f t="shared" si="34"/>
        <v>0</v>
      </c>
    </row>
    <row r="105" spans="1:296" ht="20.149999999999999" customHeight="1" x14ac:dyDescent="0.5">
      <c r="A105" s="84">
        <f t="shared" si="35"/>
        <v>96</v>
      </c>
      <c r="B105" s="141" t="s">
        <v>81</v>
      </c>
      <c r="C105" s="157" t="s">
        <v>48</v>
      </c>
      <c r="D105" s="46"/>
      <c r="E105" s="46"/>
      <c r="F105" s="46">
        <v>5</v>
      </c>
      <c r="G105" s="46"/>
      <c r="H105" s="46"/>
      <c r="I105" s="46">
        <v>5</v>
      </c>
      <c r="J105" s="46"/>
      <c r="K105" s="46"/>
      <c r="L105" s="46"/>
      <c r="M105" s="46"/>
      <c r="N105" s="46"/>
      <c r="O105" s="46"/>
      <c r="P105" s="46"/>
      <c r="Q105" s="46"/>
      <c r="R105" s="46">
        <f t="shared" si="18"/>
        <v>100</v>
      </c>
      <c r="S105" s="46">
        <f t="shared" si="19"/>
        <v>0</v>
      </c>
      <c r="T105" s="46">
        <f t="shared" si="20"/>
        <v>30</v>
      </c>
      <c r="U105" s="46">
        <f t="shared" si="21"/>
        <v>0</v>
      </c>
      <c r="V105" s="46">
        <f t="shared" si="22"/>
        <v>0</v>
      </c>
      <c r="W105" s="46">
        <f t="shared" si="23"/>
        <v>0</v>
      </c>
      <c r="X105" s="46">
        <f t="shared" si="24"/>
        <v>0</v>
      </c>
      <c r="Y105" s="46">
        <f t="shared" si="25"/>
        <v>0</v>
      </c>
      <c r="Z105" s="90">
        <f t="shared" si="26"/>
        <v>140</v>
      </c>
      <c r="AA105" s="95"/>
      <c r="AB105" s="92">
        <f>'LPLPO GUDANG'!H110</f>
        <v>40</v>
      </c>
      <c r="AC105" s="91"/>
      <c r="AD105" s="91"/>
      <c r="AE105" s="91"/>
      <c r="AF105" s="91"/>
      <c r="AG105" s="92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>
        <v>100</v>
      </c>
      <c r="BG105" s="46"/>
      <c r="BH105" s="46"/>
      <c r="BI105" s="46"/>
      <c r="BJ105" s="46"/>
      <c r="BK105" s="46"/>
      <c r="BL105" s="46"/>
      <c r="BM105" s="93">
        <f t="shared" si="27"/>
        <v>100</v>
      </c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93">
        <f t="shared" si="28"/>
        <v>0</v>
      </c>
      <c r="CV105" s="46"/>
      <c r="CW105" s="46"/>
      <c r="CX105" s="46">
        <v>10</v>
      </c>
      <c r="CY105" s="46"/>
      <c r="CZ105" s="46"/>
      <c r="DA105" s="46"/>
      <c r="DB105" s="46"/>
      <c r="DC105" s="46"/>
      <c r="DD105" s="46"/>
      <c r="DE105" s="46"/>
      <c r="DF105" s="46"/>
      <c r="DG105" s="46"/>
      <c r="DH105" s="46"/>
      <c r="DI105" s="46"/>
      <c r="DJ105" s="46"/>
      <c r="DK105" s="46"/>
      <c r="DL105" s="46">
        <v>20</v>
      </c>
      <c r="DM105" s="46"/>
      <c r="DN105" s="46"/>
      <c r="DO105" s="46"/>
      <c r="DP105" s="46"/>
      <c r="DQ105" s="46"/>
      <c r="DR105" s="46"/>
      <c r="DS105" s="46"/>
      <c r="DT105" s="46"/>
      <c r="DU105" s="46"/>
      <c r="DV105" s="46"/>
      <c r="DW105" s="46"/>
      <c r="DX105" s="46"/>
      <c r="DY105" s="46"/>
      <c r="DZ105" s="46"/>
      <c r="EA105" s="93">
        <f t="shared" si="29"/>
        <v>30</v>
      </c>
      <c r="EC105" s="46"/>
      <c r="ED105" s="46"/>
      <c r="EE105" s="46"/>
      <c r="EF105" s="46"/>
      <c r="EG105" s="46"/>
      <c r="EH105" s="46"/>
      <c r="EI105" s="46"/>
      <c r="EJ105" s="46"/>
      <c r="EK105" s="46"/>
      <c r="EL105" s="46"/>
      <c r="EM105" s="46"/>
      <c r="EN105" s="46"/>
      <c r="EO105" s="46"/>
      <c r="EP105" s="46"/>
      <c r="EQ105" s="46"/>
      <c r="ER105" s="46"/>
      <c r="ES105" s="46"/>
      <c r="ET105" s="46"/>
      <c r="EU105" s="46"/>
      <c r="EV105" s="46"/>
      <c r="EW105" s="46"/>
      <c r="EX105" s="46"/>
      <c r="EY105" s="46"/>
      <c r="EZ105" s="46"/>
      <c r="FA105" s="46"/>
      <c r="FB105" s="46"/>
      <c r="FC105" s="46"/>
      <c r="FD105" s="46"/>
      <c r="FE105" s="46"/>
      <c r="FF105" s="46"/>
      <c r="FG105" s="46"/>
      <c r="FH105" s="93">
        <f t="shared" si="30"/>
        <v>0</v>
      </c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93">
        <f t="shared" si="31"/>
        <v>0</v>
      </c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93">
        <f t="shared" si="32"/>
        <v>0</v>
      </c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  <c r="IT105" s="46"/>
      <c r="IU105" s="46"/>
      <c r="IV105" s="46"/>
      <c r="IW105" s="46"/>
      <c r="IX105" s="46"/>
      <c r="IY105" s="46"/>
      <c r="IZ105" s="46"/>
      <c r="JA105" s="46"/>
      <c r="JB105" s="46"/>
      <c r="JC105" s="93">
        <f t="shared" si="33"/>
        <v>0</v>
      </c>
      <c r="JE105" s="46"/>
      <c r="JF105" s="46"/>
      <c r="JG105" s="46"/>
      <c r="JH105" s="46"/>
      <c r="JI105" s="46"/>
      <c r="JJ105" s="46"/>
      <c r="JK105" s="46"/>
      <c r="JL105" s="46"/>
      <c r="JM105" s="46"/>
      <c r="JN105" s="46"/>
      <c r="JO105" s="46"/>
      <c r="JP105" s="46"/>
      <c r="JQ105" s="46"/>
      <c r="JR105" s="46"/>
      <c r="JS105" s="46"/>
      <c r="JT105" s="46"/>
      <c r="JU105" s="46"/>
      <c r="JV105" s="46"/>
      <c r="JW105" s="46"/>
      <c r="JX105" s="46"/>
      <c r="JY105" s="46"/>
      <c r="JZ105" s="46"/>
      <c r="KA105" s="46"/>
      <c r="KB105" s="46"/>
      <c r="KC105" s="46"/>
      <c r="KD105" s="46"/>
      <c r="KE105" s="46"/>
      <c r="KF105" s="46"/>
      <c r="KG105" s="46"/>
      <c r="KH105" s="46"/>
      <c r="KI105" s="46"/>
      <c r="KJ105" s="93">
        <f t="shared" si="34"/>
        <v>0</v>
      </c>
    </row>
    <row r="106" spans="1:296" ht="20.149999999999999" customHeight="1" x14ac:dyDescent="0.5">
      <c r="A106" s="84">
        <f t="shared" si="35"/>
        <v>97</v>
      </c>
      <c r="B106" s="141" t="s">
        <v>82</v>
      </c>
      <c r="C106" s="154" t="s">
        <v>327</v>
      </c>
      <c r="D106" s="46"/>
      <c r="E106" s="46"/>
      <c r="F106" s="46">
        <v>100</v>
      </c>
      <c r="G106" s="46"/>
      <c r="H106" s="46"/>
      <c r="I106" s="46"/>
      <c r="J106" s="46">
        <v>100</v>
      </c>
      <c r="K106" s="46"/>
      <c r="L106" s="46"/>
      <c r="M106" s="46"/>
      <c r="N106" s="46"/>
      <c r="O106" s="46"/>
      <c r="P106" s="46"/>
      <c r="Q106" s="46"/>
      <c r="R106" s="46">
        <f t="shared" si="18"/>
        <v>3900</v>
      </c>
      <c r="S106" s="46">
        <f t="shared" si="19"/>
        <v>0</v>
      </c>
      <c r="T106" s="46">
        <f t="shared" si="20"/>
        <v>200</v>
      </c>
      <c r="U106" s="46">
        <f t="shared" si="21"/>
        <v>0</v>
      </c>
      <c r="V106" s="46">
        <f t="shared" si="22"/>
        <v>0</v>
      </c>
      <c r="W106" s="46">
        <f t="shared" si="23"/>
        <v>0</v>
      </c>
      <c r="X106" s="46">
        <f t="shared" si="24"/>
        <v>0</v>
      </c>
      <c r="Y106" s="46">
        <f t="shared" si="25"/>
        <v>0</v>
      </c>
      <c r="Z106" s="90">
        <f t="shared" si="26"/>
        <v>4300</v>
      </c>
      <c r="AA106" s="95"/>
      <c r="AB106" s="92">
        <f>'LPLPO GUDANG'!H111</f>
        <v>0</v>
      </c>
      <c r="AC106" s="91"/>
      <c r="AD106" s="91"/>
      <c r="AE106" s="91"/>
      <c r="AF106" s="91"/>
      <c r="AG106" s="92"/>
      <c r="AH106" s="46"/>
      <c r="AI106" s="46">
        <v>1000</v>
      </c>
      <c r="AJ106" s="46"/>
      <c r="AK106" s="46"/>
      <c r="AL106" s="46"/>
      <c r="AM106" s="46"/>
      <c r="AN106" s="46"/>
      <c r="AO106" s="46"/>
      <c r="AP106" s="46">
        <v>1000</v>
      </c>
      <c r="AQ106" s="46"/>
      <c r="AR106" s="46"/>
      <c r="AS106" s="46"/>
      <c r="AT106" s="46"/>
      <c r="AU106" s="46"/>
      <c r="AV106" s="46"/>
      <c r="AW106" s="46"/>
      <c r="AX106" s="46"/>
      <c r="AY106" s="46"/>
      <c r="AZ106" s="46">
        <v>1000</v>
      </c>
      <c r="BA106" s="46"/>
      <c r="BB106" s="46"/>
      <c r="BC106" s="46"/>
      <c r="BD106" s="46"/>
      <c r="BE106" s="46"/>
      <c r="BF106" s="46">
        <v>900</v>
      </c>
      <c r="BG106" s="46"/>
      <c r="BH106" s="46"/>
      <c r="BI106" s="46"/>
      <c r="BJ106" s="46"/>
      <c r="BK106" s="46"/>
      <c r="BL106" s="46"/>
      <c r="BM106" s="93">
        <f t="shared" si="27"/>
        <v>3900</v>
      </c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93">
        <f t="shared" si="28"/>
        <v>0</v>
      </c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  <c r="DG106" s="46"/>
      <c r="DH106" s="46"/>
      <c r="DI106" s="46"/>
      <c r="DJ106" s="46"/>
      <c r="DK106" s="46"/>
      <c r="DL106" s="46">
        <v>200</v>
      </c>
      <c r="DM106" s="46"/>
      <c r="DN106" s="46"/>
      <c r="DO106" s="46"/>
      <c r="DP106" s="46"/>
      <c r="DQ106" s="46"/>
      <c r="DR106" s="46"/>
      <c r="DS106" s="46"/>
      <c r="DT106" s="46"/>
      <c r="DU106" s="46"/>
      <c r="DV106" s="46"/>
      <c r="DW106" s="46"/>
      <c r="DX106" s="46"/>
      <c r="DY106" s="46"/>
      <c r="DZ106" s="46"/>
      <c r="EA106" s="93">
        <f t="shared" si="29"/>
        <v>200</v>
      </c>
      <c r="EC106" s="46"/>
      <c r="ED106" s="46"/>
      <c r="EE106" s="46"/>
      <c r="EF106" s="46"/>
      <c r="EG106" s="46"/>
      <c r="EH106" s="46"/>
      <c r="EI106" s="46"/>
      <c r="EJ106" s="46"/>
      <c r="EK106" s="46"/>
      <c r="EL106" s="46"/>
      <c r="EM106" s="46"/>
      <c r="EN106" s="46"/>
      <c r="EO106" s="46"/>
      <c r="EP106" s="46"/>
      <c r="EQ106" s="46"/>
      <c r="ER106" s="46"/>
      <c r="ES106" s="46"/>
      <c r="ET106" s="46"/>
      <c r="EU106" s="46"/>
      <c r="EV106" s="46"/>
      <c r="EW106" s="46"/>
      <c r="EX106" s="46"/>
      <c r="EY106" s="46"/>
      <c r="EZ106" s="46"/>
      <c r="FA106" s="46"/>
      <c r="FB106" s="46"/>
      <c r="FC106" s="46"/>
      <c r="FD106" s="46"/>
      <c r="FE106" s="46"/>
      <c r="FF106" s="46"/>
      <c r="FG106" s="46"/>
      <c r="FH106" s="93">
        <f t="shared" si="30"/>
        <v>0</v>
      </c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93">
        <f t="shared" si="31"/>
        <v>0</v>
      </c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93">
        <f t="shared" si="32"/>
        <v>0</v>
      </c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  <c r="IT106" s="46"/>
      <c r="IU106" s="46"/>
      <c r="IV106" s="46"/>
      <c r="IW106" s="46"/>
      <c r="IX106" s="46"/>
      <c r="IY106" s="46"/>
      <c r="IZ106" s="46"/>
      <c r="JA106" s="46"/>
      <c r="JB106" s="46"/>
      <c r="JC106" s="93">
        <f t="shared" si="33"/>
        <v>0</v>
      </c>
      <c r="JE106" s="46"/>
      <c r="JF106" s="46"/>
      <c r="JG106" s="46"/>
      <c r="JH106" s="46"/>
      <c r="JI106" s="46"/>
      <c r="JJ106" s="46"/>
      <c r="JK106" s="46"/>
      <c r="JL106" s="46"/>
      <c r="JM106" s="46"/>
      <c r="JN106" s="46"/>
      <c r="JO106" s="46"/>
      <c r="JP106" s="46"/>
      <c r="JQ106" s="46"/>
      <c r="JR106" s="46"/>
      <c r="JS106" s="46"/>
      <c r="JT106" s="46"/>
      <c r="JU106" s="46"/>
      <c r="JV106" s="46"/>
      <c r="JW106" s="46"/>
      <c r="JX106" s="46"/>
      <c r="JY106" s="46"/>
      <c r="JZ106" s="46"/>
      <c r="KA106" s="46"/>
      <c r="KB106" s="46"/>
      <c r="KC106" s="46"/>
      <c r="KD106" s="46"/>
      <c r="KE106" s="46"/>
      <c r="KF106" s="46"/>
      <c r="KG106" s="46"/>
      <c r="KH106" s="46"/>
      <c r="KI106" s="46"/>
      <c r="KJ106" s="93">
        <f t="shared" si="34"/>
        <v>0</v>
      </c>
    </row>
    <row r="107" spans="1:296" ht="20.149999999999999" customHeight="1" x14ac:dyDescent="0.5">
      <c r="A107" s="84">
        <f t="shared" si="35"/>
        <v>98</v>
      </c>
      <c r="B107" s="141" t="s">
        <v>83</v>
      </c>
      <c r="C107" s="154" t="s">
        <v>188</v>
      </c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>
        <f t="shared" si="18"/>
        <v>0</v>
      </c>
      <c r="S107" s="46">
        <f t="shared" si="19"/>
        <v>0</v>
      </c>
      <c r="T107" s="46">
        <f t="shared" si="20"/>
        <v>0</v>
      </c>
      <c r="U107" s="46">
        <f t="shared" si="21"/>
        <v>0</v>
      </c>
      <c r="V107" s="46">
        <f t="shared" si="22"/>
        <v>0</v>
      </c>
      <c r="W107" s="46">
        <f t="shared" si="23"/>
        <v>0</v>
      </c>
      <c r="X107" s="46">
        <f t="shared" si="24"/>
        <v>0</v>
      </c>
      <c r="Y107" s="46">
        <f t="shared" si="25"/>
        <v>0</v>
      </c>
      <c r="Z107" s="90">
        <f t="shared" si="26"/>
        <v>0</v>
      </c>
      <c r="AA107" s="95"/>
      <c r="AB107" s="92">
        <f>'LPLPO GUDANG'!H112</f>
        <v>2</v>
      </c>
      <c r="AC107" s="91"/>
      <c r="AD107" s="91"/>
      <c r="AE107" s="91"/>
      <c r="AF107" s="91"/>
      <c r="AG107" s="92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93">
        <f t="shared" si="27"/>
        <v>0</v>
      </c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93">
        <f t="shared" si="28"/>
        <v>0</v>
      </c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  <c r="DG107" s="46"/>
      <c r="DH107" s="46"/>
      <c r="DI107" s="46"/>
      <c r="DJ107" s="46"/>
      <c r="DK107" s="46"/>
      <c r="DL107" s="46"/>
      <c r="DM107" s="46"/>
      <c r="DN107" s="46"/>
      <c r="DO107" s="46"/>
      <c r="DP107" s="46"/>
      <c r="DQ107" s="46"/>
      <c r="DR107" s="46"/>
      <c r="DS107" s="46"/>
      <c r="DT107" s="46"/>
      <c r="DU107" s="46"/>
      <c r="DV107" s="46"/>
      <c r="DW107" s="46"/>
      <c r="DX107" s="46"/>
      <c r="DY107" s="46"/>
      <c r="DZ107" s="46"/>
      <c r="EA107" s="93">
        <f t="shared" si="29"/>
        <v>0</v>
      </c>
      <c r="EC107" s="46"/>
      <c r="ED107" s="46"/>
      <c r="EE107" s="46"/>
      <c r="EF107" s="46"/>
      <c r="EG107" s="46"/>
      <c r="EH107" s="46"/>
      <c r="EI107" s="46"/>
      <c r="EJ107" s="46"/>
      <c r="EK107" s="46"/>
      <c r="EL107" s="46"/>
      <c r="EM107" s="46"/>
      <c r="EN107" s="46"/>
      <c r="EO107" s="46"/>
      <c r="EP107" s="46"/>
      <c r="EQ107" s="46"/>
      <c r="ER107" s="46"/>
      <c r="ES107" s="46"/>
      <c r="ET107" s="46"/>
      <c r="EU107" s="46"/>
      <c r="EV107" s="46"/>
      <c r="EW107" s="46"/>
      <c r="EX107" s="46"/>
      <c r="EY107" s="46"/>
      <c r="EZ107" s="46"/>
      <c r="FA107" s="46"/>
      <c r="FB107" s="46"/>
      <c r="FC107" s="46"/>
      <c r="FD107" s="46"/>
      <c r="FE107" s="46"/>
      <c r="FF107" s="46"/>
      <c r="FG107" s="46"/>
      <c r="FH107" s="93">
        <f t="shared" si="30"/>
        <v>0</v>
      </c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93">
        <f t="shared" si="31"/>
        <v>0</v>
      </c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93">
        <f t="shared" si="32"/>
        <v>0</v>
      </c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  <c r="IT107" s="46"/>
      <c r="IU107" s="46"/>
      <c r="IV107" s="46"/>
      <c r="IW107" s="46"/>
      <c r="IX107" s="46"/>
      <c r="IY107" s="46"/>
      <c r="IZ107" s="46"/>
      <c r="JA107" s="46"/>
      <c r="JB107" s="46"/>
      <c r="JC107" s="93">
        <f t="shared" si="33"/>
        <v>0</v>
      </c>
      <c r="JE107" s="46"/>
      <c r="JF107" s="46"/>
      <c r="JG107" s="46"/>
      <c r="JH107" s="46"/>
      <c r="JI107" s="46"/>
      <c r="JJ107" s="46"/>
      <c r="JK107" s="46"/>
      <c r="JL107" s="46"/>
      <c r="JM107" s="46"/>
      <c r="JN107" s="46"/>
      <c r="JO107" s="46"/>
      <c r="JP107" s="46"/>
      <c r="JQ107" s="46"/>
      <c r="JR107" s="46"/>
      <c r="JS107" s="46"/>
      <c r="JT107" s="46"/>
      <c r="JU107" s="46"/>
      <c r="JV107" s="46"/>
      <c r="JW107" s="46"/>
      <c r="JX107" s="46"/>
      <c r="JY107" s="46"/>
      <c r="JZ107" s="46"/>
      <c r="KA107" s="46"/>
      <c r="KB107" s="46"/>
      <c r="KC107" s="46"/>
      <c r="KD107" s="46"/>
      <c r="KE107" s="46"/>
      <c r="KF107" s="46"/>
      <c r="KG107" s="46"/>
      <c r="KH107" s="46"/>
      <c r="KI107" s="46"/>
      <c r="KJ107" s="93">
        <f t="shared" si="34"/>
        <v>0</v>
      </c>
    </row>
    <row r="108" spans="1:296" ht="20.149999999999999" customHeight="1" x14ac:dyDescent="0.5">
      <c r="A108" s="84">
        <f t="shared" si="35"/>
        <v>99</v>
      </c>
      <c r="B108" s="141" t="s">
        <v>84</v>
      </c>
      <c r="C108" s="157" t="s">
        <v>188</v>
      </c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>
        <f t="shared" si="18"/>
        <v>0</v>
      </c>
      <c r="S108" s="46">
        <f t="shared" si="19"/>
        <v>0</v>
      </c>
      <c r="T108" s="46">
        <f t="shared" si="20"/>
        <v>0</v>
      </c>
      <c r="U108" s="46">
        <f t="shared" si="21"/>
        <v>0</v>
      </c>
      <c r="V108" s="46">
        <f t="shared" si="22"/>
        <v>0</v>
      </c>
      <c r="W108" s="46">
        <f t="shared" si="23"/>
        <v>0</v>
      </c>
      <c r="X108" s="46">
        <f t="shared" si="24"/>
        <v>0</v>
      </c>
      <c r="Y108" s="46">
        <f t="shared" si="25"/>
        <v>0</v>
      </c>
      <c r="Z108" s="90">
        <f t="shared" si="26"/>
        <v>0</v>
      </c>
      <c r="AA108" s="95"/>
      <c r="AB108" s="92">
        <f>'LPLPO GUDANG'!H113</f>
        <v>20</v>
      </c>
      <c r="AC108" s="91"/>
      <c r="AD108" s="91"/>
      <c r="AE108" s="91"/>
      <c r="AF108" s="91"/>
      <c r="AG108" s="92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93">
        <f t="shared" si="27"/>
        <v>0</v>
      </c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93">
        <f t="shared" si="28"/>
        <v>0</v>
      </c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  <c r="DG108" s="46"/>
      <c r="DH108" s="46"/>
      <c r="DI108" s="46"/>
      <c r="DJ108" s="46"/>
      <c r="DK108" s="46"/>
      <c r="DL108" s="46"/>
      <c r="DM108" s="46"/>
      <c r="DN108" s="46"/>
      <c r="DO108" s="46"/>
      <c r="DP108" s="46"/>
      <c r="DQ108" s="46"/>
      <c r="DR108" s="46"/>
      <c r="DS108" s="46"/>
      <c r="DT108" s="46"/>
      <c r="DU108" s="46"/>
      <c r="DV108" s="46"/>
      <c r="DW108" s="46"/>
      <c r="DX108" s="46"/>
      <c r="DY108" s="46"/>
      <c r="DZ108" s="46"/>
      <c r="EA108" s="93">
        <f t="shared" si="29"/>
        <v>0</v>
      </c>
      <c r="EC108" s="46"/>
      <c r="ED108" s="46"/>
      <c r="EE108" s="46"/>
      <c r="EF108" s="46"/>
      <c r="EG108" s="46"/>
      <c r="EH108" s="46"/>
      <c r="EI108" s="46"/>
      <c r="EJ108" s="46"/>
      <c r="EK108" s="46"/>
      <c r="EL108" s="46"/>
      <c r="EM108" s="46"/>
      <c r="EN108" s="46"/>
      <c r="EO108" s="46"/>
      <c r="EP108" s="46"/>
      <c r="EQ108" s="46"/>
      <c r="ER108" s="46"/>
      <c r="ES108" s="46"/>
      <c r="ET108" s="46"/>
      <c r="EU108" s="46"/>
      <c r="EV108" s="46"/>
      <c r="EW108" s="46"/>
      <c r="EX108" s="46"/>
      <c r="EY108" s="46"/>
      <c r="EZ108" s="46"/>
      <c r="FA108" s="46"/>
      <c r="FB108" s="46"/>
      <c r="FC108" s="46"/>
      <c r="FD108" s="46"/>
      <c r="FE108" s="46"/>
      <c r="FF108" s="46"/>
      <c r="FG108" s="46"/>
      <c r="FH108" s="93">
        <f t="shared" si="30"/>
        <v>0</v>
      </c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93">
        <f t="shared" si="31"/>
        <v>0</v>
      </c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93">
        <f t="shared" si="32"/>
        <v>0</v>
      </c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  <c r="IT108" s="46"/>
      <c r="IU108" s="46"/>
      <c r="IV108" s="46"/>
      <c r="IW108" s="46"/>
      <c r="IX108" s="46"/>
      <c r="IY108" s="46"/>
      <c r="IZ108" s="46"/>
      <c r="JA108" s="46"/>
      <c r="JB108" s="46"/>
      <c r="JC108" s="93">
        <f t="shared" si="33"/>
        <v>0</v>
      </c>
      <c r="JE108" s="46"/>
      <c r="JF108" s="46"/>
      <c r="JG108" s="46"/>
      <c r="JH108" s="46"/>
      <c r="JI108" s="46"/>
      <c r="JJ108" s="46"/>
      <c r="JK108" s="46"/>
      <c r="JL108" s="46"/>
      <c r="JM108" s="46"/>
      <c r="JN108" s="46"/>
      <c r="JO108" s="46"/>
      <c r="JP108" s="46"/>
      <c r="JQ108" s="46"/>
      <c r="JR108" s="46"/>
      <c r="JS108" s="46"/>
      <c r="JT108" s="46"/>
      <c r="JU108" s="46"/>
      <c r="JV108" s="46"/>
      <c r="JW108" s="46"/>
      <c r="JX108" s="46"/>
      <c r="JY108" s="46"/>
      <c r="JZ108" s="46"/>
      <c r="KA108" s="46"/>
      <c r="KB108" s="46"/>
      <c r="KC108" s="46"/>
      <c r="KD108" s="46"/>
      <c r="KE108" s="46"/>
      <c r="KF108" s="46"/>
      <c r="KG108" s="46"/>
      <c r="KH108" s="46"/>
      <c r="KI108" s="46"/>
      <c r="KJ108" s="93">
        <f t="shared" si="34"/>
        <v>0</v>
      </c>
    </row>
    <row r="109" spans="1:296" ht="36" x14ac:dyDescent="0.5">
      <c r="A109" s="84">
        <f t="shared" si="35"/>
        <v>100</v>
      </c>
      <c r="B109" s="141" t="s">
        <v>85</v>
      </c>
      <c r="C109" s="154" t="s">
        <v>327</v>
      </c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>
        <f t="shared" si="18"/>
        <v>2600</v>
      </c>
      <c r="S109" s="46">
        <f t="shared" si="19"/>
        <v>0</v>
      </c>
      <c r="T109" s="46">
        <f t="shared" si="20"/>
        <v>0</v>
      </c>
      <c r="U109" s="46">
        <f t="shared" si="21"/>
        <v>0</v>
      </c>
      <c r="V109" s="46">
        <f t="shared" si="22"/>
        <v>0</v>
      </c>
      <c r="W109" s="46">
        <f t="shared" si="23"/>
        <v>0</v>
      </c>
      <c r="X109" s="46">
        <f t="shared" si="24"/>
        <v>0</v>
      </c>
      <c r="Y109" s="46">
        <f t="shared" si="25"/>
        <v>0</v>
      </c>
      <c r="Z109" s="90">
        <f t="shared" si="26"/>
        <v>2600</v>
      </c>
      <c r="AA109" s="95"/>
      <c r="AB109" s="92">
        <f>'LPLPO GUDANG'!H114</f>
        <v>0</v>
      </c>
      <c r="AC109" s="91"/>
      <c r="AD109" s="91"/>
      <c r="AE109" s="91"/>
      <c r="AF109" s="91"/>
      <c r="AG109" s="92"/>
      <c r="AH109" s="46"/>
      <c r="AI109" s="46"/>
      <c r="AJ109" s="46">
        <v>1000</v>
      </c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>
        <v>1000</v>
      </c>
      <c r="BA109" s="46"/>
      <c r="BB109" s="46"/>
      <c r="BC109" s="46"/>
      <c r="BD109" s="46"/>
      <c r="BE109" s="46"/>
      <c r="BF109" s="46">
        <v>600</v>
      </c>
      <c r="BG109" s="46"/>
      <c r="BH109" s="46"/>
      <c r="BI109" s="46"/>
      <c r="BJ109" s="46"/>
      <c r="BK109" s="46"/>
      <c r="BL109" s="46"/>
      <c r="BM109" s="93">
        <f t="shared" si="27"/>
        <v>2600</v>
      </c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93">
        <f t="shared" si="28"/>
        <v>0</v>
      </c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  <c r="DG109" s="46"/>
      <c r="DH109" s="46"/>
      <c r="DI109" s="46"/>
      <c r="DJ109" s="46"/>
      <c r="DK109" s="46"/>
      <c r="DL109" s="46"/>
      <c r="DM109" s="46"/>
      <c r="DN109" s="46"/>
      <c r="DO109" s="46"/>
      <c r="DP109" s="46"/>
      <c r="DQ109" s="46"/>
      <c r="DR109" s="46"/>
      <c r="DS109" s="46"/>
      <c r="DT109" s="46"/>
      <c r="DU109" s="46"/>
      <c r="DV109" s="46"/>
      <c r="DW109" s="46"/>
      <c r="DX109" s="46"/>
      <c r="DY109" s="46"/>
      <c r="DZ109" s="46"/>
      <c r="EA109" s="93">
        <f t="shared" si="29"/>
        <v>0</v>
      </c>
      <c r="EC109" s="46"/>
      <c r="ED109" s="46"/>
      <c r="EE109" s="46"/>
      <c r="EF109" s="46"/>
      <c r="EG109" s="46"/>
      <c r="EH109" s="46"/>
      <c r="EI109" s="46"/>
      <c r="EJ109" s="46"/>
      <c r="EK109" s="46"/>
      <c r="EL109" s="46"/>
      <c r="EM109" s="46"/>
      <c r="EN109" s="46"/>
      <c r="EO109" s="46"/>
      <c r="EP109" s="46"/>
      <c r="EQ109" s="46"/>
      <c r="ER109" s="46"/>
      <c r="ES109" s="46"/>
      <c r="ET109" s="46"/>
      <c r="EU109" s="46"/>
      <c r="EV109" s="46"/>
      <c r="EW109" s="46"/>
      <c r="EX109" s="46"/>
      <c r="EY109" s="46"/>
      <c r="EZ109" s="46"/>
      <c r="FA109" s="46"/>
      <c r="FB109" s="46"/>
      <c r="FC109" s="46"/>
      <c r="FD109" s="46"/>
      <c r="FE109" s="46"/>
      <c r="FF109" s="46"/>
      <c r="FG109" s="46"/>
      <c r="FH109" s="93">
        <f t="shared" si="30"/>
        <v>0</v>
      </c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93">
        <f t="shared" si="31"/>
        <v>0</v>
      </c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93">
        <f t="shared" si="32"/>
        <v>0</v>
      </c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  <c r="IT109" s="46"/>
      <c r="IU109" s="46"/>
      <c r="IV109" s="46"/>
      <c r="IW109" s="46"/>
      <c r="IX109" s="46"/>
      <c r="IY109" s="46"/>
      <c r="IZ109" s="46"/>
      <c r="JA109" s="46"/>
      <c r="JB109" s="46"/>
      <c r="JC109" s="93">
        <f t="shared" si="33"/>
        <v>0</v>
      </c>
      <c r="JE109" s="46"/>
      <c r="JF109" s="46"/>
      <c r="JG109" s="46"/>
      <c r="JH109" s="46"/>
      <c r="JI109" s="46"/>
      <c r="JJ109" s="46"/>
      <c r="JK109" s="46"/>
      <c r="JL109" s="46"/>
      <c r="JM109" s="46"/>
      <c r="JN109" s="46"/>
      <c r="JO109" s="46"/>
      <c r="JP109" s="46"/>
      <c r="JQ109" s="46"/>
      <c r="JR109" s="46"/>
      <c r="JS109" s="46"/>
      <c r="JT109" s="46"/>
      <c r="JU109" s="46"/>
      <c r="JV109" s="46"/>
      <c r="JW109" s="46"/>
      <c r="JX109" s="46"/>
      <c r="JY109" s="46"/>
      <c r="JZ109" s="46"/>
      <c r="KA109" s="46"/>
      <c r="KB109" s="46"/>
      <c r="KC109" s="46"/>
      <c r="KD109" s="46"/>
      <c r="KE109" s="46"/>
      <c r="KF109" s="46"/>
      <c r="KG109" s="46"/>
      <c r="KH109" s="46"/>
      <c r="KI109" s="46"/>
      <c r="KJ109" s="93">
        <f t="shared" si="34"/>
        <v>0</v>
      </c>
    </row>
    <row r="110" spans="1:296" ht="20.149999999999999" customHeight="1" x14ac:dyDescent="0.5">
      <c r="A110" s="84">
        <f t="shared" si="35"/>
        <v>101</v>
      </c>
      <c r="B110" s="141" t="s">
        <v>86</v>
      </c>
      <c r="C110" s="157" t="s">
        <v>327</v>
      </c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>
        <f t="shared" si="18"/>
        <v>0</v>
      </c>
      <c r="S110" s="46">
        <f t="shared" si="19"/>
        <v>0</v>
      </c>
      <c r="T110" s="46">
        <f t="shared" si="20"/>
        <v>0</v>
      </c>
      <c r="U110" s="46">
        <f t="shared" si="21"/>
        <v>0</v>
      </c>
      <c r="V110" s="46">
        <f t="shared" si="22"/>
        <v>0</v>
      </c>
      <c r="W110" s="46">
        <f t="shared" si="23"/>
        <v>0</v>
      </c>
      <c r="X110" s="46">
        <f t="shared" si="24"/>
        <v>0</v>
      </c>
      <c r="Y110" s="46">
        <f t="shared" si="25"/>
        <v>0</v>
      </c>
      <c r="Z110" s="90">
        <f t="shared" si="26"/>
        <v>0</v>
      </c>
      <c r="AA110" s="95"/>
      <c r="AB110" s="92">
        <f>'LPLPO GUDANG'!H115</f>
        <v>100</v>
      </c>
      <c r="AC110" s="91"/>
      <c r="AD110" s="91"/>
      <c r="AE110" s="91"/>
      <c r="AF110" s="91"/>
      <c r="AG110" s="92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93">
        <f t="shared" si="27"/>
        <v>0</v>
      </c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93">
        <f t="shared" si="28"/>
        <v>0</v>
      </c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  <c r="DG110" s="46"/>
      <c r="DH110" s="46"/>
      <c r="DI110" s="46"/>
      <c r="DJ110" s="46"/>
      <c r="DK110" s="46"/>
      <c r="DL110" s="46"/>
      <c r="DM110" s="46"/>
      <c r="DN110" s="46"/>
      <c r="DO110" s="46"/>
      <c r="DP110" s="46"/>
      <c r="DQ110" s="46"/>
      <c r="DR110" s="46"/>
      <c r="DS110" s="46"/>
      <c r="DT110" s="46"/>
      <c r="DU110" s="46"/>
      <c r="DV110" s="46"/>
      <c r="DW110" s="46"/>
      <c r="DX110" s="46"/>
      <c r="DY110" s="46"/>
      <c r="DZ110" s="46"/>
      <c r="EA110" s="93">
        <f t="shared" si="29"/>
        <v>0</v>
      </c>
      <c r="EC110" s="46"/>
      <c r="ED110" s="46"/>
      <c r="EE110" s="46"/>
      <c r="EF110" s="46"/>
      <c r="EG110" s="46"/>
      <c r="EH110" s="46"/>
      <c r="EI110" s="46"/>
      <c r="EJ110" s="46"/>
      <c r="EK110" s="46"/>
      <c r="EL110" s="46"/>
      <c r="EM110" s="46"/>
      <c r="EN110" s="46"/>
      <c r="EO110" s="46"/>
      <c r="EP110" s="46"/>
      <c r="EQ110" s="46"/>
      <c r="ER110" s="46"/>
      <c r="ES110" s="46"/>
      <c r="ET110" s="46"/>
      <c r="EU110" s="46"/>
      <c r="EV110" s="46"/>
      <c r="EW110" s="46"/>
      <c r="EX110" s="46"/>
      <c r="EY110" s="46"/>
      <c r="EZ110" s="46"/>
      <c r="FA110" s="46"/>
      <c r="FB110" s="46"/>
      <c r="FC110" s="46"/>
      <c r="FD110" s="46"/>
      <c r="FE110" s="46"/>
      <c r="FF110" s="46"/>
      <c r="FG110" s="46"/>
      <c r="FH110" s="93">
        <f t="shared" si="30"/>
        <v>0</v>
      </c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93">
        <f t="shared" si="31"/>
        <v>0</v>
      </c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93">
        <f t="shared" si="32"/>
        <v>0</v>
      </c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  <c r="IT110" s="46"/>
      <c r="IU110" s="46"/>
      <c r="IV110" s="46"/>
      <c r="IW110" s="46"/>
      <c r="IX110" s="46"/>
      <c r="IY110" s="46"/>
      <c r="IZ110" s="46"/>
      <c r="JA110" s="46"/>
      <c r="JB110" s="46"/>
      <c r="JC110" s="93">
        <f t="shared" si="33"/>
        <v>0</v>
      </c>
      <c r="JE110" s="46"/>
      <c r="JF110" s="46"/>
      <c r="JG110" s="46"/>
      <c r="JH110" s="46"/>
      <c r="JI110" s="46"/>
      <c r="JJ110" s="46"/>
      <c r="JK110" s="46"/>
      <c r="JL110" s="46"/>
      <c r="JM110" s="46"/>
      <c r="JN110" s="46"/>
      <c r="JO110" s="46"/>
      <c r="JP110" s="46"/>
      <c r="JQ110" s="46"/>
      <c r="JR110" s="46"/>
      <c r="JS110" s="46"/>
      <c r="JT110" s="46"/>
      <c r="JU110" s="46"/>
      <c r="JV110" s="46"/>
      <c r="JW110" s="46"/>
      <c r="JX110" s="46"/>
      <c r="JY110" s="46"/>
      <c r="JZ110" s="46"/>
      <c r="KA110" s="46"/>
      <c r="KB110" s="46"/>
      <c r="KC110" s="46"/>
      <c r="KD110" s="46"/>
      <c r="KE110" s="46"/>
      <c r="KF110" s="46"/>
      <c r="KG110" s="46"/>
      <c r="KH110" s="46"/>
      <c r="KI110" s="46"/>
      <c r="KJ110" s="93">
        <f t="shared" si="34"/>
        <v>0</v>
      </c>
    </row>
    <row r="111" spans="1:296" ht="20.149999999999999" customHeight="1" x14ac:dyDescent="0.5">
      <c r="A111" s="84">
        <f t="shared" si="35"/>
        <v>102</v>
      </c>
      <c r="B111" s="141" t="s">
        <v>87</v>
      </c>
      <c r="C111" s="168" t="s">
        <v>327</v>
      </c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>
        <f t="shared" si="18"/>
        <v>0</v>
      </c>
      <c r="S111" s="46">
        <f t="shared" si="19"/>
        <v>0</v>
      </c>
      <c r="T111" s="46">
        <f t="shared" si="20"/>
        <v>0</v>
      </c>
      <c r="U111" s="46">
        <f t="shared" si="21"/>
        <v>0</v>
      </c>
      <c r="V111" s="46">
        <f t="shared" si="22"/>
        <v>0</v>
      </c>
      <c r="W111" s="46">
        <f t="shared" si="23"/>
        <v>0</v>
      </c>
      <c r="X111" s="46">
        <f t="shared" si="24"/>
        <v>0</v>
      </c>
      <c r="Y111" s="46">
        <f t="shared" si="25"/>
        <v>0</v>
      </c>
      <c r="Z111" s="90">
        <f t="shared" si="26"/>
        <v>0</v>
      </c>
      <c r="AA111" s="95"/>
      <c r="AB111" s="92">
        <f>'LPLPO GUDANG'!H116</f>
        <v>100</v>
      </c>
      <c r="AC111" s="91"/>
      <c r="AD111" s="91"/>
      <c r="AE111" s="91"/>
      <c r="AF111" s="91"/>
      <c r="AG111" s="92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93">
        <f t="shared" si="27"/>
        <v>0</v>
      </c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93">
        <f t="shared" si="28"/>
        <v>0</v>
      </c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  <c r="DG111" s="46"/>
      <c r="DH111" s="46"/>
      <c r="DI111" s="46"/>
      <c r="DJ111" s="46"/>
      <c r="DK111" s="46"/>
      <c r="DL111" s="46"/>
      <c r="DM111" s="46"/>
      <c r="DN111" s="46"/>
      <c r="DO111" s="46"/>
      <c r="DP111" s="46"/>
      <c r="DQ111" s="46"/>
      <c r="DR111" s="46"/>
      <c r="DS111" s="46"/>
      <c r="DT111" s="46"/>
      <c r="DU111" s="46"/>
      <c r="DV111" s="46"/>
      <c r="DW111" s="46"/>
      <c r="DX111" s="46"/>
      <c r="DY111" s="46"/>
      <c r="DZ111" s="46"/>
      <c r="EA111" s="93">
        <f t="shared" si="29"/>
        <v>0</v>
      </c>
      <c r="EC111" s="46"/>
      <c r="ED111" s="46"/>
      <c r="EE111" s="46"/>
      <c r="EF111" s="46"/>
      <c r="EG111" s="46"/>
      <c r="EH111" s="46"/>
      <c r="EI111" s="46"/>
      <c r="EJ111" s="46"/>
      <c r="EK111" s="46"/>
      <c r="EL111" s="46"/>
      <c r="EM111" s="46"/>
      <c r="EN111" s="46"/>
      <c r="EO111" s="46"/>
      <c r="EP111" s="46"/>
      <c r="EQ111" s="46"/>
      <c r="ER111" s="46"/>
      <c r="ES111" s="46"/>
      <c r="ET111" s="46"/>
      <c r="EU111" s="46"/>
      <c r="EV111" s="46"/>
      <c r="EW111" s="46"/>
      <c r="EX111" s="46"/>
      <c r="EY111" s="46"/>
      <c r="EZ111" s="46"/>
      <c r="FA111" s="46"/>
      <c r="FB111" s="46"/>
      <c r="FC111" s="46"/>
      <c r="FD111" s="46"/>
      <c r="FE111" s="46"/>
      <c r="FF111" s="46"/>
      <c r="FG111" s="46"/>
      <c r="FH111" s="93">
        <f t="shared" si="30"/>
        <v>0</v>
      </c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93">
        <f t="shared" si="31"/>
        <v>0</v>
      </c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46"/>
      <c r="HN111" s="46"/>
      <c r="HO111" s="46"/>
      <c r="HP111" s="46"/>
      <c r="HQ111" s="46"/>
      <c r="HR111" s="46"/>
      <c r="HS111" s="46"/>
      <c r="HT111" s="46"/>
      <c r="HU111" s="46"/>
      <c r="HV111" s="93">
        <f t="shared" si="32"/>
        <v>0</v>
      </c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  <c r="IT111" s="46"/>
      <c r="IU111" s="46"/>
      <c r="IV111" s="46"/>
      <c r="IW111" s="46"/>
      <c r="IX111" s="46"/>
      <c r="IY111" s="46"/>
      <c r="IZ111" s="46"/>
      <c r="JA111" s="46"/>
      <c r="JB111" s="46"/>
      <c r="JC111" s="93">
        <f t="shared" si="33"/>
        <v>0</v>
      </c>
      <c r="JE111" s="46"/>
      <c r="JF111" s="46"/>
      <c r="JG111" s="46"/>
      <c r="JH111" s="46"/>
      <c r="JI111" s="46"/>
      <c r="JJ111" s="46"/>
      <c r="JK111" s="46"/>
      <c r="JL111" s="46"/>
      <c r="JM111" s="46"/>
      <c r="JN111" s="46"/>
      <c r="JO111" s="46"/>
      <c r="JP111" s="46"/>
      <c r="JQ111" s="46"/>
      <c r="JR111" s="46"/>
      <c r="JS111" s="46"/>
      <c r="JT111" s="46"/>
      <c r="JU111" s="46"/>
      <c r="JV111" s="46"/>
      <c r="JW111" s="46"/>
      <c r="JX111" s="46"/>
      <c r="JY111" s="46"/>
      <c r="JZ111" s="46"/>
      <c r="KA111" s="46"/>
      <c r="KB111" s="46"/>
      <c r="KC111" s="46"/>
      <c r="KD111" s="46"/>
      <c r="KE111" s="46"/>
      <c r="KF111" s="46"/>
      <c r="KG111" s="46"/>
      <c r="KH111" s="46"/>
      <c r="KI111" s="46"/>
      <c r="KJ111" s="93">
        <f t="shared" si="34"/>
        <v>0</v>
      </c>
    </row>
    <row r="112" spans="1:296" ht="20.149999999999999" customHeight="1" x14ac:dyDescent="0.5">
      <c r="A112" s="84">
        <f t="shared" si="35"/>
        <v>103</v>
      </c>
      <c r="B112" s="141" t="s">
        <v>88</v>
      </c>
      <c r="C112" s="161" t="s">
        <v>327</v>
      </c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>
        <f t="shared" si="18"/>
        <v>0</v>
      </c>
      <c r="S112" s="46">
        <f t="shared" si="19"/>
        <v>0</v>
      </c>
      <c r="T112" s="46">
        <f t="shared" si="20"/>
        <v>0</v>
      </c>
      <c r="U112" s="46">
        <f t="shared" si="21"/>
        <v>0</v>
      </c>
      <c r="V112" s="46">
        <f t="shared" si="22"/>
        <v>0</v>
      </c>
      <c r="W112" s="46">
        <f t="shared" si="23"/>
        <v>0</v>
      </c>
      <c r="X112" s="46">
        <f t="shared" si="24"/>
        <v>0</v>
      </c>
      <c r="Y112" s="46">
        <f t="shared" si="25"/>
        <v>0</v>
      </c>
      <c r="Z112" s="90">
        <f t="shared" si="26"/>
        <v>0</v>
      </c>
      <c r="AA112" s="95"/>
      <c r="AB112" s="92">
        <f>'LPLPO GUDANG'!H117</f>
        <v>100</v>
      </c>
      <c r="AC112" s="91"/>
      <c r="AD112" s="91"/>
      <c r="AE112" s="91"/>
      <c r="AF112" s="91"/>
      <c r="AG112" s="92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93">
        <f t="shared" si="27"/>
        <v>0</v>
      </c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93">
        <f t="shared" si="28"/>
        <v>0</v>
      </c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  <c r="DG112" s="46"/>
      <c r="DH112" s="46"/>
      <c r="DI112" s="46"/>
      <c r="DJ112" s="46"/>
      <c r="DK112" s="46"/>
      <c r="DL112" s="46"/>
      <c r="DM112" s="46"/>
      <c r="DN112" s="46"/>
      <c r="DO112" s="46"/>
      <c r="DP112" s="46"/>
      <c r="DQ112" s="46"/>
      <c r="DR112" s="46"/>
      <c r="DS112" s="46"/>
      <c r="DT112" s="46"/>
      <c r="DU112" s="46"/>
      <c r="DV112" s="46"/>
      <c r="DW112" s="46"/>
      <c r="DX112" s="46"/>
      <c r="DY112" s="46"/>
      <c r="DZ112" s="46"/>
      <c r="EA112" s="93">
        <f t="shared" si="29"/>
        <v>0</v>
      </c>
      <c r="EC112" s="46"/>
      <c r="ED112" s="46"/>
      <c r="EE112" s="46"/>
      <c r="EF112" s="46"/>
      <c r="EG112" s="46"/>
      <c r="EH112" s="46"/>
      <c r="EI112" s="46"/>
      <c r="EJ112" s="46"/>
      <c r="EK112" s="46"/>
      <c r="EL112" s="46"/>
      <c r="EM112" s="46"/>
      <c r="EN112" s="46"/>
      <c r="EO112" s="46"/>
      <c r="EP112" s="46"/>
      <c r="EQ112" s="46"/>
      <c r="ER112" s="46"/>
      <c r="ES112" s="46"/>
      <c r="ET112" s="46"/>
      <c r="EU112" s="46"/>
      <c r="EV112" s="46"/>
      <c r="EW112" s="46"/>
      <c r="EX112" s="46"/>
      <c r="EY112" s="46"/>
      <c r="EZ112" s="46"/>
      <c r="FA112" s="46"/>
      <c r="FB112" s="46"/>
      <c r="FC112" s="46"/>
      <c r="FD112" s="46"/>
      <c r="FE112" s="46"/>
      <c r="FF112" s="46"/>
      <c r="FG112" s="46"/>
      <c r="FH112" s="93">
        <f t="shared" si="30"/>
        <v>0</v>
      </c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93">
        <f t="shared" si="31"/>
        <v>0</v>
      </c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93">
        <f t="shared" si="32"/>
        <v>0</v>
      </c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  <c r="IT112" s="46"/>
      <c r="IU112" s="46"/>
      <c r="IV112" s="46"/>
      <c r="IW112" s="46"/>
      <c r="IX112" s="46"/>
      <c r="IY112" s="46"/>
      <c r="IZ112" s="46"/>
      <c r="JA112" s="46"/>
      <c r="JB112" s="46"/>
      <c r="JC112" s="93">
        <f t="shared" si="33"/>
        <v>0</v>
      </c>
      <c r="JE112" s="46"/>
      <c r="JF112" s="46"/>
      <c r="JG112" s="46"/>
      <c r="JH112" s="46"/>
      <c r="JI112" s="46"/>
      <c r="JJ112" s="46"/>
      <c r="JK112" s="46"/>
      <c r="JL112" s="46"/>
      <c r="JM112" s="46"/>
      <c r="JN112" s="46"/>
      <c r="JO112" s="46"/>
      <c r="JP112" s="46"/>
      <c r="JQ112" s="46"/>
      <c r="JR112" s="46"/>
      <c r="JS112" s="46"/>
      <c r="JT112" s="46"/>
      <c r="JU112" s="46"/>
      <c r="JV112" s="46"/>
      <c r="JW112" s="46"/>
      <c r="JX112" s="46"/>
      <c r="JY112" s="46"/>
      <c r="JZ112" s="46"/>
      <c r="KA112" s="46"/>
      <c r="KB112" s="46"/>
      <c r="KC112" s="46"/>
      <c r="KD112" s="46"/>
      <c r="KE112" s="46"/>
      <c r="KF112" s="46"/>
      <c r="KG112" s="46"/>
      <c r="KH112" s="46"/>
      <c r="KI112" s="46"/>
      <c r="KJ112" s="93">
        <f t="shared" si="34"/>
        <v>0</v>
      </c>
    </row>
    <row r="113" spans="1:296" ht="20.149999999999999" customHeight="1" x14ac:dyDescent="0.5">
      <c r="A113" s="84">
        <f t="shared" si="35"/>
        <v>104</v>
      </c>
      <c r="B113" s="141" t="s">
        <v>89</v>
      </c>
      <c r="C113" s="155" t="s">
        <v>327</v>
      </c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>
        <f t="shared" si="18"/>
        <v>0</v>
      </c>
      <c r="S113" s="46">
        <f t="shared" si="19"/>
        <v>0</v>
      </c>
      <c r="T113" s="46">
        <f t="shared" si="20"/>
        <v>0</v>
      </c>
      <c r="U113" s="46">
        <f t="shared" si="21"/>
        <v>0</v>
      </c>
      <c r="V113" s="46">
        <f t="shared" si="22"/>
        <v>0</v>
      </c>
      <c r="W113" s="46">
        <f t="shared" si="23"/>
        <v>0</v>
      </c>
      <c r="X113" s="46">
        <f t="shared" si="24"/>
        <v>0</v>
      </c>
      <c r="Y113" s="46">
        <f t="shared" si="25"/>
        <v>0</v>
      </c>
      <c r="Z113" s="90">
        <f t="shared" si="26"/>
        <v>0</v>
      </c>
      <c r="AA113" s="95"/>
      <c r="AB113" s="95">
        <f>'LPLPO GUDANG'!H118</f>
        <v>0</v>
      </c>
      <c r="AC113" s="91"/>
      <c r="AD113" s="91"/>
      <c r="AE113" s="91"/>
      <c r="AF113" s="91"/>
      <c r="AG113" s="92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93">
        <f t="shared" si="27"/>
        <v>0</v>
      </c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93">
        <f t="shared" si="28"/>
        <v>0</v>
      </c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  <c r="DG113" s="46"/>
      <c r="DH113" s="46"/>
      <c r="DI113" s="46"/>
      <c r="DJ113" s="46"/>
      <c r="DK113" s="46"/>
      <c r="DL113" s="46"/>
      <c r="DM113" s="46"/>
      <c r="DN113" s="46"/>
      <c r="DO113" s="46"/>
      <c r="DP113" s="46"/>
      <c r="DQ113" s="46"/>
      <c r="DR113" s="46"/>
      <c r="DS113" s="46"/>
      <c r="DT113" s="46"/>
      <c r="DU113" s="46"/>
      <c r="DV113" s="46"/>
      <c r="DW113" s="46"/>
      <c r="DX113" s="46"/>
      <c r="DY113" s="46"/>
      <c r="DZ113" s="46"/>
      <c r="EA113" s="93">
        <f t="shared" si="29"/>
        <v>0</v>
      </c>
      <c r="EC113" s="46"/>
      <c r="ED113" s="46"/>
      <c r="EE113" s="46"/>
      <c r="EF113" s="46"/>
      <c r="EG113" s="46"/>
      <c r="EH113" s="46"/>
      <c r="EI113" s="46"/>
      <c r="EJ113" s="46"/>
      <c r="EK113" s="46"/>
      <c r="EL113" s="46"/>
      <c r="EM113" s="46"/>
      <c r="EN113" s="46"/>
      <c r="EO113" s="46"/>
      <c r="EP113" s="46"/>
      <c r="EQ113" s="46"/>
      <c r="ER113" s="46"/>
      <c r="ES113" s="46"/>
      <c r="ET113" s="46"/>
      <c r="EU113" s="46"/>
      <c r="EV113" s="46"/>
      <c r="EW113" s="46"/>
      <c r="EX113" s="46"/>
      <c r="EY113" s="46"/>
      <c r="EZ113" s="46"/>
      <c r="FA113" s="46"/>
      <c r="FB113" s="46"/>
      <c r="FC113" s="46"/>
      <c r="FD113" s="46"/>
      <c r="FE113" s="46"/>
      <c r="FF113" s="46"/>
      <c r="FG113" s="46"/>
      <c r="FH113" s="93">
        <f t="shared" si="30"/>
        <v>0</v>
      </c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93">
        <f t="shared" si="31"/>
        <v>0</v>
      </c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93">
        <f t="shared" si="32"/>
        <v>0</v>
      </c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  <c r="IT113" s="46"/>
      <c r="IU113" s="46"/>
      <c r="IV113" s="46"/>
      <c r="IW113" s="46"/>
      <c r="IX113" s="46"/>
      <c r="IY113" s="46"/>
      <c r="IZ113" s="46"/>
      <c r="JA113" s="46"/>
      <c r="JB113" s="46"/>
      <c r="JC113" s="93">
        <f t="shared" si="33"/>
        <v>0</v>
      </c>
      <c r="JE113" s="46"/>
      <c r="JF113" s="46"/>
      <c r="JG113" s="46"/>
      <c r="JH113" s="46"/>
      <c r="JI113" s="46"/>
      <c r="JJ113" s="46"/>
      <c r="JK113" s="46"/>
      <c r="JL113" s="46"/>
      <c r="JM113" s="46"/>
      <c r="JN113" s="46"/>
      <c r="JO113" s="46"/>
      <c r="JP113" s="46"/>
      <c r="JQ113" s="46"/>
      <c r="JR113" s="46"/>
      <c r="JS113" s="46"/>
      <c r="JT113" s="46"/>
      <c r="JU113" s="46"/>
      <c r="JV113" s="46"/>
      <c r="JW113" s="46"/>
      <c r="JX113" s="46"/>
      <c r="JY113" s="46"/>
      <c r="JZ113" s="46"/>
      <c r="KA113" s="46"/>
      <c r="KB113" s="46"/>
      <c r="KC113" s="46"/>
      <c r="KD113" s="46"/>
      <c r="KE113" s="46"/>
      <c r="KF113" s="46"/>
      <c r="KG113" s="46"/>
      <c r="KH113" s="46"/>
      <c r="KI113" s="46"/>
      <c r="KJ113" s="93">
        <f t="shared" si="34"/>
        <v>0</v>
      </c>
    </row>
    <row r="114" spans="1:296" x14ac:dyDescent="0.5">
      <c r="A114" s="84">
        <f t="shared" si="35"/>
        <v>105</v>
      </c>
      <c r="B114" s="141" t="s">
        <v>90</v>
      </c>
      <c r="C114" s="154" t="s">
        <v>322</v>
      </c>
      <c r="D114" s="46"/>
      <c r="E114" s="46"/>
      <c r="F114" s="46"/>
      <c r="G114" s="46"/>
      <c r="H114" s="46">
        <v>5</v>
      </c>
      <c r="I114" s="46"/>
      <c r="J114" s="46"/>
      <c r="K114" s="46"/>
      <c r="L114" s="46"/>
      <c r="M114" s="46"/>
      <c r="N114" s="46"/>
      <c r="O114" s="46"/>
      <c r="P114" s="46"/>
      <c r="Q114" s="46"/>
      <c r="R114" s="46">
        <f t="shared" si="18"/>
        <v>255</v>
      </c>
      <c r="S114" s="46">
        <f t="shared" si="19"/>
        <v>20</v>
      </c>
      <c r="T114" s="46">
        <f t="shared" si="20"/>
        <v>0</v>
      </c>
      <c r="U114" s="46">
        <f t="shared" si="21"/>
        <v>0</v>
      </c>
      <c r="V114" s="46">
        <f t="shared" si="22"/>
        <v>20</v>
      </c>
      <c r="W114" s="46">
        <f t="shared" si="23"/>
        <v>0</v>
      </c>
      <c r="X114" s="46">
        <f t="shared" si="24"/>
        <v>0</v>
      </c>
      <c r="Y114" s="46">
        <f t="shared" si="25"/>
        <v>0</v>
      </c>
      <c r="Z114" s="90">
        <f t="shared" si="26"/>
        <v>300</v>
      </c>
      <c r="AA114" s="95"/>
      <c r="AB114" s="95">
        <f>'LPLPO GUDANG'!H119</f>
        <v>0</v>
      </c>
      <c r="AC114" s="91"/>
      <c r="AD114" s="91"/>
      <c r="AE114" s="91"/>
      <c r="AF114" s="91"/>
      <c r="AG114" s="92"/>
      <c r="AH114" s="46"/>
      <c r="AI114" s="46"/>
      <c r="AJ114" s="46"/>
      <c r="AK114" s="46"/>
      <c r="AL114" s="46"/>
      <c r="AM114" s="46"/>
      <c r="AN114" s="46"/>
      <c r="AO114" s="46"/>
      <c r="AP114" s="46">
        <v>100</v>
      </c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>
        <v>155</v>
      </c>
      <c r="BF114" s="46"/>
      <c r="BG114" s="46"/>
      <c r="BH114" s="46"/>
      <c r="BI114" s="46"/>
      <c r="BJ114" s="46"/>
      <c r="BK114" s="46"/>
      <c r="BL114" s="46"/>
      <c r="BM114" s="93">
        <f t="shared" si="27"/>
        <v>255</v>
      </c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>
        <v>20</v>
      </c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93">
        <f t="shared" si="28"/>
        <v>20</v>
      </c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  <c r="DG114" s="46"/>
      <c r="DH114" s="46"/>
      <c r="DI114" s="46"/>
      <c r="DJ114" s="46"/>
      <c r="DK114" s="46"/>
      <c r="DL114" s="46"/>
      <c r="DM114" s="46"/>
      <c r="DN114" s="46"/>
      <c r="DO114" s="46"/>
      <c r="DP114" s="46"/>
      <c r="DQ114" s="46"/>
      <c r="DR114" s="46"/>
      <c r="DS114" s="46"/>
      <c r="DT114" s="46"/>
      <c r="DU114" s="46"/>
      <c r="DV114" s="46"/>
      <c r="DW114" s="46"/>
      <c r="DX114" s="46"/>
      <c r="DY114" s="46"/>
      <c r="DZ114" s="46"/>
      <c r="EA114" s="93">
        <f t="shared" si="29"/>
        <v>0</v>
      </c>
      <c r="EC114" s="46"/>
      <c r="ED114" s="46"/>
      <c r="EE114" s="46"/>
      <c r="EF114" s="46"/>
      <c r="EG114" s="46"/>
      <c r="EH114" s="46"/>
      <c r="EI114" s="46"/>
      <c r="EJ114" s="46"/>
      <c r="EK114" s="46"/>
      <c r="EL114" s="46"/>
      <c r="EM114" s="46"/>
      <c r="EN114" s="46"/>
      <c r="EO114" s="46"/>
      <c r="EP114" s="46"/>
      <c r="EQ114" s="46"/>
      <c r="ER114" s="46"/>
      <c r="ES114" s="46"/>
      <c r="ET114" s="46"/>
      <c r="EU114" s="46"/>
      <c r="EV114" s="46"/>
      <c r="EW114" s="46"/>
      <c r="EX114" s="46"/>
      <c r="EY114" s="46"/>
      <c r="EZ114" s="46"/>
      <c r="FA114" s="46"/>
      <c r="FB114" s="46"/>
      <c r="FC114" s="46"/>
      <c r="FD114" s="46"/>
      <c r="FE114" s="46"/>
      <c r="FF114" s="46"/>
      <c r="FG114" s="46"/>
      <c r="FH114" s="93">
        <f t="shared" si="30"/>
        <v>0</v>
      </c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>
        <v>20</v>
      </c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93">
        <f t="shared" si="31"/>
        <v>20</v>
      </c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93">
        <f t="shared" si="32"/>
        <v>0</v>
      </c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  <c r="IT114" s="46"/>
      <c r="IU114" s="46"/>
      <c r="IV114" s="46"/>
      <c r="IW114" s="46"/>
      <c r="IX114" s="46"/>
      <c r="IY114" s="46"/>
      <c r="IZ114" s="46"/>
      <c r="JA114" s="46"/>
      <c r="JB114" s="46"/>
      <c r="JC114" s="93">
        <f t="shared" si="33"/>
        <v>0</v>
      </c>
      <c r="JE114" s="46"/>
      <c r="JF114" s="46"/>
      <c r="JG114" s="46"/>
      <c r="JH114" s="46"/>
      <c r="JI114" s="46"/>
      <c r="JJ114" s="46"/>
      <c r="JK114" s="46"/>
      <c r="JL114" s="46"/>
      <c r="JM114" s="46"/>
      <c r="JN114" s="46"/>
      <c r="JO114" s="46"/>
      <c r="JP114" s="46"/>
      <c r="JQ114" s="46"/>
      <c r="JR114" s="46"/>
      <c r="JS114" s="46"/>
      <c r="JT114" s="46"/>
      <c r="JU114" s="46"/>
      <c r="JV114" s="46"/>
      <c r="JW114" s="46"/>
      <c r="JX114" s="46"/>
      <c r="JY114" s="46"/>
      <c r="JZ114" s="46"/>
      <c r="KA114" s="46"/>
      <c r="KB114" s="46"/>
      <c r="KC114" s="46"/>
      <c r="KD114" s="46"/>
      <c r="KE114" s="46"/>
      <c r="KF114" s="46"/>
      <c r="KG114" s="46"/>
      <c r="KH114" s="46"/>
      <c r="KI114" s="46"/>
      <c r="KJ114" s="93">
        <f t="shared" si="34"/>
        <v>0</v>
      </c>
    </row>
    <row r="115" spans="1:296" ht="20.149999999999999" customHeight="1" x14ac:dyDescent="0.5">
      <c r="A115" s="84">
        <f t="shared" si="35"/>
        <v>106</v>
      </c>
      <c r="B115" s="142" t="s">
        <v>417</v>
      </c>
      <c r="C115" s="121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>
        <f t="shared" si="18"/>
        <v>0</v>
      </c>
      <c r="S115" s="46">
        <f t="shared" si="19"/>
        <v>0</v>
      </c>
      <c r="T115" s="46">
        <f t="shared" si="20"/>
        <v>0</v>
      </c>
      <c r="U115" s="46">
        <f t="shared" si="21"/>
        <v>0</v>
      </c>
      <c r="V115" s="46">
        <f t="shared" si="22"/>
        <v>0</v>
      </c>
      <c r="W115" s="46">
        <f t="shared" si="23"/>
        <v>0</v>
      </c>
      <c r="X115" s="46">
        <f t="shared" si="24"/>
        <v>0</v>
      </c>
      <c r="Y115" s="46">
        <f t="shared" si="25"/>
        <v>0</v>
      </c>
      <c r="Z115" s="90">
        <f t="shared" si="26"/>
        <v>0</v>
      </c>
      <c r="AA115" s="95"/>
      <c r="AB115" s="92">
        <f>'LPLPO GUDANG'!H120</f>
        <v>300</v>
      </c>
      <c r="AC115" s="91"/>
      <c r="AD115" s="91"/>
      <c r="AE115" s="91"/>
      <c r="AF115" s="150"/>
      <c r="AG115" s="92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93">
        <f t="shared" si="27"/>
        <v>0</v>
      </c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93">
        <f t="shared" si="28"/>
        <v>0</v>
      </c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  <c r="DG115" s="46"/>
      <c r="DH115" s="46"/>
      <c r="DI115" s="46"/>
      <c r="DJ115" s="46"/>
      <c r="DK115" s="46"/>
      <c r="DL115" s="46"/>
      <c r="DM115" s="46"/>
      <c r="DN115" s="46"/>
      <c r="DO115" s="46"/>
      <c r="DP115" s="46"/>
      <c r="DQ115" s="46"/>
      <c r="DR115" s="46"/>
      <c r="DS115" s="46"/>
      <c r="DT115" s="46"/>
      <c r="DU115" s="46"/>
      <c r="DV115" s="46"/>
      <c r="DW115" s="46"/>
      <c r="DX115" s="46"/>
      <c r="DY115" s="46"/>
      <c r="DZ115" s="46"/>
      <c r="EA115" s="93">
        <f t="shared" si="29"/>
        <v>0</v>
      </c>
      <c r="EC115" s="46"/>
      <c r="ED115" s="46"/>
      <c r="EE115" s="46"/>
      <c r="EF115" s="46"/>
      <c r="EG115" s="46"/>
      <c r="EH115" s="46"/>
      <c r="EI115" s="46"/>
      <c r="EJ115" s="46"/>
      <c r="EK115" s="46"/>
      <c r="EL115" s="46"/>
      <c r="EM115" s="46"/>
      <c r="EN115" s="46"/>
      <c r="EO115" s="46"/>
      <c r="EP115" s="46"/>
      <c r="EQ115" s="46"/>
      <c r="ER115" s="46"/>
      <c r="ES115" s="46"/>
      <c r="ET115" s="46"/>
      <c r="EU115" s="46"/>
      <c r="EV115" s="46"/>
      <c r="EW115" s="46"/>
      <c r="EX115" s="46"/>
      <c r="EY115" s="46"/>
      <c r="EZ115" s="46"/>
      <c r="FA115" s="46"/>
      <c r="FB115" s="46"/>
      <c r="FC115" s="46"/>
      <c r="FD115" s="46"/>
      <c r="FE115" s="46"/>
      <c r="FF115" s="46"/>
      <c r="FG115" s="46"/>
      <c r="FH115" s="93">
        <f t="shared" si="30"/>
        <v>0</v>
      </c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93">
        <f t="shared" si="31"/>
        <v>0</v>
      </c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93">
        <f t="shared" si="32"/>
        <v>0</v>
      </c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  <c r="IT115" s="46"/>
      <c r="IU115" s="46"/>
      <c r="IV115" s="46"/>
      <c r="IW115" s="46"/>
      <c r="IX115" s="46"/>
      <c r="IY115" s="46"/>
      <c r="IZ115" s="46"/>
      <c r="JA115" s="46"/>
      <c r="JB115" s="46"/>
      <c r="JC115" s="93">
        <f t="shared" si="33"/>
        <v>0</v>
      </c>
      <c r="JE115" s="46"/>
      <c r="JF115" s="46"/>
      <c r="JG115" s="46"/>
      <c r="JH115" s="46"/>
      <c r="JI115" s="46"/>
      <c r="JJ115" s="46"/>
      <c r="JK115" s="46"/>
      <c r="JL115" s="46"/>
      <c r="JM115" s="46"/>
      <c r="JN115" s="46"/>
      <c r="JO115" s="46"/>
      <c r="JP115" s="46"/>
      <c r="JQ115" s="46"/>
      <c r="JR115" s="46"/>
      <c r="JS115" s="46"/>
      <c r="JT115" s="46"/>
      <c r="JU115" s="46"/>
      <c r="JV115" s="46"/>
      <c r="JW115" s="46"/>
      <c r="JX115" s="46"/>
      <c r="JY115" s="46"/>
      <c r="JZ115" s="46"/>
      <c r="KA115" s="46"/>
      <c r="KB115" s="46"/>
      <c r="KC115" s="46"/>
      <c r="KD115" s="46"/>
      <c r="KE115" s="46"/>
      <c r="KF115" s="46"/>
      <c r="KG115" s="46"/>
      <c r="KH115" s="46"/>
      <c r="KI115" s="46"/>
      <c r="KJ115" s="93">
        <f t="shared" si="34"/>
        <v>0</v>
      </c>
    </row>
    <row r="116" spans="1:296" x14ac:dyDescent="0.5">
      <c r="A116" s="84">
        <f t="shared" si="35"/>
        <v>107</v>
      </c>
      <c r="B116" s="141" t="s">
        <v>325</v>
      </c>
      <c r="C116" s="155" t="s">
        <v>4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>
        <f t="shared" si="18"/>
        <v>0</v>
      </c>
      <c r="S116" s="46">
        <f t="shared" si="19"/>
        <v>10</v>
      </c>
      <c r="T116" s="46">
        <f t="shared" si="20"/>
        <v>0</v>
      </c>
      <c r="U116" s="46">
        <f t="shared" si="21"/>
        <v>0</v>
      </c>
      <c r="V116" s="46">
        <f t="shared" si="22"/>
        <v>0</v>
      </c>
      <c r="W116" s="46">
        <f t="shared" si="23"/>
        <v>0</v>
      </c>
      <c r="X116" s="46">
        <f t="shared" si="24"/>
        <v>0</v>
      </c>
      <c r="Y116" s="46">
        <f t="shared" si="25"/>
        <v>0</v>
      </c>
      <c r="Z116" s="90">
        <f t="shared" si="26"/>
        <v>10</v>
      </c>
      <c r="AA116" s="95"/>
      <c r="AB116" s="95">
        <f>'LPLPO GUDANG'!H121</f>
        <v>0</v>
      </c>
      <c r="AC116" s="91"/>
      <c r="AD116" s="91"/>
      <c r="AE116" s="91"/>
      <c r="AF116" s="91"/>
      <c r="AG116" s="92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93">
        <f t="shared" si="27"/>
        <v>0</v>
      </c>
      <c r="BO116" s="46"/>
      <c r="BP116" s="46"/>
      <c r="BQ116" s="46"/>
      <c r="BR116" s="46"/>
      <c r="BS116" s="46"/>
      <c r="BT116" s="46"/>
      <c r="BU116" s="46">
        <v>10</v>
      </c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93">
        <f t="shared" si="28"/>
        <v>10</v>
      </c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  <c r="DG116" s="46"/>
      <c r="DH116" s="46"/>
      <c r="DI116" s="46"/>
      <c r="DJ116" s="46"/>
      <c r="DK116" s="46"/>
      <c r="DL116" s="46"/>
      <c r="DM116" s="46"/>
      <c r="DN116" s="46"/>
      <c r="DO116" s="46"/>
      <c r="DP116" s="46"/>
      <c r="DQ116" s="46"/>
      <c r="DR116" s="46"/>
      <c r="DS116" s="46"/>
      <c r="DT116" s="46"/>
      <c r="DU116" s="46"/>
      <c r="DV116" s="46"/>
      <c r="DW116" s="46"/>
      <c r="DX116" s="46"/>
      <c r="DY116" s="46"/>
      <c r="DZ116" s="46"/>
      <c r="EA116" s="93">
        <f t="shared" si="29"/>
        <v>0</v>
      </c>
      <c r="EC116" s="46"/>
      <c r="ED116" s="46"/>
      <c r="EE116" s="46"/>
      <c r="EF116" s="46"/>
      <c r="EG116" s="46"/>
      <c r="EH116" s="46"/>
      <c r="EI116" s="46"/>
      <c r="EJ116" s="46"/>
      <c r="EK116" s="46"/>
      <c r="EL116" s="46"/>
      <c r="EM116" s="46"/>
      <c r="EN116" s="46"/>
      <c r="EO116" s="46"/>
      <c r="EP116" s="46"/>
      <c r="EQ116" s="46"/>
      <c r="ER116" s="46"/>
      <c r="ES116" s="46"/>
      <c r="ET116" s="46"/>
      <c r="EU116" s="46"/>
      <c r="EV116" s="46"/>
      <c r="EW116" s="46"/>
      <c r="EX116" s="46"/>
      <c r="EY116" s="46"/>
      <c r="EZ116" s="46"/>
      <c r="FA116" s="46"/>
      <c r="FB116" s="46"/>
      <c r="FC116" s="46"/>
      <c r="FD116" s="46"/>
      <c r="FE116" s="46"/>
      <c r="FF116" s="46"/>
      <c r="FG116" s="46"/>
      <c r="FH116" s="93">
        <f t="shared" si="30"/>
        <v>0</v>
      </c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93">
        <f t="shared" si="31"/>
        <v>0</v>
      </c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93">
        <f t="shared" si="32"/>
        <v>0</v>
      </c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  <c r="IT116" s="46"/>
      <c r="IU116" s="46"/>
      <c r="IV116" s="46"/>
      <c r="IW116" s="46"/>
      <c r="IX116" s="46"/>
      <c r="IY116" s="46"/>
      <c r="IZ116" s="46"/>
      <c r="JA116" s="46"/>
      <c r="JB116" s="46"/>
      <c r="JC116" s="93">
        <f t="shared" si="33"/>
        <v>0</v>
      </c>
      <c r="JE116" s="46"/>
      <c r="JF116" s="46"/>
      <c r="JG116" s="46"/>
      <c r="JH116" s="46"/>
      <c r="JI116" s="46"/>
      <c r="JJ116" s="46"/>
      <c r="JK116" s="46"/>
      <c r="JL116" s="46"/>
      <c r="JM116" s="46"/>
      <c r="JN116" s="46"/>
      <c r="JO116" s="46"/>
      <c r="JP116" s="46"/>
      <c r="JQ116" s="46"/>
      <c r="JR116" s="46"/>
      <c r="JS116" s="46"/>
      <c r="JT116" s="46"/>
      <c r="JU116" s="46"/>
      <c r="JV116" s="46"/>
      <c r="JW116" s="46"/>
      <c r="JX116" s="46"/>
      <c r="JY116" s="46"/>
      <c r="JZ116" s="46"/>
      <c r="KA116" s="46"/>
      <c r="KB116" s="46"/>
      <c r="KC116" s="46"/>
      <c r="KD116" s="46"/>
      <c r="KE116" s="46"/>
      <c r="KF116" s="46"/>
      <c r="KG116" s="46"/>
      <c r="KH116" s="46"/>
      <c r="KI116" s="46"/>
      <c r="KJ116" s="93">
        <f t="shared" si="34"/>
        <v>0</v>
      </c>
    </row>
    <row r="117" spans="1:296" ht="20.149999999999999" customHeight="1" x14ac:dyDescent="0.5">
      <c r="A117" s="84">
        <f t="shared" si="35"/>
        <v>108</v>
      </c>
      <c r="B117" s="141" t="s">
        <v>91</v>
      </c>
      <c r="C117" s="159" t="s">
        <v>327</v>
      </c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>
        <f t="shared" si="18"/>
        <v>0</v>
      </c>
      <c r="S117" s="46">
        <f t="shared" si="19"/>
        <v>0</v>
      </c>
      <c r="T117" s="46">
        <f t="shared" si="20"/>
        <v>0</v>
      </c>
      <c r="U117" s="46">
        <f t="shared" si="21"/>
        <v>0</v>
      </c>
      <c r="V117" s="46">
        <f t="shared" si="22"/>
        <v>0</v>
      </c>
      <c r="W117" s="46">
        <f t="shared" si="23"/>
        <v>0</v>
      </c>
      <c r="X117" s="46">
        <f t="shared" si="24"/>
        <v>0</v>
      </c>
      <c r="Y117" s="46">
        <f t="shared" si="25"/>
        <v>0</v>
      </c>
      <c r="Z117" s="90">
        <f t="shared" si="26"/>
        <v>0</v>
      </c>
      <c r="AA117" s="95"/>
      <c r="AB117" s="95">
        <f>'LPLPO GUDANG'!H122</f>
        <v>0</v>
      </c>
      <c r="AC117" s="91"/>
      <c r="AD117" s="91"/>
      <c r="AE117" s="91"/>
      <c r="AF117" s="91"/>
      <c r="AG117" s="92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93">
        <f t="shared" si="27"/>
        <v>0</v>
      </c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  <c r="CK117" s="46"/>
      <c r="CL117" s="46"/>
      <c r="CM117" s="46"/>
      <c r="CN117" s="46"/>
      <c r="CO117" s="46"/>
      <c r="CP117" s="46"/>
      <c r="CQ117" s="46"/>
      <c r="CR117" s="46"/>
      <c r="CS117" s="46"/>
      <c r="CT117" s="93">
        <f t="shared" si="28"/>
        <v>0</v>
      </c>
      <c r="CV117" s="46"/>
      <c r="CW117" s="46"/>
      <c r="CX117" s="46"/>
      <c r="CY117" s="46"/>
      <c r="CZ117" s="46"/>
      <c r="DA117" s="46"/>
      <c r="DB117" s="46"/>
      <c r="DC117" s="46"/>
      <c r="DD117" s="46"/>
      <c r="DE117" s="46"/>
      <c r="DF117" s="46"/>
      <c r="DG117" s="46"/>
      <c r="DH117" s="46"/>
      <c r="DI117" s="46"/>
      <c r="DJ117" s="46"/>
      <c r="DK117" s="46"/>
      <c r="DL117" s="46"/>
      <c r="DM117" s="46"/>
      <c r="DN117" s="46"/>
      <c r="DO117" s="46"/>
      <c r="DP117" s="46"/>
      <c r="DQ117" s="46"/>
      <c r="DR117" s="46"/>
      <c r="DS117" s="46"/>
      <c r="DT117" s="46"/>
      <c r="DU117" s="46"/>
      <c r="DV117" s="46"/>
      <c r="DW117" s="46"/>
      <c r="DX117" s="46"/>
      <c r="DY117" s="46"/>
      <c r="DZ117" s="46"/>
      <c r="EA117" s="93">
        <f t="shared" si="29"/>
        <v>0</v>
      </c>
      <c r="EC117" s="46"/>
      <c r="ED117" s="46"/>
      <c r="EE117" s="46"/>
      <c r="EF117" s="46"/>
      <c r="EG117" s="46"/>
      <c r="EH117" s="46"/>
      <c r="EI117" s="46"/>
      <c r="EJ117" s="46"/>
      <c r="EK117" s="46"/>
      <c r="EL117" s="46"/>
      <c r="EM117" s="46"/>
      <c r="EN117" s="46"/>
      <c r="EO117" s="46"/>
      <c r="EP117" s="46"/>
      <c r="EQ117" s="46"/>
      <c r="ER117" s="46"/>
      <c r="ES117" s="46"/>
      <c r="ET117" s="46"/>
      <c r="EU117" s="46"/>
      <c r="EV117" s="46"/>
      <c r="EW117" s="46"/>
      <c r="EX117" s="46"/>
      <c r="EY117" s="46"/>
      <c r="EZ117" s="46"/>
      <c r="FA117" s="46"/>
      <c r="FB117" s="46"/>
      <c r="FC117" s="46"/>
      <c r="FD117" s="46"/>
      <c r="FE117" s="46"/>
      <c r="FF117" s="46"/>
      <c r="FG117" s="46"/>
      <c r="FH117" s="93">
        <f t="shared" si="30"/>
        <v>0</v>
      </c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93">
        <f t="shared" si="31"/>
        <v>0</v>
      </c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93">
        <f t="shared" si="32"/>
        <v>0</v>
      </c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  <c r="IT117" s="46"/>
      <c r="IU117" s="46"/>
      <c r="IV117" s="46"/>
      <c r="IW117" s="46"/>
      <c r="IX117" s="46"/>
      <c r="IY117" s="46"/>
      <c r="IZ117" s="46"/>
      <c r="JA117" s="46"/>
      <c r="JB117" s="46"/>
      <c r="JC117" s="93">
        <f t="shared" si="33"/>
        <v>0</v>
      </c>
      <c r="JE117" s="46"/>
      <c r="JF117" s="46"/>
      <c r="JG117" s="46"/>
      <c r="JH117" s="46"/>
      <c r="JI117" s="46"/>
      <c r="JJ117" s="46"/>
      <c r="JK117" s="46"/>
      <c r="JL117" s="46"/>
      <c r="JM117" s="46"/>
      <c r="JN117" s="46"/>
      <c r="JO117" s="46"/>
      <c r="JP117" s="46"/>
      <c r="JQ117" s="46"/>
      <c r="JR117" s="46"/>
      <c r="JS117" s="46"/>
      <c r="JT117" s="46"/>
      <c r="JU117" s="46"/>
      <c r="JV117" s="46"/>
      <c r="JW117" s="46"/>
      <c r="JX117" s="46"/>
      <c r="JY117" s="46"/>
      <c r="JZ117" s="46"/>
      <c r="KA117" s="46"/>
      <c r="KB117" s="46"/>
      <c r="KC117" s="46"/>
      <c r="KD117" s="46"/>
      <c r="KE117" s="46"/>
      <c r="KF117" s="46"/>
      <c r="KG117" s="46"/>
      <c r="KH117" s="46"/>
      <c r="KI117" s="46"/>
      <c r="KJ117" s="93">
        <f t="shared" si="34"/>
        <v>0</v>
      </c>
    </row>
    <row r="118" spans="1:296" ht="20.149999999999999" customHeight="1" x14ac:dyDescent="0.5">
      <c r="A118" s="84">
        <f t="shared" si="35"/>
        <v>109</v>
      </c>
      <c r="B118" s="141" t="s">
        <v>92</v>
      </c>
      <c r="C118" s="165" t="s">
        <v>351</v>
      </c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>
        <f t="shared" si="18"/>
        <v>0</v>
      </c>
      <c r="S118" s="46">
        <f t="shared" si="19"/>
        <v>0</v>
      </c>
      <c r="T118" s="46">
        <f t="shared" si="20"/>
        <v>0</v>
      </c>
      <c r="U118" s="46">
        <f t="shared" si="21"/>
        <v>0</v>
      </c>
      <c r="V118" s="46">
        <f t="shared" si="22"/>
        <v>0</v>
      </c>
      <c r="W118" s="46">
        <f t="shared" si="23"/>
        <v>0</v>
      </c>
      <c r="X118" s="46">
        <f t="shared" si="24"/>
        <v>0</v>
      </c>
      <c r="Y118" s="46">
        <f t="shared" si="25"/>
        <v>0</v>
      </c>
      <c r="Z118" s="90">
        <f t="shared" si="26"/>
        <v>0</v>
      </c>
      <c r="AA118" s="95"/>
      <c r="AB118" s="92">
        <f>'LPLPO GUDANG'!H123</f>
        <v>36</v>
      </c>
      <c r="AC118" s="91"/>
      <c r="AD118" s="91"/>
      <c r="AE118" s="91"/>
      <c r="AF118" s="91"/>
      <c r="AG118" s="92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93">
        <f t="shared" si="27"/>
        <v>0</v>
      </c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  <c r="CK118" s="46"/>
      <c r="CL118" s="46"/>
      <c r="CM118" s="46"/>
      <c r="CN118" s="46"/>
      <c r="CO118" s="46"/>
      <c r="CP118" s="46"/>
      <c r="CQ118" s="46"/>
      <c r="CR118" s="46"/>
      <c r="CS118" s="46"/>
      <c r="CT118" s="93">
        <f t="shared" si="28"/>
        <v>0</v>
      </c>
      <c r="CV118" s="46"/>
      <c r="CW118" s="46"/>
      <c r="CX118" s="46"/>
      <c r="CY118" s="46"/>
      <c r="CZ118" s="46"/>
      <c r="DA118" s="46"/>
      <c r="DB118" s="46"/>
      <c r="DC118" s="46"/>
      <c r="DD118" s="46"/>
      <c r="DE118" s="46"/>
      <c r="DF118" s="46"/>
      <c r="DG118" s="46"/>
      <c r="DH118" s="46"/>
      <c r="DI118" s="46"/>
      <c r="DJ118" s="46"/>
      <c r="DK118" s="46"/>
      <c r="DL118" s="46"/>
      <c r="DM118" s="46"/>
      <c r="DN118" s="46"/>
      <c r="DO118" s="46"/>
      <c r="DP118" s="46"/>
      <c r="DQ118" s="46"/>
      <c r="DR118" s="46"/>
      <c r="DS118" s="46"/>
      <c r="DT118" s="46"/>
      <c r="DU118" s="46"/>
      <c r="DV118" s="46"/>
      <c r="DW118" s="46"/>
      <c r="DX118" s="46"/>
      <c r="DY118" s="46"/>
      <c r="DZ118" s="46"/>
      <c r="EA118" s="93">
        <f t="shared" si="29"/>
        <v>0</v>
      </c>
      <c r="EC118" s="46"/>
      <c r="ED118" s="46"/>
      <c r="EE118" s="46"/>
      <c r="EF118" s="46"/>
      <c r="EG118" s="46"/>
      <c r="EH118" s="46"/>
      <c r="EI118" s="46"/>
      <c r="EJ118" s="46"/>
      <c r="EK118" s="46"/>
      <c r="EL118" s="46"/>
      <c r="EM118" s="46"/>
      <c r="EN118" s="46"/>
      <c r="EO118" s="46"/>
      <c r="EP118" s="46"/>
      <c r="EQ118" s="46"/>
      <c r="ER118" s="46"/>
      <c r="ES118" s="46"/>
      <c r="ET118" s="46"/>
      <c r="EU118" s="46"/>
      <c r="EV118" s="46"/>
      <c r="EW118" s="46"/>
      <c r="EX118" s="46"/>
      <c r="EY118" s="46"/>
      <c r="EZ118" s="46"/>
      <c r="FA118" s="46"/>
      <c r="FB118" s="46"/>
      <c r="FC118" s="46"/>
      <c r="FD118" s="46"/>
      <c r="FE118" s="46"/>
      <c r="FF118" s="46"/>
      <c r="FG118" s="46"/>
      <c r="FH118" s="93">
        <f t="shared" si="30"/>
        <v>0</v>
      </c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93">
        <f t="shared" si="31"/>
        <v>0</v>
      </c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93">
        <f t="shared" si="32"/>
        <v>0</v>
      </c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  <c r="IT118" s="46"/>
      <c r="IU118" s="46"/>
      <c r="IV118" s="46"/>
      <c r="IW118" s="46"/>
      <c r="IX118" s="46"/>
      <c r="IY118" s="46"/>
      <c r="IZ118" s="46"/>
      <c r="JA118" s="46"/>
      <c r="JB118" s="46"/>
      <c r="JC118" s="93">
        <f t="shared" si="33"/>
        <v>0</v>
      </c>
      <c r="JE118" s="46"/>
      <c r="JF118" s="46"/>
      <c r="JG118" s="46"/>
      <c r="JH118" s="46"/>
      <c r="JI118" s="46"/>
      <c r="JJ118" s="46"/>
      <c r="JK118" s="46"/>
      <c r="JL118" s="46"/>
      <c r="JM118" s="46"/>
      <c r="JN118" s="46"/>
      <c r="JO118" s="46"/>
      <c r="JP118" s="46"/>
      <c r="JQ118" s="46"/>
      <c r="JR118" s="46"/>
      <c r="JS118" s="46"/>
      <c r="JT118" s="46"/>
      <c r="JU118" s="46"/>
      <c r="JV118" s="46"/>
      <c r="JW118" s="46"/>
      <c r="JX118" s="46"/>
      <c r="JY118" s="46"/>
      <c r="JZ118" s="46"/>
      <c r="KA118" s="46"/>
      <c r="KB118" s="46"/>
      <c r="KC118" s="46"/>
      <c r="KD118" s="46"/>
      <c r="KE118" s="46"/>
      <c r="KF118" s="46"/>
      <c r="KG118" s="46"/>
      <c r="KH118" s="46"/>
      <c r="KI118" s="46"/>
      <c r="KJ118" s="93">
        <f t="shared" si="34"/>
        <v>0</v>
      </c>
    </row>
    <row r="119" spans="1:296" ht="20.149999999999999" customHeight="1" x14ac:dyDescent="0.5">
      <c r="A119" s="84">
        <f t="shared" si="35"/>
        <v>110</v>
      </c>
      <c r="B119" s="141" t="s">
        <v>93</v>
      </c>
      <c r="C119" s="155" t="s">
        <v>327</v>
      </c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>
        <f t="shared" si="18"/>
        <v>0</v>
      </c>
      <c r="S119" s="46">
        <f t="shared" si="19"/>
        <v>0</v>
      </c>
      <c r="T119" s="46">
        <f t="shared" si="20"/>
        <v>0</v>
      </c>
      <c r="U119" s="46">
        <f t="shared" si="21"/>
        <v>0</v>
      </c>
      <c r="V119" s="46">
        <f t="shared" si="22"/>
        <v>0</v>
      </c>
      <c r="W119" s="46">
        <f t="shared" si="23"/>
        <v>0</v>
      </c>
      <c r="X119" s="46">
        <f t="shared" si="24"/>
        <v>0</v>
      </c>
      <c r="Y119" s="46">
        <f t="shared" si="25"/>
        <v>0</v>
      </c>
      <c r="Z119" s="90">
        <f t="shared" si="26"/>
        <v>0</v>
      </c>
      <c r="AA119" s="95"/>
      <c r="AB119" s="92">
        <f>'LPLPO GUDANG'!H124</f>
        <v>1300</v>
      </c>
      <c r="AC119" s="91"/>
      <c r="AD119" s="91"/>
      <c r="AE119" s="91"/>
      <c r="AF119" s="91"/>
      <c r="AG119" s="92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93">
        <f t="shared" si="27"/>
        <v>0</v>
      </c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  <c r="CK119" s="46"/>
      <c r="CL119" s="46"/>
      <c r="CM119" s="46"/>
      <c r="CN119" s="46"/>
      <c r="CO119" s="46"/>
      <c r="CP119" s="46"/>
      <c r="CQ119" s="46"/>
      <c r="CR119" s="46"/>
      <c r="CS119" s="46"/>
      <c r="CT119" s="93">
        <f t="shared" si="28"/>
        <v>0</v>
      </c>
      <c r="CV119" s="46"/>
      <c r="CW119" s="46"/>
      <c r="CX119" s="46"/>
      <c r="CY119" s="46"/>
      <c r="CZ119" s="46"/>
      <c r="DA119" s="46"/>
      <c r="DB119" s="46"/>
      <c r="DC119" s="46"/>
      <c r="DD119" s="46"/>
      <c r="DE119" s="46"/>
      <c r="DF119" s="46"/>
      <c r="DG119" s="46"/>
      <c r="DH119" s="46"/>
      <c r="DI119" s="46"/>
      <c r="DJ119" s="46"/>
      <c r="DK119" s="46"/>
      <c r="DL119" s="46"/>
      <c r="DM119" s="46"/>
      <c r="DN119" s="46"/>
      <c r="DO119" s="46"/>
      <c r="DP119" s="46"/>
      <c r="DQ119" s="46"/>
      <c r="DR119" s="46"/>
      <c r="DS119" s="46"/>
      <c r="DT119" s="46"/>
      <c r="DU119" s="46"/>
      <c r="DV119" s="46"/>
      <c r="DW119" s="46"/>
      <c r="DX119" s="46"/>
      <c r="DY119" s="46"/>
      <c r="DZ119" s="46"/>
      <c r="EA119" s="93">
        <f t="shared" si="29"/>
        <v>0</v>
      </c>
      <c r="EC119" s="46"/>
      <c r="ED119" s="46"/>
      <c r="EE119" s="46"/>
      <c r="EF119" s="46"/>
      <c r="EG119" s="46"/>
      <c r="EH119" s="46"/>
      <c r="EI119" s="46"/>
      <c r="EJ119" s="46"/>
      <c r="EK119" s="46"/>
      <c r="EL119" s="46"/>
      <c r="EM119" s="46"/>
      <c r="EN119" s="46"/>
      <c r="EO119" s="46"/>
      <c r="EP119" s="46"/>
      <c r="EQ119" s="46"/>
      <c r="ER119" s="46"/>
      <c r="ES119" s="46"/>
      <c r="ET119" s="46"/>
      <c r="EU119" s="46"/>
      <c r="EV119" s="46"/>
      <c r="EW119" s="46"/>
      <c r="EX119" s="46"/>
      <c r="EY119" s="46"/>
      <c r="EZ119" s="46"/>
      <c r="FA119" s="46"/>
      <c r="FB119" s="46"/>
      <c r="FC119" s="46"/>
      <c r="FD119" s="46"/>
      <c r="FE119" s="46"/>
      <c r="FF119" s="46"/>
      <c r="FG119" s="46"/>
      <c r="FH119" s="93">
        <f t="shared" si="30"/>
        <v>0</v>
      </c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93">
        <f t="shared" si="31"/>
        <v>0</v>
      </c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93">
        <f t="shared" si="32"/>
        <v>0</v>
      </c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  <c r="IT119" s="46"/>
      <c r="IU119" s="46"/>
      <c r="IV119" s="46"/>
      <c r="IW119" s="46"/>
      <c r="IX119" s="46"/>
      <c r="IY119" s="46"/>
      <c r="IZ119" s="46"/>
      <c r="JA119" s="46"/>
      <c r="JB119" s="46"/>
      <c r="JC119" s="93">
        <f t="shared" si="33"/>
        <v>0</v>
      </c>
      <c r="JE119" s="46"/>
      <c r="JF119" s="46"/>
      <c r="JG119" s="46"/>
      <c r="JH119" s="46"/>
      <c r="JI119" s="46"/>
      <c r="JJ119" s="46"/>
      <c r="JK119" s="46"/>
      <c r="JL119" s="46"/>
      <c r="JM119" s="46"/>
      <c r="JN119" s="46"/>
      <c r="JO119" s="46"/>
      <c r="JP119" s="46"/>
      <c r="JQ119" s="46"/>
      <c r="JR119" s="46"/>
      <c r="JS119" s="46"/>
      <c r="JT119" s="46"/>
      <c r="JU119" s="46"/>
      <c r="JV119" s="46"/>
      <c r="JW119" s="46"/>
      <c r="JX119" s="46"/>
      <c r="JY119" s="46"/>
      <c r="JZ119" s="46"/>
      <c r="KA119" s="46"/>
      <c r="KB119" s="46"/>
      <c r="KC119" s="46"/>
      <c r="KD119" s="46"/>
      <c r="KE119" s="46"/>
      <c r="KF119" s="46"/>
      <c r="KG119" s="46"/>
      <c r="KH119" s="46"/>
      <c r="KI119" s="46"/>
      <c r="KJ119" s="93">
        <f t="shared" si="34"/>
        <v>0</v>
      </c>
    </row>
    <row r="120" spans="1:296" ht="20.149999999999999" customHeight="1" x14ac:dyDescent="0.5">
      <c r="A120" s="84">
        <f t="shared" si="35"/>
        <v>111</v>
      </c>
      <c r="B120" s="141" t="s">
        <v>94</v>
      </c>
      <c r="C120" s="169" t="s">
        <v>64</v>
      </c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>
        <f t="shared" si="18"/>
        <v>0</v>
      </c>
      <c r="S120" s="46">
        <f t="shared" si="19"/>
        <v>0</v>
      </c>
      <c r="T120" s="46">
        <f t="shared" si="20"/>
        <v>0</v>
      </c>
      <c r="U120" s="46">
        <f t="shared" si="21"/>
        <v>0</v>
      </c>
      <c r="V120" s="46">
        <f t="shared" si="22"/>
        <v>0</v>
      </c>
      <c r="W120" s="46">
        <f t="shared" si="23"/>
        <v>0</v>
      </c>
      <c r="X120" s="46">
        <f t="shared" si="24"/>
        <v>0</v>
      </c>
      <c r="Y120" s="46">
        <f t="shared" si="25"/>
        <v>0</v>
      </c>
      <c r="Z120" s="90">
        <f t="shared" si="26"/>
        <v>0</v>
      </c>
      <c r="AA120" s="95"/>
      <c r="AB120" s="92">
        <f>'LPLPO GUDANG'!H125</f>
        <v>140</v>
      </c>
      <c r="AC120" s="91"/>
      <c r="AD120" s="91"/>
      <c r="AE120" s="91"/>
      <c r="AF120" s="91"/>
      <c r="AG120" s="92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93">
        <f t="shared" si="27"/>
        <v>0</v>
      </c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6"/>
      <c r="CK120" s="46"/>
      <c r="CL120" s="46"/>
      <c r="CM120" s="46"/>
      <c r="CN120" s="46"/>
      <c r="CO120" s="46"/>
      <c r="CP120" s="46"/>
      <c r="CQ120" s="46"/>
      <c r="CR120" s="46"/>
      <c r="CS120" s="46"/>
      <c r="CT120" s="93">
        <f t="shared" si="28"/>
        <v>0</v>
      </c>
      <c r="CV120" s="46"/>
      <c r="CW120" s="46"/>
      <c r="CX120" s="46"/>
      <c r="CY120" s="46"/>
      <c r="CZ120" s="46"/>
      <c r="DA120" s="46"/>
      <c r="DB120" s="46"/>
      <c r="DC120" s="46"/>
      <c r="DD120" s="46"/>
      <c r="DE120" s="46"/>
      <c r="DF120" s="46"/>
      <c r="DG120" s="46"/>
      <c r="DH120" s="46"/>
      <c r="DI120" s="46"/>
      <c r="DJ120" s="46"/>
      <c r="DK120" s="46"/>
      <c r="DL120" s="46"/>
      <c r="DM120" s="46"/>
      <c r="DN120" s="46"/>
      <c r="DO120" s="46"/>
      <c r="DP120" s="46"/>
      <c r="DQ120" s="46"/>
      <c r="DR120" s="46"/>
      <c r="DS120" s="46"/>
      <c r="DT120" s="46"/>
      <c r="DU120" s="46"/>
      <c r="DV120" s="46"/>
      <c r="DW120" s="46"/>
      <c r="DX120" s="46"/>
      <c r="DY120" s="46"/>
      <c r="DZ120" s="46"/>
      <c r="EA120" s="93">
        <f t="shared" si="29"/>
        <v>0</v>
      </c>
      <c r="EC120" s="46"/>
      <c r="ED120" s="46"/>
      <c r="EE120" s="46"/>
      <c r="EF120" s="46"/>
      <c r="EG120" s="46"/>
      <c r="EH120" s="46"/>
      <c r="EI120" s="46"/>
      <c r="EJ120" s="46"/>
      <c r="EK120" s="46"/>
      <c r="EL120" s="46"/>
      <c r="EM120" s="46"/>
      <c r="EN120" s="46"/>
      <c r="EO120" s="46"/>
      <c r="EP120" s="46"/>
      <c r="EQ120" s="46"/>
      <c r="ER120" s="46"/>
      <c r="ES120" s="46"/>
      <c r="ET120" s="46"/>
      <c r="EU120" s="46"/>
      <c r="EV120" s="46"/>
      <c r="EW120" s="46"/>
      <c r="EX120" s="46"/>
      <c r="EY120" s="46"/>
      <c r="EZ120" s="46"/>
      <c r="FA120" s="46"/>
      <c r="FB120" s="46"/>
      <c r="FC120" s="46"/>
      <c r="FD120" s="46"/>
      <c r="FE120" s="46"/>
      <c r="FF120" s="46"/>
      <c r="FG120" s="46"/>
      <c r="FH120" s="93">
        <f t="shared" si="30"/>
        <v>0</v>
      </c>
      <c r="FJ120" s="46"/>
      <c r="FK120" s="46"/>
      <c r="FL120" s="46"/>
      <c r="FM120" s="46"/>
      <c r="FN120" s="46"/>
      <c r="FO120" s="46"/>
      <c r="FP120" s="46"/>
      <c r="FQ120" s="46"/>
      <c r="FR120" s="46"/>
      <c r="FS120" s="46"/>
      <c r="FT120" s="46"/>
      <c r="FU120" s="46"/>
      <c r="FV120" s="46"/>
      <c r="FW120" s="46"/>
      <c r="FX120" s="46"/>
      <c r="FY120" s="46"/>
      <c r="FZ120" s="46"/>
      <c r="GA120" s="46"/>
      <c r="GB120" s="46"/>
      <c r="GC120" s="46"/>
      <c r="GD120" s="46"/>
      <c r="GE120" s="46"/>
      <c r="GF120" s="46"/>
      <c r="GG120" s="46"/>
      <c r="GH120" s="46"/>
      <c r="GI120" s="46"/>
      <c r="GJ120" s="46"/>
      <c r="GK120" s="46"/>
      <c r="GL120" s="46"/>
      <c r="GM120" s="46"/>
      <c r="GN120" s="46"/>
      <c r="GO120" s="93">
        <f t="shared" si="31"/>
        <v>0</v>
      </c>
      <c r="GQ120" s="46"/>
      <c r="GR120" s="46"/>
      <c r="GS120" s="46"/>
      <c r="GT120" s="46"/>
      <c r="GU120" s="46"/>
      <c r="GV120" s="46"/>
      <c r="GW120" s="46"/>
      <c r="GX120" s="46"/>
      <c r="GY120" s="46"/>
      <c r="GZ120" s="46"/>
      <c r="HA120" s="46"/>
      <c r="HB120" s="46"/>
      <c r="HC120" s="46"/>
      <c r="HD120" s="46"/>
      <c r="HE120" s="46"/>
      <c r="HF120" s="46"/>
      <c r="HG120" s="46"/>
      <c r="HH120" s="46"/>
      <c r="HI120" s="46"/>
      <c r="HJ120" s="46"/>
      <c r="HK120" s="46"/>
      <c r="HL120" s="46"/>
      <c r="HM120" s="46"/>
      <c r="HN120" s="46"/>
      <c r="HO120" s="46"/>
      <c r="HP120" s="46"/>
      <c r="HQ120" s="46"/>
      <c r="HR120" s="46"/>
      <c r="HS120" s="46"/>
      <c r="HT120" s="46"/>
      <c r="HU120" s="46"/>
      <c r="HV120" s="93">
        <f t="shared" si="32"/>
        <v>0</v>
      </c>
      <c r="HX120" s="46"/>
      <c r="HY120" s="46"/>
      <c r="HZ120" s="46"/>
      <c r="IA120" s="46"/>
      <c r="IB120" s="46"/>
      <c r="IC120" s="46"/>
      <c r="ID120" s="46"/>
      <c r="IE120" s="46"/>
      <c r="IF120" s="46"/>
      <c r="IG120" s="46"/>
      <c r="IH120" s="46"/>
      <c r="II120" s="46"/>
      <c r="IJ120" s="46"/>
      <c r="IK120" s="46"/>
      <c r="IL120" s="46"/>
      <c r="IM120" s="46"/>
      <c r="IN120" s="46"/>
      <c r="IO120" s="46"/>
      <c r="IP120" s="46"/>
      <c r="IQ120" s="46"/>
      <c r="IR120" s="46"/>
      <c r="IS120" s="46"/>
      <c r="IT120" s="46"/>
      <c r="IU120" s="46"/>
      <c r="IV120" s="46"/>
      <c r="IW120" s="46"/>
      <c r="IX120" s="46"/>
      <c r="IY120" s="46"/>
      <c r="IZ120" s="46"/>
      <c r="JA120" s="46"/>
      <c r="JB120" s="46"/>
      <c r="JC120" s="93">
        <f t="shared" si="33"/>
        <v>0</v>
      </c>
      <c r="JE120" s="46"/>
      <c r="JF120" s="46"/>
      <c r="JG120" s="46"/>
      <c r="JH120" s="46"/>
      <c r="JI120" s="46"/>
      <c r="JJ120" s="46"/>
      <c r="JK120" s="46"/>
      <c r="JL120" s="46"/>
      <c r="JM120" s="46"/>
      <c r="JN120" s="46"/>
      <c r="JO120" s="46"/>
      <c r="JP120" s="46"/>
      <c r="JQ120" s="46"/>
      <c r="JR120" s="46"/>
      <c r="JS120" s="46"/>
      <c r="JT120" s="46"/>
      <c r="JU120" s="46"/>
      <c r="JV120" s="46"/>
      <c r="JW120" s="46"/>
      <c r="JX120" s="46"/>
      <c r="JY120" s="46"/>
      <c r="JZ120" s="46"/>
      <c r="KA120" s="46"/>
      <c r="KB120" s="46"/>
      <c r="KC120" s="46"/>
      <c r="KD120" s="46"/>
      <c r="KE120" s="46"/>
      <c r="KF120" s="46"/>
      <c r="KG120" s="46"/>
      <c r="KH120" s="46"/>
      <c r="KI120" s="46"/>
      <c r="KJ120" s="93">
        <f t="shared" si="34"/>
        <v>0</v>
      </c>
    </row>
    <row r="121" spans="1:296" ht="20.149999999999999" customHeight="1" x14ac:dyDescent="0.5">
      <c r="A121" s="84">
        <f t="shared" si="35"/>
        <v>112</v>
      </c>
      <c r="B121" s="141" t="s">
        <v>95</v>
      </c>
      <c r="C121" s="169" t="s">
        <v>48</v>
      </c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>
        <f t="shared" si="18"/>
        <v>50</v>
      </c>
      <c r="S121" s="46">
        <f t="shared" si="19"/>
        <v>0</v>
      </c>
      <c r="T121" s="46">
        <f t="shared" si="20"/>
        <v>0</v>
      </c>
      <c r="U121" s="46">
        <f t="shared" si="21"/>
        <v>0</v>
      </c>
      <c r="V121" s="46">
        <f t="shared" si="22"/>
        <v>0</v>
      </c>
      <c r="W121" s="46">
        <f t="shared" si="23"/>
        <v>0</v>
      </c>
      <c r="X121" s="46">
        <f t="shared" si="24"/>
        <v>0</v>
      </c>
      <c r="Y121" s="46">
        <f t="shared" si="25"/>
        <v>0</v>
      </c>
      <c r="Z121" s="90">
        <f t="shared" si="26"/>
        <v>50</v>
      </c>
      <c r="AA121" s="95"/>
      <c r="AB121" s="92">
        <f>'LPLPO GUDANG'!H126</f>
        <v>50</v>
      </c>
      <c r="AC121" s="91"/>
      <c r="AD121" s="91"/>
      <c r="AE121" s="95"/>
      <c r="AF121" s="91"/>
      <c r="AG121" s="92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>
        <v>50</v>
      </c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93">
        <f t="shared" si="27"/>
        <v>50</v>
      </c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6"/>
      <c r="CH121" s="46"/>
      <c r="CI121" s="46"/>
      <c r="CJ121" s="46"/>
      <c r="CK121" s="46"/>
      <c r="CL121" s="46"/>
      <c r="CM121" s="46"/>
      <c r="CN121" s="46"/>
      <c r="CO121" s="46"/>
      <c r="CP121" s="46"/>
      <c r="CQ121" s="46"/>
      <c r="CR121" s="46"/>
      <c r="CS121" s="46"/>
      <c r="CT121" s="93">
        <f t="shared" si="28"/>
        <v>0</v>
      </c>
      <c r="CV121" s="46"/>
      <c r="CW121" s="46"/>
      <c r="CX121" s="46"/>
      <c r="CY121" s="46"/>
      <c r="CZ121" s="46"/>
      <c r="DA121" s="46"/>
      <c r="DB121" s="46"/>
      <c r="DC121" s="46"/>
      <c r="DD121" s="46"/>
      <c r="DE121" s="46"/>
      <c r="DF121" s="46"/>
      <c r="DG121" s="46"/>
      <c r="DH121" s="46"/>
      <c r="DI121" s="46"/>
      <c r="DJ121" s="46"/>
      <c r="DK121" s="46"/>
      <c r="DL121" s="46"/>
      <c r="DM121" s="46"/>
      <c r="DN121" s="46"/>
      <c r="DO121" s="46"/>
      <c r="DP121" s="46"/>
      <c r="DQ121" s="46"/>
      <c r="DR121" s="46"/>
      <c r="DS121" s="46"/>
      <c r="DT121" s="46"/>
      <c r="DU121" s="46"/>
      <c r="DV121" s="46"/>
      <c r="DW121" s="46"/>
      <c r="DX121" s="46"/>
      <c r="DY121" s="46"/>
      <c r="DZ121" s="46"/>
      <c r="EA121" s="93">
        <f t="shared" si="29"/>
        <v>0</v>
      </c>
      <c r="EC121" s="46"/>
      <c r="ED121" s="46"/>
      <c r="EE121" s="46"/>
      <c r="EF121" s="46"/>
      <c r="EG121" s="46"/>
      <c r="EH121" s="46"/>
      <c r="EI121" s="46"/>
      <c r="EJ121" s="46"/>
      <c r="EK121" s="46"/>
      <c r="EL121" s="46"/>
      <c r="EM121" s="46"/>
      <c r="EN121" s="46"/>
      <c r="EO121" s="46"/>
      <c r="EP121" s="46"/>
      <c r="EQ121" s="46"/>
      <c r="ER121" s="46"/>
      <c r="ES121" s="46"/>
      <c r="ET121" s="46"/>
      <c r="EU121" s="46"/>
      <c r="EV121" s="46"/>
      <c r="EW121" s="46"/>
      <c r="EX121" s="46"/>
      <c r="EY121" s="46"/>
      <c r="EZ121" s="46"/>
      <c r="FA121" s="46"/>
      <c r="FB121" s="46"/>
      <c r="FC121" s="46"/>
      <c r="FD121" s="46"/>
      <c r="FE121" s="46"/>
      <c r="FF121" s="46"/>
      <c r="FG121" s="46"/>
      <c r="FH121" s="93">
        <f t="shared" si="30"/>
        <v>0</v>
      </c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46"/>
      <c r="GG121" s="46"/>
      <c r="GH121" s="46"/>
      <c r="GI121" s="46"/>
      <c r="GJ121" s="46"/>
      <c r="GK121" s="46"/>
      <c r="GL121" s="46"/>
      <c r="GM121" s="46"/>
      <c r="GN121" s="46"/>
      <c r="GO121" s="93">
        <f t="shared" si="31"/>
        <v>0</v>
      </c>
      <c r="GQ121" s="46"/>
      <c r="GR121" s="46"/>
      <c r="GS121" s="46"/>
      <c r="GT121" s="46"/>
      <c r="GU121" s="46"/>
      <c r="GV121" s="46"/>
      <c r="GW121" s="46"/>
      <c r="GX121" s="46"/>
      <c r="GY121" s="46"/>
      <c r="GZ121" s="46"/>
      <c r="HA121" s="46"/>
      <c r="HB121" s="46"/>
      <c r="HC121" s="46"/>
      <c r="HD121" s="46"/>
      <c r="HE121" s="46"/>
      <c r="HF121" s="46"/>
      <c r="HG121" s="46"/>
      <c r="HH121" s="46"/>
      <c r="HI121" s="46"/>
      <c r="HJ121" s="46"/>
      <c r="HK121" s="46"/>
      <c r="HL121" s="46"/>
      <c r="HM121" s="46"/>
      <c r="HN121" s="46"/>
      <c r="HO121" s="46"/>
      <c r="HP121" s="46"/>
      <c r="HQ121" s="46"/>
      <c r="HR121" s="46"/>
      <c r="HS121" s="46"/>
      <c r="HT121" s="46"/>
      <c r="HU121" s="46"/>
      <c r="HV121" s="93">
        <f t="shared" si="32"/>
        <v>0</v>
      </c>
      <c r="HX121" s="46"/>
      <c r="HY121" s="46"/>
      <c r="HZ121" s="46"/>
      <c r="IA121" s="46"/>
      <c r="IB121" s="46"/>
      <c r="IC121" s="46"/>
      <c r="ID121" s="46"/>
      <c r="IE121" s="46"/>
      <c r="IF121" s="46"/>
      <c r="IG121" s="46"/>
      <c r="IH121" s="46"/>
      <c r="II121" s="46"/>
      <c r="IJ121" s="46"/>
      <c r="IK121" s="46"/>
      <c r="IL121" s="46"/>
      <c r="IM121" s="46"/>
      <c r="IN121" s="46"/>
      <c r="IO121" s="46"/>
      <c r="IP121" s="46"/>
      <c r="IQ121" s="46"/>
      <c r="IR121" s="46"/>
      <c r="IS121" s="46"/>
      <c r="IT121" s="46"/>
      <c r="IU121" s="46"/>
      <c r="IV121" s="46"/>
      <c r="IW121" s="46"/>
      <c r="IX121" s="46"/>
      <c r="IY121" s="46"/>
      <c r="IZ121" s="46"/>
      <c r="JA121" s="46"/>
      <c r="JB121" s="46"/>
      <c r="JC121" s="93">
        <f t="shared" si="33"/>
        <v>0</v>
      </c>
      <c r="JE121" s="46"/>
      <c r="JF121" s="46"/>
      <c r="JG121" s="46"/>
      <c r="JH121" s="46"/>
      <c r="JI121" s="46"/>
      <c r="JJ121" s="46"/>
      <c r="JK121" s="46"/>
      <c r="JL121" s="46"/>
      <c r="JM121" s="46"/>
      <c r="JN121" s="46"/>
      <c r="JO121" s="46"/>
      <c r="JP121" s="46"/>
      <c r="JQ121" s="46"/>
      <c r="JR121" s="46"/>
      <c r="JS121" s="46"/>
      <c r="JT121" s="46"/>
      <c r="JU121" s="46"/>
      <c r="JV121" s="46"/>
      <c r="JW121" s="46"/>
      <c r="JX121" s="46"/>
      <c r="JY121" s="46"/>
      <c r="JZ121" s="46"/>
      <c r="KA121" s="46"/>
      <c r="KB121" s="46"/>
      <c r="KC121" s="46"/>
      <c r="KD121" s="46"/>
      <c r="KE121" s="46"/>
      <c r="KF121" s="46"/>
      <c r="KG121" s="46"/>
      <c r="KH121" s="46"/>
      <c r="KI121" s="46"/>
      <c r="KJ121" s="93">
        <f t="shared" si="34"/>
        <v>0</v>
      </c>
    </row>
    <row r="122" spans="1:296" ht="20.149999999999999" customHeight="1" x14ac:dyDescent="0.5">
      <c r="A122" s="84">
        <f t="shared" si="35"/>
        <v>113</v>
      </c>
      <c r="B122" s="141" t="s">
        <v>96</v>
      </c>
      <c r="C122" s="157" t="s">
        <v>327</v>
      </c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>
        <f t="shared" si="18"/>
        <v>1000</v>
      </c>
      <c r="S122" s="46">
        <f t="shared" si="19"/>
        <v>0</v>
      </c>
      <c r="T122" s="46">
        <f t="shared" si="20"/>
        <v>200</v>
      </c>
      <c r="U122" s="46">
        <f t="shared" si="21"/>
        <v>0</v>
      </c>
      <c r="V122" s="46">
        <f t="shared" si="22"/>
        <v>0</v>
      </c>
      <c r="W122" s="46">
        <f t="shared" si="23"/>
        <v>0</v>
      </c>
      <c r="X122" s="46">
        <f t="shared" si="24"/>
        <v>0</v>
      </c>
      <c r="Y122" s="46">
        <f t="shared" si="25"/>
        <v>0</v>
      </c>
      <c r="Z122" s="90">
        <f t="shared" si="26"/>
        <v>1200</v>
      </c>
      <c r="AA122" s="95"/>
      <c r="AB122" s="92">
        <f>'LPLPO GUDANG'!H127</f>
        <v>800</v>
      </c>
      <c r="AC122" s="95"/>
      <c r="AD122" s="91"/>
      <c r="AE122" s="91"/>
      <c r="AF122" s="91"/>
      <c r="AG122" s="92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>
        <v>1000</v>
      </c>
      <c r="BG122" s="46"/>
      <c r="BH122" s="46"/>
      <c r="BI122" s="46"/>
      <c r="BJ122" s="46"/>
      <c r="BK122" s="46"/>
      <c r="BL122" s="46"/>
      <c r="BM122" s="93">
        <f t="shared" si="27"/>
        <v>1000</v>
      </c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  <c r="CK122" s="46"/>
      <c r="CL122" s="46"/>
      <c r="CM122" s="46"/>
      <c r="CN122" s="46"/>
      <c r="CO122" s="46"/>
      <c r="CP122" s="46"/>
      <c r="CQ122" s="46"/>
      <c r="CR122" s="46"/>
      <c r="CS122" s="46"/>
      <c r="CT122" s="93">
        <f t="shared" si="28"/>
        <v>0</v>
      </c>
      <c r="CV122" s="46"/>
      <c r="CW122" s="46"/>
      <c r="CX122" s="46">
        <v>200</v>
      </c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/>
      <c r="DJ122" s="46"/>
      <c r="DK122" s="46"/>
      <c r="DL122" s="46"/>
      <c r="DM122" s="46"/>
      <c r="DN122" s="46"/>
      <c r="DO122" s="46"/>
      <c r="DP122" s="46"/>
      <c r="DQ122" s="46"/>
      <c r="DR122" s="46"/>
      <c r="DS122" s="46"/>
      <c r="DT122" s="46"/>
      <c r="DU122" s="46"/>
      <c r="DV122" s="46"/>
      <c r="DW122" s="46"/>
      <c r="DX122" s="46"/>
      <c r="DY122" s="46"/>
      <c r="DZ122" s="46"/>
      <c r="EA122" s="93">
        <f t="shared" si="29"/>
        <v>200</v>
      </c>
      <c r="EC122" s="46"/>
      <c r="ED122" s="46"/>
      <c r="EE122" s="46"/>
      <c r="EF122" s="46"/>
      <c r="EG122" s="46"/>
      <c r="EH122" s="46"/>
      <c r="EI122" s="46"/>
      <c r="EJ122" s="46"/>
      <c r="EK122" s="46"/>
      <c r="EL122" s="46"/>
      <c r="EM122" s="46"/>
      <c r="EN122" s="46"/>
      <c r="EO122" s="46"/>
      <c r="EP122" s="46"/>
      <c r="EQ122" s="46"/>
      <c r="ER122" s="46"/>
      <c r="ES122" s="46"/>
      <c r="ET122" s="46"/>
      <c r="EU122" s="46"/>
      <c r="EV122" s="46"/>
      <c r="EW122" s="46"/>
      <c r="EX122" s="46"/>
      <c r="EY122" s="46"/>
      <c r="EZ122" s="46"/>
      <c r="FA122" s="46"/>
      <c r="FB122" s="46"/>
      <c r="FC122" s="46"/>
      <c r="FD122" s="46"/>
      <c r="FE122" s="46"/>
      <c r="FF122" s="46"/>
      <c r="FG122" s="46"/>
      <c r="FH122" s="93">
        <f t="shared" si="30"/>
        <v>0</v>
      </c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93">
        <f t="shared" si="31"/>
        <v>0</v>
      </c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93">
        <f t="shared" si="32"/>
        <v>0</v>
      </c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  <c r="IT122" s="46"/>
      <c r="IU122" s="46"/>
      <c r="IV122" s="46"/>
      <c r="IW122" s="46"/>
      <c r="IX122" s="46"/>
      <c r="IY122" s="46"/>
      <c r="IZ122" s="46"/>
      <c r="JA122" s="46"/>
      <c r="JB122" s="46"/>
      <c r="JC122" s="93">
        <f t="shared" si="33"/>
        <v>0</v>
      </c>
      <c r="JE122" s="46"/>
      <c r="JF122" s="46"/>
      <c r="JG122" s="46"/>
      <c r="JH122" s="46"/>
      <c r="JI122" s="46"/>
      <c r="JJ122" s="46"/>
      <c r="JK122" s="46"/>
      <c r="JL122" s="46"/>
      <c r="JM122" s="46"/>
      <c r="JN122" s="46"/>
      <c r="JO122" s="46"/>
      <c r="JP122" s="46"/>
      <c r="JQ122" s="46"/>
      <c r="JR122" s="46"/>
      <c r="JS122" s="46"/>
      <c r="JT122" s="46"/>
      <c r="JU122" s="46"/>
      <c r="JV122" s="46"/>
      <c r="JW122" s="46"/>
      <c r="JX122" s="46"/>
      <c r="JY122" s="46"/>
      <c r="JZ122" s="46"/>
      <c r="KA122" s="46"/>
      <c r="KB122" s="46"/>
      <c r="KC122" s="46"/>
      <c r="KD122" s="46"/>
      <c r="KE122" s="46"/>
      <c r="KF122" s="46"/>
      <c r="KG122" s="46"/>
      <c r="KH122" s="46"/>
      <c r="KI122" s="46"/>
      <c r="KJ122" s="93">
        <f t="shared" si="34"/>
        <v>0</v>
      </c>
    </row>
    <row r="123" spans="1:296" ht="30" x14ac:dyDescent="0.5">
      <c r="A123" s="84">
        <f t="shared" si="35"/>
        <v>114</v>
      </c>
      <c r="B123" s="141" t="s">
        <v>97</v>
      </c>
      <c r="C123" s="154" t="s">
        <v>4</v>
      </c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>
        <f t="shared" si="18"/>
        <v>0</v>
      </c>
      <c r="S123" s="46">
        <f t="shared" si="19"/>
        <v>0</v>
      </c>
      <c r="T123" s="46">
        <f t="shared" si="20"/>
        <v>0</v>
      </c>
      <c r="U123" s="46">
        <f t="shared" si="21"/>
        <v>0</v>
      </c>
      <c r="V123" s="46">
        <f t="shared" si="22"/>
        <v>0</v>
      </c>
      <c r="W123" s="46">
        <f t="shared" si="23"/>
        <v>0</v>
      </c>
      <c r="X123" s="46">
        <f t="shared" si="24"/>
        <v>0</v>
      </c>
      <c r="Y123" s="46">
        <f t="shared" si="25"/>
        <v>0</v>
      </c>
      <c r="Z123" s="90">
        <f t="shared" si="26"/>
        <v>0</v>
      </c>
      <c r="AA123" s="95"/>
      <c r="AB123" s="95">
        <f>'LPLPO GUDANG'!H128</f>
        <v>0</v>
      </c>
      <c r="AC123" s="95"/>
      <c r="AD123" s="91"/>
      <c r="AE123" s="91"/>
      <c r="AF123" s="91"/>
      <c r="AG123" s="92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93">
        <f t="shared" si="27"/>
        <v>0</v>
      </c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  <c r="CK123" s="46"/>
      <c r="CL123" s="46"/>
      <c r="CM123" s="46"/>
      <c r="CN123" s="46"/>
      <c r="CO123" s="46"/>
      <c r="CP123" s="46"/>
      <c r="CQ123" s="46"/>
      <c r="CR123" s="46"/>
      <c r="CS123" s="46"/>
      <c r="CT123" s="93">
        <f t="shared" si="28"/>
        <v>0</v>
      </c>
      <c r="CV123" s="46"/>
      <c r="CW123" s="46"/>
      <c r="CX123" s="46"/>
      <c r="CY123" s="46"/>
      <c r="CZ123" s="46"/>
      <c r="DA123" s="46"/>
      <c r="DB123" s="46"/>
      <c r="DC123" s="46"/>
      <c r="DD123" s="46"/>
      <c r="DE123" s="46"/>
      <c r="DF123" s="46"/>
      <c r="DG123" s="46"/>
      <c r="DH123" s="46"/>
      <c r="DI123" s="46"/>
      <c r="DJ123" s="46"/>
      <c r="DK123" s="46"/>
      <c r="DL123" s="46"/>
      <c r="DM123" s="46"/>
      <c r="DN123" s="46"/>
      <c r="DO123" s="46"/>
      <c r="DP123" s="46"/>
      <c r="DQ123" s="46"/>
      <c r="DR123" s="46"/>
      <c r="DS123" s="46"/>
      <c r="DT123" s="46"/>
      <c r="DU123" s="46"/>
      <c r="DV123" s="46"/>
      <c r="DW123" s="46"/>
      <c r="DX123" s="46"/>
      <c r="DY123" s="46"/>
      <c r="DZ123" s="46"/>
      <c r="EA123" s="93">
        <f t="shared" si="29"/>
        <v>0</v>
      </c>
      <c r="EC123" s="46"/>
      <c r="ED123" s="46"/>
      <c r="EE123" s="46"/>
      <c r="EF123" s="46"/>
      <c r="EG123" s="46"/>
      <c r="EH123" s="46"/>
      <c r="EI123" s="46"/>
      <c r="EJ123" s="46"/>
      <c r="EK123" s="46"/>
      <c r="EL123" s="46"/>
      <c r="EM123" s="46"/>
      <c r="EN123" s="46"/>
      <c r="EO123" s="46"/>
      <c r="EP123" s="46"/>
      <c r="EQ123" s="46"/>
      <c r="ER123" s="46"/>
      <c r="ES123" s="46"/>
      <c r="ET123" s="46"/>
      <c r="EU123" s="46"/>
      <c r="EV123" s="46"/>
      <c r="EW123" s="46"/>
      <c r="EX123" s="46"/>
      <c r="EY123" s="46"/>
      <c r="EZ123" s="46"/>
      <c r="FA123" s="46"/>
      <c r="FB123" s="46"/>
      <c r="FC123" s="46"/>
      <c r="FD123" s="46"/>
      <c r="FE123" s="46"/>
      <c r="FF123" s="46"/>
      <c r="FG123" s="46"/>
      <c r="FH123" s="93">
        <f t="shared" si="30"/>
        <v>0</v>
      </c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93">
        <f t="shared" si="31"/>
        <v>0</v>
      </c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93">
        <f t="shared" si="32"/>
        <v>0</v>
      </c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  <c r="IT123" s="46"/>
      <c r="IU123" s="46"/>
      <c r="IV123" s="46"/>
      <c r="IW123" s="46"/>
      <c r="IX123" s="46"/>
      <c r="IY123" s="46"/>
      <c r="IZ123" s="46"/>
      <c r="JA123" s="46"/>
      <c r="JB123" s="46"/>
      <c r="JC123" s="93">
        <f t="shared" si="33"/>
        <v>0</v>
      </c>
      <c r="JE123" s="46"/>
      <c r="JF123" s="46"/>
      <c r="JG123" s="46"/>
      <c r="JH123" s="46"/>
      <c r="JI123" s="46"/>
      <c r="JJ123" s="46"/>
      <c r="JK123" s="46"/>
      <c r="JL123" s="46"/>
      <c r="JM123" s="46"/>
      <c r="JN123" s="46"/>
      <c r="JO123" s="46"/>
      <c r="JP123" s="46"/>
      <c r="JQ123" s="46"/>
      <c r="JR123" s="46"/>
      <c r="JS123" s="46"/>
      <c r="JT123" s="46"/>
      <c r="JU123" s="46"/>
      <c r="JV123" s="46"/>
      <c r="JW123" s="46"/>
      <c r="JX123" s="46"/>
      <c r="JY123" s="46"/>
      <c r="JZ123" s="46"/>
      <c r="KA123" s="46"/>
      <c r="KB123" s="46"/>
      <c r="KC123" s="46"/>
      <c r="KD123" s="46"/>
      <c r="KE123" s="46"/>
      <c r="KF123" s="46"/>
      <c r="KG123" s="46"/>
      <c r="KH123" s="46"/>
      <c r="KI123" s="46"/>
      <c r="KJ123" s="93">
        <f t="shared" si="34"/>
        <v>0</v>
      </c>
    </row>
    <row r="124" spans="1:296" ht="20.149999999999999" customHeight="1" x14ac:dyDescent="0.5">
      <c r="A124" s="84">
        <f t="shared" si="35"/>
        <v>115</v>
      </c>
      <c r="B124" s="141" t="s">
        <v>98</v>
      </c>
      <c r="C124" s="154" t="s">
        <v>327</v>
      </c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>
        <f t="shared" si="18"/>
        <v>0</v>
      </c>
      <c r="S124" s="46">
        <f t="shared" si="19"/>
        <v>0</v>
      </c>
      <c r="T124" s="46">
        <f t="shared" si="20"/>
        <v>0</v>
      </c>
      <c r="U124" s="46">
        <f t="shared" si="21"/>
        <v>0</v>
      </c>
      <c r="V124" s="46">
        <f t="shared" si="22"/>
        <v>0</v>
      </c>
      <c r="W124" s="46">
        <f t="shared" si="23"/>
        <v>0</v>
      </c>
      <c r="X124" s="46">
        <f t="shared" si="24"/>
        <v>0</v>
      </c>
      <c r="Y124" s="46">
        <f t="shared" si="25"/>
        <v>0</v>
      </c>
      <c r="Z124" s="90">
        <f t="shared" si="26"/>
        <v>0</v>
      </c>
      <c r="AA124" s="95"/>
      <c r="AB124" s="95">
        <f>'LPLPO GUDANG'!H129</f>
        <v>0</v>
      </c>
      <c r="AC124" s="91"/>
      <c r="AD124" s="91"/>
      <c r="AE124" s="91"/>
      <c r="AF124" s="91"/>
      <c r="AG124" s="92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93">
        <f t="shared" si="27"/>
        <v>0</v>
      </c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  <c r="CK124" s="46"/>
      <c r="CL124" s="46"/>
      <c r="CM124" s="46"/>
      <c r="CN124" s="46"/>
      <c r="CO124" s="46"/>
      <c r="CP124" s="46"/>
      <c r="CQ124" s="46"/>
      <c r="CR124" s="46"/>
      <c r="CS124" s="46"/>
      <c r="CT124" s="93">
        <f t="shared" si="28"/>
        <v>0</v>
      </c>
      <c r="CV124" s="46"/>
      <c r="CW124" s="46"/>
      <c r="CX124" s="46"/>
      <c r="CY124" s="46"/>
      <c r="CZ124" s="46"/>
      <c r="DA124" s="46"/>
      <c r="DB124" s="46"/>
      <c r="DC124" s="46"/>
      <c r="DD124" s="46"/>
      <c r="DE124" s="46"/>
      <c r="DF124" s="46"/>
      <c r="DG124" s="46"/>
      <c r="DH124" s="46"/>
      <c r="DI124" s="46"/>
      <c r="DJ124" s="46"/>
      <c r="DK124" s="46"/>
      <c r="DL124" s="46"/>
      <c r="DM124" s="46"/>
      <c r="DN124" s="46"/>
      <c r="DO124" s="46"/>
      <c r="DP124" s="46"/>
      <c r="DQ124" s="46"/>
      <c r="DR124" s="46"/>
      <c r="DS124" s="46"/>
      <c r="DT124" s="46"/>
      <c r="DU124" s="46"/>
      <c r="DV124" s="46"/>
      <c r="DW124" s="46"/>
      <c r="DX124" s="46"/>
      <c r="DY124" s="46"/>
      <c r="DZ124" s="46"/>
      <c r="EA124" s="93">
        <f t="shared" si="29"/>
        <v>0</v>
      </c>
      <c r="EC124" s="46"/>
      <c r="ED124" s="46"/>
      <c r="EE124" s="46"/>
      <c r="EF124" s="46"/>
      <c r="EG124" s="46"/>
      <c r="EH124" s="46"/>
      <c r="EI124" s="46"/>
      <c r="EJ124" s="46"/>
      <c r="EK124" s="46"/>
      <c r="EL124" s="46"/>
      <c r="EM124" s="46"/>
      <c r="EN124" s="46"/>
      <c r="EO124" s="46"/>
      <c r="EP124" s="46"/>
      <c r="EQ124" s="46"/>
      <c r="ER124" s="46"/>
      <c r="ES124" s="46"/>
      <c r="ET124" s="46"/>
      <c r="EU124" s="46"/>
      <c r="EV124" s="46"/>
      <c r="EW124" s="46"/>
      <c r="EX124" s="46"/>
      <c r="EY124" s="46"/>
      <c r="EZ124" s="46"/>
      <c r="FA124" s="46"/>
      <c r="FB124" s="46"/>
      <c r="FC124" s="46"/>
      <c r="FD124" s="46"/>
      <c r="FE124" s="46"/>
      <c r="FF124" s="46"/>
      <c r="FG124" s="46"/>
      <c r="FH124" s="93">
        <f t="shared" si="30"/>
        <v>0</v>
      </c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93">
        <f t="shared" si="31"/>
        <v>0</v>
      </c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93">
        <f t="shared" si="32"/>
        <v>0</v>
      </c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  <c r="IT124" s="46"/>
      <c r="IU124" s="46"/>
      <c r="IV124" s="46"/>
      <c r="IW124" s="46"/>
      <c r="IX124" s="46"/>
      <c r="IY124" s="46"/>
      <c r="IZ124" s="46"/>
      <c r="JA124" s="46"/>
      <c r="JB124" s="46"/>
      <c r="JC124" s="93">
        <f t="shared" si="33"/>
        <v>0</v>
      </c>
      <c r="JE124" s="46"/>
      <c r="JF124" s="46"/>
      <c r="JG124" s="46"/>
      <c r="JH124" s="46"/>
      <c r="JI124" s="46"/>
      <c r="JJ124" s="46"/>
      <c r="JK124" s="46"/>
      <c r="JL124" s="46"/>
      <c r="JM124" s="46"/>
      <c r="JN124" s="46"/>
      <c r="JO124" s="46"/>
      <c r="JP124" s="46"/>
      <c r="JQ124" s="46"/>
      <c r="JR124" s="46"/>
      <c r="JS124" s="46"/>
      <c r="JT124" s="46"/>
      <c r="JU124" s="46"/>
      <c r="JV124" s="46"/>
      <c r="JW124" s="46"/>
      <c r="JX124" s="46"/>
      <c r="JY124" s="46"/>
      <c r="JZ124" s="46"/>
      <c r="KA124" s="46"/>
      <c r="KB124" s="46"/>
      <c r="KC124" s="46"/>
      <c r="KD124" s="46"/>
      <c r="KE124" s="46"/>
      <c r="KF124" s="46"/>
      <c r="KG124" s="46"/>
      <c r="KH124" s="46"/>
      <c r="KI124" s="46"/>
      <c r="KJ124" s="93">
        <f t="shared" si="34"/>
        <v>0</v>
      </c>
    </row>
    <row r="125" spans="1:296" ht="36" x14ac:dyDescent="0.5">
      <c r="A125" s="84">
        <f t="shared" si="35"/>
        <v>116</v>
      </c>
      <c r="B125" s="141" t="s">
        <v>99</v>
      </c>
      <c r="C125" s="157" t="s">
        <v>327</v>
      </c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>
        <f t="shared" si="18"/>
        <v>0</v>
      </c>
      <c r="S125" s="46">
        <f t="shared" si="19"/>
        <v>0</v>
      </c>
      <c r="T125" s="46">
        <f t="shared" si="20"/>
        <v>100</v>
      </c>
      <c r="U125" s="46">
        <f t="shared" si="21"/>
        <v>0</v>
      </c>
      <c r="V125" s="46">
        <f t="shared" si="22"/>
        <v>0</v>
      </c>
      <c r="W125" s="46">
        <f t="shared" si="23"/>
        <v>0</v>
      </c>
      <c r="X125" s="46">
        <f t="shared" si="24"/>
        <v>0</v>
      </c>
      <c r="Y125" s="46">
        <f t="shared" si="25"/>
        <v>0</v>
      </c>
      <c r="Z125" s="90">
        <f t="shared" si="26"/>
        <v>100</v>
      </c>
      <c r="AA125" s="95"/>
      <c r="AB125" s="92">
        <f>'LPLPO GUDANG'!H130</f>
        <v>900</v>
      </c>
      <c r="AC125" s="91"/>
      <c r="AD125" s="91"/>
      <c r="AE125" s="91"/>
      <c r="AF125" s="91"/>
      <c r="AG125" s="92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93">
        <f t="shared" si="27"/>
        <v>0</v>
      </c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93">
        <f t="shared" si="28"/>
        <v>0</v>
      </c>
      <c r="CV125" s="46"/>
      <c r="CW125" s="46"/>
      <c r="CX125" s="46">
        <v>100</v>
      </c>
      <c r="CY125" s="46"/>
      <c r="CZ125" s="46"/>
      <c r="DA125" s="46"/>
      <c r="DB125" s="46"/>
      <c r="DC125" s="46"/>
      <c r="DD125" s="46"/>
      <c r="DE125" s="46"/>
      <c r="DF125" s="46"/>
      <c r="DG125" s="46"/>
      <c r="DH125" s="46"/>
      <c r="DI125" s="46"/>
      <c r="DJ125" s="46"/>
      <c r="DK125" s="46"/>
      <c r="DL125" s="46"/>
      <c r="DM125" s="46"/>
      <c r="DN125" s="46"/>
      <c r="DO125" s="46"/>
      <c r="DP125" s="46"/>
      <c r="DQ125" s="46"/>
      <c r="DR125" s="46"/>
      <c r="DS125" s="46"/>
      <c r="DT125" s="46"/>
      <c r="DU125" s="46"/>
      <c r="DV125" s="46"/>
      <c r="DW125" s="46"/>
      <c r="DX125" s="46"/>
      <c r="DY125" s="46"/>
      <c r="DZ125" s="46"/>
      <c r="EA125" s="93">
        <f t="shared" si="29"/>
        <v>100</v>
      </c>
      <c r="EC125" s="46"/>
      <c r="ED125" s="46"/>
      <c r="EE125" s="46"/>
      <c r="EF125" s="46"/>
      <c r="EG125" s="46"/>
      <c r="EH125" s="46"/>
      <c r="EI125" s="46"/>
      <c r="EJ125" s="46"/>
      <c r="EK125" s="46"/>
      <c r="EL125" s="46"/>
      <c r="EM125" s="46"/>
      <c r="EN125" s="46"/>
      <c r="EO125" s="46"/>
      <c r="EP125" s="46"/>
      <c r="EQ125" s="46"/>
      <c r="ER125" s="46"/>
      <c r="ES125" s="46"/>
      <c r="ET125" s="46"/>
      <c r="EU125" s="46"/>
      <c r="EV125" s="46"/>
      <c r="EW125" s="46"/>
      <c r="EX125" s="46"/>
      <c r="EY125" s="46"/>
      <c r="EZ125" s="46"/>
      <c r="FA125" s="46"/>
      <c r="FB125" s="46"/>
      <c r="FC125" s="46"/>
      <c r="FD125" s="46"/>
      <c r="FE125" s="46"/>
      <c r="FF125" s="46"/>
      <c r="FG125" s="46"/>
      <c r="FH125" s="93">
        <f t="shared" si="30"/>
        <v>0</v>
      </c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93">
        <f t="shared" si="31"/>
        <v>0</v>
      </c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93">
        <f t="shared" si="32"/>
        <v>0</v>
      </c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  <c r="IT125" s="46"/>
      <c r="IU125" s="46"/>
      <c r="IV125" s="46"/>
      <c r="IW125" s="46"/>
      <c r="IX125" s="46"/>
      <c r="IY125" s="46"/>
      <c r="IZ125" s="46"/>
      <c r="JA125" s="46"/>
      <c r="JB125" s="46"/>
      <c r="JC125" s="93">
        <f t="shared" si="33"/>
        <v>0</v>
      </c>
      <c r="JE125" s="46"/>
      <c r="JF125" s="46"/>
      <c r="JG125" s="46"/>
      <c r="JH125" s="46"/>
      <c r="JI125" s="46"/>
      <c r="JJ125" s="46"/>
      <c r="JK125" s="46"/>
      <c r="JL125" s="46"/>
      <c r="JM125" s="46"/>
      <c r="JN125" s="46"/>
      <c r="JO125" s="46"/>
      <c r="JP125" s="46"/>
      <c r="JQ125" s="46"/>
      <c r="JR125" s="46"/>
      <c r="JS125" s="46"/>
      <c r="JT125" s="46"/>
      <c r="JU125" s="46"/>
      <c r="JV125" s="46"/>
      <c r="JW125" s="46"/>
      <c r="JX125" s="46"/>
      <c r="JY125" s="46"/>
      <c r="JZ125" s="46"/>
      <c r="KA125" s="46"/>
      <c r="KB125" s="46"/>
      <c r="KC125" s="46"/>
      <c r="KD125" s="46"/>
      <c r="KE125" s="46"/>
      <c r="KF125" s="46"/>
      <c r="KG125" s="46"/>
      <c r="KH125" s="46"/>
      <c r="KI125" s="46"/>
      <c r="KJ125" s="93">
        <f t="shared" si="34"/>
        <v>0</v>
      </c>
    </row>
    <row r="126" spans="1:296" ht="20.149999999999999" customHeight="1" x14ac:dyDescent="0.5">
      <c r="A126" s="84">
        <f t="shared" si="35"/>
        <v>117</v>
      </c>
      <c r="B126" s="91" t="s">
        <v>424</v>
      </c>
      <c r="C126" s="157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>
        <f t="shared" si="18"/>
        <v>0</v>
      </c>
      <c r="S126" s="46">
        <f t="shared" si="19"/>
        <v>0</v>
      </c>
      <c r="T126" s="46">
        <f t="shared" si="20"/>
        <v>0</v>
      </c>
      <c r="U126" s="46">
        <f t="shared" si="21"/>
        <v>0</v>
      </c>
      <c r="V126" s="46">
        <f t="shared" si="22"/>
        <v>0</v>
      </c>
      <c r="W126" s="46">
        <f t="shared" si="23"/>
        <v>0</v>
      </c>
      <c r="X126" s="46">
        <f t="shared" si="24"/>
        <v>0</v>
      </c>
      <c r="Y126" s="46">
        <f t="shared" si="25"/>
        <v>0</v>
      </c>
      <c r="Z126" s="90">
        <f t="shared" si="26"/>
        <v>0</v>
      </c>
      <c r="AA126" s="95"/>
      <c r="AB126" s="95">
        <f>'LPLPO GUDANG'!H131</f>
        <v>0</v>
      </c>
      <c r="AC126" s="91"/>
      <c r="AD126" s="91"/>
      <c r="AE126" s="91"/>
      <c r="AF126" s="91"/>
      <c r="AG126" s="92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93">
        <f t="shared" si="27"/>
        <v>0</v>
      </c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93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93">
        <f t="shared" si="29"/>
        <v>0</v>
      </c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6"/>
      <c r="EQ126" s="46"/>
      <c r="ER126" s="46"/>
      <c r="ES126" s="46"/>
      <c r="ET126" s="46"/>
      <c r="EU126" s="46"/>
      <c r="EV126" s="46"/>
      <c r="EW126" s="46"/>
      <c r="EX126" s="46"/>
      <c r="EY126" s="46"/>
      <c r="EZ126" s="46"/>
      <c r="FA126" s="46"/>
      <c r="FB126" s="46"/>
      <c r="FC126" s="46"/>
      <c r="FD126" s="46"/>
      <c r="FE126" s="46"/>
      <c r="FF126" s="46"/>
      <c r="FG126" s="46"/>
      <c r="FH126" s="93">
        <f t="shared" si="30"/>
        <v>0</v>
      </c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93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93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  <c r="IT126" s="46"/>
      <c r="IU126" s="46"/>
      <c r="IV126" s="46"/>
      <c r="IW126" s="46"/>
      <c r="IX126" s="46"/>
      <c r="IY126" s="46"/>
      <c r="IZ126" s="46"/>
      <c r="JA126" s="46"/>
      <c r="JB126" s="46"/>
      <c r="JC126" s="93"/>
      <c r="JE126" s="46"/>
      <c r="JF126" s="46"/>
      <c r="JG126" s="46"/>
      <c r="JH126" s="46"/>
      <c r="JI126" s="46"/>
      <c r="JJ126" s="46"/>
      <c r="JK126" s="46"/>
      <c r="JL126" s="46"/>
      <c r="JM126" s="46"/>
      <c r="JN126" s="46"/>
      <c r="JO126" s="46"/>
      <c r="JP126" s="46"/>
      <c r="JQ126" s="46"/>
      <c r="JR126" s="46"/>
      <c r="JS126" s="46"/>
      <c r="JT126" s="46"/>
      <c r="JU126" s="46"/>
      <c r="JV126" s="46"/>
      <c r="JW126" s="46"/>
      <c r="JX126" s="46"/>
      <c r="JY126" s="46"/>
      <c r="JZ126" s="46"/>
      <c r="KA126" s="46"/>
      <c r="KB126" s="46"/>
      <c r="KC126" s="46"/>
      <c r="KD126" s="46"/>
      <c r="KE126" s="46"/>
      <c r="KF126" s="46"/>
      <c r="KG126" s="46"/>
      <c r="KH126" s="46"/>
      <c r="KI126" s="46"/>
      <c r="KJ126" s="93"/>
    </row>
    <row r="127" spans="1:296" ht="20.149999999999999" customHeight="1" x14ac:dyDescent="0.5">
      <c r="A127" s="84">
        <f t="shared" si="35"/>
        <v>118</v>
      </c>
      <c r="B127" s="141" t="s">
        <v>100</v>
      </c>
      <c r="C127" s="168" t="s">
        <v>327</v>
      </c>
      <c r="D127" s="46"/>
      <c r="E127" s="46"/>
      <c r="F127" s="46"/>
      <c r="G127" s="46"/>
      <c r="H127" s="46">
        <v>100</v>
      </c>
      <c r="I127" s="46"/>
      <c r="J127" s="46"/>
      <c r="K127" s="46"/>
      <c r="L127" s="46"/>
      <c r="M127" s="46"/>
      <c r="N127" s="46"/>
      <c r="O127" s="46"/>
      <c r="P127" s="46"/>
      <c r="Q127" s="46"/>
      <c r="R127" s="46">
        <f t="shared" si="18"/>
        <v>0</v>
      </c>
      <c r="S127" s="46">
        <f t="shared" si="19"/>
        <v>0</v>
      </c>
      <c r="T127" s="46">
        <f t="shared" si="20"/>
        <v>0</v>
      </c>
      <c r="U127" s="46">
        <f t="shared" si="21"/>
        <v>0</v>
      </c>
      <c r="V127" s="46">
        <f t="shared" si="22"/>
        <v>0</v>
      </c>
      <c r="W127" s="46">
        <f t="shared" si="23"/>
        <v>0</v>
      </c>
      <c r="X127" s="46">
        <f t="shared" si="24"/>
        <v>0</v>
      </c>
      <c r="Y127" s="46">
        <f t="shared" si="25"/>
        <v>0</v>
      </c>
      <c r="Z127" s="90">
        <f t="shared" si="26"/>
        <v>100</v>
      </c>
      <c r="AA127" s="95"/>
      <c r="AB127" s="92">
        <f>'LPLPO GUDANG'!H132</f>
        <v>2700</v>
      </c>
      <c r="AC127" s="91"/>
      <c r="AD127" s="91"/>
      <c r="AE127" s="91"/>
      <c r="AF127" s="91"/>
      <c r="AG127" s="92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93">
        <f t="shared" si="27"/>
        <v>0</v>
      </c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93">
        <f t="shared" ref="CT127:CT140" si="36">SUM(BO127:CS127)</f>
        <v>0</v>
      </c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  <c r="DK127" s="46"/>
      <c r="DL127" s="46"/>
      <c r="DM127" s="46"/>
      <c r="DN127" s="46"/>
      <c r="DO127" s="46"/>
      <c r="DP127" s="46"/>
      <c r="DQ127" s="46"/>
      <c r="DR127" s="46"/>
      <c r="DS127" s="46"/>
      <c r="DT127" s="46"/>
      <c r="DU127" s="46"/>
      <c r="DV127" s="46"/>
      <c r="DW127" s="46"/>
      <c r="DX127" s="46"/>
      <c r="DY127" s="46"/>
      <c r="DZ127" s="46"/>
      <c r="EA127" s="93">
        <f t="shared" si="29"/>
        <v>0</v>
      </c>
      <c r="EC127" s="46"/>
      <c r="ED127" s="46"/>
      <c r="EE127" s="46"/>
      <c r="EF127" s="46"/>
      <c r="EG127" s="46"/>
      <c r="EH127" s="46"/>
      <c r="EI127" s="46"/>
      <c r="EJ127" s="46"/>
      <c r="EK127" s="46"/>
      <c r="EL127" s="46"/>
      <c r="EM127" s="46"/>
      <c r="EN127" s="46"/>
      <c r="EO127" s="46"/>
      <c r="EP127" s="46"/>
      <c r="EQ127" s="46"/>
      <c r="ER127" s="46"/>
      <c r="ES127" s="46"/>
      <c r="ET127" s="46"/>
      <c r="EU127" s="46"/>
      <c r="EV127" s="46"/>
      <c r="EW127" s="46"/>
      <c r="EX127" s="46"/>
      <c r="EY127" s="46"/>
      <c r="EZ127" s="46"/>
      <c r="FA127" s="46"/>
      <c r="FB127" s="46"/>
      <c r="FC127" s="46"/>
      <c r="FD127" s="46"/>
      <c r="FE127" s="46"/>
      <c r="FF127" s="46"/>
      <c r="FG127" s="46"/>
      <c r="FH127" s="93">
        <f t="shared" si="30"/>
        <v>0</v>
      </c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93">
        <f t="shared" ref="GO127:GO140" si="37">SUM(FJ127:GN127)</f>
        <v>0</v>
      </c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93">
        <f t="shared" ref="HV127:HV140" si="38">SUM(GQ127:HU127)</f>
        <v>0</v>
      </c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  <c r="IT127" s="46"/>
      <c r="IU127" s="46"/>
      <c r="IV127" s="46"/>
      <c r="IW127" s="46"/>
      <c r="IX127" s="46"/>
      <c r="IY127" s="46"/>
      <c r="IZ127" s="46"/>
      <c r="JA127" s="46"/>
      <c r="JB127" s="46"/>
      <c r="JC127" s="93">
        <f t="shared" ref="JC127:JC140" si="39">SUM(HX127:JB127)</f>
        <v>0</v>
      </c>
      <c r="JE127" s="46"/>
      <c r="JF127" s="46"/>
      <c r="JG127" s="46"/>
      <c r="JH127" s="46"/>
      <c r="JI127" s="46"/>
      <c r="JJ127" s="46"/>
      <c r="JK127" s="46"/>
      <c r="JL127" s="46"/>
      <c r="JM127" s="46"/>
      <c r="JN127" s="46"/>
      <c r="JO127" s="46"/>
      <c r="JP127" s="46"/>
      <c r="JQ127" s="46"/>
      <c r="JR127" s="46"/>
      <c r="JS127" s="46"/>
      <c r="JT127" s="46"/>
      <c r="JU127" s="46"/>
      <c r="JV127" s="46"/>
      <c r="JW127" s="46"/>
      <c r="JX127" s="46"/>
      <c r="JY127" s="46"/>
      <c r="JZ127" s="46"/>
      <c r="KA127" s="46"/>
      <c r="KB127" s="46"/>
      <c r="KC127" s="46"/>
      <c r="KD127" s="46"/>
      <c r="KE127" s="46"/>
      <c r="KF127" s="46"/>
      <c r="KG127" s="46"/>
      <c r="KH127" s="46"/>
      <c r="KI127" s="46"/>
      <c r="KJ127" s="93">
        <f t="shared" ref="KJ127:KJ140" si="40">SUM(JE127:KI127)</f>
        <v>0</v>
      </c>
    </row>
    <row r="128" spans="1:296" ht="20.149999999999999" customHeight="1" x14ac:dyDescent="0.5">
      <c r="A128" s="84">
        <f t="shared" si="35"/>
        <v>119</v>
      </c>
      <c r="B128" s="141" t="s">
        <v>258</v>
      </c>
      <c r="C128" s="161" t="s">
        <v>352</v>
      </c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>
        <f t="shared" si="18"/>
        <v>0</v>
      </c>
      <c r="S128" s="46">
        <f t="shared" si="19"/>
        <v>0</v>
      </c>
      <c r="T128" s="46">
        <f t="shared" si="20"/>
        <v>0</v>
      </c>
      <c r="U128" s="46">
        <f t="shared" si="21"/>
        <v>0</v>
      </c>
      <c r="V128" s="46">
        <f t="shared" si="22"/>
        <v>0</v>
      </c>
      <c r="W128" s="46">
        <f t="shared" si="23"/>
        <v>0</v>
      </c>
      <c r="X128" s="46">
        <f t="shared" si="24"/>
        <v>0</v>
      </c>
      <c r="Y128" s="46">
        <f t="shared" si="25"/>
        <v>0</v>
      </c>
      <c r="Z128" s="90">
        <f t="shared" si="26"/>
        <v>0</v>
      </c>
      <c r="AA128" s="95"/>
      <c r="AB128" s="95">
        <f>'LPLPO GUDANG'!H133</f>
        <v>0</v>
      </c>
      <c r="AC128" s="91"/>
      <c r="AD128" s="91"/>
      <c r="AE128" s="91"/>
      <c r="AF128" s="91"/>
      <c r="AG128" s="92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93">
        <f t="shared" si="27"/>
        <v>0</v>
      </c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93">
        <f t="shared" si="36"/>
        <v>0</v>
      </c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  <c r="DK128" s="46"/>
      <c r="DL128" s="46"/>
      <c r="DM128" s="46"/>
      <c r="DN128" s="46"/>
      <c r="DO128" s="46"/>
      <c r="DP128" s="46"/>
      <c r="DQ128" s="46"/>
      <c r="DR128" s="46"/>
      <c r="DS128" s="46"/>
      <c r="DT128" s="46"/>
      <c r="DU128" s="46"/>
      <c r="DV128" s="46"/>
      <c r="DW128" s="46"/>
      <c r="DX128" s="46"/>
      <c r="DY128" s="46"/>
      <c r="DZ128" s="46"/>
      <c r="EA128" s="93">
        <f t="shared" si="29"/>
        <v>0</v>
      </c>
      <c r="EC128" s="46"/>
      <c r="ED128" s="46"/>
      <c r="EE128" s="46"/>
      <c r="EF128" s="46"/>
      <c r="EG128" s="46"/>
      <c r="EH128" s="46"/>
      <c r="EI128" s="46"/>
      <c r="EJ128" s="46"/>
      <c r="EK128" s="46"/>
      <c r="EL128" s="46"/>
      <c r="EM128" s="46"/>
      <c r="EN128" s="46"/>
      <c r="EO128" s="46"/>
      <c r="EP128" s="46"/>
      <c r="EQ128" s="46"/>
      <c r="ER128" s="46"/>
      <c r="ES128" s="46"/>
      <c r="ET128" s="46"/>
      <c r="EU128" s="46"/>
      <c r="EV128" s="46"/>
      <c r="EW128" s="46"/>
      <c r="EX128" s="46"/>
      <c r="EY128" s="46"/>
      <c r="EZ128" s="46"/>
      <c r="FA128" s="46"/>
      <c r="FB128" s="46"/>
      <c r="FC128" s="46"/>
      <c r="FD128" s="46"/>
      <c r="FE128" s="46"/>
      <c r="FF128" s="46"/>
      <c r="FG128" s="46"/>
      <c r="FH128" s="93">
        <f t="shared" si="30"/>
        <v>0</v>
      </c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93">
        <f t="shared" si="37"/>
        <v>0</v>
      </c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93">
        <f t="shared" si="38"/>
        <v>0</v>
      </c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  <c r="IT128" s="46"/>
      <c r="IU128" s="46"/>
      <c r="IV128" s="46"/>
      <c r="IW128" s="46"/>
      <c r="IX128" s="46"/>
      <c r="IY128" s="46"/>
      <c r="IZ128" s="46"/>
      <c r="JA128" s="46"/>
      <c r="JB128" s="46"/>
      <c r="JC128" s="93">
        <f t="shared" si="39"/>
        <v>0</v>
      </c>
      <c r="JE128" s="46"/>
      <c r="JF128" s="46"/>
      <c r="JG128" s="46"/>
      <c r="JH128" s="46"/>
      <c r="JI128" s="46"/>
      <c r="JJ128" s="46"/>
      <c r="JK128" s="46"/>
      <c r="JL128" s="46"/>
      <c r="JM128" s="46"/>
      <c r="JN128" s="46"/>
      <c r="JO128" s="46"/>
      <c r="JP128" s="46"/>
      <c r="JQ128" s="46"/>
      <c r="JR128" s="46"/>
      <c r="JS128" s="46"/>
      <c r="JT128" s="46"/>
      <c r="JU128" s="46"/>
      <c r="JV128" s="46"/>
      <c r="JW128" s="46"/>
      <c r="JX128" s="46"/>
      <c r="JY128" s="46"/>
      <c r="JZ128" s="46"/>
      <c r="KA128" s="46"/>
      <c r="KB128" s="46"/>
      <c r="KC128" s="46"/>
      <c r="KD128" s="46"/>
      <c r="KE128" s="46"/>
      <c r="KF128" s="46"/>
      <c r="KG128" s="46"/>
      <c r="KH128" s="46"/>
      <c r="KI128" s="46"/>
      <c r="KJ128" s="93">
        <f t="shared" si="40"/>
        <v>0</v>
      </c>
    </row>
    <row r="129" spans="1:296" ht="20.149999999999999" customHeight="1" x14ac:dyDescent="0.5">
      <c r="A129" s="84">
        <f t="shared" si="35"/>
        <v>120</v>
      </c>
      <c r="B129" s="141" t="s">
        <v>101</v>
      </c>
      <c r="C129" s="155" t="s">
        <v>327</v>
      </c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>
        <f t="shared" si="18"/>
        <v>0</v>
      </c>
      <c r="S129" s="46">
        <f t="shared" si="19"/>
        <v>0</v>
      </c>
      <c r="T129" s="46">
        <f t="shared" si="20"/>
        <v>0</v>
      </c>
      <c r="U129" s="46">
        <f t="shared" si="21"/>
        <v>0</v>
      </c>
      <c r="V129" s="46">
        <f t="shared" si="22"/>
        <v>0</v>
      </c>
      <c r="W129" s="46">
        <f t="shared" si="23"/>
        <v>0</v>
      </c>
      <c r="X129" s="46">
        <f t="shared" si="24"/>
        <v>0</v>
      </c>
      <c r="Y129" s="46">
        <f t="shared" si="25"/>
        <v>0</v>
      </c>
      <c r="Z129" s="90">
        <f t="shared" si="26"/>
        <v>0</v>
      </c>
      <c r="AA129" s="95"/>
      <c r="AB129" s="95">
        <f>'LPLPO GUDANG'!H134</f>
        <v>0</v>
      </c>
      <c r="AC129" s="91"/>
      <c r="AD129" s="91"/>
      <c r="AE129" s="91"/>
      <c r="AF129" s="91"/>
      <c r="AG129" s="92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93">
        <f t="shared" si="27"/>
        <v>0</v>
      </c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93">
        <f t="shared" si="36"/>
        <v>0</v>
      </c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  <c r="DK129" s="46"/>
      <c r="DL129" s="46"/>
      <c r="DM129" s="46"/>
      <c r="DN129" s="46"/>
      <c r="DO129" s="46"/>
      <c r="DP129" s="46"/>
      <c r="DQ129" s="46"/>
      <c r="DR129" s="46"/>
      <c r="DS129" s="46"/>
      <c r="DT129" s="46"/>
      <c r="DU129" s="46"/>
      <c r="DV129" s="46"/>
      <c r="DW129" s="46"/>
      <c r="DX129" s="46"/>
      <c r="DY129" s="46"/>
      <c r="DZ129" s="46"/>
      <c r="EA129" s="93">
        <f t="shared" si="29"/>
        <v>0</v>
      </c>
      <c r="EC129" s="46"/>
      <c r="ED129" s="46"/>
      <c r="EE129" s="46"/>
      <c r="EF129" s="46"/>
      <c r="EG129" s="46"/>
      <c r="EH129" s="46"/>
      <c r="EI129" s="46"/>
      <c r="EJ129" s="46"/>
      <c r="EK129" s="46"/>
      <c r="EL129" s="46"/>
      <c r="EM129" s="46"/>
      <c r="EN129" s="46"/>
      <c r="EO129" s="46"/>
      <c r="EP129" s="46"/>
      <c r="EQ129" s="46"/>
      <c r="ER129" s="46"/>
      <c r="ES129" s="46"/>
      <c r="ET129" s="46"/>
      <c r="EU129" s="46"/>
      <c r="EV129" s="46"/>
      <c r="EW129" s="46"/>
      <c r="EX129" s="46"/>
      <c r="EY129" s="46"/>
      <c r="EZ129" s="46"/>
      <c r="FA129" s="46"/>
      <c r="FB129" s="46"/>
      <c r="FC129" s="46"/>
      <c r="FD129" s="46"/>
      <c r="FE129" s="46"/>
      <c r="FF129" s="46"/>
      <c r="FG129" s="46"/>
      <c r="FH129" s="93">
        <f t="shared" si="30"/>
        <v>0</v>
      </c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93">
        <f t="shared" si="37"/>
        <v>0</v>
      </c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46"/>
      <c r="HH129" s="46"/>
      <c r="HI129" s="46"/>
      <c r="HJ129" s="46"/>
      <c r="HK129" s="46"/>
      <c r="HL129" s="46"/>
      <c r="HM129" s="46"/>
      <c r="HN129" s="46"/>
      <c r="HO129" s="46"/>
      <c r="HP129" s="46"/>
      <c r="HQ129" s="46"/>
      <c r="HR129" s="46"/>
      <c r="HS129" s="46"/>
      <c r="HT129" s="46"/>
      <c r="HU129" s="46"/>
      <c r="HV129" s="93">
        <f t="shared" si="38"/>
        <v>0</v>
      </c>
      <c r="HX129" s="46"/>
      <c r="HY129" s="46"/>
      <c r="HZ129" s="46"/>
      <c r="IA129" s="46"/>
      <c r="IB129" s="46"/>
      <c r="IC129" s="46"/>
      <c r="ID129" s="46"/>
      <c r="IE129" s="46"/>
      <c r="IF129" s="46"/>
      <c r="IG129" s="46"/>
      <c r="IH129" s="46"/>
      <c r="II129" s="46"/>
      <c r="IJ129" s="46"/>
      <c r="IK129" s="46"/>
      <c r="IL129" s="46"/>
      <c r="IM129" s="46"/>
      <c r="IN129" s="46"/>
      <c r="IO129" s="46"/>
      <c r="IP129" s="46"/>
      <c r="IQ129" s="46"/>
      <c r="IR129" s="46"/>
      <c r="IS129" s="46"/>
      <c r="IT129" s="46"/>
      <c r="IU129" s="46"/>
      <c r="IV129" s="46"/>
      <c r="IW129" s="46"/>
      <c r="IX129" s="46"/>
      <c r="IY129" s="46"/>
      <c r="IZ129" s="46"/>
      <c r="JA129" s="46"/>
      <c r="JB129" s="46"/>
      <c r="JC129" s="93">
        <f t="shared" si="39"/>
        <v>0</v>
      </c>
      <c r="JE129" s="46"/>
      <c r="JF129" s="46"/>
      <c r="JG129" s="46"/>
      <c r="JH129" s="46"/>
      <c r="JI129" s="46"/>
      <c r="JJ129" s="46"/>
      <c r="JK129" s="46"/>
      <c r="JL129" s="46"/>
      <c r="JM129" s="46"/>
      <c r="JN129" s="46"/>
      <c r="JO129" s="46"/>
      <c r="JP129" s="46"/>
      <c r="JQ129" s="46"/>
      <c r="JR129" s="46"/>
      <c r="JS129" s="46"/>
      <c r="JT129" s="46"/>
      <c r="JU129" s="46"/>
      <c r="JV129" s="46"/>
      <c r="JW129" s="46"/>
      <c r="JX129" s="46"/>
      <c r="JY129" s="46"/>
      <c r="JZ129" s="46"/>
      <c r="KA129" s="46"/>
      <c r="KB129" s="46"/>
      <c r="KC129" s="46"/>
      <c r="KD129" s="46"/>
      <c r="KE129" s="46"/>
      <c r="KF129" s="46"/>
      <c r="KG129" s="46"/>
      <c r="KH129" s="46"/>
      <c r="KI129" s="46"/>
      <c r="KJ129" s="93">
        <f t="shared" si="40"/>
        <v>0</v>
      </c>
    </row>
    <row r="130" spans="1:296" ht="20.149999999999999" customHeight="1" x14ac:dyDescent="0.5">
      <c r="A130" s="84">
        <f t="shared" si="35"/>
        <v>121</v>
      </c>
      <c r="B130" s="141" t="s">
        <v>102</v>
      </c>
      <c r="C130" s="169" t="s">
        <v>327</v>
      </c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>
        <f t="shared" si="18"/>
        <v>0</v>
      </c>
      <c r="S130" s="46">
        <f t="shared" si="19"/>
        <v>0</v>
      </c>
      <c r="T130" s="46">
        <f t="shared" si="20"/>
        <v>0</v>
      </c>
      <c r="U130" s="46">
        <f t="shared" si="21"/>
        <v>0</v>
      </c>
      <c r="V130" s="46">
        <f t="shared" si="22"/>
        <v>0</v>
      </c>
      <c r="W130" s="46">
        <f t="shared" si="23"/>
        <v>0</v>
      </c>
      <c r="X130" s="46">
        <f t="shared" si="24"/>
        <v>0</v>
      </c>
      <c r="Y130" s="46">
        <f t="shared" si="25"/>
        <v>0</v>
      </c>
      <c r="Z130" s="90">
        <f t="shared" si="26"/>
        <v>0</v>
      </c>
      <c r="AA130" s="95"/>
      <c r="AB130" s="95">
        <f>'LPLPO GUDANG'!H135</f>
        <v>0</v>
      </c>
      <c r="AC130" s="95"/>
      <c r="AD130" s="91"/>
      <c r="AE130" s="91"/>
      <c r="AF130" s="91"/>
      <c r="AG130" s="92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93">
        <f t="shared" si="27"/>
        <v>0</v>
      </c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93">
        <f t="shared" si="36"/>
        <v>0</v>
      </c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  <c r="DK130" s="46"/>
      <c r="DL130" s="46"/>
      <c r="DM130" s="46"/>
      <c r="DN130" s="46"/>
      <c r="DO130" s="46"/>
      <c r="DP130" s="46"/>
      <c r="DQ130" s="46"/>
      <c r="DR130" s="46"/>
      <c r="DS130" s="46"/>
      <c r="DT130" s="46"/>
      <c r="DU130" s="46"/>
      <c r="DV130" s="46"/>
      <c r="DW130" s="46"/>
      <c r="DX130" s="46"/>
      <c r="DY130" s="46"/>
      <c r="DZ130" s="46"/>
      <c r="EA130" s="93">
        <f t="shared" si="29"/>
        <v>0</v>
      </c>
      <c r="EC130" s="46"/>
      <c r="ED130" s="46"/>
      <c r="EE130" s="46"/>
      <c r="EF130" s="46"/>
      <c r="EG130" s="46"/>
      <c r="EH130" s="46"/>
      <c r="EI130" s="46"/>
      <c r="EJ130" s="46"/>
      <c r="EK130" s="46"/>
      <c r="EL130" s="46"/>
      <c r="EM130" s="46"/>
      <c r="EN130" s="46"/>
      <c r="EO130" s="46"/>
      <c r="EP130" s="46"/>
      <c r="EQ130" s="46"/>
      <c r="ER130" s="46"/>
      <c r="ES130" s="46"/>
      <c r="ET130" s="46"/>
      <c r="EU130" s="46"/>
      <c r="EV130" s="46"/>
      <c r="EW130" s="46"/>
      <c r="EX130" s="46"/>
      <c r="EY130" s="46"/>
      <c r="EZ130" s="46"/>
      <c r="FA130" s="46"/>
      <c r="FB130" s="46"/>
      <c r="FC130" s="46"/>
      <c r="FD130" s="46"/>
      <c r="FE130" s="46"/>
      <c r="FF130" s="46"/>
      <c r="FG130" s="46"/>
      <c r="FH130" s="93">
        <f t="shared" si="30"/>
        <v>0</v>
      </c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93">
        <f t="shared" si="37"/>
        <v>0</v>
      </c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46"/>
      <c r="HH130" s="46"/>
      <c r="HI130" s="46"/>
      <c r="HJ130" s="46"/>
      <c r="HK130" s="46"/>
      <c r="HL130" s="46"/>
      <c r="HM130" s="46"/>
      <c r="HN130" s="46"/>
      <c r="HO130" s="46"/>
      <c r="HP130" s="46"/>
      <c r="HQ130" s="46"/>
      <c r="HR130" s="46"/>
      <c r="HS130" s="46"/>
      <c r="HT130" s="46"/>
      <c r="HU130" s="46"/>
      <c r="HV130" s="93">
        <f t="shared" si="38"/>
        <v>0</v>
      </c>
      <c r="HX130" s="46"/>
      <c r="HY130" s="46"/>
      <c r="HZ130" s="46"/>
      <c r="IA130" s="46"/>
      <c r="IB130" s="46"/>
      <c r="IC130" s="46"/>
      <c r="ID130" s="46"/>
      <c r="IE130" s="46"/>
      <c r="IF130" s="46"/>
      <c r="IG130" s="46"/>
      <c r="IH130" s="46"/>
      <c r="II130" s="46"/>
      <c r="IJ130" s="46"/>
      <c r="IK130" s="46"/>
      <c r="IL130" s="46"/>
      <c r="IM130" s="46"/>
      <c r="IN130" s="46"/>
      <c r="IO130" s="46"/>
      <c r="IP130" s="46"/>
      <c r="IQ130" s="46"/>
      <c r="IR130" s="46"/>
      <c r="IS130" s="46"/>
      <c r="IT130" s="46"/>
      <c r="IU130" s="46"/>
      <c r="IV130" s="46"/>
      <c r="IW130" s="46"/>
      <c r="IX130" s="46"/>
      <c r="IY130" s="46"/>
      <c r="IZ130" s="46"/>
      <c r="JA130" s="46"/>
      <c r="JB130" s="46"/>
      <c r="JC130" s="93">
        <f t="shared" si="39"/>
        <v>0</v>
      </c>
      <c r="JE130" s="46"/>
      <c r="JF130" s="46"/>
      <c r="JG130" s="46"/>
      <c r="JH130" s="46"/>
      <c r="JI130" s="46"/>
      <c r="JJ130" s="46"/>
      <c r="JK130" s="46"/>
      <c r="JL130" s="46"/>
      <c r="JM130" s="46"/>
      <c r="JN130" s="46"/>
      <c r="JO130" s="46"/>
      <c r="JP130" s="46"/>
      <c r="JQ130" s="46"/>
      <c r="JR130" s="46"/>
      <c r="JS130" s="46"/>
      <c r="JT130" s="46"/>
      <c r="JU130" s="46"/>
      <c r="JV130" s="46"/>
      <c r="JW130" s="46"/>
      <c r="JX130" s="46"/>
      <c r="JY130" s="46"/>
      <c r="JZ130" s="46"/>
      <c r="KA130" s="46"/>
      <c r="KB130" s="46"/>
      <c r="KC130" s="46"/>
      <c r="KD130" s="46"/>
      <c r="KE130" s="46"/>
      <c r="KF130" s="46"/>
      <c r="KG130" s="46"/>
      <c r="KH130" s="46"/>
      <c r="KI130" s="46"/>
      <c r="KJ130" s="93">
        <f t="shared" si="40"/>
        <v>0</v>
      </c>
    </row>
    <row r="131" spans="1:296" ht="20.149999999999999" customHeight="1" x14ac:dyDescent="0.5">
      <c r="A131" s="84">
        <f t="shared" si="35"/>
        <v>122</v>
      </c>
      <c r="B131" s="141" t="s">
        <v>103</v>
      </c>
      <c r="C131" s="153" t="s">
        <v>48</v>
      </c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>
        <f t="shared" si="18"/>
        <v>0</v>
      </c>
      <c r="S131" s="46">
        <f t="shared" si="19"/>
        <v>0</v>
      </c>
      <c r="T131" s="46">
        <f t="shared" si="20"/>
        <v>0</v>
      </c>
      <c r="U131" s="46">
        <f t="shared" si="21"/>
        <v>0</v>
      </c>
      <c r="V131" s="46">
        <f t="shared" si="22"/>
        <v>0</v>
      </c>
      <c r="W131" s="46">
        <f t="shared" si="23"/>
        <v>0</v>
      </c>
      <c r="X131" s="46">
        <f t="shared" si="24"/>
        <v>0</v>
      </c>
      <c r="Y131" s="46">
        <f t="shared" si="25"/>
        <v>0</v>
      </c>
      <c r="Z131" s="90">
        <f t="shared" si="26"/>
        <v>0</v>
      </c>
      <c r="AA131" s="95"/>
      <c r="AB131" s="92">
        <f>'LPLPO GUDANG'!H136</f>
        <v>80</v>
      </c>
      <c r="AC131" s="91"/>
      <c r="AD131" s="91"/>
      <c r="AE131" s="91"/>
      <c r="AF131" s="91"/>
      <c r="AG131" s="92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93">
        <f t="shared" si="27"/>
        <v>0</v>
      </c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93">
        <f t="shared" si="36"/>
        <v>0</v>
      </c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  <c r="DK131" s="46"/>
      <c r="DL131" s="46"/>
      <c r="DM131" s="46"/>
      <c r="DN131" s="46"/>
      <c r="DO131" s="46"/>
      <c r="DP131" s="46"/>
      <c r="DQ131" s="46"/>
      <c r="DR131" s="46"/>
      <c r="DS131" s="46"/>
      <c r="DT131" s="46"/>
      <c r="DU131" s="46"/>
      <c r="DV131" s="46"/>
      <c r="DW131" s="46"/>
      <c r="DX131" s="46"/>
      <c r="DY131" s="46"/>
      <c r="DZ131" s="46"/>
      <c r="EA131" s="93">
        <f t="shared" si="29"/>
        <v>0</v>
      </c>
      <c r="EC131" s="46"/>
      <c r="ED131" s="46"/>
      <c r="EE131" s="46"/>
      <c r="EF131" s="46"/>
      <c r="EG131" s="46"/>
      <c r="EH131" s="46"/>
      <c r="EI131" s="46"/>
      <c r="EJ131" s="46"/>
      <c r="EK131" s="46"/>
      <c r="EL131" s="46"/>
      <c r="EM131" s="46"/>
      <c r="EN131" s="46"/>
      <c r="EO131" s="46"/>
      <c r="EP131" s="46"/>
      <c r="EQ131" s="46"/>
      <c r="ER131" s="46"/>
      <c r="ES131" s="46"/>
      <c r="ET131" s="46"/>
      <c r="EU131" s="46"/>
      <c r="EV131" s="46"/>
      <c r="EW131" s="46"/>
      <c r="EX131" s="46"/>
      <c r="EY131" s="46"/>
      <c r="EZ131" s="46"/>
      <c r="FA131" s="46"/>
      <c r="FB131" s="46"/>
      <c r="FC131" s="46"/>
      <c r="FD131" s="46"/>
      <c r="FE131" s="46"/>
      <c r="FF131" s="46"/>
      <c r="FG131" s="46"/>
      <c r="FH131" s="93">
        <f t="shared" si="30"/>
        <v>0</v>
      </c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93">
        <f t="shared" si="37"/>
        <v>0</v>
      </c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46"/>
      <c r="HH131" s="46"/>
      <c r="HI131" s="46"/>
      <c r="HJ131" s="46"/>
      <c r="HK131" s="46"/>
      <c r="HL131" s="46"/>
      <c r="HM131" s="46"/>
      <c r="HN131" s="46"/>
      <c r="HO131" s="46"/>
      <c r="HP131" s="46"/>
      <c r="HQ131" s="46"/>
      <c r="HR131" s="46"/>
      <c r="HS131" s="46"/>
      <c r="HT131" s="46"/>
      <c r="HU131" s="46"/>
      <c r="HV131" s="93">
        <f t="shared" si="38"/>
        <v>0</v>
      </c>
      <c r="HX131" s="46"/>
      <c r="HY131" s="46"/>
      <c r="HZ131" s="46"/>
      <c r="IA131" s="46"/>
      <c r="IB131" s="46"/>
      <c r="IC131" s="46"/>
      <c r="ID131" s="46"/>
      <c r="IE131" s="46"/>
      <c r="IF131" s="46"/>
      <c r="IG131" s="46"/>
      <c r="IH131" s="46"/>
      <c r="II131" s="46"/>
      <c r="IJ131" s="46"/>
      <c r="IK131" s="46"/>
      <c r="IL131" s="46"/>
      <c r="IM131" s="46"/>
      <c r="IN131" s="46"/>
      <c r="IO131" s="46"/>
      <c r="IP131" s="46"/>
      <c r="IQ131" s="46"/>
      <c r="IR131" s="46"/>
      <c r="IS131" s="46"/>
      <c r="IT131" s="46"/>
      <c r="IU131" s="46"/>
      <c r="IV131" s="46"/>
      <c r="IW131" s="46"/>
      <c r="IX131" s="46"/>
      <c r="IY131" s="46"/>
      <c r="IZ131" s="46"/>
      <c r="JA131" s="46"/>
      <c r="JB131" s="46"/>
      <c r="JC131" s="93">
        <f t="shared" si="39"/>
        <v>0</v>
      </c>
      <c r="JE131" s="46"/>
      <c r="JF131" s="46"/>
      <c r="JG131" s="46"/>
      <c r="JH131" s="46"/>
      <c r="JI131" s="46"/>
      <c r="JJ131" s="46"/>
      <c r="JK131" s="46"/>
      <c r="JL131" s="46"/>
      <c r="JM131" s="46"/>
      <c r="JN131" s="46"/>
      <c r="JO131" s="46"/>
      <c r="JP131" s="46"/>
      <c r="JQ131" s="46"/>
      <c r="JR131" s="46"/>
      <c r="JS131" s="46"/>
      <c r="JT131" s="46"/>
      <c r="JU131" s="46"/>
      <c r="JV131" s="46"/>
      <c r="JW131" s="46"/>
      <c r="JX131" s="46"/>
      <c r="JY131" s="46"/>
      <c r="JZ131" s="46"/>
      <c r="KA131" s="46"/>
      <c r="KB131" s="46"/>
      <c r="KC131" s="46"/>
      <c r="KD131" s="46"/>
      <c r="KE131" s="46"/>
      <c r="KF131" s="46"/>
      <c r="KG131" s="46"/>
      <c r="KH131" s="46"/>
      <c r="KI131" s="46"/>
      <c r="KJ131" s="93">
        <f t="shared" si="40"/>
        <v>0</v>
      </c>
    </row>
    <row r="132" spans="1:296" ht="20.149999999999999" customHeight="1" x14ac:dyDescent="0.5">
      <c r="A132" s="84">
        <f t="shared" si="35"/>
        <v>123</v>
      </c>
      <c r="B132" s="141" t="s">
        <v>107</v>
      </c>
      <c r="C132" s="154" t="s">
        <v>108</v>
      </c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>
        <f t="shared" si="18"/>
        <v>0</v>
      </c>
      <c r="S132" s="46">
        <f t="shared" si="19"/>
        <v>0</v>
      </c>
      <c r="T132" s="46">
        <f t="shared" si="20"/>
        <v>0</v>
      </c>
      <c r="U132" s="46">
        <f t="shared" si="21"/>
        <v>0</v>
      </c>
      <c r="V132" s="46">
        <f t="shared" si="22"/>
        <v>20</v>
      </c>
      <c r="W132" s="46">
        <f t="shared" si="23"/>
        <v>0</v>
      </c>
      <c r="X132" s="46">
        <f t="shared" si="24"/>
        <v>0</v>
      </c>
      <c r="Y132" s="46">
        <f t="shared" si="25"/>
        <v>0</v>
      </c>
      <c r="Z132" s="90">
        <f t="shared" si="26"/>
        <v>20</v>
      </c>
      <c r="AA132" s="95"/>
      <c r="AB132" s="92">
        <f>'LPLPO GUDANG'!H137</f>
        <v>80</v>
      </c>
      <c r="AC132" s="91"/>
      <c r="AD132" s="91"/>
      <c r="AE132" s="91"/>
      <c r="AF132" s="91"/>
      <c r="AG132" s="92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93">
        <f t="shared" si="27"/>
        <v>0</v>
      </c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93">
        <f t="shared" si="36"/>
        <v>0</v>
      </c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  <c r="DK132" s="46"/>
      <c r="DL132" s="46"/>
      <c r="DM132" s="46"/>
      <c r="DN132" s="46"/>
      <c r="DO132" s="46"/>
      <c r="DP132" s="46"/>
      <c r="DQ132" s="46"/>
      <c r="DR132" s="46"/>
      <c r="DS132" s="46"/>
      <c r="DT132" s="46"/>
      <c r="DU132" s="46"/>
      <c r="DV132" s="46"/>
      <c r="DW132" s="46"/>
      <c r="DX132" s="46"/>
      <c r="DY132" s="46"/>
      <c r="DZ132" s="46"/>
      <c r="EA132" s="93">
        <f t="shared" si="29"/>
        <v>0</v>
      </c>
      <c r="EC132" s="46"/>
      <c r="ED132" s="46"/>
      <c r="EE132" s="46"/>
      <c r="EF132" s="46"/>
      <c r="EG132" s="46"/>
      <c r="EH132" s="46"/>
      <c r="EI132" s="46"/>
      <c r="EJ132" s="46"/>
      <c r="EK132" s="46"/>
      <c r="EL132" s="46"/>
      <c r="EM132" s="46"/>
      <c r="EN132" s="46"/>
      <c r="EO132" s="46"/>
      <c r="EP132" s="46"/>
      <c r="EQ132" s="46"/>
      <c r="ER132" s="46"/>
      <c r="ES132" s="46"/>
      <c r="ET132" s="46"/>
      <c r="EU132" s="46"/>
      <c r="EV132" s="46"/>
      <c r="EW132" s="46"/>
      <c r="EX132" s="46"/>
      <c r="EY132" s="46"/>
      <c r="EZ132" s="46"/>
      <c r="FA132" s="46"/>
      <c r="FB132" s="46"/>
      <c r="FC132" s="46"/>
      <c r="FD132" s="46"/>
      <c r="FE132" s="46"/>
      <c r="FF132" s="46"/>
      <c r="FG132" s="46"/>
      <c r="FH132" s="93">
        <f t="shared" si="30"/>
        <v>0</v>
      </c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>
        <v>20</v>
      </c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93">
        <f t="shared" si="37"/>
        <v>20</v>
      </c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93">
        <f t="shared" si="38"/>
        <v>0</v>
      </c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  <c r="IT132" s="46"/>
      <c r="IU132" s="46"/>
      <c r="IV132" s="46"/>
      <c r="IW132" s="46"/>
      <c r="IX132" s="46"/>
      <c r="IY132" s="46"/>
      <c r="IZ132" s="46"/>
      <c r="JA132" s="46"/>
      <c r="JB132" s="46"/>
      <c r="JC132" s="93">
        <f t="shared" si="39"/>
        <v>0</v>
      </c>
      <c r="JE132" s="46"/>
      <c r="JF132" s="46"/>
      <c r="JG132" s="46"/>
      <c r="JH132" s="46"/>
      <c r="JI132" s="46"/>
      <c r="JJ132" s="46"/>
      <c r="JK132" s="46"/>
      <c r="JL132" s="46"/>
      <c r="JM132" s="46"/>
      <c r="JN132" s="46"/>
      <c r="JO132" s="46"/>
      <c r="JP132" s="46"/>
      <c r="JQ132" s="46"/>
      <c r="JR132" s="46"/>
      <c r="JS132" s="46"/>
      <c r="JT132" s="46"/>
      <c r="JU132" s="46"/>
      <c r="JV132" s="46"/>
      <c r="JW132" s="46"/>
      <c r="JX132" s="46"/>
      <c r="JY132" s="46"/>
      <c r="JZ132" s="46"/>
      <c r="KA132" s="46"/>
      <c r="KB132" s="46"/>
      <c r="KC132" s="46"/>
      <c r="KD132" s="46"/>
      <c r="KE132" s="46"/>
      <c r="KF132" s="46"/>
      <c r="KG132" s="46"/>
      <c r="KH132" s="46"/>
      <c r="KI132" s="46"/>
      <c r="KJ132" s="93">
        <f t="shared" si="40"/>
        <v>0</v>
      </c>
    </row>
    <row r="133" spans="1:296" ht="20.149999999999999" customHeight="1" x14ac:dyDescent="0.5">
      <c r="A133" s="84">
        <f t="shared" si="35"/>
        <v>124</v>
      </c>
      <c r="B133" s="141" t="s">
        <v>107</v>
      </c>
      <c r="C133" s="155" t="s">
        <v>108</v>
      </c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>
        <f t="shared" si="18"/>
        <v>0</v>
      </c>
      <c r="S133" s="46">
        <f t="shared" si="19"/>
        <v>0</v>
      </c>
      <c r="T133" s="46">
        <f t="shared" si="20"/>
        <v>0</v>
      </c>
      <c r="U133" s="46">
        <f t="shared" si="21"/>
        <v>0</v>
      </c>
      <c r="V133" s="46">
        <f t="shared" si="22"/>
        <v>0</v>
      </c>
      <c r="W133" s="46">
        <f t="shared" si="23"/>
        <v>0</v>
      </c>
      <c r="X133" s="46">
        <f t="shared" si="24"/>
        <v>0</v>
      </c>
      <c r="Y133" s="46">
        <f t="shared" si="25"/>
        <v>0</v>
      </c>
      <c r="Z133" s="90">
        <f t="shared" si="26"/>
        <v>0</v>
      </c>
      <c r="AA133" s="95"/>
      <c r="AB133" s="95">
        <f>'LPLPO GUDANG'!H138</f>
        <v>0</v>
      </c>
      <c r="AC133" s="91"/>
      <c r="AD133" s="91"/>
      <c r="AE133" s="91"/>
      <c r="AF133" s="91"/>
      <c r="AG133" s="92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93">
        <f t="shared" si="27"/>
        <v>0</v>
      </c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93">
        <f t="shared" si="36"/>
        <v>0</v>
      </c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  <c r="DK133" s="46"/>
      <c r="DL133" s="46"/>
      <c r="DM133" s="46"/>
      <c r="DN133" s="46"/>
      <c r="DO133" s="46"/>
      <c r="DP133" s="46"/>
      <c r="DQ133" s="46"/>
      <c r="DR133" s="46"/>
      <c r="DS133" s="46"/>
      <c r="DT133" s="46"/>
      <c r="DU133" s="46"/>
      <c r="DV133" s="46"/>
      <c r="DW133" s="46"/>
      <c r="DX133" s="46"/>
      <c r="DY133" s="46"/>
      <c r="DZ133" s="46"/>
      <c r="EA133" s="93">
        <f t="shared" si="29"/>
        <v>0</v>
      </c>
      <c r="EC133" s="46"/>
      <c r="ED133" s="46"/>
      <c r="EE133" s="46"/>
      <c r="EF133" s="46"/>
      <c r="EG133" s="46"/>
      <c r="EH133" s="46"/>
      <c r="EI133" s="46"/>
      <c r="EJ133" s="46"/>
      <c r="EK133" s="46"/>
      <c r="EL133" s="46"/>
      <c r="EM133" s="46"/>
      <c r="EN133" s="46"/>
      <c r="EO133" s="46"/>
      <c r="EP133" s="46"/>
      <c r="EQ133" s="46"/>
      <c r="ER133" s="46"/>
      <c r="ES133" s="46"/>
      <c r="ET133" s="46"/>
      <c r="EU133" s="46"/>
      <c r="EV133" s="46"/>
      <c r="EW133" s="46"/>
      <c r="EX133" s="46"/>
      <c r="EY133" s="46"/>
      <c r="EZ133" s="46"/>
      <c r="FA133" s="46"/>
      <c r="FB133" s="46"/>
      <c r="FC133" s="46"/>
      <c r="FD133" s="46"/>
      <c r="FE133" s="46"/>
      <c r="FF133" s="46"/>
      <c r="FG133" s="46"/>
      <c r="FH133" s="93">
        <f t="shared" si="30"/>
        <v>0</v>
      </c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93">
        <f t="shared" si="37"/>
        <v>0</v>
      </c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93">
        <f t="shared" si="38"/>
        <v>0</v>
      </c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  <c r="IT133" s="46"/>
      <c r="IU133" s="46"/>
      <c r="IV133" s="46"/>
      <c r="IW133" s="46"/>
      <c r="IX133" s="46"/>
      <c r="IY133" s="46"/>
      <c r="IZ133" s="46"/>
      <c r="JA133" s="46"/>
      <c r="JB133" s="46"/>
      <c r="JC133" s="93">
        <f t="shared" si="39"/>
        <v>0</v>
      </c>
      <c r="JE133" s="46"/>
      <c r="JF133" s="46"/>
      <c r="JG133" s="46"/>
      <c r="JH133" s="46"/>
      <c r="JI133" s="46"/>
      <c r="JJ133" s="46"/>
      <c r="JK133" s="46"/>
      <c r="JL133" s="46"/>
      <c r="JM133" s="46"/>
      <c r="JN133" s="46"/>
      <c r="JO133" s="46"/>
      <c r="JP133" s="46"/>
      <c r="JQ133" s="46"/>
      <c r="JR133" s="46"/>
      <c r="JS133" s="46"/>
      <c r="JT133" s="46"/>
      <c r="JU133" s="46"/>
      <c r="JV133" s="46"/>
      <c r="JW133" s="46"/>
      <c r="JX133" s="46"/>
      <c r="JY133" s="46"/>
      <c r="JZ133" s="46"/>
      <c r="KA133" s="46"/>
      <c r="KB133" s="46"/>
      <c r="KC133" s="46"/>
      <c r="KD133" s="46"/>
      <c r="KE133" s="46"/>
      <c r="KF133" s="46"/>
      <c r="KG133" s="46"/>
      <c r="KH133" s="46"/>
      <c r="KI133" s="46"/>
      <c r="KJ133" s="93">
        <f t="shared" si="40"/>
        <v>0</v>
      </c>
    </row>
    <row r="134" spans="1:296" ht="20.149999999999999" customHeight="1" x14ac:dyDescent="0.5">
      <c r="A134" s="84">
        <f t="shared" si="35"/>
        <v>125</v>
      </c>
      <c r="B134" s="141" t="s">
        <v>111</v>
      </c>
      <c r="C134" s="159" t="s">
        <v>108</v>
      </c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>
        <f t="shared" si="18"/>
        <v>385</v>
      </c>
      <c r="S134" s="46">
        <f t="shared" si="19"/>
        <v>0</v>
      </c>
      <c r="T134" s="46">
        <f t="shared" si="20"/>
        <v>0</v>
      </c>
      <c r="U134" s="46">
        <f t="shared" si="21"/>
        <v>15</v>
      </c>
      <c r="V134" s="46">
        <f t="shared" si="22"/>
        <v>0</v>
      </c>
      <c r="W134" s="46">
        <f t="shared" si="23"/>
        <v>0</v>
      </c>
      <c r="X134" s="46">
        <f t="shared" si="24"/>
        <v>0</v>
      </c>
      <c r="Y134" s="46">
        <f t="shared" si="25"/>
        <v>0</v>
      </c>
      <c r="Z134" s="90">
        <f t="shared" si="26"/>
        <v>400</v>
      </c>
      <c r="AA134" s="95"/>
      <c r="AB134" s="95">
        <f>'LPLPO GUDANG'!H139</f>
        <v>0</v>
      </c>
      <c r="AC134" s="91">
        <v>-100</v>
      </c>
      <c r="AD134" s="91"/>
      <c r="AE134" s="91"/>
      <c r="AF134" s="91"/>
      <c r="AG134" s="92"/>
      <c r="AH134" s="46"/>
      <c r="AI134" s="46"/>
      <c r="AJ134" s="46"/>
      <c r="AK134" s="46"/>
      <c r="AL134" s="46"/>
      <c r="AM134" s="46">
        <v>100</v>
      </c>
      <c r="AN134" s="46"/>
      <c r="AO134" s="46"/>
      <c r="AP134" s="46"/>
      <c r="AQ134" s="46"/>
      <c r="AR134" s="46"/>
      <c r="AS134" s="46">
        <v>200</v>
      </c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>
        <v>85</v>
      </c>
      <c r="BF134" s="46"/>
      <c r="BG134" s="46"/>
      <c r="BH134" s="46"/>
      <c r="BI134" s="46"/>
      <c r="BJ134" s="46"/>
      <c r="BK134" s="46"/>
      <c r="BL134" s="46"/>
      <c r="BM134" s="93">
        <f t="shared" si="27"/>
        <v>385</v>
      </c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93">
        <f t="shared" si="36"/>
        <v>0</v>
      </c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  <c r="DK134" s="46"/>
      <c r="DL134" s="46"/>
      <c r="DM134" s="46"/>
      <c r="DN134" s="46"/>
      <c r="DO134" s="46"/>
      <c r="DP134" s="46"/>
      <c r="DQ134" s="46"/>
      <c r="DR134" s="46"/>
      <c r="DS134" s="46"/>
      <c r="DT134" s="46"/>
      <c r="DU134" s="46"/>
      <c r="DV134" s="46"/>
      <c r="DW134" s="46"/>
      <c r="DX134" s="46"/>
      <c r="DY134" s="46"/>
      <c r="DZ134" s="46"/>
      <c r="EA134" s="93">
        <f t="shared" si="29"/>
        <v>0</v>
      </c>
      <c r="EC134" s="46"/>
      <c r="ED134" s="46"/>
      <c r="EE134" s="46"/>
      <c r="EF134" s="46"/>
      <c r="EG134" s="46"/>
      <c r="EH134" s="46"/>
      <c r="EI134" s="46"/>
      <c r="EJ134" s="46"/>
      <c r="EK134" s="46"/>
      <c r="EL134" s="46"/>
      <c r="EM134" s="46"/>
      <c r="EN134" s="46"/>
      <c r="EO134" s="46"/>
      <c r="EP134" s="46"/>
      <c r="EQ134" s="46"/>
      <c r="ER134" s="46"/>
      <c r="ES134" s="46"/>
      <c r="ET134" s="46"/>
      <c r="EU134" s="46"/>
      <c r="EV134" s="46"/>
      <c r="EW134" s="46"/>
      <c r="EX134" s="46"/>
      <c r="EY134" s="46"/>
      <c r="EZ134" s="46">
        <v>15</v>
      </c>
      <c r="FA134" s="46"/>
      <c r="FB134" s="46"/>
      <c r="FC134" s="46"/>
      <c r="FD134" s="46"/>
      <c r="FE134" s="46"/>
      <c r="FF134" s="46"/>
      <c r="FG134" s="46"/>
      <c r="FH134" s="93">
        <f t="shared" si="30"/>
        <v>15</v>
      </c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93">
        <f t="shared" si="37"/>
        <v>0</v>
      </c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93">
        <f t="shared" si="38"/>
        <v>0</v>
      </c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  <c r="IT134" s="46"/>
      <c r="IU134" s="46"/>
      <c r="IV134" s="46"/>
      <c r="IW134" s="46"/>
      <c r="IX134" s="46"/>
      <c r="IY134" s="46"/>
      <c r="IZ134" s="46"/>
      <c r="JA134" s="46"/>
      <c r="JB134" s="46"/>
      <c r="JC134" s="93">
        <f t="shared" si="39"/>
        <v>0</v>
      </c>
      <c r="JE134" s="46"/>
      <c r="JF134" s="46"/>
      <c r="JG134" s="46"/>
      <c r="JH134" s="46"/>
      <c r="JI134" s="46"/>
      <c r="JJ134" s="46"/>
      <c r="JK134" s="46"/>
      <c r="JL134" s="46"/>
      <c r="JM134" s="46"/>
      <c r="JN134" s="46"/>
      <c r="JO134" s="46"/>
      <c r="JP134" s="46"/>
      <c r="JQ134" s="46"/>
      <c r="JR134" s="46"/>
      <c r="JS134" s="46"/>
      <c r="JT134" s="46"/>
      <c r="JU134" s="46"/>
      <c r="JV134" s="46"/>
      <c r="JW134" s="46"/>
      <c r="JX134" s="46"/>
      <c r="JY134" s="46"/>
      <c r="JZ134" s="46"/>
      <c r="KA134" s="46"/>
      <c r="KB134" s="46"/>
      <c r="KC134" s="46"/>
      <c r="KD134" s="46"/>
      <c r="KE134" s="46"/>
      <c r="KF134" s="46"/>
      <c r="KG134" s="46"/>
      <c r="KH134" s="46"/>
      <c r="KI134" s="46"/>
      <c r="KJ134" s="93">
        <f t="shared" si="40"/>
        <v>0</v>
      </c>
    </row>
    <row r="135" spans="1:296" ht="20.149999999999999" customHeight="1" x14ac:dyDescent="0.5">
      <c r="A135" s="84">
        <f t="shared" si="35"/>
        <v>126</v>
      </c>
      <c r="B135" s="141" t="s">
        <v>109</v>
      </c>
      <c r="C135" s="165" t="s">
        <v>108</v>
      </c>
      <c r="D135" s="46"/>
      <c r="E135" s="46"/>
      <c r="F135" s="46"/>
      <c r="G135" s="46"/>
      <c r="H135" s="46"/>
      <c r="I135" s="46"/>
      <c r="J135" s="46"/>
      <c r="K135" s="46"/>
      <c r="L135" s="46">
        <v>15</v>
      </c>
      <c r="M135" s="46"/>
      <c r="N135" s="46"/>
      <c r="O135" s="46"/>
      <c r="P135" s="46"/>
      <c r="Q135" s="46"/>
      <c r="R135" s="46">
        <f t="shared" si="18"/>
        <v>400</v>
      </c>
      <c r="S135" s="46">
        <f t="shared" si="19"/>
        <v>0</v>
      </c>
      <c r="T135" s="46">
        <f t="shared" si="20"/>
        <v>0</v>
      </c>
      <c r="U135" s="46">
        <f t="shared" si="21"/>
        <v>100</v>
      </c>
      <c r="V135" s="46">
        <f t="shared" si="22"/>
        <v>20</v>
      </c>
      <c r="W135" s="46">
        <f t="shared" si="23"/>
        <v>0</v>
      </c>
      <c r="X135" s="46">
        <f t="shared" si="24"/>
        <v>0</v>
      </c>
      <c r="Y135" s="46">
        <f t="shared" si="25"/>
        <v>0</v>
      </c>
      <c r="Z135" s="90">
        <f t="shared" si="26"/>
        <v>535</v>
      </c>
      <c r="AA135" s="95"/>
      <c r="AB135" s="92">
        <f>'LPLPO GUDANG'!H140</f>
        <v>265</v>
      </c>
      <c r="AC135" s="91"/>
      <c r="AD135" s="91"/>
      <c r="AE135" s="91"/>
      <c r="AF135" s="91"/>
      <c r="AG135" s="92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>
        <v>200</v>
      </c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>
        <v>200</v>
      </c>
      <c r="BF135" s="46"/>
      <c r="BG135" s="46"/>
      <c r="BH135" s="46"/>
      <c r="BI135" s="46"/>
      <c r="BJ135" s="46"/>
      <c r="BK135" s="46"/>
      <c r="BL135" s="46"/>
      <c r="BM135" s="93">
        <f t="shared" si="27"/>
        <v>400</v>
      </c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93">
        <f t="shared" si="36"/>
        <v>0</v>
      </c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  <c r="DK135" s="46"/>
      <c r="DL135" s="46"/>
      <c r="DM135" s="46"/>
      <c r="DN135" s="46"/>
      <c r="DO135" s="46"/>
      <c r="DP135" s="46"/>
      <c r="DQ135" s="46"/>
      <c r="DR135" s="46"/>
      <c r="DS135" s="46"/>
      <c r="DT135" s="46"/>
      <c r="DU135" s="46"/>
      <c r="DV135" s="46"/>
      <c r="DW135" s="46"/>
      <c r="DX135" s="46"/>
      <c r="DY135" s="46"/>
      <c r="DZ135" s="46"/>
      <c r="EA135" s="93">
        <f t="shared" si="29"/>
        <v>0</v>
      </c>
      <c r="EC135" s="46"/>
      <c r="ED135" s="46"/>
      <c r="EE135" s="46"/>
      <c r="EF135" s="46"/>
      <c r="EG135" s="46"/>
      <c r="EH135" s="46"/>
      <c r="EI135" s="46"/>
      <c r="EJ135" s="46"/>
      <c r="EK135" s="46"/>
      <c r="EL135" s="46"/>
      <c r="EM135" s="46"/>
      <c r="EN135" s="46">
        <v>100</v>
      </c>
      <c r="EO135" s="46"/>
      <c r="EP135" s="46"/>
      <c r="EQ135" s="46"/>
      <c r="ER135" s="46"/>
      <c r="ES135" s="46"/>
      <c r="ET135" s="46"/>
      <c r="EU135" s="46"/>
      <c r="EV135" s="46"/>
      <c r="EW135" s="46"/>
      <c r="EX135" s="46"/>
      <c r="EY135" s="46"/>
      <c r="EZ135" s="46"/>
      <c r="FA135" s="46"/>
      <c r="FB135" s="46"/>
      <c r="FC135" s="46"/>
      <c r="FD135" s="46"/>
      <c r="FE135" s="46"/>
      <c r="FF135" s="46"/>
      <c r="FG135" s="46"/>
      <c r="FH135" s="93">
        <f t="shared" si="30"/>
        <v>100</v>
      </c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>
        <v>20</v>
      </c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93">
        <f t="shared" si="37"/>
        <v>20</v>
      </c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93">
        <f t="shared" si="38"/>
        <v>0</v>
      </c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  <c r="IT135" s="46"/>
      <c r="IU135" s="46"/>
      <c r="IV135" s="46"/>
      <c r="IW135" s="46"/>
      <c r="IX135" s="46"/>
      <c r="IY135" s="46"/>
      <c r="IZ135" s="46"/>
      <c r="JA135" s="46"/>
      <c r="JB135" s="46"/>
      <c r="JC135" s="93">
        <f t="shared" si="39"/>
        <v>0</v>
      </c>
      <c r="JE135" s="46"/>
      <c r="JF135" s="46"/>
      <c r="JG135" s="46"/>
      <c r="JH135" s="46"/>
      <c r="JI135" s="46"/>
      <c r="JJ135" s="46"/>
      <c r="JK135" s="46"/>
      <c r="JL135" s="46"/>
      <c r="JM135" s="46"/>
      <c r="JN135" s="46"/>
      <c r="JO135" s="46"/>
      <c r="JP135" s="46"/>
      <c r="JQ135" s="46"/>
      <c r="JR135" s="46"/>
      <c r="JS135" s="46"/>
      <c r="JT135" s="46"/>
      <c r="JU135" s="46"/>
      <c r="JV135" s="46"/>
      <c r="JW135" s="46"/>
      <c r="JX135" s="46"/>
      <c r="JY135" s="46"/>
      <c r="JZ135" s="46"/>
      <c r="KA135" s="46"/>
      <c r="KB135" s="46"/>
      <c r="KC135" s="46"/>
      <c r="KD135" s="46"/>
      <c r="KE135" s="46"/>
      <c r="KF135" s="46"/>
      <c r="KG135" s="46"/>
      <c r="KH135" s="46"/>
      <c r="KI135" s="46"/>
      <c r="KJ135" s="93">
        <f t="shared" si="40"/>
        <v>0</v>
      </c>
    </row>
    <row r="136" spans="1:296" x14ac:dyDescent="0.5">
      <c r="A136" s="84">
        <f t="shared" si="35"/>
        <v>127</v>
      </c>
      <c r="B136" s="141" t="s">
        <v>109</v>
      </c>
      <c r="C136" s="155" t="s">
        <v>108</v>
      </c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>
        <f t="shared" si="18"/>
        <v>0</v>
      </c>
      <c r="S136" s="46">
        <f t="shared" si="19"/>
        <v>0</v>
      </c>
      <c r="T136" s="46">
        <f t="shared" si="20"/>
        <v>0</v>
      </c>
      <c r="U136" s="46">
        <f t="shared" si="21"/>
        <v>0</v>
      </c>
      <c r="V136" s="46">
        <f t="shared" si="22"/>
        <v>0</v>
      </c>
      <c r="W136" s="46">
        <f t="shared" si="23"/>
        <v>0</v>
      </c>
      <c r="X136" s="46">
        <f t="shared" si="24"/>
        <v>0</v>
      </c>
      <c r="Y136" s="46">
        <f t="shared" si="25"/>
        <v>0</v>
      </c>
      <c r="Z136" s="90">
        <f t="shared" si="26"/>
        <v>0</v>
      </c>
      <c r="AA136" s="95"/>
      <c r="AB136" s="95">
        <f>'LPLPO GUDANG'!H141</f>
        <v>0</v>
      </c>
      <c r="AC136" s="91"/>
      <c r="AD136" s="91"/>
      <c r="AE136" s="91"/>
      <c r="AF136" s="91"/>
      <c r="AG136" s="92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93">
        <f t="shared" si="27"/>
        <v>0</v>
      </c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93">
        <f t="shared" si="36"/>
        <v>0</v>
      </c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  <c r="DK136" s="46"/>
      <c r="DL136" s="46"/>
      <c r="DM136" s="46"/>
      <c r="DN136" s="46"/>
      <c r="DO136" s="46"/>
      <c r="DP136" s="46"/>
      <c r="DQ136" s="46"/>
      <c r="DR136" s="46"/>
      <c r="DS136" s="46"/>
      <c r="DT136" s="46"/>
      <c r="DU136" s="46"/>
      <c r="DV136" s="46"/>
      <c r="DW136" s="46"/>
      <c r="DX136" s="46"/>
      <c r="DY136" s="46"/>
      <c r="DZ136" s="46"/>
      <c r="EA136" s="93">
        <f t="shared" si="29"/>
        <v>0</v>
      </c>
      <c r="EC136" s="46"/>
      <c r="ED136" s="46"/>
      <c r="EE136" s="46"/>
      <c r="EF136" s="46"/>
      <c r="EG136" s="46"/>
      <c r="EH136" s="46"/>
      <c r="EI136" s="46"/>
      <c r="EJ136" s="46"/>
      <c r="EK136" s="46"/>
      <c r="EL136" s="46"/>
      <c r="EM136" s="46"/>
      <c r="EN136" s="46"/>
      <c r="EO136" s="46"/>
      <c r="EP136" s="46"/>
      <c r="EQ136" s="46"/>
      <c r="ER136" s="46"/>
      <c r="ES136" s="46"/>
      <c r="ET136" s="46"/>
      <c r="EU136" s="46"/>
      <c r="EV136" s="46"/>
      <c r="EW136" s="46"/>
      <c r="EX136" s="46"/>
      <c r="EY136" s="46"/>
      <c r="EZ136" s="46"/>
      <c r="FA136" s="46"/>
      <c r="FB136" s="46"/>
      <c r="FC136" s="46"/>
      <c r="FD136" s="46"/>
      <c r="FE136" s="46"/>
      <c r="FF136" s="46"/>
      <c r="FG136" s="46"/>
      <c r="FH136" s="93">
        <f t="shared" si="30"/>
        <v>0</v>
      </c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93">
        <f t="shared" si="37"/>
        <v>0</v>
      </c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93">
        <f t="shared" si="38"/>
        <v>0</v>
      </c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  <c r="IT136" s="46"/>
      <c r="IU136" s="46"/>
      <c r="IV136" s="46"/>
      <c r="IW136" s="46"/>
      <c r="IX136" s="46"/>
      <c r="IY136" s="46"/>
      <c r="IZ136" s="46"/>
      <c r="JA136" s="46"/>
      <c r="JB136" s="46"/>
      <c r="JC136" s="93">
        <f t="shared" si="39"/>
        <v>0</v>
      </c>
      <c r="JE136" s="46"/>
      <c r="JF136" s="46"/>
      <c r="JG136" s="46"/>
      <c r="JH136" s="46"/>
      <c r="JI136" s="46"/>
      <c r="JJ136" s="46"/>
      <c r="JK136" s="46"/>
      <c r="JL136" s="46"/>
      <c r="JM136" s="46"/>
      <c r="JN136" s="46"/>
      <c r="JO136" s="46"/>
      <c r="JP136" s="46"/>
      <c r="JQ136" s="46"/>
      <c r="JR136" s="46"/>
      <c r="JS136" s="46"/>
      <c r="JT136" s="46"/>
      <c r="JU136" s="46"/>
      <c r="JV136" s="46"/>
      <c r="JW136" s="46"/>
      <c r="JX136" s="46"/>
      <c r="JY136" s="46"/>
      <c r="JZ136" s="46"/>
      <c r="KA136" s="46"/>
      <c r="KB136" s="46"/>
      <c r="KC136" s="46"/>
      <c r="KD136" s="46"/>
      <c r="KE136" s="46"/>
      <c r="KF136" s="46"/>
      <c r="KG136" s="46"/>
      <c r="KH136" s="46"/>
      <c r="KI136" s="46"/>
      <c r="KJ136" s="93">
        <f t="shared" si="40"/>
        <v>0</v>
      </c>
    </row>
    <row r="137" spans="1:296" x14ac:dyDescent="0.5">
      <c r="A137" s="84">
        <f t="shared" si="35"/>
        <v>128</v>
      </c>
      <c r="B137" s="141" t="s">
        <v>110</v>
      </c>
      <c r="C137" s="169" t="s">
        <v>108</v>
      </c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>
        <f t="shared" si="18"/>
        <v>270</v>
      </c>
      <c r="S137" s="46">
        <f t="shared" si="19"/>
        <v>0</v>
      </c>
      <c r="T137" s="46">
        <f t="shared" si="20"/>
        <v>0</v>
      </c>
      <c r="U137" s="46">
        <f t="shared" si="21"/>
        <v>10</v>
      </c>
      <c r="V137" s="46">
        <f t="shared" si="22"/>
        <v>20</v>
      </c>
      <c r="W137" s="46">
        <f t="shared" si="23"/>
        <v>0</v>
      </c>
      <c r="X137" s="46">
        <f t="shared" si="24"/>
        <v>0</v>
      </c>
      <c r="Y137" s="46">
        <f t="shared" si="25"/>
        <v>0</v>
      </c>
      <c r="Z137" s="90">
        <f t="shared" si="26"/>
        <v>300</v>
      </c>
      <c r="AA137" s="95"/>
      <c r="AB137" s="95">
        <f>'LPLPO GUDANG'!H142</f>
        <v>0</v>
      </c>
      <c r="AC137" s="91"/>
      <c r="AD137" s="91"/>
      <c r="AE137" s="91"/>
      <c r="AF137" s="91"/>
      <c r="AG137" s="92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>
        <v>200</v>
      </c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>
        <v>70</v>
      </c>
      <c r="BF137" s="46"/>
      <c r="BG137" s="46"/>
      <c r="BH137" s="46"/>
      <c r="BI137" s="46"/>
      <c r="BJ137" s="46"/>
      <c r="BK137" s="46"/>
      <c r="BL137" s="46"/>
      <c r="BM137" s="93">
        <f t="shared" si="27"/>
        <v>270</v>
      </c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93">
        <f t="shared" si="36"/>
        <v>0</v>
      </c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  <c r="DK137" s="46"/>
      <c r="DL137" s="46"/>
      <c r="DM137" s="46"/>
      <c r="DN137" s="46"/>
      <c r="DO137" s="46"/>
      <c r="DP137" s="46"/>
      <c r="DQ137" s="46"/>
      <c r="DR137" s="46"/>
      <c r="DS137" s="46"/>
      <c r="DT137" s="46"/>
      <c r="DU137" s="46"/>
      <c r="DV137" s="46"/>
      <c r="DW137" s="46"/>
      <c r="DX137" s="46"/>
      <c r="DY137" s="46"/>
      <c r="DZ137" s="46"/>
      <c r="EA137" s="93">
        <f t="shared" si="29"/>
        <v>0</v>
      </c>
      <c r="EC137" s="46"/>
      <c r="ED137" s="46"/>
      <c r="EE137" s="46"/>
      <c r="EF137" s="46"/>
      <c r="EG137" s="46"/>
      <c r="EH137" s="46"/>
      <c r="EI137" s="46"/>
      <c r="EJ137" s="46"/>
      <c r="EK137" s="46"/>
      <c r="EL137" s="46"/>
      <c r="EM137" s="46"/>
      <c r="EN137" s="46"/>
      <c r="EO137" s="46"/>
      <c r="EP137" s="46"/>
      <c r="EQ137" s="46"/>
      <c r="ER137" s="46"/>
      <c r="ES137" s="46"/>
      <c r="ET137" s="46"/>
      <c r="EU137" s="46"/>
      <c r="EV137" s="46"/>
      <c r="EW137" s="46"/>
      <c r="EX137" s="46"/>
      <c r="EY137" s="46"/>
      <c r="EZ137" s="46">
        <v>10</v>
      </c>
      <c r="FA137" s="46"/>
      <c r="FB137" s="46"/>
      <c r="FC137" s="46"/>
      <c r="FD137" s="46"/>
      <c r="FE137" s="46"/>
      <c r="FF137" s="46"/>
      <c r="FG137" s="46"/>
      <c r="FH137" s="93">
        <f t="shared" si="30"/>
        <v>10</v>
      </c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>
        <v>20</v>
      </c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93">
        <f t="shared" si="37"/>
        <v>20</v>
      </c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93">
        <f t="shared" si="38"/>
        <v>0</v>
      </c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  <c r="IT137" s="46"/>
      <c r="IU137" s="46"/>
      <c r="IV137" s="46"/>
      <c r="IW137" s="46"/>
      <c r="IX137" s="46"/>
      <c r="IY137" s="46"/>
      <c r="IZ137" s="46"/>
      <c r="JA137" s="46"/>
      <c r="JB137" s="46"/>
      <c r="JC137" s="93">
        <f t="shared" si="39"/>
        <v>0</v>
      </c>
      <c r="JE137" s="46"/>
      <c r="JF137" s="46"/>
      <c r="JG137" s="46"/>
      <c r="JH137" s="46"/>
      <c r="JI137" s="46"/>
      <c r="JJ137" s="46"/>
      <c r="JK137" s="46"/>
      <c r="JL137" s="46"/>
      <c r="JM137" s="46"/>
      <c r="JN137" s="46"/>
      <c r="JO137" s="46"/>
      <c r="JP137" s="46"/>
      <c r="JQ137" s="46"/>
      <c r="JR137" s="46"/>
      <c r="JS137" s="46"/>
      <c r="JT137" s="46"/>
      <c r="JU137" s="46"/>
      <c r="JV137" s="46"/>
      <c r="JW137" s="46"/>
      <c r="JX137" s="46"/>
      <c r="JY137" s="46"/>
      <c r="JZ137" s="46"/>
      <c r="KA137" s="46"/>
      <c r="KB137" s="46"/>
      <c r="KC137" s="46"/>
      <c r="KD137" s="46"/>
      <c r="KE137" s="46"/>
      <c r="KF137" s="46"/>
      <c r="KG137" s="46"/>
      <c r="KH137" s="46"/>
      <c r="KI137" s="46"/>
      <c r="KJ137" s="93">
        <f t="shared" si="40"/>
        <v>0</v>
      </c>
    </row>
    <row r="138" spans="1:296" x14ac:dyDescent="0.5">
      <c r="A138" s="84">
        <f t="shared" si="35"/>
        <v>129</v>
      </c>
      <c r="B138" s="141" t="s">
        <v>112</v>
      </c>
      <c r="C138" s="169" t="s">
        <v>108</v>
      </c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>
        <f t="shared" si="18"/>
        <v>0</v>
      </c>
      <c r="S138" s="46">
        <f t="shared" si="19"/>
        <v>200</v>
      </c>
      <c r="T138" s="46">
        <f t="shared" si="20"/>
        <v>0</v>
      </c>
      <c r="U138" s="46">
        <f t="shared" si="21"/>
        <v>0</v>
      </c>
      <c r="V138" s="46">
        <f t="shared" si="22"/>
        <v>200</v>
      </c>
      <c r="W138" s="46">
        <f t="shared" si="23"/>
        <v>0</v>
      </c>
      <c r="X138" s="46">
        <f t="shared" si="24"/>
        <v>300</v>
      </c>
      <c r="Y138" s="46">
        <f t="shared" si="25"/>
        <v>300</v>
      </c>
      <c r="Z138" s="90">
        <f t="shared" si="26"/>
        <v>1000</v>
      </c>
      <c r="AA138" s="95"/>
      <c r="AB138" s="92">
        <f>'LPLPO GUDANG'!H143</f>
        <v>2000</v>
      </c>
      <c r="AC138" s="91"/>
      <c r="AD138" s="91"/>
      <c r="AE138" s="91"/>
      <c r="AF138" s="91"/>
      <c r="AG138" s="92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93">
        <f t="shared" si="27"/>
        <v>0</v>
      </c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>
        <v>200</v>
      </c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93">
        <f t="shared" si="36"/>
        <v>200</v>
      </c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  <c r="DK138" s="46"/>
      <c r="DL138" s="46"/>
      <c r="DM138" s="46"/>
      <c r="DN138" s="46"/>
      <c r="DO138" s="46"/>
      <c r="DP138" s="46"/>
      <c r="DQ138" s="46"/>
      <c r="DR138" s="46"/>
      <c r="DS138" s="46"/>
      <c r="DT138" s="46"/>
      <c r="DU138" s="46"/>
      <c r="DV138" s="46"/>
      <c r="DW138" s="46"/>
      <c r="DX138" s="46"/>
      <c r="DY138" s="46"/>
      <c r="DZ138" s="46"/>
      <c r="EA138" s="93">
        <f t="shared" si="29"/>
        <v>0</v>
      </c>
      <c r="EC138" s="46"/>
      <c r="ED138" s="46"/>
      <c r="EE138" s="46"/>
      <c r="EF138" s="46"/>
      <c r="EG138" s="46"/>
      <c r="EH138" s="46"/>
      <c r="EI138" s="46"/>
      <c r="EJ138" s="46"/>
      <c r="EK138" s="46"/>
      <c r="EL138" s="46"/>
      <c r="EM138" s="46"/>
      <c r="EN138" s="46"/>
      <c r="EO138" s="46"/>
      <c r="EP138" s="46"/>
      <c r="EQ138" s="46"/>
      <c r="ER138" s="46"/>
      <c r="ES138" s="46"/>
      <c r="ET138" s="46"/>
      <c r="EU138" s="46"/>
      <c r="EV138" s="46"/>
      <c r="EW138" s="46"/>
      <c r="EX138" s="46"/>
      <c r="EY138" s="46"/>
      <c r="EZ138" s="46"/>
      <c r="FA138" s="46"/>
      <c r="FB138" s="46"/>
      <c r="FC138" s="46"/>
      <c r="FD138" s="46"/>
      <c r="FE138" s="46"/>
      <c r="FF138" s="46"/>
      <c r="FG138" s="46"/>
      <c r="FH138" s="93">
        <f t="shared" si="30"/>
        <v>0</v>
      </c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>
        <v>200</v>
      </c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93">
        <f t="shared" si="37"/>
        <v>200</v>
      </c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93">
        <f t="shared" si="38"/>
        <v>0</v>
      </c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  <c r="IT138" s="46"/>
      <c r="IU138" s="46">
        <v>300</v>
      </c>
      <c r="IV138" s="46"/>
      <c r="IW138" s="46"/>
      <c r="IX138" s="46"/>
      <c r="IY138" s="46"/>
      <c r="IZ138" s="46"/>
      <c r="JA138" s="46"/>
      <c r="JB138" s="46"/>
      <c r="JC138" s="93">
        <f t="shared" si="39"/>
        <v>300</v>
      </c>
      <c r="JE138" s="46"/>
      <c r="JF138" s="46"/>
      <c r="JG138" s="46"/>
      <c r="JH138" s="46"/>
      <c r="JI138" s="46"/>
      <c r="JJ138" s="46"/>
      <c r="JK138" s="46"/>
      <c r="JL138" s="46"/>
      <c r="JM138" s="46"/>
      <c r="JN138" s="46"/>
      <c r="JO138" s="46"/>
      <c r="JP138" s="46"/>
      <c r="JQ138" s="46"/>
      <c r="JR138" s="46"/>
      <c r="JS138" s="46"/>
      <c r="JT138" s="46"/>
      <c r="JU138" s="46"/>
      <c r="JV138" s="46"/>
      <c r="JW138" s="46"/>
      <c r="JX138" s="46"/>
      <c r="JY138" s="46"/>
      <c r="JZ138" s="46"/>
      <c r="KA138" s="46"/>
      <c r="KB138" s="46">
        <v>300</v>
      </c>
      <c r="KC138" s="46"/>
      <c r="KD138" s="46"/>
      <c r="KE138" s="46"/>
      <c r="KF138" s="46"/>
      <c r="KG138" s="46"/>
      <c r="KH138" s="46"/>
      <c r="KI138" s="46"/>
      <c r="KJ138" s="93">
        <f t="shared" si="40"/>
        <v>300</v>
      </c>
    </row>
    <row r="139" spans="1:296" ht="20.149999999999999" customHeight="1" x14ac:dyDescent="0.5">
      <c r="A139" s="84">
        <f t="shared" si="35"/>
        <v>130</v>
      </c>
      <c r="B139" s="141" t="s">
        <v>113</v>
      </c>
      <c r="C139" s="154" t="s">
        <v>48</v>
      </c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>
        <f t="shared" ref="R139:R202" si="41">BM139</f>
        <v>0</v>
      </c>
      <c r="S139" s="46">
        <f t="shared" ref="S139:S202" si="42">CT139</f>
        <v>2</v>
      </c>
      <c r="T139" s="46">
        <f t="shared" ref="T139:T202" si="43">EA139</f>
        <v>0</v>
      </c>
      <c r="U139" s="46">
        <f t="shared" ref="U139:U202" si="44">FH139</f>
        <v>0</v>
      </c>
      <c r="V139" s="46">
        <f t="shared" ref="V139:V202" si="45">GO139</f>
        <v>1</v>
      </c>
      <c r="W139" s="46">
        <f t="shared" ref="W139:W202" si="46">HV139</f>
        <v>1</v>
      </c>
      <c r="X139" s="46">
        <f t="shared" ref="X139:X202" si="47">JC139</f>
        <v>0</v>
      </c>
      <c r="Y139" s="46">
        <f t="shared" ref="Y139:Y202" si="48">KJ139</f>
        <v>0</v>
      </c>
      <c r="Z139" s="90">
        <f t="shared" ref="Z139:Z176" si="49">SUM(D139:Y139)</f>
        <v>4</v>
      </c>
      <c r="AA139" s="95"/>
      <c r="AB139" s="92">
        <f>'LPLPO GUDANG'!H144</f>
        <v>6</v>
      </c>
      <c r="AC139" s="91"/>
      <c r="AD139" s="91"/>
      <c r="AE139" s="91"/>
      <c r="AF139" s="91"/>
      <c r="AG139" s="92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93">
        <f t="shared" ref="BM139:BM202" si="50">SUM(AH139:BL139)</f>
        <v>0</v>
      </c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>
        <v>2</v>
      </c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93">
        <f t="shared" si="36"/>
        <v>2</v>
      </c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  <c r="DK139" s="46"/>
      <c r="DL139" s="46"/>
      <c r="DM139" s="46"/>
      <c r="DN139" s="46"/>
      <c r="DO139" s="46"/>
      <c r="DP139" s="46"/>
      <c r="DQ139" s="46"/>
      <c r="DR139" s="46"/>
      <c r="DS139" s="46"/>
      <c r="DT139" s="46"/>
      <c r="DU139" s="46"/>
      <c r="DV139" s="46"/>
      <c r="DW139" s="46"/>
      <c r="DX139" s="46"/>
      <c r="DY139" s="46"/>
      <c r="DZ139" s="46"/>
      <c r="EA139" s="93">
        <f t="shared" ref="EA139:EA202" si="51">SUM(CV139:DZ139)</f>
        <v>0</v>
      </c>
      <c r="EC139" s="46"/>
      <c r="ED139" s="46"/>
      <c r="EE139" s="46"/>
      <c r="EF139" s="46"/>
      <c r="EG139" s="46"/>
      <c r="EH139" s="46"/>
      <c r="EI139" s="46"/>
      <c r="EJ139" s="46"/>
      <c r="EK139" s="46"/>
      <c r="EL139" s="46"/>
      <c r="EM139" s="46"/>
      <c r="EN139" s="46"/>
      <c r="EO139" s="46"/>
      <c r="EP139" s="46"/>
      <c r="EQ139" s="46"/>
      <c r="ER139" s="46"/>
      <c r="ES139" s="46"/>
      <c r="ET139" s="46"/>
      <c r="EU139" s="46"/>
      <c r="EV139" s="46"/>
      <c r="EW139" s="46"/>
      <c r="EX139" s="46"/>
      <c r="EY139" s="46"/>
      <c r="EZ139" s="46"/>
      <c r="FA139" s="46"/>
      <c r="FB139" s="46"/>
      <c r="FC139" s="46"/>
      <c r="FD139" s="46"/>
      <c r="FE139" s="46"/>
      <c r="FF139" s="46"/>
      <c r="FG139" s="46"/>
      <c r="FH139" s="93">
        <f t="shared" ref="FH139:FH202" si="52">SUM(EC139:FG139)</f>
        <v>0</v>
      </c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>
        <v>1</v>
      </c>
      <c r="GH139" s="46"/>
      <c r="GI139" s="46"/>
      <c r="GJ139" s="46"/>
      <c r="GK139" s="46"/>
      <c r="GL139" s="46"/>
      <c r="GM139" s="46"/>
      <c r="GN139" s="46"/>
      <c r="GO139" s="93">
        <f t="shared" si="37"/>
        <v>1</v>
      </c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>
        <v>1</v>
      </c>
      <c r="HO139" s="46"/>
      <c r="HP139" s="46"/>
      <c r="HQ139" s="46"/>
      <c r="HR139" s="46"/>
      <c r="HS139" s="46"/>
      <c r="HT139" s="46"/>
      <c r="HU139" s="46"/>
      <c r="HV139" s="93">
        <f t="shared" si="38"/>
        <v>1</v>
      </c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93">
        <f t="shared" si="39"/>
        <v>0</v>
      </c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93">
        <f t="shared" si="40"/>
        <v>0</v>
      </c>
    </row>
    <row r="140" spans="1:296" ht="20.149999999999999" customHeight="1" x14ac:dyDescent="0.5">
      <c r="A140" s="84">
        <f t="shared" ref="A140:A176" si="53">A139+1</f>
        <v>131</v>
      </c>
      <c r="B140" s="141" t="s">
        <v>16</v>
      </c>
      <c r="C140" s="170" t="s">
        <v>48</v>
      </c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>
        <f t="shared" si="41"/>
        <v>20</v>
      </c>
      <c r="S140" s="46">
        <f t="shared" si="42"/>
        <v>0</v>
      </c>
      <c r="T140" s="46">
        <f t="shared" si="43"/>
        <v>0</v>
      </c>
      <c r="U140" s="46">
        <f t="shared" si="44"/>
        <v>0</v>
      </c>
      <c r="V140" s="46">
        <f t="shared" si="45"/>
        <v>0</v>
      </c>
      <c r="W140" s="46">
        <f t="shared" si="46"/>
        <v>0</v>
      </c>
      <c r="X140" s="46">
        <f t="shared" si="47"/>
        <v>0</v>
      </c>
      <c r="Y140" s="46">
        <f t="shared" si="48"/>
        <v>0</v>
      </c>
      <c r="Z140" s="90">
        <f t="shared" si="49"/>
        <v>20</v>
      </c>
      <c r="AA140" s="95"/>
      <c r="AB140" s="95">
        <f>'LPLPO GUDANG'!H145</f>
        <v>0</v>
      </c>
      <c r="AC140" s="91"/>
      <c r="AD140" s="91"/>
      <c r="AE140" s="91"/>
      <c r="AF140" s="91"/>
      <c r="AG140" s="92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>
        <v>20</v>
      </c>
      <c r="BF140" s="46"/>
      <c r="BG140" s="46"/>
      <c r="BH140" s="46"/>
      <c r="BI140" s="46"/>
      <c r="BJ140" s="46"/>
      <c r="BK140" s="46"/>
      <c r="BL140" s="46"/>
      <c r="BM140" s="93">
        <f t="shared" si="50"/>
        <v>20</v>
      </c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  <c r="CK140" s="46"/>
      <c r="CL140" s="46"/>
      <c r="CM140" s="46"/>
      <c r="CN140" s="46"/>
      <c r="CO140" s="46"/>
      <c r="CP140" s="46"/>
      <c r="CQ140" s="46"/>
      <c r="CR140" s="46"/>
      <c r="CS140" s="46"/>
      <c r="CT140" s="93">
        <f t="shared" si="36"/>
        <v>0</v>
      </c>
      <c r="CV140" s="46"/>
      <c r="CW140" s="46"/>
      <c r="CX140" s="46"/>
      <c r="CY140" s="46"/>
      <c r="CZ140" s="46"/>
      <c r="DA140" s="46"/>
      <c r="DB140" s="46"/>
      <c r="DC140" s="46"/>
      <c r="DD140" s="46"/>
      <c r="DE140" s="46"/>
      <c r="DF140" s="46"/>
      <c r="DG140" s="46"/>
      <c r="DH140" s="46"/>
      <c r="DI140" s="46"/>
      <c r="DJ140" s="46"/>
      <c r="DK140" s="46"/>
      <c r="DL140" s="46"/>
      <c r="DM140" s="46"/>
      <c r="DN140" s="46"/>
      <c r="DO140" s="46"/>
      <c r="DP140" s="46"/>
      <c r="DQ140" s="46"/>
      <c r="DR140" s="46"/>
      <c r="DS140" s="46"/>
      <c r="DT140" s="46"/>
      <c r="DU140" s="46"/>
      <c r="DV140" s="46"/>
      <c r="DW140" s="46"/>
      <c r="DX140" s="46"/>
      <c r="DY140" s="46"/>
      <c r="DZ140" s="46"/>
      <c r="EA140" s="93">
        <f t="shared" si="51"/>
        <v>0</v>
      </c>
      <c r="EC140" s="46"/>
      <c r="ED140" s="46"/>
      <c r="EE140" s="46"/>
      <c r="EF140" s="46"/>
      <c r="EG140" s="46"/>
      <c r="EH140" s="46"/>
      <c r="EI140" s="46"/>
      <c r="EJ140" s="46"/>
      <c r="EK140" s="46"/>
      <c r="EL140" s="46"/>
      <c r="EM140" s="46"/>
      <c r="EN140" s="46"/>
      <c r="EO140" s="46"/>
      <c r="EP140" s="46"/>
      <c r="EQ140" s="46"/>
      <c r="ER140" s="46"/>
      <c r="ES140" s="46"/>
      <c r="ET140" s="46"/>
      <c r="EU140" s="46"/>
      <c r="EV140" s="46"/>
      <c r="EW140" s="46"/>
      <c r="EX140" s="46"/>
      <c r="EY140" s="46"/>
      <c r="EZ140" s="46"/>
      <c r="FA140" s="46"/>
      <c r="FB140" s="46"/>
      <c r="FC140" s="46"/>
      <c r="FD140" s="46"/>
      <c r="FE140" s="46"/>
      <c r="FF140" s="46"/>
      <c r="FG140" s="46"/>
      <c r="FH140" s="93">
        <f t="shared" si="52"/>
        <v>0</v>
      </c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46"/>
      <c r="GG140" s="46"/>
      <c r="GH140" s="46"/>
      <c r="GI140" s="46"/>
      <c r="GJ140" s="46"/>
      <c r="GK140" s="46"/>
      <c r="GL140" s="46"/>
      <c r="GM140" s="46"/>
      <c r="GN140" s="46"/>
      <c r="GO140" s="93">
        <f t="shared" si="37"/>
        <v>0</v>
      </c>
      <c r="GQ140" s="46"/>
      <c r="GR140" s="46"/>
      <c r="GS140" s="46"/>
      <c r="GT140" s="46"/>
      <c r="GU140" s="46"/>
      <c r="GV140" s="46"/>
      <c r="GW140" s="46"/>
      <c r="GX140" s="46"/>
      <c r="GY140" s="46"/>
      <c r="GZ140" s="46"/>
      <c r="HA140" s="46"/>
      <c r="HB140" s="46"/>
      <c r="HC140" s="46"/>
      <c r="HD140" s="46"/>
      <c r="HE140" s="46"/>
      <c r="HF140" s="46"/>
      <c r="HG140" s="46"/>
      <c r="HH140" s="46"/>
      <c r="HI140" s="46"/>
      <c r="HJ140" s="46"/>
      <c r="HK140" s="46"/>
      <c r="HL140" s="46"/>
      <c r="HM140" s="46"/>
      <c r="HN140" s="46"/>
      <c r="HO140" s="46"/>
      <c r="HP140" s="46"/>
      <c r="HQ140" s="46"/>
      <c r="HR140" s="46"/>
      <c r="HS140" s="46"/>
      <c r="HT140" s="46"/>
      <c r="HU140" s="46"/>
      <c r="HV140" s="93">
        <f t="shared" si="38"/>
        <v>0</v>
      </c>
      <c r="HX140" s="46"/>
      <c r="HY140" s="46"/>
      <c r="HZ140" s="46"/>
      <c r="IA140" s="46"/>
      <c r="IB140" s="46"/>
      <c r="IC140" s="46"/>
      <c r="ID140" s="46"/>
      <c r="IE140" s="46"/>
      <c r="IF140" s="46"/>
      <c r="IG140" s="46"/>
      <c r="IH140" s="46"/>
      <c r="II140" s="46"/>
      <c r="IJ140" s="46"/>
      <c r="IK140" s="46"/>
      <c r="IL140" s="46"/>
      <c r="IM140" s="46"/>
      <c r="IN140" s="46"/>
      <c r="IO140" s="46"/>
      <c r="IP140" s="46"/>
      <c r="IQ140" s="46"/>
      <c r="IR140" s="46"/>
      <c r="IS140" s="46"/>
      <c r="IT140" s="46"/>
      <c r="IU140" s="46"/>
      <c r="IV140" s="46"/>
      <c r="IW140" s="46"/>
      <c r="IX140" s="46"/>
      <c r="IY140" s="46"/>
      <c r="IZ140" s="46"/>
      <c r="JA140" s="46"/>
      <c r="JB140" s="46"/>
      <c r="JC140" s="93">
        <f t="shared" si="39"/>
        <v>0</v>
      </c>
      <c r="JE140" s="46"/>
      <c r="JF140" s="46"/>
      <c r="JG140" s="46"/>
      <c r="JH140" s="46"/>
      <c r="JI140" s="46"/>
      <c r="JJ140" s="46"/>
      <c r="JK140" s="46"/>
      <c r="JL140" s="46"/>
      <c r="JM140" s="46"/>
      <c r="JN140" s="46"/>
      <c r="JO140" s="46"/>
      <c r="JP140" s="46"/>
      <c r="JQ140" s="46"/>
      <c r="JR140" s="46"/>
      <c r="JS140" s="46"/>
      <c r="JT140" s="46"/>
      <c r="JU140" s="46"/>
      <c r="JV140" s="46"/>
      <c r="JW140" s="46"/>
      <c r="JX140" s="46"/>
      <c r="JY140" s="46"/>
      <c r="JZ140" s="46"/>
      <c r="KA140" s="46"/>
      <c r="KB140" s="46"/>
      <c r="KC140" s="46"/>
      <c r="KD140" s="46"/>
      <c r="KE140" s="46"/>
      <c r="KF140" s="46"/>
      <c r="KG140" s="46"/>
      <c r="KH140" s="46"/>
      <c r="KI140" s="46"/>
      <c r="KJ140" s="93">
        <f t="shared" si="40"/>
        <v>0</v>
      </c>
    </row>
    <row r="141" spans="1:296" ht="20.149999999999999" customHeight="1" x14ac:dyDescent="0.5">
      <c r="A141" s="84">
        <f t="shared" si="53"/>
        <v>132</v>
      </c>
      <c r="B141" s="141" t="s">
        <v>425</v>
      </c>
      <c r="C141" s="170" t="s">
        <v>108</v>
      </c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>
        <f t="shared" si="41"/>
        <v>0</v>
      </c>
      <c r="S141" s="46">
        <f t="shared" si="42"/>
        <v>0</v>
      </c>
      <c r="T141" s="46">
        <f t="shared" si="43"/>
        <v>0</v>
      </c>
      <c r="U141" s="46">
        <f t="shared" si="44"/>
        <v>0</v>
      </c>
      <c r="V141" s="46">
        <f t="shared" si="45"/>
        <v>0</v>
      </c>
      <c r="W141" s="46">
        <f t="shared" si="46"/>
        <v>0</v>
      </c>
      <c r="X141" s="46">
        <f t="shared" si="47"/>
        <v>0</v>
      </c>
      <c r="Y141" s="46">
        <f t="shared" si="48"/>
        <v>0</v>
      </c>
      <c r="Z141" s="90">
        <f t="shared" si="49"/>
        <v>0</v>
      </c>
      <c r="AA141" s="95"/>
      <c r="AB141" s="95">
        <f>'LPLPO GUDANG'!H146</f>
        <v>0</v>
      </c>
      <c r="AC141" s="91"/>
      <c r="AD141" s="91"/>
      <c r="AE141" s="91"/>
      <c r="AF141" s="91"/>
      <c r="AG141" s="92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93">
        <f t="shared" si="50"/>
        <v>0</v>
      </c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  <c r="CK141" s="46"/>
      <c r="CL141" s="46"/>
      <c r="CM141" s="46"/>
      <c r="CN141" s="46"/>
      <c r="CO141" s="46"/>
      <c r="CP141" s="46"/>
      <c r="CQ141" s="46"/>
      <c r="CR141" s="46"/>
      <c r="CS141" s="46"/>
      <c r="CT141" s="93"/>
      <c r="CV141" s="46"/>
      <c r="CW141" s="46"/>
      <c r="CX141" s="46"/>
      <c r="CY141" s="46"/>
      <c r="CZ141" s="46"/>
      <c r="DA141" s="46"/>
      <c r="DB141" s="46"/>
      <c r="DC141" s="46"/>
      <c r="DD141" s="46"/>
      <c r="DE141" s="46"/>
      <c r="DF141" s="46"/>
      <c r="DG141" s="46"/>
      <c r="DH141" s="46"/>
      <c r="DI141" s="46"/>
      <c r="DJ141" s="46"/>
      <c r="DK141" s="46"/>
      <c r="DL141" s="46"/>
      <c r="DM141" s="46"/>
      <c r="DN141" s="46"/>
      <c r="DO141" s="46"/>
      <c r="DP141" s="46"/>
      <c r="DQ141" s="46"/>
      <c r="DR141" s="46"/>
      <c r="DS141" s="46"/>
      <c r="DT141" s="46"/>
      <c r="DU141" s="46"/>
      <c r="DV141" s="46"/>
      <c r="DW141" s="46"/>
      <c r="DX141" s="46"/>
      <c r="DY141" s="46"/>
      <c r="DZ141" s="46"/>
      <c r="EA141" s="93">
        <f t="shared" si="51"/>
        <v>0</v>
      </c>
      <c r="EC141" s="46"/>
      <c r="ED141" s="46"/>
      <c r="EE141" s="46"/>
      <c r="EF141" s="46"/>
      <c r="EG141" s="46"/>
      <c r="EH141" s="46"/>
      <c r="EI141" s="46"/>
      <c r="EJ141" s="46"/>
      <c r="EK141" s="46"/>
      <c r="EL141" s="46"/>
      <c r="EM141" s="46"/>
      <c r="EN141" s="46"/>
      <c r="EO141" s="46"/>
      <c r="EP141" s="46"/>
      <c r="EQ141" s="46"/>
      <c r="ER141" s="46"/>
      <c r="ES141" s="46"/>
      <c r="ET141" s="46"/>
      <c r="EU141" s="46"/>
      <c r="EV141" s="46"/>
      <c r="EW141" s="46"/>
      <c r="EX141" s="46"/>
      <c r="EY141" s="46"/>
      <c r="EZ141" s="46"/>
      <c r="FA141" s="46"/>
      <c r="FB141" s="46"/>
      <c r="FC141" s="46"/>
      <c r="FD141" s="46"/>
      <c r="FE141" s="46"/>
      <c r="FF141" s="46"/>
      <c r="FG141" s="46"/>
      <c r="FH141" s="93">
        <f t="shared" si="52"/>
        <v>0</v>
      </c>
      <c r="FJ141" s="46"/>
      <c r="FK141" s="46"/>
      <c r="FL141" s="46"/>
      <c r="FM141" s="46"/>
      <c r="FN141" s="46"/>
      <c r="FO141" s="46"/>
      <c r="FP141" s="46"/>
      <c r="FQ141" s="46"/>
      <c r="FR141" s="46"/>
      <c r="FS141" s="46"/>
      <c r="FT141" s="46"/>
      <c r="FU141" s="46"/>
      <c r="FV141" s="46"/>
      <c r="FW141" s="46"/>
      <c r="FX141" s="46"/>
      <c r="FY141" s="46"/>
      <c r="FZ141" s="46"/>
      <c r="GA141" s="46"/>
      <c r="GB141" s="46"/>
      <c r="GC141" s="46"/>
      <c r="GD141" s="46"/>
      <c r="GE141" s="46"/>
      <c r="GF141" s="46"/>
      <c r="GG141" s="46"/>
      <c r="GH141" s="46"/>
      <c r="GI141" s="46"/>
      <c r="GJ141" s="46"/>
      <c r="GK141" s="46"/>
      <c r="GL141" s="46"/>
      <c r="GM141" s="46"/>
      <c r="GN141" s="46"/>
      <c r="GO141" s="93"/>
      <c r="GQ141" s="46"/>
      <c r="GR141" s="46"/>
      <c r="GS141" s="46"/>
      <c r="GT141" s="46"/>
      <c r="GU141" s="46"/>
      <c r="GV141" s="46"/>
      <c r="GW141" s="46"/>
      <c r="GX141" s="46"/>
      <c r="GY141" s="46"/>
      <c r="GZ141" s="46"/>
      <c r="HA141" s="46"/>
      <c r="HB141" s="46"/>
      <c r="HC141" s="46"/>
      <c r="HD141" s="46"/>
      <c r="HE141" s="46"/>
      <c r="HF141" s="46"/>
      <c r="HG141" s="46"/>
      <c r="HH141" s="46"/>
      <c r="HI141" s="46"/>
      <c r="HJ141" s="46"/>
      <c r="HK141" s="46"/>
      <c r="HL141" s="46"/>
      <c r="HM141" s="46"/>
      <c r="HN141" s="46"/>
      <c r="HO141" s="46"/>
      <c r="HP141" s="46"/>
      <c r="HQ141" s="46"/>
      <c r="HR141" s="46"/>
      <c r="HS141" s="46"/>
      <c r="HT141" s="46"/>
      <c r="HU141" s="46"/>
      <c r="HV141" s="93"/>
      <c r="HX141" s="46"/>
      <c r="HY141" s="46"/>
      <c r="HZ141" s="46"/>
      <c r="IA141" s="46"/>
      <c r="IB141" s="46"/>
      <c r="IC141" s="46"/>
      <c r="ID141" s="46"/>
      <c r="IE141" s="46"/>
      <c r="IF141" s="46"/>
      <c r="IG141" s="46"/>
      <c r="IH141" s="46"/>
      <c r="II141" s="46"/>
      <c r="IJ141" s="46"/>
      <c r="IK141" s="46"/>
      <c r="IL141" s="46"/>
      <c r="IM141" s="46"/>
      <c r="IN141" s="46"/>
      <c r="IO141" s="46"/>
      <c r="IP141" s="46"/>
      <c r="IQ141" s="46"/>
      <c r="IR141" s="46"/>
      <c r="IS141" s="46"/>
      <c r="IT141" s="46"/>
      <c r="IU141" s="46"/>
      <c r="IV141" s="46"/>
      <c r="IW141" s="46"/>
      <c r="IX141" s="46"/>
      <c r="IY141" s="46"/>
      <c r="IZ141" s="46"/>
      <c r="JA141" s="46"/>
      <c r="JB141" s="46"/>
      <c r="JC141" s="93"/>
      <c r="JE141" s="46"/>
      <c r="JF141" s="46"/>
      <c r="JG141" s="46"/>
      <c r="JH141" s="46"/>
      <c r="JI141" s="46"/>
      <c r="JJ141" s="46"/>
      <c r="JK141" s="46"/>
      <c r="JL141" s="46"/>
      <c r="JM141" s="46"/>
      <c r="JN141" s="46"/>
      <c r="JO141" s="46"/>
      <c r="JP141" s="46"/>
      <c r="JQ141" s="46"/>
      <c r="JR141" s="46"/>
      <c r="JS141" s="46"/>
      <c r="JT141" s="46"/>
      <c r="JU141" s="46"/>
      <c r="JV141" s="46"/>
      <c r="JW141" s="46"/>
      <c r="JX141" s="46"/>
      <c r="JY141" s="46"/>
      <c r="JZ141" s="46"/>
      <c r="KA141" s="46"/>
      <c r="KB141" s="46"/>
      <c r="KC141" s="46"/>
      <c r="KD141" s="46"/>
      <c r="KE141" s="46"/>
      <c r="KF141" s="46"/>
      <c r="KG141" s="46"/>
      <c r="KH141" s="46"/>
      <c r="KI141" s="46"/>
      <c r="KJ141" s="93"/>
    </row>
    <row r="142" spans="1:296" x14ac:dyDescent="0.5">
      <c r="A142" s="84">
        <f t="shared" si="53"/>
        <v>133</v>
      </c>
      <c r="B142" s="141" t="s">
        <v>114</v>
      </c>
      <c r="C142" s="153" t="s">
        <v>108</v>
      </c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>
        <f t="shared" si="41"/>
        <v>6</v>
      </c>
      <c r="S142" s="46">
        <f t="shared" si="42"/>
        <v>0</v>
      </c>
      <c r="T142" s="46">
        <f t="shared" si="43"/>
        <v>0</v>
      </c>
      <c r="U142" s="46">
        <f t="shared" si="44"/>
        <v>0</v>
      </c>
      <c r="V142" s="46">
        <f t="shared" si="45"/>
        <v>6</v>
      </c>
      <c r="W142" s="46">
        <f t="shared" si="46"/>
        <v>0</v>
      </c>
      <c r="X142" s="46">
        <f t="shared" si="47"/>
        <v>0</v>
      </c>
      <c r="Y142" s="46">
        <f t="shared" si="48"/>
        <v>0</v>
      </c>
      <c r="Z142" s="90">
        <f t="shared" si="49"/>
        <v>12</v>
      </c>
      <c r="AA142" s="95"/>
      <c r="AB142" s="95">
        <f>'LPLPO GUDANG'!H147</f>
        <v>0</v>
      </c>
      <c r="AC142" s="91"/>
      <c r="AD142" s="91"/>
      <c r="AE142" s="91"/>
      <c r="AF142" s="91"/>
      <c r="AG142" s="92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>
        <v>6</v>
      </c>
      <c r="BF142" s="46"/>
      <c r="BG142" s="46"/>
      <c r="BH142" s="46"/>
      <c r="BI142" s="46"/>
      <c r="BJ142" s="46"/>
      <c r="BK142" s="46"/>
      <c r="BL142" s="46"/>
      <c r="BM142" s="93">
        <f t="shared" si="50"/>
        <v>6</v>
      </c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  <c r="CK142" s="46"/>
      <c r="CL142" s="46"/>
      <c r="CM142" s="46"/>
      <c r="CN142" s="46"/>
      <c r="CO142" s="46"/>
      <c r="CP142" s="46"/>
      <c r="CQ142" s="46"/>
      <c r="CR142" s="46"/>
      <c r="CS142" s="46"/>
      <c r="CT142" s="93">
        <f t="shared" ref="CT142:CT151" si="54">SUM(BO142:CS142)</f>
        <v>0</v>
      </c>
      <c r="CV142" s="46"/>
      <c r="CW142" s="46"/>
      <c r="CX142" s="46"/>
      <c r="CY142" s="46"/>
      <c r="CZ142" s="46"/>
      <c r="DA142" s="46"/>
      <c r="DB142" s="46"/>
      <c r="DC142" s="46"/>
      <c r="DD142" s="46"/>
      <c r="DE142" s="46"/>
      <c r="DF142" s="46"/>
      <c r="DG142" s="46"/>
      <c r="DH142" s="46"/>
      <c r="DI142" s="46"/>
      <c r="DJ142" s="46"/>
      <c r="DK142" s="46"/>
      <c r="DL142" s="46"/>
      <c r="DM142" s="46"/>
      <c r="DN142" s="46"/>
      <c r="DO142" s="46"/>
      <c r="DP142" s="46"/>
      <c r="DQ142" s="46"/>
      <c r="DR142" s="46"/>
      <c r="DS142" s="46"/>
      <c r="DT142" s="46"/>
      <c r="DU142" s="46"/>
      <c r="DV142" s="46"/>
      <c r="DW142" s="46"/>
      <c r="DX142" s="46"/>
      <c r="DY142" s="46"/>
      <c r="DZ142" s="46"/>
      <c r="EA142" s="93">
        <f t="shared" si="51"/>
        <v>0</v>
      </c>
      <c r="EC142" s="46"/>
      <c r="ED142" s="46"/>
      <c r="EE142" s="46"/>
      <c r="EF142" s="46"/>
      <c r="EG142" s="46"/>
      <c r="EH142" s="46"/>
      <c r="EI142" s="46"/>
      <c r="EJ142" s="46"/>
      <c r="EK142" s="46"/>
      <c r="EL142" s="46"/>
      <c r="EM142" s="46"/>
      <c r="EN142" s="46"/>
      <c r="EO142" s="46"/>
      <c r="EP142" s="46"/>
      <c r="EQ142" s="46"/>
      <c r="ER142" s="46"/>
      <c r="ES142" s="46"/>
      <c r="ET142" s="46"/>
      <c r="EU142" s="46"/>
      <c r="EV142" s="46"/>
      <c r="EW142" s="46"/>
      <c r="EX142" s="46"/>
      <c r="EY142" s="46"/>
      <c r="EZ142" s="46"/>
      <c r="FA142" s="46"/>
      <c r="FB142" s="46"/>
      <c r="FC142" s="46"/>
      <c r="FD142" s="46"/>
      <c r="FE142" s="46"/>
      <c r="FF142" s="46"/>
      <c r="FG142" s="46"/>
      <c r="FH142" s="93">
        <f t="shared" si="52"/>
        <v>0</v>
      </c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>
        <v>6</v>
      </c>
      <c r="GH142" s="46"/>
      <c r="GI142" s="46"/>
      <c r="GJ142" s="46"/>
      <c r="GK142" s="46"/>
      <c r="GL142" s="46"/>
      <c r="GM142" s="46"/>
      <c r="GN142" s="46"/>
      <c r="GO142" s="93">
        <f t="shared" ref="GO142:GO151" si="55">SUM(FJ142:GN142)</f>
        <v>6</v>
      </c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93">
        <f t="shared" ref="HV142:HV151" si="56">SUM(GQ142:HU142)</f>
        <v>0</v>
      </c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  <c r="IT142" s="46"/>
      <c r="IU142" s="46"/>
      <c r="IV142" s="46"/>
      <c r="IW142" s="46"/>
      <c r="IX142" s="46"/>
      <c r="IY142" s="46"/>
      <c r="IZ142" s="46"/>
      <c r="JA142" s="46"/>
      <c r="JB142" s="46"/>
      <c r="JC142" s="93">
        <f t="shared" ref="JC142:JC151" si="57">SUM(HX142:JB142)</f>
        <v>0</v>
      </c>
      <c r="JE142" s="46"/>
      <c r="JF142" s="46"/>
      <c r="JG142" s="46"/>
      <c r="JH142" s="46"/>
      <c r="JI142" s="46"/>
      <c r="JJ142" s="46"/>
      <c r="JK142" s="46"/>
      <c r="JL142" s="46"/>
      <c r="JM142" s="46"/>
      <c r="JN142" s="46"/>
      <c r="JO142" s="46"/>
      <c r="JP142" s="46"/>
      <c r="JQ142" s="46"/>
      <c r="JR142" s="46"/>
      <c r="JS142" s="46"/>
      <c r="JT142" s="46"/>
      <c r="JU142" s="46"/>
      <c r="JV142" s="46"/>
      <c r="JW142" s="46"/>
      <c r="JX142" s="46"/>
      <c r="JY142" s="46"/>
      <c r="JZ142" s="46"/>
      <c r="KA142" s="46"/>
      <c r="KB142" s="46"/>
      <c r="KC142" s="46"/>
      <c r="KD142" s="46"/>
      <c r="KE142" s="46"/>
      <c r="KF142" s="46"/>
      <c r="KG142" s="46"/>
      <c r="KH142" s="46"/>
      <c r="KI142" s="46"/>
      <c r="KJ142" s="93">
        <f t="shared" ref="KJ142:KJ151" si="58">SUM(JE142:KI142)</f>
        <v>0</v>
      </c>
    </row>
    <row r="143" spans="1:296" ht="20.149999999999999" customHeight="1" x14ac:dyDescent="0.5">
      <c r="A143" s="84">
        <f t="shared" si="53"/>
        <v>134</v>
      </c>
      <c r="B143" s="141" t="s">
        <v>115</v>
      </c>
      <c r="C143" s="156" t="s">
        <v>48</v>
      </c>
      <c r="D143" s="46">
        <v>1</v>
      </c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>
        <f t="shared" si="41"/>
        <v>0</v>
      </c>
      <c r="S143" s="46">
        <f t="shared" si="42"/>
        <v>0</v>
      </c>
      <c r="T143" s="46">
        <f t="shared" si="43"/>
        <v>0</v>
      </c>
      <c r="U143" s="46">
        <f t="shared" si="44"/>
        <v>0</v>
      </c>
      <c r="V143" s="46">
        <f t="shared" si="45"/>
        <v>0</v>
      </c>
      <c r="W143" s="46">
        <f t="shared" si="46"/>
        <v>0</v>
      </c>
      <c r="X143" s="46">
        <f t="shared" si="47"/>
        <v>0</v>
      </c>
      <c r="Y143" s="46">
        <f t="shared" si="48"/>
        <v>0</v>
      </c>
      <c r="Z143" s="90">
        <f t="shared" si="49"/>
        <v>1</v>
      </c>
      <c r="AA143" s="95"/>
      <c r="AB143" s="92">
        <f>'LPLPO GUDANG'!H148</f>
        <v>4</v>
      </c>
      <c r="AC143" s="91"/>
      <c r="AD143" s="91"/>
      <c r="AE143" s="91"/>
      <c r="AF143" s="91"/>
      <c r="AG143" s="92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93">
        <f t="shared" si="50"/>
        <v>0</v>
      </c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  <c r="CK143" s="46"/>
      <c r="CL143" s="46"/>
      <c r="CM143" s="46"/>
      <c r="CN143" s="46"/>
      <c r="CO143" s="46"/>
      <c r="CP143" s="46"/>
      <c r="CQ143" s="46"/>
      <c r="CR143" s="46"/>
      <c r="CS143" s="46"/>
      <c r="CT143" s="93">
        <f t="shared" si="54"/>
        <v>0</v>
      </c>
      <c r="CV143" s="46"/>
      <c r="CW143" s="46"/>
      <c r="CX143" s="46"/>
      <c r="CY143" s="46"/>
      <c r="CZ143" s="46"/>
      <c r="DA143" s="46"/>
      <c r="DB143" s="46"/>
      <c r="DC143" s="46"/>
      <c r="DD143" s="46"/>
      <c r="DE143" s="46"/>
      <c r="DF143" s="46"/>
      <c r="DG143" s="46"/>
      <c r="DH143" s="46"/>
      <c r="DI143" s="46"/>
      <c r="DJ143" s="46"/>
      <c r="DK143" s="46"/>
      <c r="DL143" s="46"/>
      <c r="DM143" s="46"/>
      <c r="DN143" s="46"/>
      <c r="DO143" s="46"/>
      <c r="DP143" s="46"/>
      <c r="DQ143" s="46"/>
      <c r="DR143" s="46"/>
      <c r="DS143" s="46"/>
      <c r="DT143" s="46"/>
      <c r="DU143" s="46"/>
      <c r="DV143" s="46"/>
      <c r="DW143" s="46"/>
      <c r="DX143" s="46"/>
      <c r="DY143" s="46"/>
      <c r="DZ143" s="46"/>
      <c r="EA143" s="93">
        <f t="shared" si="51"/>
        <v>0</v>
      </c>
      <c r="EC143" s="46"/>
      <c r="ED143" s="46"/>
      <c r="EE143" s="46"/>
      <c r="EF143" s="46"/>
      <c r="EG143" s="46"/>
      <c r="EH143" s="46"/>
      <c r="EI143" s="46"/>
      <c r="EJ143" s="46"/>
      <c r="EK143" s="46"/>
      <c r="EL143" s="46"/>
      <c r="EM143" s="46"/>
      <c r="EN143" s="46"/>
      <c r="EO143" s="46"/>
      <c r="EP143" s="46"/>
      <c r="EQ143" s="46"/>
      <c r="ER143" s="46"/>
      <c r="ES143" s="46"/>
      <c r="ET143" s="46"/>
      <c r="EU143" s="46"/>
      <c r="EV143" s="46"/>
      <c r="EW143" s="46"/>
      <c r="EX143" s="46"/>
      <c r="EY143" s="46"/>
      <c r="EZ143" s="46"/>
      <c r="FA143" s="46"/>
      <c r="FB143" s="46"/>
      <c r="FC143" s="46"/>
      <c r="FD143" s="46"/>
      <c r="FE143" s="46"/>
      <c r="FF143" s="46"/>
      <c r="FG143" s="46"/>
      <c r="FH143" s="93">
        <f t="shared" si="52"/>
        <v>0</v>
      </c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93">
        <f t="shared" si="55"/>
        <v>0</v>
      </c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93">
        <f t="shared" si="56"/>
        <v>0</v>
      </c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  <c r="IT143" s="46"/>
      <c r="IU143" s="46"/>
      <c r="IV143" s="46"/>
      <c r="IW143" s="46"/>
      <c r="IX143" s="46"/>
      <c r="IY143" s="46"/>
      <c r="IZ143" s="46"/>
      <c r="JA143" s="46"/>
      <c r="JB143" s="46"/>
      <c r="JC143" s="93">
        <f t="shared" si="57"/>
        <v>0</v>
      </c>
      <c r="JE143" s="46"/>
      <c r="JF143" s="46"/>
      <c r="JG143" s="46"/>
      <c r="JH143" s="46"/>
      <c r="JI143" s="46"/>
      <c r="JJ143" s="46"/>
      <c r="JK143" s="46"/>
      <c r="JL143" s="46"/>
      <c r="JM143" s="46"/>
      <c r="JN143" s="46"/>
      <c r="JO143" s="46"/>
      <c r="JP143" s="46"/>
      <c r="JQ143" s="46"/>
      <c r="JR143" s="46"/>
      <c r="JS143" s="46"/>
      <c r="JT143" s="46"/>
      <c r="JU143" s="46"/>
      <c r="JV143" s="46"/>
      <c r="JW143" s="46"/>
      <c r="JX143" s="46"/>
      <c r="JY143" s="46"/>
      <c r="JZ143" s="46"/>
      <c r="KA143" s="46"/>
      <c r="KB143" s="46"/>
      <c r="KC143" s="46"/>
      <c r="KD143" s="46"/>
      <c r="KE143" s="46"/>
      <c r="KF143" s="46"/>
      <c r="KG143" s="46"/>
      <c r="KH143" s="46"/>
      <c r="KI143" s="46"/>
      <c r="KJ143" s="93">
        <f t="shared" si="58"/>
        <v>0</v>
      </c>
    </row>
    <row r="144" spans="1:296" ht="20.149999999999999" customHeight="1" x14ac:dyDescent="0.5">
      <c r="A144" s="84">
        <f t="shared" si="53"/>
        <v>135</v>
      </c>
      <c r="B144" s="141" t="s">
        <v>116</v>
      </c>
      <c r="C144" s="156" t="s">
        <v>48</v>
      </c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>
        <f t="shared" si="41"/>
        <v>0</v>
      </c>
      <c r="S144" s="46">
        <f t="shared" si="42"/>
        <v>0</v>
      </c>
      <c r="T144" s="46">
        <f t="shared" si="43"/>
        <v>0</v>
      </c>
      <c r="U144" s="46">
        <f t="shared" si="44"/>
        <v>0</v>
      </c>
      <c r="V144" s="46">
        <f t="shared" si="45"/>
        <v>0</v>
      </c>
      <c r="W144" s="46">
        <f t="shared" si="46"/>
        <v>1</v>
      </c>
      <c r="X144" s="46">
        <f t="shared" si="47"/>
        <v>0</v>
      </c>
      <c r="Y144" s="46">
        <f t="shared" si="48"/>
        <v>0</v>
      </c>
      <c r="Z144" s="90">
        <f t="shared" si="49"/>
        <v>1</v>
      </c>
      <c r="AA144" s="95"/>
      <c r="AB144" s="95">
        <f>'LPLPO GUDANG'!H149</f>
        <v>0</v>
      </c>
      <c r="AC144" s="91"/>
      <c r="AD144" s="91"/>
      <c r="AE144" s="91"/>
      <c r="AF144" s="91"/>
      <c r="AG144" s="92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93">
        <f t="shared" si="50"/>
        <v>0</v>
      </c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  <c r="CK144" s="46"/>
      <c r="CL144" s="46"/>
      <c r="CM144" s="46"/>
      <c r="CN144" s="46"/>
      <c r="CO144" s="46"/>
      <c r="CP144" s="46"/>
      <c r="CQ144" s="46"/>
      <c r="CR144" s="46"/>
      <c r="CS144" s="46"/>
      <c r="CT144" s="93">
        <f t="shared" si="54"/>
        <v>0</v>
      </c>
      <c r="CV144" s="46"/>
      <c r="CW144" s="46"/>
      <c r="CX144" s="46"/>
      <c r="CY144" s="46"/>
      <c r="CZ144" s="46"/>
      <c r="DA144" s="46"/>
      <c r="DB144" s="46"/>
      <c r="DC144" s="46"/>
      <c r="DD144" s="46"/>
      <c r="DE144" s="46"/>
      <c r="DF144" s="46"/>
      <c r="DG144" s="46"/>
      <c r="DH144" s="46"/>
      <c r="DI144" s="46"/>
      <c r="DJ144" s="46"/>
      <c r="DK144" s="46"/>
      <c r="DL144" s="46"/>
      <c r="DM144" s="46"/>
      <c r="DN144" s="46"/>
      <c r="DO144" s="46"/>
      <c r="DP144" s="46"/>
      <c r="DQ144" s="46"/>
      <c r="DR144" s="46"/>
      <c r="DS144" s="46"/>
      <c r="DT144" s="46"/>
      <c r="DU144" s="46"/>
      <c r="DV144" s="46"/>
      <c r="DW144" s="46"/>
      <c r="DX144" s="46"/>
      <c r="DY144" s="46"/>
      <c r="DZ144" s="46"/>
      <c r="EA144" s="93">
        <f t="shared" si="51"/>
        <v>0</v>
      </c>
      <c r="EC144" s="46"/>
      <c r="ED144" s="46"/>
      <c r="EE144" s="46"/>
      <c r="EF144" s="46"/>
      <c r="EG144" s="46"/>
      <c r="EH144" s="46"/>
      <c r="EI144" s="46"/>
      <c r="EJ144" s="46"/>
      <c r="EK144" s="46"/>
      <c r="EL144" s="46"/>
      <c r="EM144" s="46"/>
      <c r="EN144" s="46"/>
      <c r="EO144" s="46"/>
      <c r="EP144" s="46"/>
      <c r="EQ144" s="46"/>
      <c r="ER144" s="46"/>
      <c r="ES144" s="46"/>
      <c r="ET144" s="46"/>
      <c r="EU144" s="46"/>
      <c r="EV144" s="46"/>
      <c r="EW144" s="46"/>
      <c r="EX144" s="46"/>
      <c r="EY144" s="46"/>
      <c r="EZ144" s="46"/>
      <c r="FA144" s="46"/>
      <c r="FB144" s="46"/>
      <c r="FC144" s="46"/>
      <c r="FD144" s="46"/>
      <c r="FE144" s="46"/>
      <c r="FF144" s="46"/>
      <c r="FG144" s="46"/>
      <c r="FH144" s="93">
        <f t="shared" si="52"/>
        <v>0</v>
      </c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93">
        <f t="shared" si="55"/>
        <v>0</v>
      </c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>
        <v>1</v>
      </c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93">
        <f t="shared" si="56"/>
        <v>1</v>
      </c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  <c r="IT144" s="46"/>
      <c r="IU144" s="46"/>
      <c r="IV144" s="46"/>
      <c r="IW144" s="46"/>
      <c r="IX144" s="46"/>
      <c r="IY144" s="46"/>
      <c r="IZ144" s="46"/>
      <c r="JA144" s="46"/>
      <c r="JB144" s="46"/>
      <c r="JC144" s="93">
        <f t="shared" si="57"/>
        <v>0</v>
      </c>
      <c r="JE144" s="46"/>
      <c r="JF144" s="46"/>
      <c r="JG144" s="46"/>
      <c r="JH144" s="46"/>
      <c r="JI144" s="46"/>
      <c r="JJ144" s="46"/>
      <c r="JK144" s="46"/>
      <c r="JL144" s="46"/>
      <c r="JM144" s="46"/>
      <c r="JN144" s="46"/>
      <c r="JO144" s="46"/>
      <c r="JP144" s="46"/>
      <c r="JQ144" s="46"/>
      <c r="JR144" s="46"/>
      <c r="JS144" s="46"/>
      <c r="JT144" s="46"/>
      <c r="JU144" s="46"/>
      <c r="JV144" s="46"/>
      <c r="JW144" s="46"/>
      <c r="JX144" s="46"/>
      <c r="JY144" s="46"/>
      <c r="JZ144" s="46"/>
      <c r="KA144" s="46"/>
      <c r="KB144" s="46"/>
      <c r="KC144" s="46"/>
      <c r="KD144" s="46"/>
      <c r="KE144" s="46"/>
      <c r="KF144" s="46"/>
      <c r="KG144" s="46"/>
      <c r="KH144" s="46"/>
      <c r="KI144" s="46"/>
      <c r="KJ144" s="93">
        <f t="shared" si="58"/>
        <v>0</v>
      </c>
    </row>
    <row r="145" spans="1:296" ht="20.149999999999999" customHeight="1" x14ac:dyDescent="0.5">
      <c r="A145" s="84">
        <f t="shared" si="53"/>
        <v>136</v>
      </c>
      <c r="B145" s="141" t="s">
        <v>117</v>
      </c>
      <c r="C145" s="156" t="s">
        <v>108</v>
      </c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>
        <f t="shared" si="41"/>
        <v>0</v>
      </c>
      <c r="S145" s="46">
        <f t="shared" si="42"/>
        <v>5</v>
      </c>
      <c r="T145" s="46">
        <f t="shared" si="43"/>
        <v>0</v>
      </c>
      <c r="U145" s="46">
        <f t="shared" si="44"/>
        <v>0</v>
      </c>
      <c r="V145" s="46">
        <f t="shared" si="45"/>
        <v>0</v>
      </c>
      <c r="W145" s="46">
        <f t="shared" si="46"/>
        <v>0</v>
      </c>
      <c r="X145" s="46">
        <f t="shared" si="47"/>
        <v>0</v>
      </c>
      <c r="Y145" s="46">
        <f t="shared" si="48"/>
        <v>0</v>
      </c>
      <c r="Z145" s="90">
        <f t="shared" si="49"/>
        <v>5</v>
      </c>
      <c r="AA145" s="95"/>
      <c r="AB145" s="92">
        <f>'LPLPO GUDANG'!H150</f>
        <v>15</v>
      </c>
      <c r="AC145" s="91"/>
      <c r="AD145" s="91"/>
      <c r="AE145" s="91"/>
      <c r="AF145" s="91"/>
      <c r="AG145" s="92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93">
        <f t="shared" si="50"/>
        <v>0</v>
      </c>
      <c r="BO145" s="46"/>
      <c r="BP145" s="46"/>
      <c r="BQ145" s="46">
        <v>5</v>
      </c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  <c r="CK145" s="46"/>
      <c r="CL145" s="46"/>
      <c r="CM145" s="46"/>
      <c r="CN145" s="46"/>
      <c r="CO145" s="46"/>
      <c r="CP145" s="46"/>
      <c r="CQ145" s="46"/>
      <c r="CR145" s="46"/>
      <c r="CS145" s="46"/>
      <c r="CT145" s="93">
        <f t="shared" si="54"/>
        <v>5</v>
      </c>
      <c r="CV145" s="46"/>
      <c r="CW145" s="46"/>
      <c r="CX145" s="46"/>
      <c r="CY145" s="46"/>
      <c r="CZ145" s="46"/>
      <c r="DA145" s="46"/>
      <c r="DB145" s="46"/>
      <c r="DC145" s="46"/>
      <c r="DD145" s="46"/>
      <c r="DE145" s="46"/>
      <c r="DF145" s="46"/>
      <c r="DG145" s="46"/>
      <c r="DH145" s="46"/>
      <c r="DI145" s="46"/>
      <c r="DJ145" s="46"/>
      <c r="DK145" s="46"/>
      <c r="DL145" s="46"/>
      <c r="DM145" s="46"/>
      <c r="DN145" s="46"/>
      <c r="DO145" s="46"/>
      <c r="DP145" s="46"/>
      <c r="DQ145" s="46"/>
      <c r="DR145" s="46"/>
      <c r="DS145" s="46"/>
      <c r="DT145" s="46"/>
      <c r="DU145" s="46"/>
      <c r="DV145" s="46"/>
      <c r="DW145" s="46"/>
      <c r="DX145" s="46"/>
      <c r="DY145" s="46"/>
      <c r="DZ145" s="46"/>
      <c r="EA145" s="93">
        <f t="shared" si="51"/>
        <v>0</v>
      </c>
      <c r="EC145" s="46"/>
      <c r="ED145" s="46"/>
      <c r="EE145" s="46"/>
      <c r="EF145" s="46"/>
      <c r="EG145" s="46"/>
      <c r="EH145" s="46"/>
      <c r="EI145" s="46"/>
      <c r="EJ145" s="46"/>
      <c r="EK145" s="46"/>
      <c r="EL145" s="46"/>
      <c r="EM145" s="46"/>
      <c r="EN145" s="46"/>
      <c r="EO145" s="46"/>
      <c r="EP145" s="46"/>
      <c r="EQ145" s="46"/>
      <c r="ER145" s="46"/>
      <c r="ES145" s="46"/>
      <c r="ET145" s="46"/>
      <c r="EU145" s="46"/>
      <c r="EV145" s="46"/>
      <c r="EW145" s="46"/>
      <c r="EX145" s="46"/>
      <c r="EY145" s="46"/>
      <c r="EZ145" s="46"/>
      <c r="FA145" s="46"/>
      <c r="FB145" s="46"/>
      <c r="FC145" s="46"/>
      <c r="FD145" s="46"/>
      <c r="FE145" s="46"/>
      <c r="FF145" s="46"/>
      <c r="FG145" s="46"/>
      <c r="FH145" s="93">
        <f t="shared" si="52"/>
        <v>0</v>
      </c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93">
        <f t="shared" si="55"/>
        <v>0</v>
      </c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93">
        <f t="shared" si="56"/>
        <v>0</v>
      </c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  <c r="IT145" s="46"/>
      <c r="IU145" s="46"/>
      <c r="IV145" s="46"/>
      <c r="IW145" s="46"/>
      <c r="IX145" s="46"/>
      <c r="IY145" s="46"/>
      <c r="IZ145" s="46"/>
      <c r="JA145" s="46"/>
      <c r="JB145" s="46"/>
      <c r="JC145" s="93">
        <f t="shared" si="57"/>
        <v>0</v>
      </c>
      <c r="JE145" s="46"/>
      <c r="JF145" s="46"/>
      <c r="JG145" s="46"/>
      <c r="JH145" s="46"/>
      <c r="JI145" s="46"/>
      <c r="JJ145" s="46"/>
      <c r="JK145" s="46"/>
      <c r="JL145" s="46"/>
      <c r="JM145" s="46"/>
      <c r="JN145" s="46"/>
      <c r="JO145" s="46"/>
      <c r="JP145" s="46"/>
      <c r="JQ145" s="46"/>
      <c r="JR145" s="46"/>
      <c r="JS145" s="46"/>
      <c r="JT145" s="46"/>
      <c r="JU145" s="46"/>
      <c r="JV145" s="46"/>
      <c r="JW145" s="46"/>
      <c r="JX145" s="46"/>
      <c r="JY145" s="46"/>
      <c r="JZ145" s="46"/>
      <c r="KA145" s="46"/>
      <c r="KB145" s="46"/>
      <c r="KC145" s="46"/>
      <c r="KD145" s="46"/>
      <c r="KE145" s="46"/>
      <c r="KF145" s="46"/>
      <c r="KG145" s="46"/>
      <c r="KH145" s="46"/>
      <c r="KI145" s="46"/>
      <c r="KJ145" s="93">
        <f t="shared" si="58"/>
        <v>0</v>
      </c>
    </row>
    <row r="146" spans="1:296" ht="20.149999999999999" customHeight="1" x14ac:dyDescent="0.5">
      <c r="A146" s="84">
        <f t="shared" si="53"/>
        <v>137</v>
      </c>
      <c r="B146" s="141" t="s">
        <v>118</v>
      </c>
      <c r="C146" s="156" t="s">
        <v>108</v>
      </c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>
        <f t="shared" si="41"/>
        <v>0</v>
      </c>
      <c r="S146" s="46">
        <f t="shared" si="42"/>
        <v>0</v>
      </c>
      <c r="T146" s="46">
        <f t="shared" si="43"/>
        <v>0</v>
      </c>
      <c r="U146" s="46">
        <f t="shared" si="44"/>
        <v>0</v>
      </c>
      <c r="V146" s="46">
        <f t="shared" si="45"/>
        <v>0</v>
      </c>
      <c r="W146" s="46">
        <f t="shared" si="46"/>
        <v>0</v>
      </c>
      <c r="X146" s="46">
        <f t="shared" si="47"/>
        <v>0</v>
      </c>
      <c r="Y146" s="46">
        <f t="shared" si="48"/>
        <v>0</v>
      </c>
      <c r="Z146" s="90">
        <f t="shared" si="49"/>
        <v>0</v>
      </c>
      <c r="AA146" s="95"/>
      <c r="AB146" s="92">
        <f>'LPLPO GUDANG'!H151</f>
        <v>10</v>
      </c>
      <c r="AC146" s="91"/>
      <c r="AD146" s="91"/>
      <c r="AE146" s="91"/>
      <c r="AF146" s="91"/>
      <c r="AG146" s="92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93">
        <f t="shared" si="50"/>
        <v>0</v>
      </c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  <c r="CK146" s="46"/>
      <c r="CL146" s="46"/>
      <c r="CM146" s="46"/>
      <c r="CN146" s="46"/>
      <c r="CO146" s="46"/>
      <c r="CP146" s="46"/>
      <c r="CQ146" s="46"/>
      <c r="CR146" s="46"/>
      <c r="CS146" s="46"/>
      <c r="CT146" s="93">
        <f t="shared" si="54"/>
        <v>0</v>
      </c>
      <c r="CV146" s="46"/>
      <c r="CW146" s="46"/>
      <c r="CX146" s="46"/>
      <c r="CY146" s="46"/>
      <c r="CZ146" s="46"/>
      <c r="DA146" s="46"/>
      <c r="DB146" s="46"/>
      <c r="DC146" s="46"/>
      <c r="DD146" s="46"/>
      <c r="DE146" s="46"/>
      <c r="DF146" s="46"/>
      <c r="DG146" s="46"/>
      <c r="DH146" s="46"/>
      <c r="DI146" s="46"/>
      <c r="DJ146" s="46"/>
      <c r="DK146" s="46"/>
      <c r="DL146" s="46"/>
      <c r="DM146" s="46"/>
      <c r="DN146" s="46"/>
      <c r="DO146" s="46"/>
      <c r="DP146" s="46"/>
      <c r="DQ146" s="46"/>
      <c r="DR146" s="46"/>
      <c r="DS146" s="46"/>
      <c r="DT146" s="46"/>
      <c r="DU146" s="46"/>
      <c r="DV146" s="46"/>
      <c r="DW146" s="46"/>
      <c r="DX146" s="46"/>
      <c r="DY146" s="46"/>
      <c r="DZ146" s="46"/>
      <c r="EA146" s="93">
        <f t="shared" si="51"/>
        <v>0</v>
      </c>
      <c r="EC146" s="46"/>
      <c r="ED146" s="46"/>
      <c r="EE146" s="46"/>
      <c r="EF146" s="46"/>
      <c r="EG146" s="46"/>
      <c r="EH146" s="46"/>
      <c r="EI146" s="46"/>
      <c r="EJ146" s="46"/>
      <c r="EK146" s="46"/>
      <c r="EL146" s="46"/>
      <c r="EM146" s="46"/>
      <c r="EN146" s="46"/>
      <c r="EO146" s="46"/>
      <c r="EP146" s="46"/>
      <c r="EQ146" s="46"/>
      <c r="ER146" s="46"/>
      <c r="ES146" s="46"/>
      <c r="ET146" s="46"/>
      <c r="EU146" s="46"/>
      <c r="EV146" s="46"/>
      <c r="EW146" s="46"/>
      <c r="EX146" s="46"/>
      <c r="EY146" s="46"/>
      <c r="EZ146" s="46"/>
      <c r="FA146" s="46"/>
      <c r="FB146" s="46"/>
      <c r="FC146" s="46"/>
      <c r="FD146" s="46"/>
      <c r="FE146" s="46"/>
      <c r="FF146" s="46"/>
      <c r="FG146" s="46"/>
      <c r="FH146" s="93">
        <f t="shared" si="52"/>
        <v>0</v>
      </c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93">
        <f t="shared" si="55"/>
        <v>0</v>
      </c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93">
        <f t="shared" si="56"/>
        <v>0</v>
      </c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  <c r="IT146" s="46"/>
      <c r="IU146" s="46"/>
      <c r="IV146" s="46"/>
      <c r="IW146" s="46"/>
      <c r="IX146" s="46"/>
      <c r="IY146" s="46"/>
      <c r="IZ146" s="46"/>
      <c r="JA146" s="46"/>
      <c r="JB146" s="46"/>
      <c r="JC146" s="93">
        <f t="shared" si="57"/>
        <v>0</v>
      </c>
      <c r="JE146" s="46"/>
      <c r="JF146" s="46"/>
      <c r="JG146" s="46"/>
      <c r="JH146" s="46"/>
      <c r="JI146" s="46"/>
      <c r="JJ146" s="46"/>
      <c r="JK146" s="46"/>
      <c r="JL146" s="46"/>
      <c r="JM146" s="46"/>
      <c r="JN146" s="46"/>
      <c r="JO146" s="46"/>
      <c r="JP146" s="46"/>
      <c r="JQ146" s="46"/>
      <c r="JR146" s="46"/>
      <c r="JS146" s="46"/>
      <c r="JT146" s="46"/>
      <c r="JU146" s="46"/>
      <c r="JV146" s="46"/>
      <c r="JW146" s="46"/>
      <c r="JX146" s="46"/>
      <c r="JY146" s="46"/>
      <c r="JZ146" s="46"/>
      <c r="KA146" s="46"/>
      <c r="KB146" s="46"/>
      <c r="KC146" s="46"/>
      <c r="KD146" s="46"/>
      <c r="KE146" s="46"/>
      <c r="KF146" s="46"/>
      <c r="KG146" s="46"/>
      <c r="KH146" s="46"/>
      <c r="KI146" s="46"/>
      <c r="KJ146" s="93">
        <f t="shared" si="58"/>
        <v>0</v>
      </c>
    </row>
    <row r="147" spans="1:296" ht="20.149999999999999" customHeight="1" x14ac:dyDescent="0.5">
      <c r="A147" s="84">
        <f t="shared" si="53"/>
        <v>138</v>
      </c>
      <c r="B147" s="141" t="s">
        <v>326</v>
      </c>
      <c r="C147" s="155" t="s">
        <v>108</v>
      </c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>
        <f t="shared" si="41"/>
        <v>130</v>
      </c>
      <c r="S147" s="46">
        <f t="shared" si="42"/>
        <v>0</v>
      </c>
      <c r="T147" s="46">
        <f t="shared" si="43"/>
        <v>0</v>
      </c>
      <c r="U147" s="46">
        <f t="shared" si="44"/>
        <v>0</v>
      </c>
      <c r="V147" s="46">
        <f t="shared" si="45"/>
        <v>20</v>
      </c>
      <c r="W147" s="46">
        <f t="shared" si="46"/>
        <v>0</v>
      </c>
      <c r="X147" s="46">
        <f t="shared" si="47"/>
        <v>0</v>
      </c>
      <c r="Y147" s="46">
        <f t="shared" si="48"/>
        <v>0</v>
      </c>
      <c r="Z147" s="90">
        <f t="shared" si="49"/>
        <v>150</v>
      </c>
      <c r="AA147" s="95"/>
      <c r="AB147" s="92">
        <f>'LPLPO GUDANG'!H152</f>
        <v>50</v>
      </c>
      <c r="AC147" s="91">
        <v>-25</v>
      </c>
      <c r="AD147" s="91"/>
      <c r="AE147" s="91"/>
      <c r="AF147" s="91"/>
      <c r="AG147" s="92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>
        <v>130</v>
      </c>
      <c r="BF147" s="46"/>
      <c r="BG147" s="46"/>
      <c r="BH147" s="46"/>
      <c r="BI147" s="46"/>
      <c r="BJ147" s="46"/>
      <c r="BK147" s="46"/>
      <c r="BL147" s="46"/>
      <c r="BM147" s="93">
        <f t="shared" si="50"/>
        <v>130</v>
      </c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  <c r="CK147" s="46"/>
      <c r="CL147" s="46"/>
      <c r="CM147" s="46"/>
      <c r="CN147" s="46"/>
      <c r="CO147" s="46"/>
      <c r="CP147" s="46"/>
      <c r="CQ147" s="46"/>
      <c r="CR147" s="46"/>
      <c r="CS147" s="46"/>
      <c r="CT147" s="93">
        <f t="shared" si="54"/>
        <v>0</v>
      </c>
      <c r="CV147" s="46"/>
      <c r="CW147" s="46"/>
      <c r="CX147" s="46"/>
      <c r="CY147" s="46"/>
      <c r="CZ147" s="46"/>
      <c r="DA147" s="46"/>
      <c r="DB147" s="46"/>
      <c r="DC147" s="46"/>
      <c r="DD147" s="46"/>
      <c r="DE147" s="46"/>
      <c r="DF147" s="46"/>
      <c r="DG147" s="46"/>
      <c r="DH147" s="46"/>
      <c r="DI147" s="46"/>
      <c r="DJ147" s="46"/>
      <c r="DK147" s="46"/>
      <c r="DL147" s="46"/>
      <c r="DM147" s="46"/>
      <c r="DN147" s="46"/>
      <c r="DO147" s="46"/>
      <c r="DP147" s="46"/>
      <c r="DQ147" s="46"/>
      <c r="DR147" s="46"/>
      <c r="DS147" s="46"/>
      <c r="DT147" s="46"/>
      <c r="DU147" s="46"/>
      <c r="DV147" s="46"/>
      <c r="DW147" s="46"/>
      <c r="DX147" s="46"/>
      <c r="DY147" s="46"/>
      <c r="DZ147" s="46"/>
      <c r="EA147" s="93">
        <f t="shared" si="51"/>
        <v>0</v>
      </c>
      <c r="EC147" s="46"/>
      <c r="ED147" s="46"/>
      <c r="EE147" s="46"/>
      <c r="EF147" s="46"/>
      <c r="EG147" s="46"/>
      <c r="EH147" s="46"/>
      <c r="EI147" s="46"/>
      <c r="EJ147" s="46"/>
      <c r="EK147" s="46"/>
      <c r="EL147" s="46"/>
      <c r="EM147" s="46"/>
      <c r="EN147" s="46"/>
      <c r="EO147" s="46"/>
      <c r="EP147" s="46"/>
      <c r="EQ147" s="46"/>
      <c r="ER147" s="46"/>
      <c r="ES147" s="46"/>
      <c r="ET147" s="46"/>
      <c r="EU147" s="46"/>
      <c r="EV147" s="46"/>
      <c r="EW147" s="46"/>
      <c r="EX147" s="46"/>
      <c r="EY147" s="46"/>
      <c r="EZ147" s="46"/>
      <c r="FA147" s="46"/>
      <c r="FB147" s="46"/>
      <c r="FC147" s="46"/>
      <c r="FD147" s="46"/>
      <c r="FE147" s="46"/>
      <c r="FF147" s="46"/>
      <c r="FG147" s="46"/>
      <c r="FH147" s="93">
        <f t="shared" si="52"/>
        <v>0</v>
      </c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>
        <v>20</v>
      </c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93">
        <f t="shared" si="55"/>
        <v>20</v>
      </c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93">
        <f t="shared" si="56"/>
        <v>0</v>
      </c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  <c r="IT147" s="46"/>
      <c r="IU147" s="46"/>
      <c r="IV147" s="46"/>
      <c r="IW147" s="46"/>
      <c r="IX147" s="46"/>
      <c r="IY147" s="46"/>
      <c r="IZ147" s="46"/>
      <c r="JA147" s="46"/>
      <c r="JB147" s="46"/>
      <c r="JC147" s="93">
        <f t="shared" si="57"/>
        <v>0</v>
      </c>
      <c r="JE147" s="46"/>
      <c r="JF147" s="46"/>
      <c r="JG147" s="46"/>
      <c r="JH147" s="46"/>
      <c r="JI147" s="46"/>
      <c r="JJ147" s="46"/>
      <c r="JK147" s="46"/>
      <c r="JL147" s="46"/>
      <c r="JM147" s="46"/>
      <c r="JN147" s="46"/>
      <c r="JO147" s="46"/>
      <c r="JP147" s="46"/>
      <c r="JQ147" s="46"/>
      <c r="JR147" s="46"/>
      <c r="JS147" s="46"/>
      <c r="JT147" s="46"/>
      <c r="JU147" s="46"/>
      <c r="JV147" s="46"/>
      <c r="JW147" s="46"/>
      <c r="JX147" s="46"/>
      <c r="JY147" s="46"/>
      <c r="JZ147" s="46"/>
      <c r="KA147" s="46"/>
      <c r="KB147" s="46"/>
      <c r="KC147" s="46"/>
      <c r="KD147" s="46"/>
      <c r="KE147" s="46"/>
      <c r="KF147" s="46"/>
      <c r="KG147" s="46"/>
      <c r="KH147" s="46"/>
      <c r="KI147" s="46"/>
      <c r="KJ147" s="93">
        <f t="shared" si="58"/>
        <v>0</v>
      </c>
    </row>
    <row r="148" spans="1:296" ht="20.149999999999999" customHeight="1" x14ac:dyDescent="0.5">
      <c r="A148" s="84">
        <f t="shared" si="53"/>
        <v>139</v>
      </c>
      <c r="B148" s="141" t="s">
        <v>119</v>
      </c>
      <c r="C148" s="155" t="s">
        <v>108</v>
      </c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>
        <f t="shared" si="41"/>
        <v>0</v>
      </c>
      <c r="S148" s="46">
        <f t="shared" si="42"/>
        <v>0</v>
      </c>
      <c r="T148" s="46">
        <f t="shared" si="43"/>
        <v>0</v>
      </c>
      <c r="U148" s="46">
        <f t="shared" si="44"/>
        <v>0</v>
      </c>
      <c r="V148" s="46">
        <f t="shared" si="45"/>
        <v>10</v>
      </c>
      <c r="W148" s="46">
        <f t="shared" si="46"/>
        <v>0</v>
      </c>
      <c r="X148" s="46">
        <f t="shared" si="47"/>
        <v>0</v>
      </c>
      <c r="Y148" s="46">
        <f t="shared" si="48"/>
        <v>0</v>
      </c>
      <c r="Z148" s="90">
        <f t="shared" si="49"/>
        <v>10</v>
      </c>
      <c r="AA148" s="95"/>
      <c r="AB148" s="92">
        <f>'LPLPO GUDANG'!H153</f>
        <v>40</v>
      </c>
      <c r="AC148" s="91"/>
      <c r="AD148" s="91"/>
      <c r="AE148" s="91"/>
      <c r="AF148" s="91"/>
      <c r="AG148" s="92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93">
        <f t="shared" si="50"/>
        <v>0</v>
      </c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  <c r="CM148" s="46"/>
      <c r="CN148" s="46"/>
      <c r="CO148" s="46"/>
      <c r="CP148" s="46"/>
      <c r="CQ148" s="46"/>
      <c r="CR148" s="46"/>
      <c r="CS148" s="46"/>
      <c r="CT148" s="93">
        <f t="shared" si="54"/>
        <v>0</v>
      </c>
      <c r="CV148" s="46"/>
      <c r="CW148" s="46"/>
      <c r="CX148" s="46"/>
      <c r="CY148" s="46"/>
      <c r="CZ148" s="46"/>
      <c r="DA148" s="46"/>
      <c r="DB148" s="46"/>
      <c r="DC148" s="46"/>
      <c r="DD148" s="46"/>
      <c r="DE148" s="46"/>
      <c r="DF148" s="46"/>
      <c r="DG148" s="46"/>
      <c r="DH148" s="46"/>
      <c r="DI148" s="46"/>
      <c r="DJ148" s="46"/>
      <c r="DK148" s="46"/>
      <c r="DL148" s="46"/>
      <c r="DM148" s="46"/>
      <c r="DN148" s="46"/>
      <c r="DO148" s="46"/>
      <c r="DP148" s="46"/>
      <c r="DQ148" s="46"/>
      <c r="DR148" s="46"/>
      <c r="DS148" s="46"/>
      <c r="DT148" s="46"/>
      <c r="DU148" s="46"/>
      <c r="DV148" s="46"/>
      <c r="DW148" s="46"/>
      <c r="DX148" s="46"/>
      <c r="DY148" s="46"/>
      <c r="DZ148" s="46"/>
      <c r="EA148" s="93">
        <f t="shared" si="51"/>
        <v>0</v>
      </c>
      <c r="EC148" s="46"/>
      <c r="ED148" s="46"/>
      <c r="EE148" s="46"/>
      <c r="EF148" s="46"/>
      <c r="EG148" s="46"/>
      <c r="EH148" s="46"/>
      <c r="EI148" s="46"/>
      <c r="EJ148" s="46"/>
      <c r="EK148" s="46"/>
      <c r="EL148" s="46"/>
      <c r="EM148" s="46"/>
      <c r="EN148" s="46"/>
      <c r="EO148" s="46"/>
      <c r="EP148" s="46"/>
      <c r="EQ148" s="46"/>
      <c r="ER148" s="46"/>
      <c r="ES148" s="46"/>
      <c r="ET148" s="46"/>
      <c r="EU148" s="46"/>
      <c r="EV148" s="46"/>
      <c r="EW148" s="46"/>
      <c r="EX148" s="46"/>
      <c r="EY148" s="46"/>
      <c r="EZ148" s="46"/>
      <c r="FA148" s="46"/>
      <c r="FB148" s="46"/>
      <c r="FC148" s="46"/>
      <c r="FD148" s="46"/>
      <c r="FE148" s="46"/>
      <c r="FF148" s="46"/>
      <c r="FG148" s="46"/>
      <c r="FH148" s="93">
        <f t="shared" si="52"/>
        <v>0</v>
      </c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>
        <v>10</v>
      </c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93">
        <f t="shared" si="55"/>
        <v>10</v>
      </c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93">
        <f t="shared" si="56"/>
        <v>0</v>
      </c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  <c r="IT148" s="46"/>
      <c r="IU148" s="46"/>
      <c r="IV148" s="46"/>
      <c r="IW148" s="46"/>
      <c r="IX148" s="46"/>
      <c r="IY148" s="46"/>
      <c r="IZ148" s="46"/>
      <c r="JA148" s="46"/>
      <c r="JB148" s="46"/>
      <c r="JC148" s="93">
        <f t="shared" si="57"/>
        <v>0</v>
      </c>
      <c r="JE148" s="46"/>
      <c r="JF148" s="46"/>
      <c r="JG148" s="46"/>
      <c r="JH148" s="46"/>
      <c r="JI148" s="46"/>
      <c r="JJ148" s="46"/>
      <c r="JK148" s="46"/>
      <c r="JL148" s="46"/>
      <c r="JM148" s="46"/>
      <c r="JN148" s="46"/>
      <c r="JO148" s="46"/>
      <c r="JP148" s="46"/>
      <c r="JQ148" s="46"/>
      <c r="JR148" s="46"/>
      <c r="JS148" s="46"/>
      <c r="JT148" s="46"/>
      <c r="JU148" s="46"/>
      <c r="JV148" s="46"/>
      <c r="JW148" s="46"/>
      <c r="JX148" s="46"/>
      <c r="JY148" s="46"/>
      <c r="JZ148" s="46"/>
      <c r="KA148" s="46"/>
      <c r="KB148" s="46"/>
      <c r="KC148" s="46"/>
      <c r="KD148" s="46"/>
      <c r="KE148" s="46"/>
      <c r="KF148" s="46"/>
      <c r="KG148" s="46"/>
      <c r="KH148" s="46"/>
      <c r="KI148" s="46"/>
      <c r="KJ148" s="93">
        <f t="shared" si="58"/>
        <v>0</v>
      </c>
    </row>
    <row r="149" spans="1:296" x14ac:dyDescent="0.5">
      <c r="A149" s="84">
        <f t="shared" si="53"/>
        <v>140</v>
      </c>
      <c r="B149" s="141" t="s">
        <v>120</v>
      </c>
      <c r="C149" s="159" t="s">
        <v>108</v>
      </c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>
        <f t="shared" si="41"/>
        <v>0</v>
      </c>
      <c r="S149" s="46">
        <f t="shared" si="42"/>
        <v>0</v>
      </c>
      <c r="T149" s="46">
        <f t="shared" si="43"/>
        <v>0</v>
      </c>
      <c r="U149" s="46">
        <f t="shared" si="44"/>
        <v>0</v>
      </c>
      <c r="V149" s="46">
        <f t="shared" si="45"/>
        <v>0</v>
      </c>
      <c r="W149" s="46">
        <f t="shared" si="46"/>
        <v>0</v>
      </c>
      <c r="X149" s="46">
        <f t="shared" si="47"/>
        <v>0</v>
      </c>
      <c r="Y149" s="46">
        <f t="shared" si="48"/>
        <v>0</v>
      </c>
      <c r="Z149" s="90">
        <f t="shared" si="49"/>
        <v>0</v>
      </c>
      <c r="AA149" s="95"/>
      <c r="AB149" s="95">
        <f>'LPLPO GUDANG'!H154</f>
        <v>0</v>
      </c>
      <c r="AC149" s="91"/>
      <c r="AD149" s="91"/>
      <c r="AE149" s="91"/>
      <c r="AF149" s="91"/>
      <c r="AG149" s="92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93">
        <f t="shared" si="50"/>
        <v>0</v>
      </c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  <c r="CM149" s="46"/>
      <c r="CN149" s="46"/>
      <c r="CO149" s="46"/>
      <c r="CP149" s="46"/>
      <c r="CQ149" s="46"/>
      <c r="CR149" s="46"/>
      <c r="CS149" s="46"/>
      <c r="CT149" s="93">
        <f t="shared" si="54"/>
        <v>0</v>
      </c>
      <c r="CV149" s="46"/>
      <c r="CW149" s="46"/>
      <c r="CX149" s="46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/>
      <c r="DJ149" s="46"/>
      <c r="DK149" s="46"/>
      <c r="DL149" s="46"/>
      <c r="DM149" s="46"/>
      <c r="DN149" s="46"/>
      <c r="DO149" s="46"/>
      <c r="DP149" s="46"/>
      <c r="DQ149" s="46"/>
      <c r="DR149" s="46"/>
      <c r="DS149" s="46"/>
      <c r="DT149" s="46"/>
      <c r="DU149" s="46"/>
      <c r="DV149" s="46"/>
      <c r="DW149" s="46"/>
      <c r="DX149" s="46"/>
      <c r="DY149" s="46"/>
      <c r="DZ149" s="46"/>
      <c r="EA149" s="93">
        <f t="shared" si="51"/>
        <v>0</v>
      </c>
      <c r="EC149" s="46"/>
      <c r="ED149" s="46"/>
      <c r="EE149" s="46"/>
      <c r="EF149" s="46"/>
      <c r="EG149" s="46"/>
      <c r="EH149" s="46"/>
      <c r="EI149" s="46"/>
      <c r="EJ149" s="46"/>
      <c r="EK149" s="46"/>
      <c r="EL149" s="46"/>
      <c r="EM149" s="46"/>
      <c r="EN149" s="46"/>
      <c r="EO149" s="46"/>
      <c r="EP149" s="46"/>
      <c r="EQ149" s="46"/>
      <c r="ER149" s="46"/>
      <c r="ES149" s="46"/>
      <c r="ET149" s="46"/>
      <c r="EU149" s="46"/>
      <c r="EV149" s="46"/>
      <c r="EW149" s="46"/>
      <c r="EX149" s="46"/>
      <c r="EY149" s="46"/>
      <c r="EZ149" s="46"/>
      <c r="FA149" s="46"/>
      <c r="FB149" s="46"/>
      <c r="FC149" s="46"/>
      <c r="FD149" s="46"/>
      <c r="FE149" s="46"/>
      <c r="FF149" s="46"/>
      <c r="FG149" s="46"/>
      <c r="FH149" s="93">
        <f t="shared" si="52"/>
        <v>0</v>
      </c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93">
        <f t="shared" si="55"/>
        <v>0</v>
      </c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93">
        <f t="shared" si="56"/>
        <v>0</v>
      </c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  <c r="IT149" s="46"/>
      <c r="IU149" s="46"/>
      <c r="IV149" s="46"/>
      <c r="IW149" s="46"/>
      <c r="IX149" s="46"/>
      <c r="IY149" s="46"/>
      <c r="IZ149" s="46"/>
      <c r="JA149" s="46"/>
      <c r="JB149" s="46"/>
      <c r="JC149" s="93">
        <f t="shared" si="57"/>
        <v>0</v>
      </c>
      <c r="JE149" s="46"/>
      <c r="JF149" s="46"/>
      <c r="JG149" s="46"/>
      <c r="JH149" s="46"/>
      <c r="JI149" s="46"/>
      <c r="JJ149" s="46"/>
      <c r="JK149" s="46"/>
      <c r="JL149" s="46"/>
      <c r="JM149" s="46"/>
      <c r="JN149" s="46"/>
      <c r="JO149" s="46"/>
      <c r="JP149" s="46"/>
      <c r="JQ149" s="46"/>
      <c r="JR149" s="46"/>
      <c r="JS149" s="46"/>
      <c r="JT149" s="46"/>
      <c r="JU149" s="46"/>
      <c r="JV149" s="46"/>
      <c r="JW149" s="46"/>
      <c r="JX149" s="46"/>
      <c r="JY149" s="46"/>
      <c r="JZ149" s="46"/>
      <c r="KA149" s="46"/>
      <c r="KB149" s="46"/>
      <c r="KC149" s="46"/>
      <c r="KD149" s="46"/>
      <c r="KE149" s="46"/>
      <c r="KF149" s="46"/>
      <c r="KG149" s="46"/>
      <c r="KH149" s="46"/>
      <c r="KI149" s="46"/>
      <c r="KJ149" s="93">
        <f t="shared" si="58"/>
        <v>0</v>
      </c>
    </row>
    <row r="150" spans="1:296" ht="20.149999999999999" customHeight="1" x14ac:dyDescent="0.5">
      <c r="A150" s="84">
        <f t="shared" si="53"/>
        <v>141</v>
      </c>
      <c r="B150" s="141" t="s">
        <v>121</v>
      </c>
      <c r="C150" s="171" t="s">
        <v>108</v>
      </c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>
        <f t="shared" si="41"/>
        <v>50</v>
      </c>
      <c r="S150" s="46">
        <f t="shared" si="42"/>
        <v>0</v>
      </c>
      <c r="T150" s="46">
        <f t="shared" si="43"/>
        <v>0</v>
      </c>
      <c r="U150" s="46">
        <f t="shared" si="44"/>
        <v>0</v>
      </c>
      <c r="V150" s="46">
        <f t="shared" si="45"/>
        <v>0</v>
      </c>
      <c r="W150" s="46">
        <f t="shared" si="46"/>
        <v>0</v>
      </c>
      <c r="X150" s="46">
        <f t="shared" si="47"/>
        <v>0</v>
      </c>
      <c r="Y150" s="46">
        <f t="shared" si="48"/>
        <v>0</v>
      </c>
      <c r="Z150" s="90">
        <f t="shared" si="49"/>
        <v>50</v>
      </c>
      <c r="AA150" s="95"/>
      <c r="AB150" s="92">
        <f>'LPLPO GUDANG'!H155</f>
        <v>150</v>
      </c>
      <c r="AC150" s="91"/>
      <c r="AD150" s="91"/>
      <c r="AE150" s="91"/>
      <c r="AF150" s="91"/>
      <c r="AG150" s="92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>
        <v>50</v>
      </c>
      <c r="BF150" s="46"/>
      <c r="BG150" s="46"/>
      <c r="BH150" s="46"/>
      <c r="BI150" s="46"/>
      <c r="BJ150" s="46"/>
      <c r="BK150" s="46"/>
      <c r="BL150" s="46"/>
      <c r="BM150" s="93">
        <f t="shared" si="50"/>
        <v>50</v>
      </c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  <c r="CK150" s="46"/>
      <c r="CL150" s="46"/>
      <c r="CM150" s="46"/>
      <c r="CN150" s="46"/>
      <c r="CO150" s="46"/>
      <c r="CP150" s="46"/>
      <c r="CQ150" s="46"/>
      <c r="CR150" s="46"/>
      <c r="CS150" s="46"/>
      <c r="CT150" s="93">
        <f t="shared" si="54"/>
        <v>0</v>
      </c>
      <c r="CV150" s="46"/>
      <c r="CW150" s="46"/>
      <c r="CX150" s="46"/>
      <c r="CY150" s="46"/>
      <c r="CZ150" s="46"/>
      <c r="DA150" s="46"/>
      <c r="DB150" s="46"/>
      <c r="DC150" s="46"/>
      <c r="DD150" s="46"/>
      <c r="DE150" s="46"/>
      <c r="DF150" s="46"/>
      <c r="DG150" s="46"/>
      <c r="DH150" s="46"/>
      <c r="DI150" s="46"/>
      <c r="DJ150" s="46"/>
      <c r="DK150" s="46"/>
      <c r="DL150" s="46"/>
      <c r="DM150" s="46"/>
      <c r="DN150" s="46"/>
      <c r="DO150" s="46"/>
      <c r="DP150" s="46"/>
      <c r="DQ150" s="46"/>
      <c r="DR150" s="46"/>
      <c r="DS150" s="46"/>
      <c r="DT150" s="46"/>
      <c r="DU150" s="46"/>
      <c r="DV150" s="46"/>
      <c r="DW150" s="46"/>
      <c r="DX150" s="46"/>
      <c r="DY150" s="46"/>
      <c r="DZ150" s="46"/>
      <c r="EA150" s="93">
        <f t="shared" si="51"/>
        <v>0</v>
      </c>
      <c r="EC150" s="46"/>
      <c r="ED150" s="46"/>
      <c r="EE150" s="46"/>
      <c r="EF150" s="46"/>
      <c r="EG150" s="46"/>
      <c r="EH150" s="46"/>
      <c r="EI150" s="46"/>
      <c r="EJ150" s="46"/>
      <c r="EK150" s="46"/>
      <c r="EL150" s="46"/>
      <c r="EM150" s="46"/>
      <c r="EN150" s="46"/>
      <c r="EO150" s="46"/>
      <c r="EP150" s="46"/>
      <c r="EQ150" s="46"/>
      <c r="ER150" s="46"/>
      <c r="ES150" s="46"/>
      <c r="ET150" s="46"/>
      <c r="EU150" s="46"/>
      <c r="EV150" s="46"/>
      <c r="EW150" s="46"/>
      <c r="EX150" s="46"/>
      <c r="EY150" s="46"/>
      <c r="EZ150" s="46"/>
      <c r="FA150" s="46"/>
      <c r="FB150" s="46"/>
      <c r="FC150" s="46"/>
      <c r="FD150" s="46"/>
      <c r="FE150" s="46"/>
      <c r="FF150" s="46"/>
      <c r="FG150" s="46"/>
      <c r="FH150" s="93">
        <f t="shared" si="52"/>
        <v>0</v>
      </c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6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  <c r="GL150" s="46"/>
      <c r="GM150" s="46"/>
      <c r="GN150" s="46"/>
      <c r="GO150" s="93">
        <f t="shared" si="55"/>
        <v>0</v>
      </c>
      <c r="GQ150" s="46"/>
      <c r="GR150" s="46"/>
      <c r="GS150" s="46"/>
      <c r="GT150" s="46"/>
      <c r="GU150" s="46"/>
      <c r="GV150" s="46"/>
      <c r="GW150" s="46"/>
      <c r="GX150" s="46"/>
      <c r="GY150" s="46"/>
      <c r="GZ150" s="46"/>
      <c r="HA150" s="46"/>
      <c r="HB150" s="46"/>
      <c r="HC150" s="46"/>
      <c r="HD150" s="46"/>
      <c r="HE150" s="46"/>
      <c r="HF150" s="46"/>
      <c r="HG150" s="46"/>
      <c r="HH150" s="46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93">
        <f t="shared" si="56"/>
        <v>0</v>
      </c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  <c r="IT150" s="46"/>
      <c r="IU150" s="46"/>
      <c r="IV150" s="46"/>
      <c r="IW150" s="46"/>
      <c r="IX150" s="46"/>
      <c r="IY150" s="46"/>
      <c r="IZ150" s="46"/>
      <c r="JA150" s="46"/>
      <c r="JB150" s="46"/>
      <c r="JC150" s="93">
        <f t="shared" si="57"/>
        <v>0</v>
      </c>
      <c r="JE150" s="46"/>
      <c r="JF150" s="46"/>
      <c r="JG150" s="46"/>
      <c r="JH150" s="46"/>
      <c r="JI150" s="46"/>
      <c r="JJ150" s="46"/>
      <c r="JK150" s="46"/>
      <c r="JL150" s="46"/>
      <c r="JM150" s="46"/>
      <c r="JN150" s="46"/>
      <c r="JO150" s="46"/>
      <c r="JP150" s="46"/>
      <c r="JQ150" s="46"/>
      <c r="JR150" s="46"/>
      <c r="JS150" s="46"/>
      <c r="JT150" s="46"/>
      <c r="JU150" s="46"/>
      <c r="JV150" s="46"/>
      <c r="JW150" s="46"/>
      <c r="JX150" s="46"/>
      <c r="JY150" s="46"/>
      <c r="JZ150" s="46"/>
      <c r="KA150" s="46"/>
      <c r="KB150" s="46"/>
      <c r="KC150" s="46"/>
      <c r="KD150" s="46"/>
      <c r="KE150" s="46"/>
      <c r="KF150" s="46"/>
      <c r="KG150" s="46"/>
      <c r="KH150" s="46"/>
      <c r="KI150" s="46"/>
      <c r="KJ150" s="93">
        <f t="shared" si="58"/>
        <v>0</v>
      </c>
    </row>
    <row r="151" spans="1:296" ht="20.149999999999999" customHeight="1" x14ac:dyDescent="0.5">
      <c r="A151" s="84">
        <f t="shared" si="53"/>
        <v>142</v>
      </c>
      <c r="B151" s="141" t="s">
        <v>122</v>
      </c>
      <c r="C151" s="166" t="s">
        <v>108</v>
      </c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>
        <f t="shared" si="41"/>
        <v>100</v>
      </c>
      <c r="S151" s="46">
        <f t="shared" si="42"/>
        <v>0</v>
      </c>
      <c r="T151" s="46">
        <f t="shared" si="43"/>
        <v>0</v>
      </c>
      <c r="U151" s="46">
        <f t="shared" si="44"/>
        <v>0</v>
      </c>
      <c r="V151" s="46">
        <f t="shared" si="45"/>
        <v>0</v>
      </c>
      <c r="W151" s="46">
        <f t="shared" si="46"/>
        <v>0</v>
      </c>
      <c r="X151" s="46">
        <f t="shared" si="47"/>
        <v>0</v>
      </c>
      <c r="Y151" s="46">
        <f t="shared" si="48"/>
        <v>0</v>
      </c>
      <c r="Z151" s="90">
        <f t="shared" si="49"/>
        <v>100</v>
      </c>
      <c r="AA151" s="95"/>
      <c r="AB151" s="95">
        <f>'LPLPO GUDANG'!H156</f>
        <v>0</v>
      </c>
      <c r="AC151" s="95"/>
      <c r="AD151" s="91"/>
      <c r="AE151" s="91"/>
      <c r="AF151" s="91"/>
      <c r="AG151" s="92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>
        <v>50</v>
      </c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>
        <v>50</v>
      </c>
      <c r="BF151" s="46"/>
      <c r="BG151" s="46"/>
      <c r="BH151" s="46"/>
      <c r="BI151" s="46"/>
      <c r="BJ151" s="46"/>
      <c r="BK151" s="46"/>
      <c r="BL151" s="46"/>
      <c r="BM151" s="93">
        <f t="shared" si="50"/>
        <v>100</v>
      </c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  <c r="CK151" s="46"/>
      <c r="CL151" s="46"/>
      <c r="CM151" s="46"/>
      <c r="CN151" s="46"/>
      <c r="CO151" s="46"/>
      <c r="CP151" s="46"/>
      <c r="CQ151" s="46"/>
      <c r="CR151" s="46"/>
      <c r="CS151" s="46"/>
      <c r="CT151" s="93">
        <f t="shared" si="54"/>
        <v>0</v>
      </c>
      <c r="CV151" s="46"/>
      <c r="CW151" s="46"/>
      <c r="CX151" s="46"/>
      <c r="CY151" s="46"/>
      <c r="CZ151" s="46"/>
      <c r="DA151" s="46"/>
      <c r="DB151" s="46"/>
      <c r="DC151" s="46"/>
      <c r="DD151" s="46"/>
      <c r="DE151" s="46"/>
      <c r="DF151" s="46"/>
      <c r="DG151" s="46"/>
      <c r="DH151" s="46"/>
      <c r="DI151" s="46"/>
      <c r="DJ151" s="46"/>
      <c r="DK151" s="46"/>
      <c r="DL151" s="46"/>
      <c r="DM151" s="46"/>
      <c r="DN151" s="46"/>
      <c r="DO151" s="46"/>
      <c r="DP151" s="46"/>
      <c r="DQ151" s="46"/>
      <c r="DR151" s="46"/>
      <c r="DS151" s="46"/>
      <c r="DT151" s="46"/>
      <c r="DU151" s="46"/>
      <c r="DV151" s="46"/>
      <c r="DW151" s="46"/>
      <c r="DX151" s="46"/>
      <c r="DY151" s="46"/>
      <c r="DZ151" s="46"/>
      <c r="EA151" s="93">
        <f t="shared" si="51"/>
        <v>0</v>
      </c>
      <c r="EC151" s="46"/>
      <c r="ED151" s="46"/>
      <c r="EE151" s="46"/>
      <c r="EF151" s="46"/>
      <c r="EG151" s="46"/>
      <c r="EH151" s="46"/>
      <c r="EI151" s="46"/>
      <c r="EJ151" s="46"/>
      <c r="EK151" s="46"/>
      <c r="EL151" s="46"/>
      <c r="EM151" s="46"/>
      <c r="EN151" s="46"/>
      <c r="EO151" s="46"/>
      <c r="EP151" s="46"/>
      <c r="EQ151" s="46"/>
      <c r="ER151" s="46"/>
      <c r="ES151" s="46"/>
      <c r="ET151" s="46"/>
      <c r="EU151" s="46"/>
      <c r="EV151" s="46"/>
      <c r="EW151" s="46"/>
      <c r="EX151" s="46"/>
      <c r="EY151" s="46"/>
      <c r="EZ151" s="46"/>
      <c r="FA151" s="46"/>
      <c r="FB151" s="46"/>
      <c r="FC151" s="46"/>
      <c r="FD151" s="46"/>
      <c r="FE151" s="46"/>
      <c r="FF151" s="46"/>
      <c r="FG151" s="46"/>
      <c r="FH151" s="93">
        <f t="shared" si="52"/>
        <v>0</v>
      </c>
      <c r="FJ151" s="46"/>
      <c r="FK151" s="46"/>
      <c r="FL151" s="46"/>
      <c r="FM151" s="46"/>
      <c r="FN151" s="46"/>
      <c r="FO151" s="46"/>
      <c r="FP151" s="46"/>
      <c r="FQ151" s="46"/>
      <c r="FR151" s="46"/>
      <c r="FS151" s="46"/>
      <c r="FT151" s="46"/>
      <c r="FU151" s="46"/>
      <c r="FV151" s="46"/>
      <c r="FW151" s="46"/>
      <c r="FX151" s="46"/>
      <c r="FY151" s="46"/>
      <c r="FZ151" s="46"/>
      <c r="GA151" s="46"/>
      <c r="GB151" s="46"/>
      <c r="GC151" s="46"/>
      <c r="GD151" s="46"/>
      <c r="GE151" s="46"/>
      <c r="GF151" s="46"/>
      <c r="GG151" s="46"/>
      <c r="GH151" s="46"/>
      <c r="GI151" s="46"/>
      <c r="GJ151" s="46"/>
      <c r="GK151" s="46"/>
      <c r="GL151" s="46"/>
      <c r="GM151" s="46"/>
      <c r="GN151" s="46"/>
      <c r="GO151" s="93">
        <f t="shared" si="55"/>
        <v>0</v>
      </c>
      <c r="GQ151" s="46"/>
      <c r="GR151" s="46"/>
      <c r="GS151" s="46"/>
      <c r="GT151" s="46"/>
      <c r="GU151" s="46"/>
      <c r="GV151" s="46"/>
      <c r="GW151" s="46"/>
      <c r="GX151" s="46"/>
      <c r="GY151" s="46"/>
      <c r="GZ151" s="46"/>
      <c r="HA151" s="46"/>
      <c r="HB151" s="46"/>
      <c r="HC151" s="46"/>
      <c r="HD151" s="46"/>
      <c r="HE151" s="46"/>
      <c r="HF151" s="46"/>
      <c r="HG151" s="46"/>
      <c r="HH151" s="46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93">
        <f t="shared" si="56"/>
        <v>0</v>
      </c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  <c r="IT151" s="46"/>
      <c r="IU151" s="46"/>
      <c r="IV151" s="46"/>
      <c r="IW151" s="46"/>
      <c r="IX151" s="46"/>
      <c r="IY151" s="46"/>
      <c r="IZ151" s="46"/>
      <c r="JA151" s="46"/>
      <c r="JB151" s="46"/>
      <c r="JC151" s="93">
        <f t="shared" si="57"/>
        <v>0</v>
      </c>
      <c r="JE151" s="46"/>
      <c r="JF151" s="46"/>
      <c r="JG151" s="46"/>
      <c r="JH151" s="46"/>
      <c r="JI151" s="46"/>
      <c r="JJ151" s="46"/>
      <c r="JK151" s="46"/>
      <c r="JL151" s="46"/>
      <c r="JM151" s="46"/>
      <c r="JN151" s="46"/>
      <c r="JO151" s="46"/>
      <c r="JP151" s="46"/>
      <c r="JQ151" s="46"/>
      <c r="JR151" s="46"/>
      <c r="JS151" s="46"/>
      <c r="JT151" s="46"/>
      <c r="JU151" s="46"/>
      <c r="JV151" s="46"/>
      <c r="JW151" s="46"/>
      <c r="JX151" s="46"/>
      <c r="JY151" s="46"/>
      <c r="JZ151" s="46"/>
      <c r="KA151" s="46"/>
      <c r="KB151" s="46"/>
      <c r="KC151" s="46"/>
      <c r="KD151" s="46"/>
      <c r="KE151" s="46"/>
      <c r="KF151" s="46"/>
      <c r="KG151" s="46"/>
      <c r="KH151" s="46"/>
      <c r="KI151" s="46"/>
      <c r="KJ151" s="93">
        <f t="shared" si="58"/>
        <v>0</v>
      </c>
    </row>
    <row r="152" spans="1:296" ht="20.149999999999999" customHeight="1" x14ac:dyDescent="0.5">
      <c r="A152" s="84">
        <f t="shared" si="53"/>
        <v>143</v>
      </c>
      <c r="B152" s="141" t="s">
        <v>122</v>
      </c>
      <c r="C152" s="16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>
        <f t="shared" si="41"/>
        <v>0</v>
      </c>
      <c r="S152" s="46">
        <f t="shared" si="42"/>
        <v>0</v>
      </c>
      <c r="T152" s="46">
        <f t="shared" si="43"/>
        <v>0</v>
      </c>
      <c r="U152" s="46">
        <f t="shared" si="44"/>
        <v>0</v>
      </c>
      <c r="V152" s="46">
        <f t="shared" si="45"/>
        <v>0</v>
      </c>
      <c r="W152" s="46">
        <f t="shared" si="46"/>
        <v>0</v>
      </c>
      <c r="X152" s="46">
        <f t="shared" si="47"/>
        <v>0</v>
      </c>
      <c r="Y152" s="46">
        <f t="shared" si="48"/>
        <v>0</v>
      </c>
      <c r="Z152" s="90">
        <f t="shared" si="49"/>
        <v>0</v>
      </c>
      <c r="AA152" s="95"/>
      <c r="AB152" s="95">
        <f>'LPLPO GUDANG'!H157</f>
        <v>0</v>
      </c>
      <c r="AC152" s="95"/>
      <c r="AD152" s="91"/>
      <c r="AE152" s="91"/>
      <c r="AF152" s="91"/>
      <c r="AG152" s="92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>
        <v>0</v>
      </c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93">
        <f t="shared" si="50"/>
        <v>0</v>
      </c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  <c r="CM152" s="46"/>
      <c r="CN152" s="46"/>
      <c r="CO152" s="46"/>
      <c r="CP152" s="46"/>
      <c r="CQ152" s="46"/>
      <c r="CR152" s="46"/>
      <c r="CS152" s="46"/>
      <c r="CT152" s="93"/>
      <c r="CV152" s="46"/>
      <c r="CW152" s="46"/>
      <c r="CX152" s="46"/>
      <c r="CY152" s="46"/>
      <c r="CZ152" s="46"/>
      <c r="DA152" s="46"/>
      <c r="DB152" s="46"/>
      <c r="DC152" s="46"/>
      <c r="DD152" s="46"/>
      <c r="DE152" s="46"/>
      <c r="DF152" s="46"/>
      <c r="DG152" s="46"/>
      <c r="DH152" s="46"/>
      <c r="DI152" s="46"/>
      <c r="DJ152" s="46"/>
      <c r="DK152" s="46"/>
      <c r="DL152" s="46"/>
      <c r="DM152" s="46"/>
      <c r="DN152" s="46"/>
      <c r="DO152" s="46"/>
      <c r="DP152" s="46"/>
      <c r="DQ152" s="46"/>
      <c r="DR152" s="46"/>
      <c r="DS152" s="46"/>
      <c r="DT152" s="46"/>
      <c r="DU152" s="46"/>
      <c r="DV152" s="46"/>
      <c r="DW152" s="46"/>
      <c r="DX152" s="46"/>
      <c r="DY152" s="46"/>
      <c r="DZ152" s="46"/>
      <c r="EA152" s="93">
        <f t="shared" si="51"/>
        <v>0</v>
      </c>
      <c r="EC152" s="46"/>
      <c r="ED152" s="46"/>
      <c r="EE152" s="46"/>
      <c r="EF152" s="46"/>
      <c r="EG152" s="46"/>
      <c r="EH152" s="46"/>
      <c r="EI152" s="46"/>
      <c r="EJ152" s="46"/>
      <c r="EK152" s="46"/>
      <c r="EL152" s="46"/>
      <c r="EM152" s="46"/>
      <c r="EN152" s="46"/>
      <c r="EO152" s="46"/>
      <c r="EP152" s="46"/>
      <c r="EQ152" s="46"/>
      <c r="ER152" s="46"/>
      <c r="ES152" s="46"/>
      <c r="ET152" s="46"/>
      <c r="EU152" s="46"/>
      <c r="EV152" s="46"/>
      <c r="EW152" s="46"/>
      <c r="EX152" s="46"/>
      <c r="EY152" s="46"/>
      <c r="EZ152" s="46"/>
      <c r="FA152" s="46"/>
      <c r="FB152" s="46"/>
      <c r="FC152" s="46"/>
      <c r="FD152" s="46"/>
      <c r="FE152" s="46"/>
      <c r="FF152" s="46"/>
      <c r="FG152" s="46"/>
      <c r="FH152" s="93">
        <f t="shared" si="52"/>
        <v>0</v>
      </c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93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93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  <c r="IT152" s="46"/>
      <c r="IU152" s="46"/>
      <c r="IV152" s="46"/>
      <c r="IW152" s="46"/>
      <c r="IX152" s="46"/>
      <c r="IY152" s="46"/>
      <c r="IZ152" s="46"/>
      <c r="JA152" s="46"/>
      <c r="JB152" s="46"/>
      <c r="JC152" s="93"/>
      <c r="JE152" s="46"/>
      <c r="JF152" s="46"/>
      <c r="JG152" s="46"/>
      <c r="JH152" s="46"/>
      <c r="JI152" s="46"/>
      <c r="JJ152" s="46"/>
      <c r="JK152" s="46"/>
      <c r="JL152" s="46"/>
      <c r="JM152" s="46"/>
      <c r="JN152" s="46"/>
      <c r="JO152" s="46"/>
      <c r="JP152" s="46"/>
      <c r="JQ152" s="46"/>
      <c r="JR152" s="46"/>
      <c r="JS152" s="46"/>
      <c r="JT152" s="46"/>
      <c r="JU152" s="46"/>
      <c r="JV152" s="46"/>
      <c r="JW152" s="46"/>
      <c r="JX152" s="46"/>
      <c r="JY152" s="46"/>
      <c r="JZ152" s="46"/>
      <c r="KA152" s="46"/>
      <c r="KB152" s="46"/>
      <c r="KC152" s="46"/>
      <c r="KD152" s="46"/>
      <c r="KE152" s="46"/>
      <c r="KF152" s="46"/>
      <c r="KG152" s="46"/>
      <c r="KH152" s="46"/>
      <c r="KI152" s="46"/>
      <c r="KJ152" s="93"/>
    </row>
    <row r="153" spans="1:296" ht="20.149999999999999" customHeight="1" x14ac:dyDescent="0.5">
      <c r="A153" s="84">
        <f t="shared" si="53"/>
        <v>144</v>
      </c>
      <c r="B153" s="141" t="s">
        <v>123</v>
      </c>
      <c r="C153" s="171" t="s">
        <v>108</v>
      </c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>
        <f t="shared" si="41"/>
        <v>50</v>
      </c>
      <c r="S153" s="46">
        <f t="shared" si="42"/>
        <v>20</v>
      </c>
      <c r="T153" s="46">
        <f t="shared" si="43"/>
        <v>0</v>
      </c>
      <c r="U153" s="46">
        <f t="shared" si="44"/>
        <v>0</v>
      </c>
      <c r="V153" s="46">
        <f t="shared" si="45"/>
        <v>10</v>
      </c>
      <c r="W153" s="46">
        <f t="shared" si="46"/>
        <v>0</v>
      </c>
      <c r="X153" s="46">
        <f t="shared" si="47"/>
        <v>0</v>
      </c>
      <c r="Y153" s="46">
        <f t="shared" si="48"/>
        <v>0</v>
      </c>
      <c r="Z153" s="90">
        <f t="shared" si="49"/>
        <v>80</v>
      </c>
      <c r="AA153" s="95"/>
      <c r="AB153" s="95">
        <f>'LPLPO GUDANG'!H158</f>
        <v>0</v>
      </c>
      <c r="AC153" s="91"/>
      <c r="AD153" s="91"/>
      <c r="AE153" s="91"/>
      <c r="AF153" s="91"/>
      <c r="AG153" s="92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>
        <v>50</v>
      </c>
      <c r="BF153" s="46"/>
      <c r="BG153" s="46"/>
      <c r="BH153" s="46"/>
      <c r="BI153" s="46"/>
      <c r="BJ153" s="46"/>
      <c r="BK153" s="46"/>
      <c r="BL153" s="46"/>
      <c r="BM153" s="93">
        <f t="shared" si="50"/>
        <v>50</v>
      </c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>
        <v>20</v>
      </c>
      <c r="CJ153" s="46"/>
      <c r="CK153" s="46"/>
      <c r="CL153" s="46"/>
      <c r="CM153" s="46"/>
      <c r="CN153" s="46"/>
      <c r="CO153" s="46"/>
      <c r="CP153" s="46"/>
      <c r="CQ153" s="46"/>
      <c r="CR153" s="46"/>
      <c r="CS153" s="46"/>
      <c r="CT153" s="93">
        <f t="shared" ref="CT153:CT176" si="59">SUM(BO153:CS153)</f>
        <v>20</v>
      </c>
      <c r="CV153" s="46"/>
      <c r="CW153" s="46"/>
      <c r="CX153" s="46"/>
      <c r="CY153" s="46"/>
      <c r="CZ153" s="46"/>
      <c r="DA153" s="46"/>
      <c r="DB153" s="46"/>
      <c r="DC153" s="46"/>
      <c r="DD153" s="46"/>
      <c r="DE153" s="46"/>
      <c r="DF153" s="46"/>
      <c r="DG153" s="46"/>
      <c r="DH153" s="46"/>
      <c r="DI153" s="46"/>
      <c r="DJ153" s="46"/>
      <c r="DK153" s="46"/>
      <c r="DL153" s="46"/>
      <c r="DM153" s="46"/>
      <c r="DN153" s="46"/>
      <c r="DO153" s="46"/>
      <c r="DP153" s="46"/>
      <c r="DQ153" s="46"/>
      <c r="DR153" s="46"/>
      <c r="DS153" s="46"/>
      <c r="DT153" s="46"/>
      <c r="DU153" s="46"/>
      <c r="DV153" s="46"/>
      <c r="DW153" s="46"/>
      <c r="DX153" s="46"/>
      <c r="DY153" s="46"/>
      <c r="DZ153" s="46"/>
      <c r="EA153" s="93">
        <f t="shared" si="51"/>
        <v>0</v>
      </c>
      <c r="EC153" s="46"/>
      <c r="ED153" s="46"/>
      <c r="EE153" s="46"/>
      <c r="EF153" s="46"/>
      <c r="EG153" s="46"/>
      <c r="EH153" s="46"/>
      <c r="EI153" s="46"/>
      <c r="EJ153" s="46"/>
      <c r="EK153" s="46"/>
      <c r="EL153" s="46"/>
      <c r="EM153" s="46"/>
      <c r="EN153" s="46"/>
      <c r="EO153" s="46"/>
      <c r="EP153" s="46"/>
      <c r="EQ153" s="46"/>
      <c r="ER153" s="46"/>
      <c r="ES153" s="46"/>
      <c r="ET153" s="46"/>
      <c r="EU153" s="46"/>
      <c r="EV153" s="46"/>
      <c r="EW153" s="46"/>
      <c r="EX153" s="46"/>
      <c r="EY153" s="46"/>
      <c r="EZ153" s="46"/>
      <c r="FA153" s="46"/>
      <c r="FB153" s="46"/>
      <c r="FC153" s="46"/>
      <c r="FD153" s="46"/>
      <c r="FE153" s="46"/>
      <c r="FF153" s="46"/>
      <c r="FG153" s="46"/>
      <c r="FH153" s="93">
        <f t="shared" si="52"/>
        <v>0</v>
      </c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>
        <v>10</v>
      </c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93">
        <f t="shared" ref="GO153:GO176" si="60">SUM(FJ153:GN153)</f>
        <v>10</v>
      </c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93">
        <f t="shared" ref="HV153:HV176" si="61">SUM(GQ153:HU153)</f>
        <v>0</v>
      </c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  <c r="IT153" s="46"/>
      <c r="IU153" s="46"/>
      <c r="IV153" s="46"/>
      <c r="IW153" s="46"/>
      <c r="IX153" s="46"/>
      <c r="IY153" s="46"/>
      <c r="IZ153" s="46"/>
      <c r="JA153" s="46"/>
      <c r="JB153" s="46"/>
      <c r="JC153" s="93">
        <f t="shared" ref="JC153:JC176" si="62">SUM(HX153:JB153)</f>
        <v>0</v>
      </c>
      <c r="JE153" s="46"/>
      <c r="JF153" s="46"/>
      <c r="JG153" s="46"/>
      <c r="JH153" s="46"/>
      <c r="JI153" s="46"/>
      <c r="JJ153" s="46"/>
      <c r="JK153" s="46"/>
      <c r="JL153" s="46"/>
      <c r="JM153" s="46"/>
      <c r="JN153" s="46"/>
      <c r="JO153" s="46"/>
      <c r="JP153" s="46"/>
      <c r="JQ153" s="46"/>
      <c r="JR153" s="46"/>
      <c r="JS153" s="46"/>
      <c r="JT153" s="46"/>
      <c r="JU153" s="46"/>
      <c r="JV153" s="46"/>
      <c r="JW153" s="46"/>
      <c r="JX153" s="46"/>
      <c r="JY153" s="46"/>
      <c r="JZ153" s="46"/>
      <c r="KA153" s="46"/>
      <c r="KB153" s="46"/>
      <c r="KC153" s="46"/>
      <c r="KD153" s="46"/>
      <c r="KE153" s="46"/>
      <c r="KF153" s="46"/>
      <c r="KG153" s="46"/>
      <c r="KH153" s="46"/>
      <c r="KI153" s="46"/>
      <c r="KJ153" s="93">
        <f t="shared" ref="KJ153:KJ176" si="63">SUM(JE153:KI153)</f>
        <v>0</v>
      </c>
    </row>
    <row r="154" spans="1:296" ht="20.149999999999999" customHeight="1" x14ac:dyDescent="0.5">
      <c r="A154" s="84">
        <f t="shared" si="53"/>
        <v>145</v>
      </c>
      <c r="B154" s="141" t="s">
        <v>124</v>
      </c>
      <c r="C154" s="155" t="s">
        <v>108</v>
      </c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>
        <f t="shared" si="41"/>
        <v>15</v>
      </c>
      <c r="S154" s="46">
        <f t="shared" si="42"/>
        <v>15</v>
      </c>
      <c r="T154" s="46">
        <f t="shared" si="43"/>
        <v>0</v>
      </c>
      <c r="U154" s="46">
        <f t="shared" si="44"/>
        <v>0</v>
      </c>
      <c r="V154" s="46">
        <f t="shared" si="45"/>
        <v>20</v>
      </c>
      <c r="W154" s="46">
        <f t="shared" si="46"/>
        <v>0</v>
      </c>
      <c r="X154" s="46">
        <f t="shared" si="47"/>
        <v>0</v>
      </c>
      <c r="Y154" s="46">
        <f t="shared" si="48"/>
        <v>0</v>
      </c>
      <c r="Z154" s="90">
        <f t="shared" si="49"/>
        <v>50</v>
      </c>
      <c r="AA154" s="95"/>
      <c r="AB154" s="95">
        <f>'LPLPO GUDANG'!H159</f>
        <v>0</v>
      </c>
      <c r="AC154" s="91"/>
      <c r="AD154" s="91"/>
      <c r="AE154" s="91"/>
      <c r="AF154" s="91"/>
      <c r="AG154" s="92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>
        <v>15</v>
      </c>
      <c r="BF154" s="46"/>
      <c r="BG154" s="46"/>
      <c r="BH154" s="46"/>
      <c r="BI154" s="46"/>
      <c r="BJ154" s="46"/>
      <c r="BK154" s="46"/>
      <c r="BL154" s="46"/>
      <c r="BM154" s="93">
        <f t="shared" si="50"/>
        <v>15</v>
      </c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>
        <v>15</v>
      </c>
      <c r="CJ154" s="46"/>
      <c r="CK154" s="46"/>
      <c r="CL154" s="46"/>
      <c r="CM154" s="46"/>
      <c r="CN154" s="46"/>
      <c r="CO154" s="46"/>
      <c r="CP154" s="46"/>
      <c r="CQ154" s="46"/>
      <c r="CR154" s="46"/>
      <c r="CS154" s="46"/>
      <c r="CT154" s="93">
        <f t="shared" si="59"/>
        <v>15</v>
      </c>
      <c r="CV154" s="46"/>
      <c r="CW154" s="46"/>
      <c r="CX154" s="46"/>
      <c r="CY154" s="46"/>
      <c r="CZ154" s="46"/>
      <c r="DA154" s="46"/>
      <c r="DB154" s="46"/>
      <c r="DC154" s="46"/>
      <c r="DD154" s="46"/>
      <c r="DE154" s="46"/>
      <c r="DF154" s="46"/>
      <c r="DG154" s="46"/>
      <c r="DH154" s="46"/>
      <c r="DI154" s="46"/>
      <c r="DJ154" s="46"/>
      <c r="DK154" s="46"/>
      <c r="DL154" s="46"/>
      <c r="DM154" s="46"/>
      <c r="DN154" s="46"/>
      <c r="DO154" s="46"/>
      <c r="DP154" s="46"/>
      <c r="DQ154" s="46"/>
      <c r="DR154" s="46"/>
      <c r="DS154" s="46"/>
      <c r="DT154" s="46"/>
      <c r="DU154" s="46"/>
      <c r="DV154" s="46"/>
      <c r="DW154" s="46"/>
      <c r="DX154" s="46"/>
      <c r="DY154" s="46"/>
      <c r="DZ154" s="46"/>
      <c r="EA154" s="93">
        <f t="shared" si="51"/>
        <v>0</v>
      </c>
      <c r="EC154" s="46"/>
      <c r="ED154" s="46"/>
      <c r="EE154" s="46"/>
      <c r="EF154" s="46"/>
      <c r="EG154" s="46"/>
      <c r="EH154" s="46"/>
      <c r="EI154" s="46"/>
      <c r="EJ154" s="46"/>
      <c r="EK154" s="46"/>
      <c r="EL154" s="46"/>
      <c r="EM154" s="46"/>
      <c r="EN154" s="46"/>
      <c r="EO154" s="46"/>
      <c r="EP154" s="46"/>
      <c r="EQ154" s="46"/>
      <c r="ER154" s="46"/>
      <c r="ES154" s="46"/>
      <c r="ET154" s="46"/>
      <c r="EU154" s="46"/>
      <c r="EV154" s="46"/>
      <c r="EW154" s="46"/>
      <c r="EX154" s="46"/>
      <c r="EY154" s="46"/>
      <c r="EZ154" s="46"/>
      <c r="FA154" s="46"/>
      <c r="FB154" s="46"/>
      <c r="FC154" s="46"/>
      <c r="FD154" s="46"/>
      <c r="FE154" s="46"/>
      <c r="FF154" s="46"/>
      <c r="FG154" s="46"/>
      <c r="FH154" s="93">
        <f t="shared" si="52"/>
        <v>0</v>
      </c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>
        <v>20</v>
      </c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93">
        <f t="shared" si="60"/>
        <v>20</v>
      </c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93">
        <f t="shared" si="61"/>
        <v>0</v>
      </c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  <c r="IT154" s="46"/>
      <c r="IU154" s="46"/>
      <c r="IV154" s="46"/>
      <c r="IW154" s="46"/>
      <c r="IX154" s="46"/>
      <c r="IY154" s="46"/>
      <c r="IZ154" s="46"/>
      <c r="JA154" s="46"/>
      <c r="JB154" s="46"/>
      <c r="JC154" s="93">
        <f t="shared" si="62"/>
        <v>0</v>
      </c>
      <c r="JE154" s="46"/>
      <c r="JF154" s="46"/>
      <c r="JG154" s="46"/>
      <c r="JH154" s="46"/>
      <c r="JI154" s="46"/>
      <c r="JJ154" s="46"/>
      <c r="JK154" s="46"/>
      <c r="JL154" s="46"/>
      <c r="JM154" s="46"/>
      <c r="JN154" s="46"/>
      <c r="JO154" s="46"/>
      <c r="JP154" s="46"/>
      <c r="JQ154" s="46"/>
      <c r="JR154" s="46"/>
      <c r="JS154" s="46"/>
      <c r="JT154" s="46"/>
      <c r="JU154" s="46"/>
      <c r="JV154" s="46"/>
      <c r="JW154" s="46"/>
      <c r="JX154" s="46"/>
      <c r="JY154" s="46"/>
      <c r="JZ154" s="46"/>
      <c r="KA154" s="46"/>
      <c r="KB154" s="46"/>
      <c r="KC154" s="46"/>
      <c r="KD154" s="46"/>
      <c r="KE154" s="46"/>
      <c r="KF154" s="46"/>
      <c r="KG154" s="46"/>
      <c r="KH154" s="46"/>
      <c r="KI154" s="46"/>
      <c r="KJ154" s="93">
        <f t="shared" si="63"/>
        <v>0</v>
      </c>
    </row>
    <row r="155" spans="1:296" ht="20.149999999999999" customHeight="1" x14ac:dyDescent="0.5">
      <c r="A155" s="84">
        <f t="shared" si="53"/>
        <v>146</v>
      </c>
      <c r="B155" s="141" t="s">
        <v>125</v>
      </c>
      <c r="C155" s="153" t="s">
        <v>126</v>
      </c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>
        <f t="shared" si="41"/>
        <v>0</v>
      </c>
      <c r="S155" s="46">
        <f t="shared" si="42"/>
        <v>0</v>
      </c>
      <c r="T155" s="46">
        <f t="shared" si="43"/>
        <v>0</v>
      </c>
      <c r="U155" s="46">
        <f t="shared" si="44"/>
        <v>0</v>
      </c>
      <c r="V155" s="46">
        <f t="shared" si="45"/>
        <v>0</v>
      </c>
      <c r="W155" s="46">
        <f t="shared" si="46"/>
        <v>1</v>
      </c>
      <c r="X155" s="46">
        <f t="shared" si="47"/>
        <v>0</v>
      </c>
      <c r="Y155" s="46">
        <f t="shared" si="48"/>
        <v>0</v>
      </c>
      <c r="Z155" s="90">
        <f t="shared" si="49"/>
        <v>1</v>
      </c>
      <c r="AA155" s="95"/>
      <c r="AB155" s="92">
        <f>'LPLPO GUDANG'!H160</f>
        <v>7</v>
      </c>
      <c r="AC155" s="91"/>
      <c r="AD155" s="91"/>
      <c r="AE155" s="91"/>
      <c r="AF155" s="91"/>
      <c r="AG155" s="92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93">
        <f t="shared" si="50"/>
        <v>0</v>
      </c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  <c r="CM155" s="46"/>
      <c r="CN155" s="46"/>
      <c r="CO155" s="46"/>
      <c r="CP155" s="46"/>
      <c r="CQ155" s="46"/>
      <c r="CR155" s="46"/>
      <c r="CS155" s="46"/>
      <c r="CT155" s="93">
        <f t="shared" si="59"/>
        <v>0</v>
      </c>
      <c r="CV155" s="46"/>
      <c r="CW155" s="46"/>
      <c r="CX155" s="46"/>
      <c r="CY155" s="46"/>
      <c r="CZ155" s="46"/>
      <c r="DA155" s="46"/>
      <c r="DB155" s="46"/>
      <c r="DC155" s="46"/>
      <c r="DD155" s="46"/>
      <c r="DE155" s="46"/>
      <c r="DF155" s="46"/>
      <c r="DG155" s="46"/>
      <c r="DH155" s="46"/>
      <c r="DI155" s="46"/>
      <c r="DJ155" s="46"/>
      <c r="DK155" s="46"/>
      <c r="DL155" s="46"/>
      <c r="DM155" s="46"/>
      <c r="DN155" s="46"/>
      <c r="DO155" s="46"/>
      <c r="DP155" s="46"/>
      <c r="DQ155" s="46"/>
      <c r="DR155" s="46"/>
      <c r="DS155" s="46"/>
      <c r="DT155" s="46"/>
      <c r="DU155" s="46"/>
      <c r="DV155" s="46"/>
      <c r="DW155" s="46"/>
      <c r="DX155" s="46"/>
      <c r="DY155" s="46"/>
      <c r="DZ155" s="46"/>
      <c r="EA155" s="93">
        <f t="shared" si="51"/>
        <v>0</v>
      </c>
      <c r="EC155" s="46"/>
      <c r="ED155" s="46"/>
      <c r="EE155" s="46"/>
      <c r="EF155" s="46"/>
      <c r="EG155" s="46"/>
      <c r="EH155" s="46"/>
      <c r="EI155" s="46"/>
      <c r="EJ155" s="46"/>
      <c r="EK155" s="46"/>
      <c r="EL155" s="46"/>
      <c r="EM155" s="46"/>
      <c r="EN155" s="46"/>
      <c r="EO155" s="46"/>
      <c r="EP155" s="46"/>
      <c r="EQ155" s="46"/>
      <c r="ER155" s="46"/>
      <c r="ES155" s="46"/>
      <c r="ET155" s="46"/>
      <c r="EU155" s="46"/>
      <c r="EV155" s="46"/>
      <c r="EW155" s="46"/>
      <c r="EX155" s="46"/>
      <c r="EY155" s="46"/>
      <c r="EZ155" s="46"/>
      <c r="FA155" s="46"/>
      <c r="FB155" s="46"/>
      <c r="FC155" s="46"/>
      <c r="FD155" s="46"/>
      <c r="FE155" s="46"/>
      <c r="FF155" s="46"/>
      <c r="FG155" s="46"/>
      <c r="FH155" s="93">
        <f t="shared" si="52"/>
        <v>0</v>
      </c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93">
        <f t="shared" si="60"/>
        <v>0</v>
      </c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>
        <v>1</v>
      </c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93">
        <f t="shared" si="61"/>
        <v>1</v>
      </c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  <c r="IT155" s="46"/>
      <c r="IU155" s="46"/>
      <c r="IV155" s="46"/>
      <c r="IW155" s="46"/>
      <c r="IX155" s="46"/>
      <c r="IY155" s="46"/>
      <c r="IZ155" s="46"/>
      <c r="JA155" s="46"/>
      <c r="JB155" s="46"/>
      <c r="JC155" s="93">
        <f t="shared" si="62"/>
        <v>0</v>
      </c>
      <c r="JE155" s="46"/>
      <c r="JF155" s="46"/>
      <c r="JG155" s="46"/>
      <c r="JH155" s="46"/>
      <c r="JI155" s="46"/>
      <c r="JJ155" s="46"/>
      <c r="JK155" s="46"/>
      <c r="JL155" s="46"/>
      <c r="JM155" s="46"/>
      <c r="JN155" s="46"/>
      <c r="JO155" s="46"/>
      <c r="JP155" s="46"/>
      <c r="JQ155" s="46"/>
      <c r="JR155" s="46"/>
      <c r="JS155" s="46"/>
      <c r="JT155" s="46"/>
      <c r="JU155" s="46"/>
      <c r="JV155" s="46"/>
      <c r="JW155" s="46"/>
      <c r="JX155" s="46"/>
      <c r="JY155" s="46"/>
      <c r="JZ155" s="46"/>
      <c r="KA155" s="46"/>
      <c r="KB155" s="46"/>
      <c r="KC155" s="46"/>
      <c r="KD155" s="46"/>
      <c r="KE155" s="46"/>
      <c r="KF155" s="46"/>
      <c r="KG155" s="46"/>
      <c r="KH155" s="46"/>
      <c r="KI155" s="46"/>
      <c r="KJ155" s="93">
        <f t="shared" si="63"/>
        <v>0</v>
      </c>
    </row>
    <row r="156" spans="1:296" ht="20.149999999999999" customHeight="1" x14ac:dyDescent="0.5">
      <c r="A156" s="84">
        <f t="shared" si="53"/>
        <v>147</v>
      </c>
      <c r="B156" s="141" t="s">
        <v>127</v>
      </c>
      <c r="C156" s="164" t="s">
        <v>255</v>
      </c>
      <c r="D156" s="46"/>
      <c r="E156" s="46"/>
      <c r="F156" s="46"/>
      <c r="G156" s="46"/>
      <c r="H156" s="46"/>
      <c r="I156" s="46"/>
      <c r="J156" s="46"/>
      <c r="K156" s="46"/>
      <c r="L156" s="46">
        <v>5</v>
      </c>
      <c r="M156" s="46"/>
      <c r="N156" s="46"/>
      <c r="O156" s="46"/>
      <c r="P156" s="46"/>
      <c r="Q156" s="46"/>
      <c r="R156" s="46">
        <f t="shared" si="41"/>
        <v>0</v>
      </c>
      <c r="S156" s="46">
        <f t="shared" si="42"/>
        <v>30</v>
      </c>
      <c r="T156" s="46">
        <f t="shared" si="43"/>
        <v>0</v>
      </c>
      <c r="U156" s="46">
        <f t="shared" si="44"/>
        <v>0</v>
      </c>
      <c r="V156" s="46">
        <f t="shared" si="45"/>
        <v>0</v>
      </c>
      <c r="W156" s="46">
        <f t="shared" si="46"/>
        <v>0</v>
      </c>
      <c r="X156" s="46">
        <f t="shared" si="47"/>
        <v>0</v>
      </c>
      <c r="Y156" s="46">
        <f t="shared" si="48"/>
        <v>0</v>
      </c>
      <c r="Z156" s="90">
        <f t="shared" si="49"/>
        <v>35</v>
      </c>
      <c r="AA156" s="95"/>
      <c r="AB156" s="92">
        <f>'LPLPO GUDANG'!H161</f>
        <v>130</v>
      </c>
      <c r="AC156" s="91"/>
      <c r="AD156" s="91"/>
      <c r="AE156" s="91"/>
      <c r="AF156" s="91"/>
      <c r="AG156" s="92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93">
        <f t="shared" si="50"/>
        <v>0</v>
      </c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>
        <v>30</v>
      </c>
      <c r="CJ156" s="46"/>
      <c r="CK156" s="46"/>
      <c r="CL156" s="46"/>
      <c r="CM156" s="46"/>
      <c r="CN156" s="46"/>
      <c r="CO156" s="46"/>
      <c r="CP156" s="46"/>
      <c r="CQ156" s="46"/>
      <c r="CR156" s="46"/>
      <c r="CS156" s="46"/>
      <c r="CT156" s="93">
        <f t="shared" si="59"/>
        <v>30</v>
      </c>
      <c r="CV156" s="46"/>
      <c r="CW156" s="46"/>
      <c r="CX156" s="46"/>
      <c r="CY156" s="46"/>
      <c r="CZ156" s="46"/>
      <c r="DA156" s="46"/>
      <c r="DB156" s="46"/>
      <c r="DC156" s="46"/>
      <c r="DD156" s="46"/>
      <c r="DE156" s="46"/>
      <c r="DF156" s="46"/>
      <c r="DG156" s="46"/>
      <c r="DH156" s="46"/>
      <c r="DI156" s="46"/>
      <c r="DJ156" s="46"/>
      <c r="DK156" s="46"/>
      <c r="DL156" s="46"/>
      <c r="DM156" s="46"/>
      <c r="DN156" s="46"/>
      <c r="DO156" s="46"/>
      <c r="DP156" s="46"/>
      <c r="DQ156" s="46"/>
      <c r="DR156" s="46"/>
      <c r="DS156" s="46"/>
      <c r="DT156" s="46"/>
      <c r="DU156" s="46"/>
      <c r="DV156" s="46"/>
      <c r="DW156" s="46"/>
      <c r="DX156" s="46"/>
      <c r="DY156" s="46"/>
      <c r="DZ156" s="46"/>
      <c r="EA156" s="93">
        <f t="shared" si="51"/>
        <v>0</v>
      </c>
      <c r="EC156" s="46"/>
      <c r="ED156" s="46"/>
      <c r="EE156" s="46"/>
      <c r="EF156" s="46"/>
      <c r="EG156" s="46"/>
      <c r="EH156" s="46"/>
      <c r="EI156" s="46"/>
      <c r="EJ156" s="46"/>
      <c r="EK156" s="46"/>
      <c r="EL156" s="46"/>
      <c r="EM156" s="46"/>
      <c r="EN156" s="46"/>
      <c r="EO156" s="46"/>
      <c r="EP156" s="46"/>
      <c r="EQ156" s="46"/>
      <c r="ER156" s="46"/>
      <c r="ES156" s="46"/>
      <c r="ET156" s="46"/>
      <c r="EU156" s="46"/>
      <c r="EV156" s="46"/>
      <c r="EW156" s="46"/>
      <c r="EX156" s="46"/>
      <c r="EY156" s="46"/>
      <c r="EZ156" s="46"/>
      <c r="FA156" s="46"/>
      <c r="FB156" s="46"/>
      <c r="FC156" s="46"/>
      <c r="FD156" s="46"/>
      <c r="FE156" s="46"/>
      <c r="FF156" s="46"/>
      <c r="FG156" s="46"/>
      <c r="FH156" s="93">
        <f t="shared" si="52"/>
        <v>0</v>
      </c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93">
        <f t="shared" si="60"/>
        <v>0</v>
      </c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93">
        <f t="shared" si="61"/>
        <v>0</v>
      </c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  <c r="IT156" s="46"/>
      <c r="IU156" s="46"/>
      <c r="IV156" s="46"/>
      <c r="IW156" s="46"/>
      <c r="IX156" s="46"/>
      <c r="IY156" s="46"/>
      <c r="IZ156" s="46"/>
      <c r="JA156" s="46"/>
      <c r="JB156" s="46"/>
      <c r="JC156" s="93">
        <f t="shared" si="62"/>
        <v>0</v>
      </c>
      <c r="JE156" s="46"/>
      <c r="JF156" s="46"/>
      <c r="JG156" s="46"/>
      <c r="JH156" s="46"/>
      <c r="JI156" s="46"/>
      <c r="JJ156" s="46"/>
      <c r="JK156" s="46"/>
      <c r="JL156" s="46"/>
      <c r="JM156" s="46"/>
      <c r="JN156" s="46"/>
      <c r="JO156" s="46"/>
      <c r="JP156" s="46"/>
      <c r="JQ156" s="46"/>
      <c r="JR156" s="46"/>
      <c r="JS156" s="46"/>
      <c r="JT156" s="46"/>
      <c r="JU156" s="46"/>
      <c r="JV156" s="46"/>
      <c r="JW156" s="46"/>
      <c r="JX156" s="46"/>
      <c r="JY156" s="46"/>
      <c r="JZ156" s="46"/>
      <c r="KA156" s="46"/>
      <c r="KB156" s="46"/>
      <c r="KC156" s="46"/>
      <c r="KD156" s="46"/>
      <c r="KE156" s="46"/>
      <c r="KF156" s="46"/>
      <c r="KG156" s="46"/>
      <c r="KH156" s="46"/>
      <c r="KI156" s="46"/>
      <c r="KJ156" s="93">
        <f t="shared" si="63"/>
        <v>0</v>
      </c>
    </row>
    <row r="157" spans="1:296" x14ac:dyDescent="0.5">
      <c r="A157" s="84">
        <f t="shared" si="53"/>
        <v>148</v>
      </c>
      <c r="B157" s="141" t="s">
        <v>128</v>
      </c>
      <c r="C157" s="153" t="s">
        <v>126</v>
      </c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>
        <f t="shared" si="41"/>
        <v>0</v>
      </c>
      <c r="S157" s="46">
        <f t="shared" si="42"/>
        <v>2</v>
      </c>
      <c r="T157" s="46">
        <f t="shared" si="43"/>
        <v>0</v>
      </c>
      <c r="U157" s="46">
        <f t="shared" si="44"/>
        <v>0</v>
      </c>
      <c r="V157" s="46">
        <f t="shared" si="45"/>
        <v>2</v>
      </c>
      <c r="W157" s="46">
        <f t="shared" si="46"/>
        <v>1</v>
      </c>
      <c r="X157" s="46">
        <f t="shared" si="47"/>
        <v>0</v>
      </c>
      <c r="Y157" s="46">
        <f t="shared" si="48"/>
        <v>0</v>
      </c>
      <c r="Z157" s="90">
        <f t="shared" si="49"/>
        <v>5</v>
      </c>
      <c r="AA157" s="95"/>
      <c r="AB157" s="95">
        <f>'LPLPO GUDANG'!H162</f>
        <v>0</v>
      </c>
      <c r="AC157" s="91"/>
      <c r="AD157" s="91"/>
      <c r="AE157" s="91"/>
      <c r="AF157" s="91"/>
      <c r="AG157" s="92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93">
        <f t="shared" si="50"/>
        <v>0</v>
      </c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>
        <v>2</v>
      </c>
      <c r="CJ157" s="46"/>
      <c r="CK157" s="46"/>
      <c r="CL157" s="46"/>
      <c r="CM157" s="46"/>
      <c r="CN157" s="46"/>
      <c r="CO157" s="46"/>
      <c r="CP157" s="46"/>
      <c r="CQ157" s="46"/>
      <c r="CR157" s="46"/>
      <c r="CS157" s="46"/>
      <c r="CT157" s="93">
        <f t="shared" si="59"/>
        <v>2</v>
      </c>
      <c r="CV157" s="46"/>
      <c r="CW157" s="46"/>
      <c r="CX157" s="46"/>
      <c r="CY157" s="46"/>
      <c r="CZ157" s="46"/>
      <c r="DA157" s="46"/>
      <c r="DB157" s="46"/>
      <c r="DC157" s="46"/>
      <c r="DD157" s="46"/>
      <c r="DE157" s="46"/>
      <c r="DF157" s="46"/>
      <c r="DG157" s="46"/>
      <c r="DH157" s="46"/>
      <c r="DI157" s="46"/>
      <c r="DJ157" s="46"/>
      <c r="DK157" s="46"/>
      <c r="DL157" s="46"/>
      <c r="DM157" s="46"/>
      <c r="DN157" s="46"/>
      <c r="DO157" s="46"/>
      <c r="DP157" s="46"/>
      <c r="DQ157" s="46"/>
      <c r="DR157" s="46"/>
      <c r="DS157" s="46"/>
      <c r="DT157" s="46"/>
      <c r="DU157" s="46"/>
      <c r="DV157" s="46"/>
      <c r="DW157" s="46"/>
      <c r="DX157" s="46"/>
      <c r="DY157" s="46"/>
      <c r="DZ157" s="46"/>
      <c r="EA157" s="93">
        <f t="shared" si="51"/>
        <v>0</v>
      </c>
      <c r="EC157" s="46"/>
      <c r="ED157" s="46"/>
      <c r="EE157" s="46"/>
      <c r="EF157" s="46"/>
      <c r="EG157" s="46"/>
      <c r="EH157" s="46"/>
      <c r="EI157" s="46"/>
      <c r="EJ157" s="46"/>
      <c r="EK157" s="46"/>
      <c r="EL157" s="46"/>
      <c r="EM157" s="46"/>
      <c r="EN157" s="46"/>
      <c r="EO157" s="46"/>
      <c r="EP157" s="46"/>
      <c r="EQ157" s="46"/>
      <c r="ER157" s="46"/>
      <c r="ES157" s="46"/>
      <c r="ET157" s="46"/>
      <c r="EU157" s="46"/>
      <c r="EV157" s="46"/>
      <c r="EW157" s="46"/>
      <c r="EX157" s="46"/>
      <c r="EY157" s="46"/>
      <c r="EZ157" s="46"/>
      <c r="FA157" s="46"/>
      <c r="FB157" s="46"/>
      <c r="FC157" s="46"/>
      <c r="FD157" s="46"/>
      <c r="FE157" s="46"/>
      <c r="FF157" s="46"/>
      <c r="FG157" s="46"/>
      <c r="FH157" s="93">
        <f t="shared" si="52"/>
        <v>0</v>
      </c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>
        <v>2</v>
      </c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93">
        <f t="shared" si="60"/>
        <v>2</v>
      </c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>
        <v>1</v>
      </c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93">
        <f t="shared" si="61"/>
        <v>1</v>
      </c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  <c r="IT157" s="46"/>
      <c r="IU157" s="46"/>
      <c r="IV157" s="46"/>
      <c r="IW157" s="46"/>
      <c r="IX157" s="46"/>
      <c r="IY157" s="46"/>
      <c r="IZ157" s="46"/>
      <c r="JA157" s="46"/>
      <c r="JB157" s="46"/>
      <c r="JC157" s="93">
        <f t="shared" si="62"/>
        <v>0</v>
      </c>
      <c r="JE157" s="46"/>
      <c r="JF157" s="46"/>
      <c r="JG157" s="46"/>
      <c r="JH157" s="46"/>
      <c r="JI157" s="46"/>
      <c r="JJ157" s="46"/>
      <c r="JK157" s="46"/>
      <c r="JL157" s="46"/>
      <c r="JM157" s="46"/>
      <c r="JN157" s="46"/>
      <c r="JO157" s="46"/>
      <c r="JP157" s="46"/>
      <c r="JQ157" s="46"/>
      <c r="JR157" s="46"/>
      <c r="JS157" s="46"/>
      <c r="JT157" s="46"/>
      <c r="JU157" s="46"/>
      <c r="JV157" s="46"/>
      <c r="JW157" s="46"/>
      <c r="JX157" s="46"/>
      <c r="JY157" s="46"/>
      <c r="JZ157" s="46"/>
      <c r="KA157" s="46"/>
      <c r="KB157" s="46"/>
      <c r="KC157" s="46"/>
      <c r="KD157" s="46"/>
      <c r="KE157" s="46"/>
      <c r="KF157" s="46"/>
      <c r="KG157" s="46"/>
      <c r="KH157" s="46"/>
      <c r="KI157" s="46"/>
      <c r="KJ157" s="93">
        <f t="shared" si="63"/>
        <v>0</v>
      </c>
    </row>
    <row r="158" spans="1:296" ht="20.149999999999999" customHeight="1" x14ac:dyDescent="0.5">
      <c r="A158" s="84">
        <f t="shared" si="53"/>
        <v>149</v>
      </c>
      <c r="B158" s="141" t="s">
        <v>129</v>
      </c>
      <c r="C158" s="171" t="s">
        <v>126</v>
      </c>
      <c r="D158" s="46"/>
      <c r="E158" s="46"/>
      <c r="F158" s="46"/>
      <c r="G158" s="46"/>
      <c r="H158" s="46"/>
      <c r="I158" s="46"/>
      <c r="J158" s="46"/>
      <c r="K158" s="46"/>
      <c r="L158" s="46">
        <v>5</v>
      </c>
      <c r="M158" s="46"/>
      <c r="N158" s="46"/>
      <c r="O158" s="46"/>
      <c r="P158" s="46"/>
      <c r="Q158" s="46"/>
      <c r="R158" s="46">
        <f t="shared" si="41"/>
        <v>0</v>
      </c>
      <c r="S158" s="46">
        <f t="shared" si="42"/>
        <v>0</v>
      </c>
      <c r="T158" s="46">
        <f t="shared" si="43"/>
        <v>0</v>
      </c>
      <c r="U158" s="46">
        <f t="shared" si="44"/>
        <v>0</v>
      </c>
      <c r="V158" s="46">
        <f t="shared" si="45"/>
        <v>0</v>
      </c>
      <c r="W158" s="46">
        <f t="shared" si="46"/>
        <v>0</v>
      </c>
      <c r="X158" s="46">
        <f t="shared" si="47"/>
        <v>0</v>
      </c>
      <c r="Y158" s="46">
        <f t="shared" si="48"/>
        <v>0</v>
      </c>
      <c r="Z158" s="90">
        <f t="shared" si="49"/>
        <v>5</v>
      </c>
      <c r="AA158" s="95"/>
      <c r="AB158" s="92">
        <f>'LPLPO GUDANG'!H163</f>
        <v>100</v>
      </c>
      <c r="AC158" s="91"/>
      <c r="AD158" s="91"/>
      <c r="AE158" s="91"/>
      <c r="AF158" s="91"/>
      <c r="AG158" s="92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93">
        <f t="shared" si="50"/>
        <v>0</v>
      </c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  <c r="CK158" s="46"/>
      <c r="CL158" s="46"/>
      <c r="CM158" s="46"/>
      <c r="CN158" s="46"/>
      <c r="CO158" s="46"/>
      <c r="CP158" s="46"/>
      <c r="CQ158" s="46"/>
      <c r="CR158" s="46"/>
      <c r="CS158" s="46"/>
      <c r="CT158" s="93">
        <f t="shared" si="59"/>
        <v>0</v>
      </c>
      <c r="CV158" s="46"/>
      <c r="CW158" s="46"/>
      <c r="CX158" s="46"/>
      <c r="CY158" s="46"/>
      <c r="CZ158" s="46"/>
      <c r="DA158" s="46"/>
      <c r="DB158" s="46"/>
      <c r="DC158" s="46"/>
      <c r="DD158" s="46"/>
      <c r="DE158" s="46"/>
      <c r="DF158" s="46"/>
      <c r="DG158" s="46"/>
      <c r="DH158" s="46"/>
      <c r="DI158" s="46"/>
      <c r="DJ158" s="46"/>
      <c r="DK158" s="46"/>
      <c r="DL158" s="46"/>
      <c r="DM158" s="46"/>
      <c r="DN158" s="46"/>
      <c r="DO158" s="46"/>
      <c r="DP158" s="46"/>
      <c r="DQ158" s="46"/>
      <c r="DR158" s="46"/>
      <c r="DS158" s="46"/>
      <c r="DT158" s="46"/>
      <c r="DU158" s="46"/>
      <c r="DV158" s="46"/>
      <c r="DW158" s="46"/>
      <c r="DX158" s="46"/>
      <c r="DY158" s="46"/>
      <c r="DZ158" s="46"/>
      <c r="EA158" s="93">
        <f t="shared" si="51"/>
        <v>0</v>
      </c>
      <c r="EC158" s="46"/>
      <c r="ED158" s="46"/>
      <c r="EE158" s="46"/>
      <c r="EF158" s="46"/>
      <c r="EG158" s="46"/>
      <c r="EH158" s="46"/>
      <c r="EI158" s="46"/>
      <c r="EJ158" s="46"/>
      <c r="EK158" s="46"/>
      <c r="EL158" s="46"/>
      <c r="EM158" s="46"/>
      <c r="EN158" s="46"/>
      <c r="EO158" s="46"/>
      <c r="EP158" s="46"/>
      <c r="EQ158" s="46"/>
      <c r="ER158" s="46"/>
      <c r="ES158" s="46"/>
      <c r="ET158" s="46"/>
      <c r="EU158" s="46"/>
      <c r="EV158" s="46"/>
      <c r="EW158" s="46"/>
      <c r="EX158" s="46"/>
      <c r="EY158" s="46"/>
      <c r="EZ158" s="46"/>
      <c r="FA158" s="46"/>
      <c r="FB158" s="46"/>
      <c r="FC158" s="46"/>
      <c r="FD158" s="46"/>
      <c r="FE158" s="46"/>
      <c r="FF158" s="46"/>
      <c r="FG158" s="46"/>
      <c r="FH158" s="93">
        <f t="shared" si="52"/>
        <v>0</v>
      </c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93">
        <f t="shared" si="60"/>
        <v>0</v>
      </c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93">
        <f t="shared" si="61"/>
        <v>0</v>
      </c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  <c r="IT158" s="46"/>
      <c r="IU158" s="46"/>
      <c r="IV158" s="46"/>
      <c r="IW158" s="46"/>
      <c r="IX158" s="46"/>
      <c r="IY158" s="46"/>
      <c r="IZ158" s="46"/>
      <c r="JA158" s="46"/>
      <c r="JB158" s="46"/>
      <c r="JC158" s="93">
        <f t="shared" si="62"/>
        <v>0</v>
      </c>
      <c r="JE158" s="46"/>
      <c r="JF158" s="46"/>
      <c r="JG158" s="46"/>
      <c r="JH158" s="46"/>
      <c r="JI158" s="46"/>
      <c r="JJ158" s="46"/>
      <c r="JK158" s="46"/>
      <c r="JL158" s="46"/>
      <c r="JM158" s="46"/>
      <c r="JN158" s="46"/>
      <c r="JO158" s="46"/>
      <c r="JP158" s="46"/>
      <c r="JQ158" s="46"/>
      <c r="JR158" s="46"/>
      <c r="JS158" s="46"/>
      <c r="JT158" s="46"/>
      <c r="JU158" s="46"/>
      <c r="JV158" s="46"/>
      <c r="JW158" s="46"/>
      <c r="JX158" s="46"/>
      <c r="JY158" s="46"/>
      <c r="JZ158" s="46"/>
      <c r="KA158" s="46"/>
      <c r="KB158" s="46"/>
      <c r="KC158" s="46"/>
      <c r="KD158" s="46"/>
      <c r="KE158" s="46"/>
      <c r="KF158" s="46"/>
      <c r="KG158" s="46"/>
      <c r="KH158" s="46"/>
      <c r="KI158" s="46"/>
      <c r="KJ158" s="93">
        <f t="shared" si="63"/>
        <v>0</v>
      </c>
    </row>
    <row r="159" spans="1:296" ht="20.149999999999999" customHeight="1" x14ac:dyDescent="0.5">
      <c r="A159" s="84">
        <f t="shared" si="53"/>
        <v>150</v>
      </c>
      <c r="B159" s="141" t="s">
        <v>130</v>
      </c>
      <c r="C159" s="166" t="s">
        <v>323</v>
      </c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>
        <f t="shared" si="41"/>
        <v>0</v>
      </c>
      <c r="S159" s="46">
        <f t="shared" si="42"/>
        <v>0</v>
      </c>
      <c r="T159" s="46">
        <f t="shared" si="43"/>
        <v>0</v>
      </c>
      <c r="U159" s="46">
        <f t="shared" si="44"/>
        <v>0</v>
      </c>
      <c r="V159" s="46">
        <f t="shared" si="45"/>
        <v>0</v>
      </c>
      <c r="W159" s="46">
        <f t="shared" si="46"/>
        <v>0</v>
      </c>
      <c r="X159" s="46">
        <f t="shared" si="47"/>
        <v>0</v>
      </c>
      <c r="Y159" s="46">
        <f t="shared" si="48"/>
        <v>0</v>
      </c>
      <c r="Z159" s="90">
        <f t="shared" si="49"/>
        <v>0</v>
      </c>
      <c r="AA159" s="95"/>
      <c r="AB159" s="95">
        <f>'LPLPO GUDANG'!H164</f>
        <v>0</v>
      </c>
      <c r="AC159" s="91"/>
      <c r="AD159" s="91"/>
      <c r="AE159" s="91"/>
      <c r="AF159" s="91"/>
      <c r="AG159" s="92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93">
        <f t="shared" si="50"/>
        <v>0</v>
      </c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  <c r="CK159" s="46"/>
      <c r="CL159" s="46"/>
      <c r="CM159" s="46"/>
      <c r="CN159" s="46"/>
      <c r="CO159" s="46"/>
      <c r="CP159" s="46"/>
      <c r="CQ159" s="46"/>
      <c r="CR159" s="46"/>
      <c r="CS159" s="46"/>
      <c r="CT159" s="93">
        <f t="shared" si="59"/>
        <v>0</v>
      </c>
      <c r="CV159" s="46"/>
      <c r="CW159" s="46"/>
      <c r="CX159" s="46"/>
      <c r="CY159" s="46"/>
      <c r="CZ159" s="46"/>
      <c r="DA159" s="46"/>
      <c r="DB159" s="46"/>
      <c r="DC159" s="46"/>
      <c r="DD159" s="46"/>
      <c r="DE159" s="46"/>
      <c r="DF159" s="46"/>
      <c r="DG159" s="46"/>
      <c r="DH159" s="46"/>
      <c r="DI159" s="46"/>
      <c r="DJ159" s="46"/>
      <c r="DK159" s="46"/>
      <c r="DL159" s="46"/>
      <c r="DM159" s="46"/>
      <c r="DN159" s="46"/>
      <c r="DO159" s="46"/>
      <c r="DP159" s="46"/>
      <c r="DQ159" s="46"/>
      <c r="DR159" s="46"/>
      <c r="DS159" s="46"/>
      <c r="DT159" s="46"/>
      <c r="DU159" s="46"/>
      <c r="DV159" s="46"/>
      <c r="DW159" s="46"/>
      <c r="DX159" s="46"/>
      <c r="DY159" s="46"/>
      <c r="DZ159" s="46"/>
      <c r="EA159" s="93">
        <f t="shared" si="51"/>
        <v>0</v>
      </c>
      <c r="EC159" s="46"/>
      <c r="ED159" s="46"/>
      <c r="EE159" s="46"/>
      <c r="EF159" s="46"/>
      <c r="EG159" s="46"/>
      <c r="EH159" s="46"/>
      <c r="EI159" s="46"/>
      <c r="EJ159" s="46"/>
      <c r="EK159" s="46"/>
      <c r="EL159" s="46"/>
      <c r="EM159" s="46"/>
      <c r="EN159" s="46"/>
      <c r="EO159" s="46"/>
      <c r="EP159" s="46"/>
      <c r="EQ159" s="46"/>
      <c r="ER159" s="46"/>
      <c r="ES159" s="46"/>
      <c r="ET159" s="46"/>
      <c r="EU159" s="46"/>
      <c r="EV159" s="46"/>
      <c r="EW159" s="46"/>
      <c r="EX159" s="46"/>
      <c r="EY159" s="46"/>
      <c r="EZ159" s="46"/>
      <c r="FA159" s="46"/>
      <c r="FB159" s="46"/>
      <c r="FC159" s="46"/>
      <c r="FD159" s="46"/>
      <c r="FE159" s="46"/>
      <c r="FF159" s="46"/>
      <c r="FG159" s="46"/>
      <c r="FH159" s="93">
        <f t="shared" si="52"/>
        <v>0</v>
      </c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93">
        <f t="shared" si="60"/>
        <v>0</v>
      </c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93">
        <f t="shared" si="61"/>
        <v>0</v>
      </c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  <c r="IT159" s="46"/>
      <c r="IU159" s="46"/>
      <c r="IV159" s="46"/>
      <c r="IW159" s="46"/>
      <c r="IX159" s="46"/>
      <c r="IY159" s="46"/>
      <c r="IZ159" s="46"/>
      <c r="JA159" s="46"/>
      <c r="JB159" s="46"/>
      <c r="JC159" s="93">
        <f t="shared" si="62"/>
        <v>0</v>
      </c>
      <c r="JE159" s="46"/>
      <c r="JF159" s="46"/>
      <c r="JG159" s="46"/>
      <c r="JH159" s="46"/>
      <c r="JI159" s="46"/>
      <c r="JJ159" s="46"/>
      <c r="JK159" s="46"/>
      <c r="JL159" s="46"/>
      <c r="JM159" s="46"/>
      <c r="JN159" s="46"/>
      <c r="JO159" s="46"/>
      <c r="JP159" s="46"/>
      <c r="JQ159" s="46"/>
      <c r="JR159" s="46"/>
      <c r="JS159" s="46"/>
      <c r="JT159" s="46"/>
      <c r="JU159" s="46"/>
      <c r="JV159" s="46"/>
      <c r="JW159" s="46"/>
      <c r="JX159" s="46"/>
      <c r="JY159" s="46"/>
      <c r="JZ159" s="46"/>
      <c r="KA159" s="46"/>
      <c r="KB159" s="46"/>
      <c r="KC159" s="46"/>
      <c r="KD159" s="46"/>
      <c r="KE159" s="46"/>
      <c r="KF159" s="46"/>
      <c r="KG159" s="46"/>
      <c r="KH159" s="46"/>
      <c r="KI159" s="46"/>
      <c r="KJ159" s="93">
        <f t="shared" si="63"/>
        <v>0</v>
      </c>
    </row>
    <row r="160" spans="1:296" ht="20.149999999999999" customHeight="1" x14ac:dyDescent="0.5">
      <c r="A160" s="84">
        <f t="shared" si="53"/>
        <v>151</v>
      </c>
      <c r="B160" s="141" t="s">
        <v>131</v>
      </c>
      <c r="C160" s="153" t="s">
        <v>256</v>
      </c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>
        <f t="shared" si="41"/>
        <v>0</v>
      </c>
      <c r="S160" s="46">
        <f t="shared" si="42"/>
        <v>0</v>
      </c>
      <c r="T160" s="46">
        <f t="shared" si="43"/>
        <v>0</v>
      </c>
      <c r="U160" s="46">
        <f t="shared" si="44"/>
        <v>0</v>
      </c>
      <c r="V160" s="46">
        <f t="shared" si="45"/>
        <v>0</v>
      </c>
      <c r="W160" s="46">
        <f t="shared" si="46"/>
        <v>0</v>
      </c>
      <c r="X160" s="46">
        <f t="shared" si="47"/>
        <v>0</v>
      </c>
      <c r="Y160" s="46">
        <f t="shared" si="48"/>
        <v>0</v>
      </c>
      <c r="Z160" s="90">
        <f t="shared" si="49"/>
        <v>0</v>
      </c>
      <c r="AA160" s="95"/>
      <c r="AB160" s="95">
        <f>'LPLPO GUDANG'!H165</f>
        <v>0</v>
      </c>
      <c r="AC160" s="91"/>
      <c r="AD160" s="91"/>
      <c r="AE160" s="91"/>
      <c r="AF160" s="91"/>
      <c r="AG160" s="92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93">
        <f t="shared" si="50"/>
        <v>0</v>
      </c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  <c r="CK160" s="46"/>
      <c r="CL160" s="46"/>
      <c r="CM160" s="46"/>
      <c r="CN160" s="46"/>
      <c r="CO160" s="46"/>
      <c r="CP160" s="46"/>
      <c r="CQ160" s="46"/>
      <c r="CR160" s="46"/>
      <c r="CS160" s="46"/>
      <c r="CT160" s="93">
        <f t="shared" si="59"/>
        <v>0</v>
      </c>
      <c r="CV160" s="46"/>
      <c r="CW160" s="46"/>
      <c r="CX160" s="46"/>
      <c r="CY160" s="46"/>
      <c r="CZ160" s="46"/>
      <c r="DA160" s="46"/>
      <c r="DB160" s="46"/>
      <c r="DC160" s="46"/>
      <c r="DD160" s="46"/>
      <c r="DE160" s="46"/>
      <c r="DF160" s="46"/>
      <c r="DG160" s="46"/>
      <c r="DH160" s="46"/>
      <c r="DI160" s="46"/>
      <c r="DJ160" s="46"/>
      <c r="DK160" s="46"/>
      <c r="DL160" s="46"/>
      <c r="DM160" s="46"/>
      <c r="DN160" s="46"/>
      <c r="DO160" s="46"/>
      <c r="DP160" s="46"/>
      <c r="DQ160" s="46"/>
      <c r="DR160" s="46"/>
      <c r="DS160" s="46"/>
      <c r="DT160" s="46"/>
      <c r="DU160" s="46"/>
      <c r="DV160" s="46"/>
      <c r="DW160" s="46"/>
      <c r="DX160" s="46"/>
      <c r="DY160" s="46"/>
      <c r="DZ160" s="46"/>
      <c r="EA160" s="93">
        <f t="shared" si="51"/>
        <v>0</v>
      </c>
      <c r="EC160" s="46"/>
      <c r="ED160" s="46"/>
      <c r="EE160" s="46"/>
      <c r="EF160" s="46"/>
      <c r="EG160" s="46"/>
      <c r="EH160" s="46"/>
      <c r="EI160" s="46"/>
      <c r="EJ160" s="46"/>
      <c r="EK160" s="46"/>
      <c r="EL160" s="46"/>
      <c r="EM160" s="46"/>
      <c r="EN160" s="46"/>
      <c r="EO160" s="46"/>
      <c r="EP160" s="46"/>
      <c r="EQ160" s="46"/>
      <c r="ER160" s="46"/>
      <c r="ES160" s="46"/>
      <c r="ET160" s="46"/>
      <c r="EU160" s="46"/>
      <c r="EV160" s="46"/>
      <c r="EW160" s="46"/>
      <c r="EX160" s="46"/>
      <c r="EY160" s="46"/>
      <c r="EZ160" s="46"/>
      <c r="FA160" s="46"/>
      <c r="FB160" s="46"/>
      <c r="FC160" s="46"/>
      <c r="FD160" s="46"/>
      <c r="FE160" s="46"/>
      <c r="FF160" s="46"/>
      <c r="FG160" s="46"/>
      <c r="FH160" s="93">
        <f t="shared" si="52"/>
        <v>0</v>
      </c>
      <c r="FJ160" s="46"/>
      <c r="FK160" s="46"/>
      <c r="FL160" s="46"/>
      <c r="FM160" s="46"/>
      <c r="FN160" s="46"/>
      <c r="FO160" s="46"/>
      <c r="FP160" s="46"/>
      <c r="FQ160" s="46"/>
      <c r="FR160" s="46"/>
      <c r="FS160" s="46"/>
      <c r="FT160" s="46"/>
      <c r="FU160" s="46"/>
      <c r="FV160" s="46"/>
      <c r="FW160" s="46"/>
      <c r="FX160" s="46"/>
      <c r="FY160" s="46"/>
      <c r="FZ160" s="46"/>
      <c r="GA160" s="46"/>
      <c r="GB160" s="46"/>
      <c r="GC160" s="46"/>
      <c r="GD160" s="46"/>
      <c r="GE160" s="46"/>
      <c r="GF160" s="46"/>
      <c r="GG160" s="46"/>
      <c r="GH160" s="46"/>
      <c r="GI160" s="46"/>
      <c r="GJ160" s="46"/>
      <c r="GK160" s="46"/>
      <c r="GL160" s="46"/>
      <c r="GM160" s="46"/>
      <c r="GN160" s="46"/>
      <c r="GO160" s="93">
        <f t="shared" si="60"/>
        <v>0</v>
      </c>
      <c r="GQ160" s="46"/>
      <c r="GR160" s="46"/>
      <c r="GS160" s="46"/>
      <c r="GT160" s="46"/>
      <c r="GU160" s="46"/>
      <c r="GV160" s="46"/>
      <c r="GW160" s="46"/>
      <c r="GX160" s="46"/>
      <c r="GY160" s="46"/>
      <c r="GZ160" s="46"/>
      <c r="HA160" s="46"/>
      <c r="HB160" s="46"/>
      <c r="HC160" s="46"/>
      <c r="HD160" s="46"/>
      <c r="HE160" s="46"/>
      <c r="HF160" s="46"/>
      <c r="HG160" s="46"/>
      <c r="HH160" s="46"/>
      <c r="HI160" s="46"/>
      <c r="HJ160" s="46"/>
      <c r="HK160" s="46"/>
      <c r="HL160" s="46"/>
      <c r="HM160" s="46"/>
      <c r="HN160" s="46"/>
      <c r="HO160" s="46"/>
      <c r="HP160" s="46"/>
      <c r="HQ160" s="46"/>
      <c r="HR160" s="46"/>
      <c r="HS160" s="46"/>
      <c r="HT160" s="46"/>
      <c r="HU160" s="46"/>
      <c r="HV160" s="93">
        <f t="shared" si="61"/>
        <v>0</v>
      </c>
      <c r="HX160" s="46"/>
      <c r="HY160" s="46"/>
      <c r="HZ160" s="46"/>
      <c r="IA160" s="46"/>
      <c r="IB160" s="46"/>
      <c r="IC160" s="46"/>
      <c r="ID160" s="46"/>
      <c r="IE160" s="46"/>
      <c r="IF160" s="46"/>
      <c r="IG160" s="46"/>
      <c r="IH160" s="46"/>
      <c r="II160" s="46"/>
      <c r="IJ160" s="46"/>
      <c r="IK160" s="46"/>
      <c r="IL160" s="46"/>
      <c r="IM160" s="46"/>
      <c r="IN160" s="46"/>
      <c r="IO160" s="46"/>
      <c r="IP160" s="46"/>
      <c r="IQ160" s="46"/>
      <c r="IR160" s="46"/>
      <c r="IS160" s="46"/>
      <c r="IT160" s="46"/>
      <c r="IU160" s="46"/>
      <c r="IV160" s="46"/>
      <c r="IW160" s="46"/>
      <c r="IX160" s="46"/>
      <c r="IY160" s="46"/>
      <c r="IZ160" s="46"/>
      <c r="JA160" s="46"/>
      <c r="JB160" s="46"/>
      <c r="JC160" s="93">
        <f t="shared" si="62"/>
        <v>0</v>
      </c>
      <c r="JE160" s="46"/>
      <c r="JF160" s="46"/>
      <c r="JG160" s="46"/>
      <c r="JH160" s="46"/>
      <c r="JI160" s="46"/>
      <c r="JJ160" s="46"/>
      <c r="JK160" s="46"/>
      <c r="JL160" s="46"/>
      <c r="JM160" s="46"/>
      <c r="JN160" s="46"/>
      <c r="JO160" s="46"/>
      <c r="JP160" s="46"/>
      <c r="JQ160" s="46"/>
      <c r="JR160" s="46"/>
      <c r="JS160" s="46"/>
      <c r="JT160" s="46"/>
      <c r="JU160" s="46"/>
      <c r="JV160" s="46"/>
      <c r="JW160" s="46"/>
      <c r="JX160" s="46"/>
      <c r="JY160" s="46"/>
      <c r="JZ160" s="46"/>
      <c r="KA160" s="46"/>
      <c r="KB160" s="46"/>
      <c r="KC160" s="46"/>
      <c r="KD160" s="46"/>
      <c r="KE160" s="46"/>
      <c r="KF160" s="46"/>
      <c r="KG160" s="46"/>
      <c r="KH160" s="46"/>
      <c r="KI160" s="46"/>
      <c r="KJ160" s="93">
        <f t="shared" si="63"/>
        <v>0</v>
      </c>
    </row>
    <row r="161" spans="1:296" ht="20.149999999999999" customHeight="1" x14ac:dyDescent="0.5">
      <c r="A161" s="84">
        <f t="shared" si="53"/>
        <v>152</v>
      </c>
      <c r="B161" s="141" t="s">
        <v>132</v>
      </c>
      <c r="C161" s="153" t="s">
        <v>256</v>
      </c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>
        <f t="shared" si="41"/>
        <v>0</v>
      </c>
      <c r="S161" s="46">
        <f t="shared" si="42"/>
        <v>0</v>
      </c>
      <c r="T161" s="46">
        <f t="shared" si="43"/>
        <v>0</v>
      </c>
      <c r="U161" s="46">
        <f t="shared" si="44"/>
        <v>0</v>
      </c>
      <c r="V161" s="46">
        <f t="shared" si="45"/>
        <v>0</v>
      </c>
      <c r="W161" s="46">
        <f t="shared" si="46"/>
        <v>0</v>
      </c>
      <c r="X161" s="46">
        <f t="shared" si="47"/>
        <v>0</v>
      </c>
      <c r="Y161" s="46">
        <f t="shared" si="48"/>
        <v>0</v>
      </c>
      <c r="Z161" s="90">
        <f t="shared" si="49"/>
        <v>0</v>
      </c>
      <c r="AA161" s="95"/>
      <c r="AB161" s="95">
        <f>'LPLPO GUDANG'!H166</f>
        <v>0</v>
      </c>
      <c r="AC161" s="91"/>
      <c r="AD161" s="91"/>
      <c r="AE161" s="91"/>
      <c r="AF161" s="91"/>
      <c r="AG161" s="92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93">
        <f t="shared" si="50"/>
        <v>0</v>
      </c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/>
      <c r="CL161" s="46"/>
      <c r="CM161" s="46"/>
      <c r="CN161" s="46"/>
      <c r="CO161" s="46"/>
      <c r="CP161" s="46"/>
      <c r="CQ161" s="46"/>
      <c r="CR161" s="46"/>
      <c r="CS161" s="46"/>
      <c r="CT161" s="93">
        <f t="shared" si="59"/>
        <v>0</v>
      </c>
      <c r="CV161" s="46"/>
      <c r="CW161" s="46"/>
      <c r="CX161" s="46"/>
      <c r="CY161" s="46"/>
      <c r="CZ161" s="46"/>
      <c r="DA161" s="46"/>
      <c r="DB161" s="46"/>
      <c r="DC161" s="46"/>
      <c r="DD161" s="46"/>
      <c r="DE161" s="46"/>
      <c r="DF161" s="46"/>
      <c r="DG161" s="46"/>
      <c r="DH161" s="46"/>
      <c r="DI161" s="46"/>
      <c r="DJ161" s="46"/>
      <c r="DK161" s="46"/>
      <c r="DL161" s="46"/>
      <c r="DM161" s="46"/>
      <c r="DN161" s="46"/>
      <c r="DO161" s="46"/>
      <c r="DP161" s="46"/>
      <c r="DQ161" s="46"/>
      <c r="DR161" s="46"/>
      <c r="DS161" s="46"/>
      <c r="DT161" s="46"/>
      <c r="DU161" s="46"/>
      <c r="DV161" s="46"/>
      <c r="DW161" s="46"/>
      <c r="DX161" s="46"/>
      <c r="DY161" s="46"/>
      <c r="DZ161" s="46"/>
      <c r="EA161" s="93">
        <f t="shared" si="51"/>
        <v>0</v>
      </c>
      <c r="EC161" s="46"/>
      <c r="ED161" s="46"/>
      <c r="EE161" s="46"/>
      <c r="EF161" s="46"/>
      <c r="EG161" s="46"/>
      <c r="EH161" s="46"/>
      <c r="EI161" s="46"/>
      <c r="EJ161" s="46"/>
      <c r="EK161" s="46"/>
      <c r="EL161" s="46"/>
      <c r="EM161" s="46"/>
      <c r="EN161" s="46"/>
      <c r="EO161" s="46"/>
      <c r="EP161" s="46"/>
      <c r="EQ161" s="46"/>
      <c r="ER161" s="46"/>
      <c r="ES161" s="46"/>
      <c r="ET161" s="46"/>
      <c r="EU161" s="46"/>
      <c r="EV161" s="46"/>
      <c r="EW161" s="46"/>
      <c r="EX161" s="46"/>
      <c r="EY161" s="46"/>
      <c r="EZ161" s="46"/>
      <c r="FA161" s="46"/>
      <c r="FB161" s="46"/>
      <c r="FC161" s="46"/>
      <c r="FD161" s="46"/>
      <c r="FE161" s="46"/>
      <c r="FF161" s="46"/>
      <c r="FG161" s="46"/>
      <c r="FH161" s="93">
        <f t="shared" si="52"/>
        <v>0</v>
      </c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93">
        <f t="shared" si="60"/>
        <v>0</v>
      </c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93">
        <f t="shared" si="61"/>
        <v>0</v>
      </c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  <c r="IT161" s="46"/>
      <c r="IU161" s="46"/>
      <c r="IV161" s="46"/>
      <c r="IW161" s="46"/>
      <c r="IX161" s="46"/>
      <c r="IY161" s="46"/>
      <c r="IZ161" s="46"/>
      <c r="JA161" s="46"/>
      <c r="JB161" s="46"/>
      <c r="JC161" s="93">
        <f t="shared" si="62"/>
        <v>0</v>
      </c>
      <c r="JE161" s="46"/>
      <c r="JF161" s="46"/>
      <c r="JG161" s="46"/>
      <c r="JH161" s="46"/>
      <c r="JI161" s="46"/>
      <c r="JJ161" s="46"/>
      <c r="JK161" s="46"/>
      <c r="JL161" s="46"/>
      <c r="JM161" s="46"/>
      <c r="JN161" s="46"/>
      <c r="JO161" s="46"/>
      <c r="JP161" s="46"/>
      <c r="JQ161" s="46"/>
      <c r="JR161" s="46"/>
      <c r="JS161" s="46"/>
      <c r="JT161" s="46"/>
      <c r="JU161" s="46"/>
      <c r="JV161" s="46"/>
      <c r="JW161" s="46"/>
      <c r="JX161" s="46"/>
      <c r="JY161" s="46"/>
      <c r="JZ161" s="46"/>
      <c r="KA161" s="46"/>
      <c r="KB161" s="46"/>
      <c r="KC161" s="46"/>
      <c r="KD161" s="46"/>
      <c r="KE161" s="46"/>
      <c r="KF161" s="46"/>
      <c r="KG161" s="46"/>
      <c r="KH161" s="46"/>
      <c r="KI161" s="46"/>
      <c r="KJ161" s="93">
        <f t="shared" si="63"/>
        <v>0</v>
      </c>
    </row>
    <row r="162" spans="1:296" ht="20.149999999999999" customHeight="1" x14ac:dyDescent="0.5">
      <c r="A162" s="84">
        <f t="shared" si="53"/>
        <v>153</v>
      </c>
      <c r="B162" s="141" t="s">
        <v>135</v>
      </c>
      <c r="C162" s="153" t="s">
        <v>108</v>
      </c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>
        <f t="shared" si="41"/>
        <v>10</v>
      </c>
      <c r="S162" s="46">
        <f t="shared" si="42"/>
        <v>0</v>
      </c>
      <c r="T162" s="46">
        <f t="shared" si="43"/>
        <v>0</v>
      </c>
      <c r="U162" s="46">
        <f t="shared" si="44"/>
        <v>0</v>
      </c>
      <c r="V162" s="46">
        <f t="shared" si="45"/>
        <v>10</v>
      </c>
      <c r="W162" s="46">
        <f t="shared" si="46"/>
        <v>0</v>
      </c>
      <c r="X162" s="46">
        <f t="shared" si="47"/>
        <v>0</v>
      </c>
      <c r="Y162" s="46">
        <f t="shared" si="48"/>
        <v>0</v>
      </c>
      <c r="Z162" s="90">
        <f t="shared" si="49"/>
        <v>20</v>
      </c>
      <c r="AA162" s="95"/>
      <c r="AB162" s="92">
        <f>'LPLPO GUDANG'!H167</f>
        <v>25</v>
      </c>
      <c r="AC162" s="91"/>
      <c r="AD162" s="91"/>
      <c r="AE162" s="91"/>
      <c r="AF162" s="91"/>
      <c r="AG162" s="92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>
        <v>10</v>
      </c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93">
        <f t="shared" si="50"/>
        <v>10</v>
      </c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  <c r="CK162" s="46"/>
      <c r="CL162" s="46"/>
      <c r="CM162" s="46"/>
      <c r="CN162" s="46"/>
      <c r="CO162" s="46"/>
      <c r="CP162" s="46"/>
      <c r="CQ162" s="46"/>
      <c r="CR162" s="46"/>
      <c r="CS162" s="46"/>
      <c r="CT162" s="93">
        <f t="shared" si="59"/>
        <v>0</v>
      </c>
      <c r="CV162" s="46"/>
      <c r="CW162" s="46"/>
      <c r="CX162" s="46"/>
      <c r="CY162" s="46"/>
      <c r="CZ162" s="46"/>
      <c r="DA162" s="46"/>
      <c r="DB162" s="46"/>
      <c r="DC162" s="46"/>
      <c r="DD162" s="46"/>
      <c r="DE162" s="46"/>
      <c r="DF162" s="46"/>
      <c r="DG162" s="46"/>
      <c r="DH162" s="46"/>
      <c r="DI162" s="46"/>
      <c r="DJ162" s="46"/>
      <c r="DK162" s="46"/>
      <c r="DL162" s="46"/>
      <c r="DM162" s="46"/>
      <c r="DN162" s="46"/>
      <c r="DO162" s="46"/>
      <c r="DP162" s="46"/>
      <c r="DQ162" s="46"/>
      <c r="DR162" s="46"/>
      <c r="DS162" s="46"/>
      <c r="DT162" s="46"/>
      <c r="DU162" s="46"/>
      <c r="DV162" s="46"/>
      <c r="DW162" s="46"/>
      <c r="DX162" s="46"/>
      <c r="DY162" s="46"/>
      <c r="DZ162" s="46"/>
      <c r="EA162" s="93">
        <f t="shared" si="51"/>
        <v>0</v>
      </c>
      <c r="EC162" s="46"/>
      <c r="ED162" s="46"/>
      <c r="EE162" s="46"/>
      <c r="EF162" s="46"/>
      <c r="EG162" s="46"/>
      <c r="EH162" s="46"/>
      <c r="EI162" s="46"/>
      <c r="EJ162" s="46"/>
      <c r="EK162" s="46"/>
      <c r="EL162" s="46"/>
      <c r="EM162" s="46"/>
      <c r="EN162" s="46"/>
      <c r="EO162" s="46"/>
      <c r="EP162" s="46"/>
      <c r="EQ162" s="46"/>
      <c r="ER162" s="46"/>
      <c r="ES162" s="46"/>
      <c r="ET162" s="46"/>
      <c r="EU162" s="46"/>
      <c r="EV162" s="46"/>
      <c r="EW162" s="46"/>
      <c r="EX162" s="46"/>
      <c r="EY162" s="46"/>
      <c r="EZ162" s="46"/>
      <c r="FA162" s="46"/>
      <c r="FB162" s="46"/>
      <c r="FC162" s="46"/>
      <c r="FD162" s="46"/>
      <c r="FE162" s="46"/>
      <c r="FF162" s="46"/>
      <c r="FG162" s="46"/>
      <c r="FH162" s="93">
        <f t="shared" si="52"/>
        <v>0</v>
      </c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>
        <v>10</v>
      </c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93">
        <f t="shared" si="60"/>
        <v>10</v>
      </c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93">
        <f t="shared" si="61"/>
        <v>0</v>
      </c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  <c r="IT162" s="46"/>
      <c r="IU162" s="46"/>
      <c r="IV162" s="46"/>
      <c r="IW162" s="46"/>
      <c r="IX162" s="46"/>
      <c r="IY162" s="46"/>
      <c r="IZ162" s="46"/>
      <c r="JA162" s="46"/>
      <c r="JB162" s="46"/>
      <c r="JC162" s="93">
        <f t="shared" si="62"/>
        <v>0</v>
      </c>
      <c r="JE162" s="46"/>
      <c r="JF162" s="46"/>
      <c r="JG162" s="46"/>
      <c r="JH162" s="46"/>
      <c r="JI162" s="46"/>
      <c r="JJ162" s="46"/>
      <c r="JK162" s="46"/>
      <c r="JL162" s="46"/>
      <c r="JM162" s="46"/>
      <c r="JN162" s="46"/>
      <c r="JO162" s="46"/>
      <c r="JP162" s="46"/>
      <c r="JQ162" s="46"/>
      <c r="JR162" s="46"/>
      <c r="JS162" s="46"/>
      <c r="JT162" s="46"/>
      <c r="JU162" s="46"/>
      <c r="JV162" s="46"/>
      <c r="JW162" s="46"/>
      <c r="JX162" s="46"/>
      <c r="JY162" s="46"/>
      <c r="JZ162" s="46"/>
      <c r="KA162" s="46"/>
      <c r="KB162" s="46"/>
      <c r="KC162" s="46"/>
      <c r="KD162" s="46"/>
      <c r="KE162" s="46"/>
      <c r="KF162" s="46"/>
      <c r="KG162" s="46"/>
      <c r="KH162" s="46"/>
      <c r="KI162" s="46"/>
      <c r="KJ162" s="93">
        <f t="shared" si="63"/>
        <v>0</v>
      </c>
    </row>
    <row r="163" spans="1:296" ht="20.149999999999999" customHeight="1" x14ac:dyDescent="0.5">
      <c r="A163" s="84">
        <f t="shared" si="53"/>
        <v>154</v>
      </c>
      <c r="B163" s="141" t="s">
        <v>134</v>
      </c>
      <c r="C163" s="153" t="s">
        <v>108</v>
      </c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>
        <f t="shared" si="41"/>
        <v>10</v>
      </c>
      <c r="S163" s="46">
        <f t="shared" si="42"/>
        <v>0</v>
      </c>
      <c r="T163" s="46">
        <f t="shared" si="43"/>
        <v>0</v>
      </c>
      <c r="U163" s="46">
        <f t="shared" si="44"/>
        <v>0</v>
      </c>
      <c r="V163" s="46">
        <f t="shared" si="45"/>
        <v>0</v>
      </c>
      <c r="W163" s="46">
        <f t="shared" si="46"/>
        <v>0</v>
      </c>
      <c r="X163" s="46">
        <f t="shared" si="47"/>
        <v>0</v>
      </c>
      <c r="Y163" s="46">
        <f t="shared" si="48"/>
        <v>0</v>
      </c>
      <c r="Z163" s="90">
        <f t="shared" si="49"/>
        <v>10</v>
      </c>
      <c r="AA163" s="95"/>
      <c r="AB163" s="92">
        <f>'LPLPO GUDANG'!H168</f>
        <v>10</v>
      </c>
      <c r="AC163" s="91"/>
      <c r="AD163" s="91"/>
      <c r="AE163" s="91"/>
      <c r="AF163" s="91"/>
      <c r="AG163" s="92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>
        <v>10</v>
      </c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93">
        <f t="shared" si="50"/>
        <v>10</v>
      </c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  <c r="CK163" s="46"/>
      <c r="CL163" s="46"/>
      <c r="CM163" s="46"/>
      <c r="CN163" s="46"/>
      <c r="CO163" s="46"/>
      <c r="CP163" s="46"/>
      <c r="CQ163" s="46"/>
      <c r="CR163" s="46"/>
      <c r="CS163" s="46"/>
      <c r="CT163" s="93">
        <f t="shared" si="59"/>
        <v>0</v>
      </c>
      <c r="CV163" s="46"/>
      <c r="CW163" s="46"/>
      <c r="CX163" s="46"/>
      <c r="CY163" s="46"/>
      <c r="CZ163" s="46"/>
      <c r="DA163" s="46"/>
      <c r="DB163" s="46"/>
      <c r="DC163" s="46"/>
      <c r="DD163" s="46"/>
      <c r="DE163" s="46"/>
      <c r="DF163" s="46"/>
      <c r="DG163" s="46"/>
      <c r="DH163" s="46"/>
      <c r="DI163" s="46"/>
      <c r="DJ163" s="46"/>
      <c r="DK163" s="46"/>
      <c r="DL163" s="46"/>
      <c r="DM163" s="46"/>
      <c r="DN163" s="46"/>
      <c r="DO163" s="46"/>
      <c r="DP163" s="46"/>
      <c r="DQ163" s="46"/>
      <c r="DR163" s="46"/>
      <c r="DS163" s="46"/>
      <c r="DT163" s="46"/>
      <c r="DU163" s="46"/>
      <c r="DV163" s="46"/>
      <c r="DW163" s="46"/>
      <c r="DX163" s="46"/>
      <c r="DY163" s="46"/>
      <c r="DZ163" s="46"/>
      <c r="EA163" s="93">
        <f t="shared" si="51"/>
        <v>0</v>
      </c>
      <c r="EC163" s="46"/>
      <c r="ED163" s="46"/>
      <c r="EE163" s="46"/>
      <c r="EF163" s="46"/>
      <c r="EG163" s="46"/>
      <c r="EH163" s="46"/>
      <c r="EI163" s="46"/>
      <c r="EJ163" s="46"/>
      <c r="EK163" s="46"/>
      <c r="EL163" s="46"/>
      <c r="EM163" s="46"/>
      <c r="EN163" s="46"/>
      <c r="EO163" s="46"/>
      <c r="EP163" s="46"/>
      <c r="EQ163" s="46"/>
      <c r="ER163" s="46"/>
      <c r="ES163" s="46"/>
      <c r="ET163" s="46"/>
      <c r="EU163" s="46"/>
      <c r="EV163" s="46"/>
      <c r="EW163" s="46"/>
      <c r="EX163" s="46"/>
      <c r="EY163" s="46"/>
      <c r="EZ163" s="46"/>
      <c r="FA163" s="46"/>
      <c r="FB163" s="46"/>
      <c r="FC163" s="46"/>
      <c r="FD163" s="46"/>
      <c r="FE163" s="46"/>
      <c r="FF163" s="46"/>
      <c r="FG163" s="46"/>
      <c r="FH163" s="93">
        <f t="shared" si="52"/>
        <v>0</v>
      </c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93">
        <f t="shared" si="60"/>
        <v>0</v>
      </c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93">
        <f t="shared" si="61"/>
        <v>0</v>
      </c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  <c r="IT163" s="46"/>
      <c r="IU163" s="46"/>
      <c r="IV163" s="46"/>
      <c r="IW163" s="46"/>
      <c r="IX163" s="46"/>
      <c r="IY163" s="46"/>
      <c r="IZ163" s="46"/>
      <c r="JA163" s="46"/>
      <c r="JB163" s="46"/>
      <c r="JC163" s="93">
        <f t="shared" si="62"/>
        <v>0</v>
      </c>
      <c r="JE163" s="46"/>
      <c r="JF163" s="46"/>
      <c r="JG163" s="46"/>
      <c r="JH163" s="46"/>
      <c r="JI163" s="46"/>
      <c r="JJ163" s="46"/>
      <c r="JK163" s="46"/>
      <c r="JL163" s="46"/>
      <c r="JM163" s="46"/>
      <c r="JN163" s="46"/>
      <c r="JO163" s="46"/>
      <c r="JP163" s="46"/>
      <c r="JQ163" s="46"/>
      <c r="JR163" s="46"/>
      <c r="JS163" s="46"/>
      <c r="JT163" s="46"/>
      <c r="JU163" s="46"/>
      <c r="JV163" s="46"/>
      <c r="JW163" s="46"/>
      <c r="JX163" s="46"/>
      <c r="JY163" s="46"/>
      <c r="JZ163" s="46"/>
      <c r="KA163" s="46"/>
      <c r="KB163" s="46"/>
      <c r="KC163" s="46"/>
      <c r="KD163" s="46"/>
      <c r="KE163" s="46"/>
      <c r="KF163" s="46"/>
      <c r="KG163" s="46"/>
      <c r="KH163" s="46"/>
      <c r="KI163" s="46"/>
      <c r="KJ163" s="93">
        <f t="shared" si="63"/>
        <v>0</v>
      </c>
    </row>
    <row r="164" spans="1:296" ht="20.149999999999999" customHeight="1" x14ac:dyDescent="0.5">
      <c r="A164" s="84">
        <f t="shared" si="53"/>
        <v>155</v>
      </c>
      <c r="B164" s="141" t="s">
        <v>133</v>
      </c>
      <c r="C164" s="153" t="s">
        <v>108</v>
      </c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>
        <f t="shared" si="41"/>
        <v>0</v>
      </c>
      <c r="S164" s="46">
        <f t="shared" si="42"/>
        <v>0</v>
      </c>
      <c r="T164" s="46">
        <f t="shared" si="43"/>
        <v>0</v>
      </c>
      <c r="U164" s="46">
        <f t="shared" si="44"/>
        <v>0</v>
      </c>
      <c r="V164" s="46">
        <f t="shared" si="45"/>
        <v>0</v>
      </c>
      <c r="W164" s="46">
        <f t="shared" si="46"/>
        <v>0</v>
      </c>
      <c r="X164" s="46">
        <f t="shared" si="47"/>
        <v>0</v>
      </c>
      <c r="Y164" s="46">
        <f t="shared" si="48"/>
        <v>0</v>
      </c>
      <c r="Z164" s="90">
        <f t="shared" si="49"/>
        <v>0</v>
      </c>
      <c r="AA164" s="95"/>
      <c r="AB164" s="95">
        <f>'LPLPO GUDANG'!H169</f>
        <v>0</v>
      </c>
      <c r="AC164" s="91"/>
      <c r="AD164" s="91"/>
      <c r="AE164" s="91"/>
      <c r="AF164" s="91"/>
      <c r="AG164" s="92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93">
        <f t="shared" si="50"/>
        <v>0</v>
      </c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/>
      <c r="CL164" s="46"/>
      <c r="CM164" s="46"/>
      <c r="CN164" s="46"/>
      <c r="CO164" s="46"/>
      <c r="CP164" s="46"/>
      <c r="CQ164" s="46"/>
      <c r="CR164" s="46"/>
      <c r="CS164" s="46"/>
      <c r="CT164" s="93">
        <f t="shared" si="59"/>
        <v>0</v>
      </c>
      <c r="CV164" s="46"/>
      <c r="CW164" s="46"/>
      <c r="CX164" s="46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/>
      <c r="DJ164" s="46"/>
      <c r="DK164" s="46"/>
      <c r="DL164" s="46"/>
      <c r="DM164" s="46"/>
      <c r="DN164" s="46"/>
      <c r="DO164" s="46"/>
      <c r="DP164" s="46"/>
      <c r="DQ164" s="46"/>
      <c r="DR164" s="46"/>
      <c r="DS164" s="46"/>
      <c r="DT164" s="46"/>
      <c r="DU164" s="46"/>
      <c r="DV164" s="46"/>
      <c r="DW164" s="46"/>
      <c r="DX164" s="46"/>
      <c r="DY164" s="46"/>
      <c r="DZ164" s="46"/>
      <c r="EA164" s="93">
        <f t="shared" si="51"/>
        <v>0</v>
      </c>
      <c r="EC164" s="46"/>
      <c r="ED164" s="46"/>
      <c r="EE164" s="46"/>
      <c r="EF164" s="46"/>
      <c r="EG164" s="46"/>
      <c r="EH164" s="46"/>
      <c r="EI164" s="46"/>
      <c r="EJ164" s="46"/>
      <c r="EK164" s="46"/>
      <c r="EL164" s="46"/>
      <c r="EM164" s="46"/>
      <c r="EN164" s="46"/>
      <c r="EO164" s="46"/>
      <c r="EP164" s="46"/>
      <c r="EQ164" s="46"/>
      <c r="ER164" s="46"/>
      <c r="ES164" s="46"/>
      <c r="ET164" s="46"/>
      <c r="EU164" s="46"/>
      <c r="EV164" s="46"/>
      <c r="EW164" s="46"/>
      <c r="EX164" s="46"/>
      <c r="EY164" s="46"/>
      <c r="EZ164" s="46"/>
      <c r="FA164" s="46"/>
      <c r="FB164" s="46"/>
      <c r="FC164" s="46"/>
      <c r="FD164" s="46"/>
      <c r="FE164" s="46"/>
      <c r="FF164" s="46"/>
      <c r="FG164" s="46"/>
      <c r="FH164" s="93">
        <f t="shared" si="52"/>
        <v>0</v>
      </c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93">
        <f t="shared" si="60"/>
        <v>0</v>
      </c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93">
        <f t="shared" si="61"/>
        <v>0</v>
      </c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  <c r="IT164" s="46"/>
      <c r="IU164" s="46"/>
      <c r="IV164" s="46"/>
      <c r="IW164" s="46"/>
      <c r="IX164" s="46"/>
      <c r="IY164" s="46"/>
      <c r="IZ164" s="46"/>
      <c r="JA164" s="46"/>
      <c r="JB164" s="46"/>
      <c r="JC164" s="93">
        <f t="shared" si="62"/>
        <v>0</v>
      </c>
      <c r="JE164" s="46"/>
      <c r="JF164" s="46"/>
      <c r="JG164" s="46"/>
      <c r="JH164" s="46"/>
      <c r="JI164" s="46"/>
      <c r="JJ164" s="46"/>
      <c r="JK164" s="46"/>
      <c r="JL164" s="46"/>
      <c r="JM164" s="46"/>
      <c r="JN164" s="46"/>
      <c r="JO164" s="46"/>
      <c r="JP164" s="46"/>
      <c r="JQ164" s="46"/>
      <c r="JR164" s="46"/>
      <c r="JS164" s="46"/>
      <c r="JT164" s="46"/>
      <c r="JU164" s="46"/>
      <c r="JV164" s="46"/>
      <c r="JW164" s="46"/>
      <c r="JX164" s="46"/>
      <c r="JY164" s="46"/>
      <c r="JZ164" s="46"/>
      <c r="KA164" s="46"/>
      <c r="KB164" s="46"/>
      <c r="KC164" s="46"/>
      <c r="KD164" s="46"/>
      <c r="KE164" s="46"/>
      <c r="KF164" s="46"/>
      <c r="KG164" s="46"/>
      <c r="KH164" s="46"/>
      <c r="KI164" s="46"/>
      <c r="KJ164" s="93">
        <f t="shared" si="63"/>
        <v>0</v>
      </c>
    </row>
    <row r="165" spans="1:296" ht="20.149999999999999" customHeight="1" x14ac:dyDescent="0.5">
      <c r="A165" s="84">
        <f t="shared" si="53"/>
        <v>156</v>
      </c>
      <c r="B165" s="141" t="s">
        <v>136</v>
      </c>
      <c r="C165" s="153" t="s">
        <v>126</v>
      </c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>
        <f t="shared" si="41"/>
        <v>0</v>
      </c>
      <c r="S165" s="46">
        <f t="shared" si="42"/>
        <v>0</v>
      </c>
      <c r="T165" s="46">
        <f t="shared" si="43"/>
        <v>0</v>
      </c>
      <c r="U165" s="46">
        <f t="shared" si="44"/>
        <v>0</v>
      </c>
      <c r="V165" s="46">
        <f t="shared" si="45"/>
        <v>0</v>
      </c>
      <c r="W165" s="46">
        <f t="shared" si="46"/>
        <v>0</v>
      </c>
      <c r="X165" s="46">
        <f t="shared" si="47"/>
        <v>0</v>
      </c>
      <c r="Y165" s="46">
        <f t="shared" si="48"/>
        <v>0</v>
      </c>
      <c r="Z165" s="90">
        <f t="shared" si="49"/>
        <v>0</v>
      </c>
      <c r="AA165" s="95"/>
      <c r="AB165" s="92">
        <f>'LPLPO GUDANG'!H170</f>
        <v>10</v>
      </c>
      <c r="AC165" s="91"/>
      <c r="AD165" s="91"/>
      <c r="AE165" s="91"/>
      <c r="AF165" s="91"/>
      <c r="AG165" s="92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93">
        <f t="shared" si="50"/>
        <v>0</v>
      </c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/>
      <c r="CL165" s="46"/>
      <c r="CM165" s="46"/>
      <c r="CN165" s="46"/>
      <c r="CO165" s="46"/>
      <c r="CP165" s="46"/>
      <c r="CQ165" s="46"/>
      <c r="CR165" s="46"/>
      <c r="CS165" s="46"/>
      <c r="CT165" s="93">
        <f t="shared" si="59"/>
        <v>0</v>
      </c>
      <c r="CV165" s="46"/>
      <c r="CW165" s="46"/>
      <c r="CX165" s="46"/>
      <c r="CY165" s="46"/>
      <c r="CZ165" s="46"/>
      <c r="DA165" s="46"/>
      <c r="DB165" s="46"/>
      <c r="DC165" s="46"/>
      <c r="DD165" s="46"/>
      <c r="DE165" s="46"/>
      <c r="DF165" s="46"/>
      <c r="DG165" s="46"/>
      <c r="DH165" s="46"/>
      <c r="DI165" s="46"/>
      <c r="DJ165" s="46"/>
      <c r="DK165" s="46"/>
      <c r="DL165" s="46"/>
      <c r="DM165" s="46"/>
      <c r="DN165" s="46"/>
      <c r="DO165" s="46"/>
      <c r="DP165" s="46"/>
      <c r="DQ165" s="46"/>
      <c r="DR165" s="46"/>
      <c r="DS165" s="46"/>
      <c r="DT165" s="46"/>
      <c r="DU165" s="46"/>
      <c r="DV165" s="46"/>
      <c r="DW165" s="46"/>
      <c r="DX165" s="46"/>
      <c r="DY165" s="46"/>
      <c r="DZ165" s="46"/>
      <c r="EA165" s="93">
        <f t="shared" si="51"/>
        <v>0</v>
      </c>
      <c r="EC165" s="46"/>
      <c r="ED165" s="46"/>
      <c r="EE165" s="46"/>
      <c r="EF165" s="46"/>
      <c r="EG165" s="46"/>
      <c r="EH165" s="46"/>
      <c r="EI165" s="46"/>
      <c r="EJ165" s="46"/>
      <c r="EK165" s="46"/>
      <c r="EL165" s="46"/>
      <c r="EM165" s="46"/>
      <c r="EN165" s="46"/>
      <c r="EO165" s="46"/>
      <c r="EP165" s="46"/>
      <c r="EQ165" s="46"/>
      <c r="ER165" s="46"/>
      <c r="ES165" s="46"/>
      <c r="ET165" s="46"/>
      <c r="EU165" s="46"/>
      <c r="EV165" s="46"/>
      <c r="EW165" s="46"/>
      <c r="EX165" s="46"/>
      <c r="EY165" s="46"/>
      <c r="EZ165" s="46"/>
      <c r="FA165" s="46"/>
      <c r="FB165" s="46"/>
      <c r="FC165" s="46"/>
      <c r="FD165" s="46"/>
      <c r="FE165" s="46"/>
      <c r="FF165" s="46"/>
      <c r="FG165" s="46"/>
      <c r="FH165" s="93">
        <f t="shared" si="52"/>
        <v>0</v>
      </c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93">
        <f t="shared" si="60"/>
        <v>0</v>
      </c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93">
        <f t="shared" si="61"/>
        <v>0</v>
      </c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  <c r="IT165" s="46"/>
      <c r="IU165" s="46"/>
      <c r="IV165" s="46"/>
      <c r="IW165" s="46"/>
      <c r="IX165" s="46"/>
      <c r="IY165" s="46"/>
      <c r="IZ165" s="46"/>
      <c r="JA165" s="46"/>
      <c r="JB165" s="46"/>
      <c r="JC165" s="93">
        <f t="shared" si="62"/>
        <v>0</v>
      </c>
      <c r="JE165" s="46"/>
      <c r="JF165" s="46"/>
      <c r="JG165" s="46"/>
      <c r="JH165" s="46"/>
      <c r="JI165" s="46"/>
      <c r="JJ165" s="46"/>
      <c r="JK165" s="46"/>
      <c r="JL165" s="46"/>
      <c r="JM165" s="46"/>
      <c r="JN165" s="46"/>
      <c r="JO165" s="46"/>
      <c r="JP165" s="46"/>
      <c r="JQ165" s="46"/>
      <c r="JR165" s="46"/>
      <c r="JS165" s="46"/>
      <c r="JT165" s="46"/>
      <c r="JU165" s="46"/>
      <c r="JV165" s="46"/>
      <c r="JW165" s="46"/>
      <c r="JX165" s="46"/>
      <c r="JY165" s="46"/>
      <c r="JZ165" s="46"/>
      <c r="KA165" s="46"/>
      <c r="KB165" s="46"/>
      <c r="KC165" s="46"/>
      <c r="KD165" s="46"/>
      <c r="KE165" s="46"/>
      <c r="KF165" s="46"/>
      <c r="KG165" s="46"/>
      <c r="KH165" s="46"/>
      <c r="KI165" s="46"/>
      <c r="KJ165" s="93">
        <f t="shared" si="63"/>
        <v>0</v>
      </c>
    </row>
    <row r="166" spans="1:296" ht="20.149999999999999" customHeight="1" x14ac:dyDescent="0.5">
      <c r="A166" s="84">
        <f t="shared" si="53"/>
        <v>157</v>
      </c>
      <c r="B166" s="141" t="s">
        <v>137</v>
      </c>
      <c r="C166" s="165" t="s">
        <v>48</v>
      </c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>
        <f t="shared" si="41"/>
        <v>0</v>
      </c>
      <c r="S166" s="46">
        <f t="shared" si="42"/>
        <v>2</v>
      </c>
      <c r="T166" s="46">
        <f t="shared" si="43"/>
        <v>0</v>
      </c>
      <c r="U166" s="46">
        <f t="shared" si="44"/>
        <v>0</v>
      </c>
      <c r="V166" s="46">
        <f t="shared" si="45"/>
        <v>1</v>
      </c>
      <c r="W166" s="46">
        <f t="shared" si="46"/>
        <v>1</v>
      </c>
      <c r="X166" s="46">
        <f t="shared" si="47"/>
        <v>0</v>
      </c>
      <c r="Y166" s="46">
        <f t="shared" si="48"/>
        <v>0</v>
      </c>
      <c r="Z166" s="90">
        <f t="shared" si="49"/>
        <v>4</v>
      </c>
      <c r="AA166" s="95"/>
      <c r="AB166" s="92">
        <f>'LPLPO GUDANG'!H171</f>
        <v>5</v>
      </c>
      <c r="AC166" s="91"/>
      <c r="AD166" s="91"/>
      <c r="AE166" s="91"/>
      <c r="AF166" s="91"/>
      <c r="AG166" s="92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93">
        <f t="shared" si="50"/>
        <v>0</v>
      </c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>
        <v>2</v>
      </c>
      <c r="CJ166" s="46"/>
      <c r="CK166" s="46"/>
      <c r="CL166" s="46"/>
      <c r="CM166" s="46"/>
      <c r="CN166" s="46"/>
      <c r="CO166" s="46"/>
      <c r="CP166" s="46"/>
      <c r="CQ166" s="46"/>
      <c r="CR166" s="46"/>
      <c r="CS166" s="46"/>
      <c r="CT166" s="93">
        <f t="shared" si="59"/>
        <v>2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/>
      <c r="DF166" s="46"/>
      <c r="DG166" s="46"/>
      <c r="DH166" s="46"/>
      <c r="DI166" s="46"/>
      <c r="DJ166" s="46"/>
      <c r="DK166" s="46"/>
      <c r="DL166" s="46"/>
      <c r="DM166" s="46"/>
      <c r="DN166" s="46"/>
      <c r="DO166" s="46"/>
      <c r="DP166" s="46"/>
      <c r="DQ166" s="46"/>
      <c r="DR166" s="46"/>
      <c r="DS166" s="46"/>
      <c r="DT166" s="46"/>
      <c r="DU166" s="46"/>
      <c r="DV166" s="46"/>
      <c r="DW166" s="46"/>
      <c r="DX166" s="46"/>
      <c r="DY166" s="46"/>
      <c r="DZ166" s="46"/>
      <c r="EA166" s="93">
        <f t="shared" si="51"/>
        <v>0</v>
      </c>
      <c r="EC166" s="46"/>
      <c r="ED166" s="46"/>
      <c r="EE166" s="46"/>
      <c r="EF166" s="46"/>
      <c r="EG166" s="46"/>
      <c r="EH166" s="46"/>
      <c r="EI166" s="46"/>
      <c r="EJ166" s="46"/>
      <c r="EK166" s="46"/>
      <c r="EL166" s="46"/>
      <c r="EM166" s="46"/>
      <c r="EN166" s="46"/>
      <c r="EO166" s="46"/>
      <c r="EP166" s="46"/>
      <c r="EQ166" s="46"/>
      <c r="ER166" s="46"/>
      <c r="ES166" s="46"/>
      <c r="ET166" s="46"/>
      <c r="EU166" s="46"/>
      <c r="EV166" s="46"/>
      <c r="EW166" s="46"/>
      <c r="EX166" s="46"/>
      <c r="EY166" s="46"/>
      <c r="EZ166" s="46"/>
      <c r="FA166" s="46"/>
      <c r="FB166" s="46"/>
      <c r="FC166" s="46"/>
      <c r="FD166" s="46"/>
      <c r="FE166" s="46"/>
      <c r="FF166" s="46"/>
      <c r="FG166" s="46"/>
      <c r="FH166" s="93">
        <f t="shared" si="52"/>
        <v>0</v>
      </c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>
        <v>1</v>
      </c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93">
        <f t="shared" si="60"/>
        <v>1</v>
      </c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>
        <v>1</v>
      </c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93">
        <f t="shared" si="61"/>
        <v>1</v>
      </c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  <c r="IT166" s="46"/>
      <c r="IU166" s="46"/>
      <c r="IV166" s="46"/>
      <c r="IW166" s="46"/>
      <c r="IX166" s="46"/>
      <c r="IY166" s="46"/>
      <c r="IZ166" s="46"/>
      <c r="JA166" s="46"/>
      <c r="JB166" s="46"/>
      <c r="JC166" s="93">
        <f t="shared" si="62"/>
        <v>0</v>
      </c>
      <c r="JE166" s="46"/>
      <c r="JF166" s="46"/>
      <c r="JG166" s="46"/>
      <c r="JH166" s="46"/>
      <c r="JI166" s="46"/>
      <c r="JJ166" s="46"/>
      <c r="JK166" s="46"/>
      <c r="JL166" s="46"/>
      <c r="JM166" s="46"/>
      <c r="JN166" s="46"/>
      <c r="JO166" s="46"/>
      <c r="JP166" s="46"/>
      <c r="JQ166" s="46"/>
      <c r="JR166" s="46"/>
      <c r="JS166" s="46"/>
      <c r="JT166" s="46"/>
      <c r="JU166" s="46"/>
      <c r="JV166" s="46"/>
      <c r="JW166" s="46"/>
      <c r="JX166" s="46"/>
      <c r="JY166" s="46"/>
      <c r="JZ166" s="46"/>
      <c r="KA166" s="46"/>
      <c r="KB166" s="46"/>
      <c r="KC166" s="46"/>
      <c r="KD166" s="46"/>
      <c r="KE166" s="46"/>
      <c r="KF166" s="46"/>
      <c r="KG166" s="46"/>
      <c r="KH166" s="46"/>
      <c r="KI166" s="46"/>
      <c r="KJ166" s="93">
        <f t="shared" si="63"/>
        <v>0</v>
      </c>
    </row>
    <row r="167" spans="1:296" ht="20.149999999999999" customHeight="1" x14ac:dyDescent="0.5">
      <c r="A167" s="84">
        <f t="shared" si="53"/>
        <v>158</v>
      </c>
      <c r="B167" s="141" t="s">
        <v>138</v>
      </c>
      <c r="C167" s="165" t="s">
        <v>108</v>
      </c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>
        <f t="shared" si="41"/>
        <v>12</v>
      </c>
      <c r="S167" s="46">
        <f t="shared" si="42"/>
        <v>12</v>
      </c>
      <c r="T167" s="46">
        <f t="shared" si="43"/>
        <v>0</v>
      </c>
      <c r="U167" s="46">
        <f t="shared" si="44"/>
        <v>0</v>
      </c>
      <c r="V167" s="46">
        <f t="shared" si="45"/>
        <v>0</v>
      </c>
      <c r="W167" s="46">
        <f t="shared" si="46"/>
        <v>0</v>
      </c>
      <c r="X167" s="46">
        <f t="shared" si="47"/>
        <v>0</v>
      </c>
      <c r="Y167" s="46">
        <f t="shared" si="48"/>
        <v>0</v>
      </c>
      <c r="Z167" s="90">
        <f t="shared" si="49"/>
        <v>24</v>
      </c>
      <c r="AA167" s="95"/>
      <c r="AB167" s="95">
        <f>'LPLPO GUDANG'!H172</f>
        <v>0</v>
      </c>
      <c r="AC167" s="91"/>
      <c r="AD167" s="91"/>
      <c r="AE167" s="91"/>
      <c r="AF167" s="91"/>
      <c r="AG167" s="92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>
        <v>12</v>
      </c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93">
        <f t="shared" si="50"/>
        <v>12</v>
      </c>
      <c r="BO167" s="46"/>
      <c r="BP167" s="46"/>
      <c r="BQ167" s="46">
        <v>12</v>
      </c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93">
        <f t="shared" si="59"/>
        <v>12</v>
      </c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  <c r="DK167" s="46"/>
      <c r="DL167" s="46"/>
      <c r="DM167" s="46"/>
      <c r="DN167" s="46"/>
      <c r="DO167" s="46"/>
      <c r="DP167" s="46"/>
      <c r="DQ167" s="46"/>
      <c r="DR167" s="46"/>
      <c r="DS167" s="46"/>
      <c r="DT167" s="46"/>
      <c r="DU167" s="46"/>
      <c r="DV167" s="46"/>
      <c r="DW167" s="46"/>
      <c r="DX167" s="46"/>
      <c r="DY167" s="46"/>
      <c r="DZ167" s="46"/>
      <c r="EA167" s="93">
        <f t="shared" si="51"/>
        <v>0</v>
      </c>
      <c r="EC167" s="46"/>
      <c r="ED167" s="46"/>
      <c r="EE167" s="46"/>
      <c r="EF167" s="46"/>
      <c r="EG167" s="46"/>
      <c r="EH167" s="46"/>
      <c r="EI167" s="46"/>
      <c r="EJ167" s="46"/>
      <c r="EK167" s="46"/>
      <c r="EL167" s="46"/>
      <c r="EM167" s="46"/>
      <c r="EN167" s="46"/>
      <c r="EO167" s="46"/>
      <c r="EP167" s="46"/>
      <c r="EQ167" s="46"/>
      <c r="ER167" s="46"/>
      <c r="ES167" s="46"/>
      <c r="ET167" s="46"/>
      <c r="EU167" s="46"/>
      <c r="EV167" s="46"/>
      <c r="EW167" s="46"/>
      <c r="EX167" s="46"/>
      <c r="EY167" s="46"/>
      <c r="EZ167" s="46"/>
      <c r="FA167" s="46"/>
      <c r="FB167" s="46"/>
      <c r="FC167" s="46"/>
      <c r="FD167" s="46"/>
      <c r="FE167" s="46"/>
      <c r="FF167" s="46"/>
      <c r="FG167" s="46"/>
      <c r="FH167" s="93">
        <f t="shared" si="52"/>
        <v>0</v>
      </c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93">
        <f t="shared" si="60"/>
        <v>0</v>
      </c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93">
        <f t="shared" si="61"/>
        <v>0</v>
      </c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  <c r="IT167" s="46"/>
      <c r="IU167" s="46"/>
      <c r="IV167" s="46"/>
      <c r="IW167" s="46"/>
      <c r="IX167" s="46"/>
      <c r="IY167" s="46"/>
      <c r="IZ167" s="46"/>
      <c r="JA167" s="46"/>
      <c r="JB167" s="46"/>
      <c r="JC167" s="93">
        <f t="shared" si="62"/>
        <v>0</v>
      </c>
      <c r="JE167" s="46"/>
      <c r="JF167" s="46"/>
      <c r="JG167" s="46"/>
      <c r="JH167" s="46"/>
      <c r="JI167" s="46"/>
      <c r="JJ167" s="46"/>
      <c r="JK167" s="46"/>
      <c r="JL167" s="46"/>
      <c r="JM167" s="46"/>
      <c r="JN167" s="46"/>
      <c r="JO167" s="46"/>
      <c r="JP167" s="46"/>
      <c r="JQ167" s="46"/>
      <c r="JR167" s="46"/>
      <c r="JS167" s="46"/>
      <c r="JT167" s="46"/>
      <c r="JU167" s="46"/>
      <c r="JV167" s="46"/>
      <c r="JW167" s="46"/>
      <c r="JX167" s="46"/>
      <c r="JY167" s="46"/>
      <c r="JZ167" s="46"/>
      <c r="KA167" s="46"/>
      <c r="KB167" s="46"/>
      <c r="KC167" s="46"/>
      <c r="KD167" s="46"/>
      <c r="KE167" s="46"/>
      <c r="KF167" s="46"/>
      <c r="KG167" s="46"/>
      <c r="KH167" s="46"/>
      <c r="KI167" s="46"/>
      <c r="KJ167" s="93">
        <f t="shared" si="63"/>
        <v>0</v>
      </c>
    </row>
    <row r="168" spans="1:296" ht="20.149999999999999" customHeight="1" x14ac:dyDescent="0.5">
      <c r="A168" s="84">
        <f t="shared" si="53"/>
        <v>159</v>
      </c>
      <c r="B168" s="141" t="s">
        <v>139</v>
      </c>
      <c r="C168" s="165" t="s">
        <v>108</v>
      </c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>
        <f t="shared" si="41"/>
        <v>0</v>
      </c>
      <c r="S168" s="46">
        <f t="shared" si="42"/>
        <v>0</v>
      </c>
      <c r="T168" s="46">
        <f t="shared" si="43"/>
        <v>0</v>
      </c>
      <c r="U168" s="46">
        <f t="shared" si="44"/>
        <v>0</v>
      </c>
      <c r="V168" s="46">
        <f t="shared" si="45"/>
        <v>50</v>
      </c>
      <c r="W168" s="46">
        <f t="shared" si="46"/>
        <v>0</v>
      </c>
      <c r="X168" s="46">
        <f t="shared" si="47"/>
        <v>0</v>
      </c>
      <c r="Y168" s="46">
        <f t="shared" si="48"/>
        <v>0</v>
      </c>
      <c r="Z168" s="90">
        <f t="shared" si="49"/>
        <v>50</v>
      </c>
      <c r="AA168" s="95"/>
      <c r="AB168" s="92">
        <f>'LPLPO GUDANG'!H173</f>
        <v>50</v>
      </c>
      <c r="AC168" s="91"/>
      <c r="AD168" s="91"/>
      <c r="AE168" s="91"/>
      <c r="AF168" s="91"/>
      <c r="AG168" s="92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93">
        <f t="shared" si="50"/>
        <v>0</v>
      </c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  <c r="CK168" s="46"/>
      <c r="CL168" s="46"/>
      <c r="CM168" s="46"/>
      <c r="CN168" s="46"/>
      <c r="CO168" s="46"/>
      <c r="CP168" s="46"/>
      <c r="CQ168" s="46"/>
      <c r="CR168" s="46"/>
      <c r="CS168" s="46"/>
      <c r="CT168" s="93">
        <f t="shared" si="59"/>
        <v>0</v>
      </c>
      <c r="CV168" s="46"/>
      <c r="CW168" s="46"/>
      <c r="CX168" s="46"/>
      <c r="CY168" s="46"/>
      <c r="CZ168" s="46"/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  <c r="DK168" s="46"/>
      <c r="DL168" s="46"/>
      <c r="DM168" s="46"/>
      <c r="DN168" s="46"/>
      <c r="DO168" s="46"/>
      <c r="DP168" s="46"/>
      <c r="DQ168" s="46"/>
      <c r="DR168" s="46"/>
      <c r="DS168" s="46"/>
      <c r="DT168" s="46"/>
      <c r="DU168" s="46"/>
      <c r="DV168" s="46"/>
      <c r="DW168" s="46"/>
      <c r="DX168" s="46"/>
      <c r="DY168" s="46"/>
      <c r="DZ168" s="46"/>
      <c r="EA168" s="93">
        <f t="shared" si="51"/>
        <v>0</v>
      </c>
      <c r="EC168" s="46"/>
      <c r="ED168" s="46"/>
      <c r="EE168" s="46"/>
      <c r="EF168" s="46"/>
      <c r="EG168" s="46"/>
      <c r="EH168" s="46"/>
      <c r="EI168" s="46"/>
      <c r="EJ168" s="46"/>
      <c r="EK168" s="46"/>
      <c r="EL168" s="46"/>
      <c r="EM168" s="46"/>
      <c r="EN168" s="46"/>
      <c r="EO168" s="46"/>
      <c r="EP168" s="46"/>
      <c r="EQ168" s="46"/>
      <c r="ER168" s="46"/>
      <c r="ES168" s="46"/>
      <c r="ET168" s="46"/>
      <c r="EU168" s="46"/>
      <c r="EV168" s="46"/>
      <c r="EW168" s="46"/>
      <c r="EX168" s="46"/>
      <c r="EY168" s="46"/>
      <c r="EZ168" s="46"/>
      <c r="FA168" s="46"/>
      <c r="FB168" s="46"/>
      <c r="FC168" s="46"/>
      <c r="FD168" s="46"/>
      <c r="FE168" s="46"/>
      <c r="FF168" s="46"/>
      <c r="FG168" s="46"/>
      <c r="FH168" s="93">
        <f t="shared" si="52"/>
        <v>0</v>
      </c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>
        <v>50</v>
      </c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93">
        <f t="shared" si="60"/>
        <v>50</v>
      </c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93">
        <f t="shared" si="61"/>
        <v>0</v>
      </c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  <c r="IT168" s="46"/>
      <c r="IU168" s="46"/>
      <c r="IV168" s="46"/>
      <c r="IW168" s="46"/>
      <c r="IX168" s="46"/>
      <c r="IY168" s="46"/>
      <c r="IZ168" s="46"/>
      <c r="JA168" s="46"/>
      <c r="JB168" s="46"/>
      <c r="JC168" s="93">
        <f t="shared" si="62"/>
        <v>0</v>
      </c>
      <c r="JE168" s="46"/>
      <c r="JF168" s="46"/>
      <c r="JG168" s="46"/>
      <c r="JH168" s="46"/>
      <c r="JI168" s="46"/>
      <c r="JJ168" s="46"/>
      <c r="JK168" s="46"/>
      <c r="JL168" s="46"/>
      <c r="JM168" s="46"/>
      <c r="JN168" s="46"/>
      <c r="JO168" s="46"/>
      <c r="JP168" s="46"/>
      <c r="JQ168" s="46"/>
      <c r="JR168" s="46"/>
      <c r="JS168" s="46"/>
      <c r="JT168" s="46"/>
      <c r="JU168" s="46"/>
      <c r="JV168" s="46"/>
      <c r="JW168" s="46"/>
      <c r="JX168" s="46"/>
      <c r="JY168" s="46"/>
      <c r="JZ168" s="46"/>
      <c r="KA168" s="46"/>
      <c r="KB168" s="46"/>
      <c r="KC168" s="46"/>
      <c r="KD168" s="46"/>
      <c r="KE168" s="46"/>
      <c r="KF168" s="46"/>
      <c r="KG168" s="46"/>
      <c r="KH168" s="46"/>
      <c r="KI168" s="46"/>
      <c r="KJ168" s="93">
        <f t="shared" si="63"/>
        <v>0</v>
      </c>
    </row>
    <row r="169" spans="1:296" ht="20.149999999999999" customHeight="1" x14ac:dyDescent="0.5">
      <c r="A169" s="84">
        <f t="shared" si="53"/>
        <v>160</v>
      </c>
      <c r="B169" s="141" t="s">
        <v>140</v>
      </c>
      <c r="C169" s="115" t="s">
        <v>108</v>
      </c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>
        <f t="shared" si="41"/>
        <v>0</v>
      </c>
      <c r="S169" s="46">
        <f t="shared" si="42"/>
        <v>0</v>
      </c>
      <c r="T169" s="46">
        <f t="shared" si="43"/>
        <v>0</v>
      </c>
      <c r="U169" s="46">
        <f t="shared" si="44"/>
        <v>0</v>
      </c>
      <c r="V169" s="46">
        <f t="shared" si="45"/>
        <v>50</v>
      </c>
      <c r="W169" s="46">
        <f t="shared" si="46"/>
        <v>0</v>
      </c>
      <c r="X169" s="46">
        <f t="shared" si="47"/>
        <v>0</v>
      </c>
      <c r="Y169" s="46">
        <f t="shared" si="48"/>
        <v>0</v>
      </c>
      <c r="Z169" s="90">
        <f t="shared" si="49"/>
        <v>50</v>
      </c>
      <c r="AA169" s="95"/>
      <c r="AB169" s="92">
        <f>'LPLPO GUDANG'!H174</f>
        <v>25</v>
      </c>
      <c r="AC169" s="91"/>
      <c r="AD169" s="91"/>
      <c r="AE169" s="91"/>
      <c r="AF169" s="91"/>
      <c r="AG169" s="92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93">
        <f t="shared" si="50"/>
        <v>0</v>
      </c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93">
        <f t="shared" si="59"/>
        <v>0</v>
      </c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  <c r="DK169" s="46"/>
      <c r="DL169" s="46"/>
      <c r="DM169" s="46"/>
      <c r="DN169" s="46"/>
      <c r="DO169" s="46"/>
      <c r="DP169" s="46"/>
      <c r="DQ169" s="46"/>
      <c r="DR169" s="46"/>
      <c r="DS169" s="46"/>
      <c r="DT169" s="46"/>
      <c r="DU169" s="46"/>
      <c r="DV169" s="46"/>
      <c r="DW169" s="46"/>
      <c r="DX169" s="46"/>
      <c r="DY169" s="46"/>
      <c r="DZ169" s="46"/>
      <c r="EA169" s="93">
        <f t="shared" si="51"/>
        <v>0</v>
      </c>
      <c r="EC169" s="46"/>
      <c r="ED169" s="46"/>
      <c r="EE169" s="46"/>
      <c r="EF169" s="46"/>
      <c r="EG169" s="46"/>
      <c r="EH169" s="46"/>
      <c r="EI169" s="46"/>
      <c r="EJ169" s="46"/>
      <c r="EK169" s="46"/>
      <c r="EL169" s="46"/>
      <c r="EM169" s="46"/>
      <c r="EN169" s="46"/>
      <c r="EO169" s="46"/>
      <c r="EP169" s="46"/>
      <c r="EQ169" s="46"/>
      <c r="ER169" s="46"/>
      <c r="ES169" s="46"/>
      <c r="ET169" s="46"/>
      <c r="EU169" s="46"/>
      <c r="EV169" s="46"/>
      <c r="EW169" s="46"/>
      <c r="EX169" s="46"/>
      <c r="EY169" s="46"/>
      <c r="EZ169" s="46"/>
      <c r="FA169" s="46"/>
      <c r="FB169" s="46"/>
      <c r="FC169" s="46"/>
      <c r="FD169" s="46"/>
      <c r="FE169" s="46"/>
      <c r="FF169" s="46"/>
      <c r="FG169" s="46"/>
      <c r="FH169" s="93">
        <f t="shared" si="52"/>
        <v>0</v>
      </c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>
        <v>50</v>
      </c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93">
        <f t="shared" si="60"/>
        <v>50</v>
      </c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93">
        <f t="shared" si="61"/>
        <v>0</v>
      </c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  <c r="IT169" s="46"/>
      <c r="IU169" s="46"/>
      <c r="IV169" s="46"/>
      <c r="IW169" s="46"/>
      <c r="IX169" s="46"/>
      <c r="IY169" s="46"/>
      <c r="IZ169" s="46"/>
      <c r="JA169" s="46"/>
      <c r="JB169" s="46"/>
      <c r="JC169" s="93">
        <f t="shared" si="62"/>
        <v>0</v>
      </c>
      <c r="JE169" s="46"/>
      <c r="JF169" s="46"/>
      <c r="JG169" s="46"/>
      <c r="JH169" s="46"/>
      <c r="JI169" s="46"/>
      <c r="JJ169" s="46"/>
      <c r="JK169" s="46"/>
      <c r="JL169" s="46"/>
      <c r="JM169" s="46"/>
      <c r="JN169" s="46"/>
      <c r="JO169" s="46"/>
      <c r="JP169" s="46"/>
      <c r="JQ169" s="46"/>
      <c r="JR169" s="46"/>
      <c r="JS169" s="46"/>
      <c r="JT169" s="46"/>
      <c r="JU169" s="46"/>
      <c r="JV169" s="46"/>
      <c r="JW169" s="46"/>
      <c r="JX169" s="46"/>
      <c r="JY169" s="46"/>
      <c r="JZ169" s="46"/>
      <c r="KA169" s="46"/>
      <c r="KB169" s="46"/>
      <c r="KC169" s="46"/>
      <c r="KD169" s="46"/>
      <c r="KE169" s="46"/>
      <c r="KF169" s="46"/>
      <c r="KG169" s="46"/>
      <c r="KH169" s="46"/>
      <c r="KI169" s="46"/>
      <c r="KJ169" s="93">
        <f t="shared" si="63"/>
        <v>0</v>
      </c>
    </row>
    <row r="170" spans="1:296" ht="20.149999999999999" customHeight="1" x14ac:dyDescent="0.5">
      <c r="A170" s="84">
        <f t="shared" si="53"/>
        <v>161</v>
      </c>
      <c r="B170" s="141" t="s">
        <v>141</v>
      </c>
      <c r="C170" s="115" t="s">
        <v>108</v>
      </c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>
        <f t="shared" si="41"/>
        <v>0</v>
      </c>
      <c r="S170" s="46">
        <f t="shared" si="42"/>
        <v>0</v>
      </c>
      <c r="T170" s="46">
        <f t="shared" si="43"/>
        <v>0</v>
      </c>
      <c r="U170" s="46">
        <f t="shared" si="44"/>
        <v>0</v>
      </c>
      <c r="V170" s="46">
        <f t="shared" si="45"/>
        <v>0</v>
      </c>
      <c r="W170" s="46">
        <f t="shared" si="46"/>
        <v>0</v>
      </c>
      <c r="X170" s="46">
        <f t="shared" si="47"/>
        <v>0</v>
      </c>
      <c r="Y170" s="46">
        <f t="shared" si="48"/>
        <v>0</v>
      </c>
      <c r="Z170" s="90">
        <f t="shared" si="49"/>
        <v>0</v>
      </c>
      <c r="AA170" s="95"/>
      <c r="AB170" s="95">
        <f>'LPLPO GUDANG'!H175</f>
        <v>0</v>
      </c>
      <c r="AC170" s="91"/>
      <c r="AD170" s="91"/>
      <c r="AE170" s="91"/>
      <c r="AF170" s="91"/>
      <c r="AG170" s="92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93">
        <f t="shared" si="50"/>
        <v>0</v>
      </c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93">
        <f t="shared" si="59"/>
        <v>0</v>
      </c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  <c r="DK170" s="46"/>
      <c r="DL170" s="46"/>
      <c r="DM170" s="46"/>
      <c r="DN170" s="46"/>
      <c r="DO170" s="46"/>
      <c r="DP170" s="46"/>
      <c r="DQ170" s="46"/>
      <c r="DR170" s="46"/>
      <c r="DS170" s="46"/>
      <c r="DT170" s="46"/>
      <c r="DU170" s="46"/>
      <c r="DV170" s="46"/>
      <c r="DW170" s="46"/>
      <c r="DX170" s="46"/>
      <c r="DY170" s="46"/>
      <c r="DZ170" s="46"/>
      <c r="EA170" s="93">
        <f t="shared" si="51"/>
        <v>0</v>
      </c>
      <c r="EC170" s="46"/>
      <c r="ED170" s="46"/>
      <c r="EE170" s="46"/>
      <c r="EF170" s="46"/>
      <c r="EG170" s="46"/>
      <c r="EH170" s="46"/>
      <c r="EI170" s="46"/>
      <c r="EJ170" s="46"/>
      <c r="EK170" s="46"/>
      <c r="EL170" s="46"/>
      <c r="EM170" s="46"/>
      <c r="EN170" s="46"/>
      <c r="EO170" s="46"/>
      <c r="EP170" s="46"/>
      <c r="EQ170" s="46"/>
      <c r="ER170" s="46"/>
      <c r="ES170" s="46"/>
      <c r="ET170" s="46"/>
      <c r="EU170" s="46"/>
      <c r="EV170" s="46"/>
      <c r="EW170" s="46"/>
      <c r="EX170" s="46"/>
      <c r="EY170" s="46"/>
      <c r="EZ170" s="46"/>
      <c r="FA170" s="46"/>
      <c r="FB170" s="46"/>
      <c r="FC170" s="46"/>
      <c r="FD170" s="46"/>
      <c r="FE170" s="46"/>
      <c r="FF170" s="46"/>
      <c r="FG170" s="46"/>
      <c r="FH170" s="93">
        <f t="shared" si="52"/>
        <v>0</v>
      </c>
      <c r="FJ170" s="46"/>
      <c r="FK170" s="46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93">
        <f t="shared" si="60"/>
        <v>0</v>
      </c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46"/>
      <c r="HN170" s="46"/>
      <c r="HO170" s="46"/>
      <c r="HP170" s="46"/>
      <c r="HQ170" s="46"/>
      <c r="HR170" s="46"/>
      <c r="HS170" s="46"/>
      <c r="HT170" s="46"/>
      <c r="HU170" s="46"/>
      <c r="HV170" s="93">
        <f t="shared" si="61"/>
        <v>0</v>
      </c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  <c r="IT170" s="46"/>
      <c r="IU170" s="46"/>
      <c r="IV170" s="46"/>
      <c r="IW170" s="46"/>
      <c r="IX170" s="46"/>
      <c r="IY170" s="46"/>
      <c r="IZ170" s="46"/>
      <c r="JA170" s="46"/>
      <c r="JB170" s="46"/>
      <c r="JC170" s="93">
        <f t="shared" si="62"/>
        <v>0</v>
      </c>
      <c r="JE170" s="46"/>
      <c r="JF170" s="46"/>
      <c r="JG170" s="46"/>
      <c r="JH170" s="46"/>
      <c r="JI170" s="46"/>
      <c r="JJ170" s="46"/>
      <c r="JK170" s="46"/>
      <c r="JL170" s="46"/>
      <c r="JM170" s="46"/>
      <c r="JN170" s="46"/>
      <c r="JO170" s="46"/>
      <c r="JP170" s="46"/>
      <c r="JQ170" s="46"/>
      <c r="JR170" s="46"/>
      <c r="JS170" s="46"/>
      <c r="JT170" s="46"/>
      <c r="JU170" s="46"/>
      <c r="JV170" s="46"/>
      <c r="JW170" s="46"/>
      <c r="JX170" s="46"/>
      <c r="JY170" s="46"/>
      <c r="JZ170" s="46"/>
      <c r="KA170" s="46"/>
      <c r="KB170" s="46"/>
      <c r="KC170" s="46"/>
      <c r="KD170" s="46"/>
      <c r="KE170" s="46"/>
      <c r="KF170" s="46"/>
      <c r="KG170" s="46"/>
      <c r="KH170" s="46"/>
      <c r="KI170" s="46"/>
      <c r="KJ170" s="93">
        <f t="shared" si="63"/>
        <v>0</v>
      </c>
    </row>
    <row r="171" spans="1:296" ht="20.149999999999999" customHeight="1" x14ac:dyDescent="0.5">
      <c r="A171" s="84">
        <f t="shared" si="53"/>
        <v>162</v>
      </c>
      <c r="B171" s="141" t="s">
        <v>144</v>
      </c>
      <c r="C171" s="121" t="s">
        <v>108</v>
      </c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>
        <f t="shared" si="41"/>
        <v>0</v>
      </c>
      <c r="S171" s="46">
        <f t="shared" si="42"/>
        <v>200</v>
      </c>
      <c r="T171" s="46">
        <f t="shared" si="43"/>
        <v>0</v>
      </c>
      <c r="U171" s="46">
        <f t="shared" si="44"/>
        <v>0</v>
      </c>
      <c r="V171" s="46">
        <f t="shared" si="45"/>
        <v>0</v>
      </c>
      <c r="W171" s="46">
        <f t="shared" si="46"/>
        <v>0</v>
      </c>
      <c r="X171" s="46">
        <f t="shared" si="47"/>
        <v>0</v>
      </c>
      <c r="Y171" s="46">
        <f t="shared" si="48"/>
        <v>0</v>
      </c>
      <c r="Z171" s="90">
        <f t="shared" si="49"/>
        <v>200</v>
      </c>
      <c r="AA171" s="95"/>
      <c r="AB171" s="92">
        <f>'LPLPO GUDANG'!H176</f>
        <v>400</v>
      </c>
      <c r="AC171" s="91"/>
      <c r="AD171" s="91"/>
      <c r="AE171" s="91"/>
      <c r="AF171" s="91"/>
      <c r="AG171" s="92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93">
        <f t="shared" si="50"/>
        <v>0</v>
      </c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>
        <v>200</v>
      </c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93">
        <f t="shared" si="59"/>
        <v>200</v>
      </c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  <c r="DK171" s="46"/>
      <c r="DL171" s="46"/>
      <c r="DM171" s="46"/>
      <c r="DN171" s="46"/>
      <c r="DO171" s="46"/>
      <c r="DP171" s="46"/>
      <c r="DQ171" s="46"/>
      <c r="DR171" s="46"/>
      <c r="DS171" s="46"/>
      <c r="DT171" s="46"/>
      <c r="DU171" s="46"/>
      <c r="DV171" s="46"/>
      <c r="DW171" s="46"/>
      <c r="DX171" s="46"/>
      <c r="DY171" s="46"/>
      <c r="DZ171" s="46"/>
      <c r="EA171" s="93">
        <f t="shared" si="51"/>
        <v>0</v>
      </c>
      <c r="EC171" s="46"/>
      <c r="ED171" s="46"/>
      <c r="EE171" s="46"/>
      <c r="EF171" s="46"/>
      <c r="EG171" s="46"/>
      <c r="EH171" s="46"/>
      <c r="EI171" s="46"/>
      <c r="EJ171" s="46"/>
      <c r="EK171" s="46"/>
      <c r="EL171" s="46"/>
      <c r="EM171" s="46"/>
      <c r="EN171" s="46"/>
      <c r="EO171" s="46"/>
      <c r="EP171" s="46"/>
      <c r="EQ171" s="46"/>
      <c r="ER171" s="46"/>
      <c r="ES171" s="46"/>
      <c r="ET171" s="46"/>
      <c r="EU171" s="46"/>
      <c r="EV171" s="46"/>
      <c r="EW171" s="46"/>
      <c r="EX171" s="46"/>
      <c r="EY171" s="46"/>
      <c r="EZ171" s="46"/>
      <c r="FA171" s="46"/>
      <c r="FB171" s="46"/>
      <c r="FC171" s="46"/>
      <c r="FD171" s="46"/>
      <c r="FE171" s="46"/>
      <c r="FF171" s="46"/>
      <c r="FG171" s="46"/>
      <c r="FH171" s="93">
        <f t="shared" si="52"/>
        <v>0</v>
      </c>
      <c r="FJ171" s="46"/>
      <c r="FK171" s="46"/>
      <c r="FL171" s="46"/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93">
        <f t="shared" si="60"/>
        <v>0</v>
      </c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46"/>
      <c r="HN171" s="46"/>
      <c r="HO171" s="46"/>
      <c r="HP171" s="46"/>
      <c r="HQ171" s="46"/>
      <c r="HR171" s="46"/>
      <c r="HS171" s="46"/>
      <c r="HT171" s="46"/>
      <c r="HU171" s="46"/>
      <c r="HV171" s="93">
        <f t="shared" si="61"/>
        <v>0</v>
      </c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  <c r="IT171" s="46"/>
      <c r="IU171" s="46"/>
      <c r="IV171" s="46"/>
      <c r="IW171" s="46"/>
      <c r="IX171" s="46"/>
      <c r="IY171" s="46"/>
      <c r="IZ171" s="46"/>
      <c r="JA171" s="46"/>
      <c r="JB171" s="46"/>
      <c r="JC171" s="93">
        <f t="shared" si="62"/>
        <v>0</v>
      </c>
      <c r="JE171" s="46"/>
      <c r="JF171" s="46"/>
      <c r="JG171" s="46"/>
      <c r="JH171" s="46"/>
      <c r="JI171" s="46"/>
      <c r="JJ171" s="46"/>
      <c r="JK171" s="46"/>
      <c r="JL171" s="46"/>
      <c r="JM171" s="46"/>
      <c r="JN171" s="46"/>
      <c r="JO171" s="46"/>
      <c r="JP171" s="46"/>
      <c r="JQ171" s="46"/>
      <c r="JR171" s="46"/>
      <c r="JS171" s="46"/>
      <c r="JT171" s="46"/>
      <c r="JU171" s="46"/>
      <c r="JV171" s="46"/>
      <c r="JW171" s="46"/>
      <c r="JX171" s="46"/>
      <c r="JY171" s="46"/>
      <c r="JZ171" s="46"/>
      <c r="KA171" s="46"/>
      <c r="KB171" s="46"/>
      <c r="KC171" s="46"/>
      <c r="KD171" s="46"/>
      <c r="KE171" s="46"/>
      <c r="KF171" s="46"/>
      <c r="KG171" s="46"/>
      <c r="KH171" s="46"/>
      <c r="KI171" s="46"/>
      <c r="KJ171" s="93">
        <f t="shared" si="63"/>
        <v>0</v>
      </c>
    </row>
    <row r="172" spans="1:296" ht="20.149999999999999" customHeight="1" x14ac:dyDescent="0.5">
      <c r="A172" s="84">
        <f t="shared" si="53"/>
        <v>163</v>
      </c>
      <c r="B172" s="141" t="s">
        <v>143</v>
      </c>
      <c r="C172" s="121" t="s">
        <v>108</v>
      </c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>
        <f t="shared" si="41"/>
        <v>0</v>
      </c>
      <c r="S172" s="46">
        <f t="shared" si="42"/>
        <v>400</v>
      </c>
      <c r="T172" s="46">
        <f t="shared" si="43"/>
        <v>0</v>
      </c>
      <c r="U172" s="46">
        <f t="shared" si="44"/>
        <v>300</v>
      </c>
      <c r="V172" s="46">
        <f t="shared" si="45"/>
        <v>300</v>
      </c>
      <c r="W172" s="46">
        <f t="shared" si="46"/>
        <v>300</v>
      </c>
      <c r="X172" s="46">
        <f t="shared" si="47"/>
        <v>0</v>
      </c>
      <c r="Y172" s="46">
        <f t="shared" si="48"/>
        <v>200</v>
      </c>
      <c r="Z172" s="90">
        <f t="shared" si="49"/>
        <v>1500</v>
      </c>
      <c r="AA172" s="95"/>
      <c r="AB172" s="95">
        <f>'LPLPO GUDANG'!H177</f>
        <v>0</v>
      </c>
      <c r="AC172" s="91"/>
      <c r="AD172" s="91"/>
      <c r="AE172" s="91"/>
      <c r="AF172" s="91"/>
      <c r="AG172" s="92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93">
        <f t="shared" si="50"/>
        <v>0</v>
      </c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>
        <v>200</v>
      </c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>
        <v>200</v>
      </c>
      <c r="CM172" s="46"/>
      <c r="CN172" s="46"/>
      <c r="CO172" s="46"/>
      <c r="CP172" s="46"/>
      <c r="CQ172" s="46"/>
      <c r="CR172" s="46"/>
      <c r="CS172" s="46"/>
      <c r="CT172" s="93">
        <f t="shared" si="59"/>
        <v>400</v>
      </c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  <c r="DK172" s="46"/>
      <c r="DL172" s="46"/>
      <c r="DM172" s="46"/>
      <c r="DN172" s="46"/>
      <c r="DO172" s="46"/>
      <c r="DP172" s="46"/>
      <c r="DQ172" s="46"/>
      <c r="DR172" s="46"/>
      <c r="DS172" s="46"/>
      <c r="DT172" s="46"/>
      <c r="DU172" s="46"/>
      <c r="DV172" s="46"/>
      <c r="DW172" s="46"/>
      <c r="DX172" s="46"/>
      <c r="DY172" s="46"/>
      <c r="DZ172" s="46"/>
      <c r="EA172" s="93">
        <f t="shared" si="51"/>
        <v>0</v>
      </c>
      <c r="EC172" s="46"/>
      <c r="ED172" s="46"/>
      <c r="EE172" s="46"/>
      <c r="EF172" s="46"/>
      <c r="EG172" s="46"/>
      <c r="EH172" s="46"/>
      <c r="EI172" s="46"/>
      <c r="EJ172" s="46"/>
      <c r="EK172" s="46"/>
      <c r="EL172" s="46"/>
      <c r="EM172" s="46"/>
      <c r="EN172" s="46">
        <v>300</v>
      </c>
      <c r="EO172" s="46"/>
      <c r="EP172" s="46"/>
      <c r="EQ172" s="46"/>
      <c r="ER172" s="46"/>
      <c r="ES172" s="46"/>
      <c r="ET172" s="46"/>
      <c r="EU172" s="46"/>
      <c r="EV172" s="46"/>
      <c r="EW172" s="46"/>
      <c r="EX172" s="46"/>
      <c r="EY172" s="46"/>
      <c r="EZ172" s="46"/>
      <c r="FA172" s="46"/>
      <c r="FB172" s="46"/>
      <c r="FC172" s="46"/>
      <c r="FD172" s="46"/>
      <c r="FE172" s="46"/>
      <c r="FF172" s="46"/>
      <c r="FG172" s="46"/>
      <c r="FH172" s="93">
        <f t="shared" si="52"/>
        <v>300</v>
      </c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>
        <v>200</v>
      </c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>
        <v>100</v>
      </c>
      <c r="GH172" s="46"/>
      <c r="GI172" s="46"/>
      <c r="GJ172" s="46"/>
      <c r="GK172" s="46"/>
      <c r="GL172" s="46"/>
      <c r="GM172" s="46"/>
      <c r="GN172" s="46"/>
      <c r="GO172" s="93">
        <f t="shared" si="60"/>
        <v>300</v>
      </c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>
        <v>200</v>
      </c>
      <c r="HI172" s="46"/>
      <c r="HJ172" s="46"/>
      <c r="HK172" s="46"/>
      <c r="HL172" s="46"/>
      <c r="HM172" s="46">
        <v>100</v>
      </c>
      <c r="HN172" s="46"/>
      <c r="HO172" s="46"/>
      <c r="HP172" s="46"/>
      <c r="HQ172" s="46"/>
      <c r="HR172" s="46"/>
      <c r="HS172" s="46"/>
      <c r="HT172" s="46"/>
      <c r="HU172" s="46"/>
      <c r="HV172" s="93">
        <f t="shared" si="61"/>
        <v>300</v>
      </c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  <c r="IT172" s="46"/>
      <c r="IU172" s="46">
        <v>0</v>
      </c>
      <c r="IV172" s="46"/>
      <c r="IW172" s="46"/>
      <c r="IX172" s="46"/>
      <c r="IY172" s="46"/>
      <c r="IZ172" s="46"/>
      <c r="JA172" s="46"/>
      <c r="JB172" s="46"/>
      <c r="JC172" s="93">
        <f t="shared" si="62"/>
        <v>0</v>
      </c>
      <c r="JE172" s="46"/>
      <c r="JF172" s="46"/>
      <c r="JG172" s="46"/>
      <c r="JH172" s="46"/>
      <c r="JI172" s="46"/>
      <c r="JJ172" s="46"/>
      <c r="JK172" s="46"/>
      <c r="JL172" s="46"/>
      <c r="JM172" s="46"/>
      <c r="JN172" s="46"/>
      <c r="JO172" s="46"/>
      <c r="JP172" s="46"/>
      <c r="JQ172" s="46"/>
      <c r="JR172" s="46"/>
      <c r="JS172" s="46"/>
      <c r="JT172" s="46"/>
      <c r="JU172" s="46"/>
      <c r="JV172" s="46"/>
      <c r="JW172" s="46"/>
      <c r="JX172" s="46"/>
      <c r="JY172" s="46"/>
      <c r="JZ172" s="46"/>
      <c r="KA172" s="46"/>
      <c r="KB172" s="46">
        <v>200</v>
      </c>
      <c r="KC172" s="46"/>
      <c r="KD172" s="46"/>
      <c r="KE172" s="46"/>
      <c r="KF172" s="46"/>
      <c r="KG172" s="46"/>
      <c r="KH172" s="46"/>
      <c r="KI172" s="46"/>
      <c r="KJ172" s="93">
        <f t="shared" si="63"/>
        <v>200</v>
      </c>
    </row>
    <row r="173" spans="1:296" ht="20.149999999999999" customHeight="1" x14ac:dyDescent="0.5">
      <c r="A173" s="84">
        <f t="shared" si="53"/>
        <v>164</v>
      </c>
      <c r="B173" s="141" t="s">
        <v>142</v>
      </c>
      <c r="C173" s="126" t="s">
        <v>108</v>
      </c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>
        <f t="shared" si="41"/>
        <v>0</v>
      </c>
      <c r="S173" s="46">
        <f t="shared" si="42"/>
        <v>400</v>
      </c>
      <c r="T173" s="46">
        <f t="shared" si="43"/>
        <v>0</v>
      </c>
      <c r="U173" s="46">
        <f t="shared" si="44"/>
        <v>200</v>
      </c>
      <c r="V173" s="46">
        <f t="shared" si="45"/>
        <v>200</v>
      </c>
      <c r="W173" s="46">
        <f t="shared" si="46"/>
        <v>100</v>
      </c>
      <c r="X173" s="46">
        <f t="shared" si="47"/>
        <v>500</v>
      </c>
      <c r="Y173" s="46">
        <f t="shared" si="48"/>
        <v>100</v>
      </c>
      <c r="Z173" s="90">
        <f t="shared" si="49"/>
        <v>1500</v>
      </c>
      <c r="AA173" s="95"/>
      <c r="AB173" s="95">
        <f>'LPLPO GUDANG'!H178</f>
        <v>0</v>
      </c>
      <c r="AC173" s="91"/>
      <c r="AD173" s="91"/>
      <c r="AE173" s="91"/>
      <c r="AF173" s="91"/>
      <c r="AG173" s="92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93">
        <f t="shared" si="50"/>
        <v>0</v>
      </c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>
        <v>200</v>
      </c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>
        <v>200</v>
      </c>
      <c r="CM173" s="46"/>
      <c r="CN173" s="46"/>
      <c r="CO173" s="46"/>
      <c r="CP173" s="46"/>
      <c r="CQ173" s="46"/>
      <c r="CR173" s="46"/>
      <c r="CS173" s="46"/>
      <c r="CT173" s="93">
        <f t="shared" si="59"/>
        <v>400</v>
      </c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  <c r="DK173" s="46"/>
      <c r="DL173" s="46"/>
      <c r="DM173" s="46"/>
      <c r="DN173" s="46"/>
      <c r="DO173" s="46"/>
      <c r="DP173" s="46"/>
      <c r="DQ173" s="46"/>
      <c r="DR173" s="46"/>
      <c r="DS173" s="46"/>
      <c r="DT173" s="46"/>
      <c r="DU173" s="46"/>
      <c r="DV173" s="46"/>
      <c r="DW173" s="46"/>
      <c r="DX173" s="46"/>
      <c r="DY173" s="46"/>
      <c r="DZ173" s="46"/>
      <c r="EA173" s="93">
        <f t="shared" si="51"/>
        <v>0</v>
      </c>
      <c r="EC173" s="46"/>
      <c r="ED173" s="46"/>
      <c r="EE173" s="46"/>
      <c r="EF173" s="46"/>
      <c r="EG173" s="46"/>
      <c r="EH173" s="46"/>
      <c r="EI173" s="46"/>
      <c r="EJ173" s="46"/>
      <c r="EK173" s="46"/>
      <c r="EL173" s="46"/>
      <c r="EM173" s="46"/>
      <c r="EN173" s="46"/>
      <c r="EO173" s="46"/>
      <c r="EP173" s="46"/>
      <c r="EQ173" s="46"/>
      <c r="ER173" s="46"/>
      <c r="ES173" s="46"/>
      <c r="ET173" s="46"/>
      <c r="EU173" s="46"/>
      <c r="EV173" s="46"/>
      <c r="EW173" s="46"/>
      <c r="EX173" s="46"/>
      <c r="EY173" s="46"/>
      <c r="EZ173" s="46">
        <v>200</v>
      </c>
      <c r="FA173" s="46"/>
      <c r="FB173" s="46"/>
      <c r="FC173" s="46"/>
      <c r="FD173" s="46"/>
      <c r="FE173" s="46"/>
      <c r="FF173" s="46"/>
      <c r="FG173" s="46"/>
      <c r="FH173" s="93">
        <f t="shared" si="52"/>
        <v>200</v>
      </c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>
        <v>200</v>
      </c>
      <c r="GH173" s="46"/>
      <c r="GI173" s="46"/>
      <c r="GJ173" s="46"/>
      <c r="GK173" s="46"/>
      <c r="GL173" s="46"/>
      <c r="GM173" s="46"/>
      <c r="GN173" s="46"/>
      <c r="GO173" s="93">
        <f t="shared" si="60"/>
        <v>200</v>
      </c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>
        <v>100</v>
      </c>
      <c r="HN173" s="46"/>
      <c r="HO173" s="46"/>
      <c r="HP173" s="46"/>
      <c r="HQ173" s="46"/>
      <c r="HR173" s="46"/>
      <c r="HS173" s="46"/>
      <c r="HT173" s="46"/>
      <c r="HU173" s="46"/>
      <c r="HV173" s="93">
        <f t="shared" si="61"/>
        <v>100</v>
      </c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  <c r="IT173" s="46"/>
      <c r="IU173" s="46">
        <v>500</v>
      </c>
      <c r="IV173" s="46"/>
      <c r="IW173" s="46"/>
      <c r="IX173" s="46"/>
      <c r="IY173" s="46"/>
      <c r="IZ173" s="46"/>
      <c r="JA173" s="46"/>
      <c r="JB173" s="46"/>
      <c r="JC173" s="93">
        <f t="shared" si="62"/>
        <v>500</v>
      </c>
      <c r="JE173" s="46"/>
      <c r="JF173" s="46"/>
      <c r="JG173" s="46"/>
      <c r="JH173" s="46"/>
      <c r="JI173" s="46"/>
      <c r="JJ173" s="46"/>
      <c r="JK173" s="46"/>
      <c r="JL173" s="46"/>
      <c r="JM173" s="46"/>
      <c r="JN173" s="46"/>
      <c r="JO173" s="46"/>
      <c r="JP173" s="46"/>
      <c r="JQ173" s="46"/>
      <c r="JR173" s="46"/>
      <c r="JS173" s="46"/>
      <c r="JT173" s="46"/>
      <c r="JU173" s="46"/>
      <c r="JV173" s="46"/>
      <c r="JW173" s="46"/>
      <c r="JX173" s="46"/>
      <c r="JY173" s="46"/>
      <c r="JZ173" s="46"/>
      <c r="KA173" s="46"/>
      <c r="KB173" s="46">
        <v>100</v>
      </c>
      <c r="KC173" s="46"/>
      <c r="KD173" s="46"/>
      <c r="KE173" s="46"/>
      <c r="KF173" s="46"/>
      <c r="KG173" s="46"/>
      <c r="KH173" s="46"/>
      <c r="KI173" s="46"/>
      <c r="KJ173" s="93">
        <f t="shared" si="63"/>
        <v>100</v>
      </c>
    </row>
    <row r="174" spans="1:296" ht="20.149999999999999" customHeight="1" x14ac:dyDescent="0.5">
      <c r="A174" s="84">
        <f t="shared" si="53"/>
        <v>165</v>
      </c>
      <c r="B174" s="141" t="s">
        <v>145</v>
      </c>
      <c r="C174" s="121" t="s">
        <v>212</v>
      </c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>
        <f t="shared" si="41"/>
        <v>250</v>
      </c>
      <c r="S174" s="46">
        <f t="shared" si="42"/>
        <v>400</v>
      </c>
      <c r="T174" s="46">
        <f t="shared" si="43"/>
        <v>0</v>
      </c>
      <c r="U174" s="46">
        <f t="shared" si="44"/>
        <v>200</v>
      </c>
      <c r="V174" s="46">
        <f t="shared" si="45"/>
        <v>200</v>
      </c>
      <c r="W174" s="46">
        <f t="shared" si="46"/>
        <v>250</v>
      </c>
      <c r="X174" s="46">
        <f t="shared" si="47"/>
        <v>0</v>
      </c>
      <c r="Y174" s="46">
        <f t="shared" si="48"/>
        <v>100</v>
      </c>
      <c r="Z174" s="90">
        <f t="shared" si="49"/>
        <v>1400</v>
      </c>
      <c r="AA174" s="95"/>
      <c r="AB174" s="92">
        <f>'LPLPO GUDANG'!H179</f>
        <v>1000</v>
      </c>
      <c r="AC174" s="91"/>
      <c r="AD174" s="91"/>
      <c r="AE174" s="91"/>
      <c r="AF174" s="91"/>
      <c r="AG174" s="92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>
        <v>250</v>
      </c>
      <c r="BG174" s="46"/>
      <c r="BH174" s="46"/>
      <c r="BI174" s="46"/>
      <c r="BJ174" s="46"/>
      <c r="BK174" s="46"/>
      <c r="BL174" s="46"/>
      <c r="BM174" s="93">
        <f t="shared" si="50"/>
        <v>250</v>
      </c>
      <c r="BO174" s="46"/>
      <c r="BP174" s="46"/>
      <c r="BQ174" s="46">
        <v>100</v>
      </c>
      <c r="BR174" s="46"/>
      <c r="BS174" s="46"/>
      <c r="BT174" s="46"/>
      <c r="BU174" s="46"/>
      <c r="BV174" s="46"/>
      <c r="BW174" s="46"/>
      <c r="BX174" s="46"/>
      <c r="BY174" s="46">
        <v>100</v>
      </c>
      <c r="BZ174" s="46"/>
      <c r="CA174" s="46"/>
      <c r="CB174" s="46"/>
      <c r="CC174" s="46"/>
      <c r="CD174" s="46"/>
      <c r="CE174" s="46"/>
      <c r="CF174" s="46"/>
      <c r="CG174" s="46"/>
      <c r="CH174" s="46"/>
      <c r="CI174" s="46">
        <v>100</v>
      </c>
      <c r="CJ174" s="46"/>
      <c r="CK174" s="46"/>
      <c r="CL174" s="46">
        <v>100</v>
      </c>
      <c r="CM174" s="46"/>
      <c r="CN174" s="46"/>
      <c r="CO174" s="46"/>
      <c r="CP174" s="46"/>
      <c r="CQ174" s="46"/>
      <c r="CR174" s="46"/>
      <c r="CS174" s="46"/>
      <c r="CT174" s="93">
        <f t="shared" si="59"/>
        <v>400</v>
      </c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  <c r="DK174" s="46"/>
      <c r="DL174" s="46"/>
      <c r="DM174" s="46"/>
      <c r="DN174" s="46"/>
      <c r="DO174" s="46"/>
      <c r="DP174" s="46"/>
      <c r="DQ174" s="46"/>
      <c r="DR174" s="46"/>
      <c r="DS174" s="46"/>
      <c r="DT174" s="46"/>
      <c r="DU174" s="46"/>
      <c r="DV174" s="46"/>
      <c r="DW174" s="46"/>
      <c r="DX174" s="46"/>
      <c r="DY174" s="46"/>
      <c r="DZ174" s="46"/>
      <c r="EA174" s="93">
        <f t="shared" si="51"/>
        <v>0</v>
      </c>
      <c r="EC174" s="46"/>
      <c r="ED174" s="46"/>
      <c r="EE174" s="46"/>
      <c r="EF174" s="46"/>
      <c r="EG174" s="46"/>
      <c r="EH174" s="46"/>
      <c r="EI174" s="46"/>
      <c r="EJ174" s="46"/>
      <c r="EK174" s="46"/>
      <c r="EL174" s="46"/>
      <c r="EM174" s="46"/>
      <c r="EN174" s="46">
        <v>100</v>
      </c>
      <c r="EO174" s="46"/>
      <c r="EP174" s="46"/>
      <c r="EQ174" s="46"/>
      <c r="ER174" s="46"/>
      <c r="ES174" s="46"/>
      <c r="ET174" s="46"/>
      <c r="EU174" s="46"/>
      <c r="EV174" s="46"/>
      <c r="EW174" s="46"/>
      <c r="EX174" s="46"/>
      <c r="EY174" s="46"/>
      <c r="EZ174" s="46">
        <v>100</v>
      </c>
      <c r="FA174" s="46"/>
      <c r="FB174" s="46"/>
      <c r="FC174" s="46"/>
      <c r="FD174" s="46"/>
      <c r="FE174" s="46"/>
      <c r="FF174" s="46"/>
      <c r="FG174" s="46"/>
      <c r="FH174" s="93">
        <f t="shared" si="52"/>
        <v>200</v>
      </c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>
        <v>100</v>
      </c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>
        <v>100</v>
      </c>
      <c r="GH174" s="46"/>
      <c r="GI174" s="46"/>
      <c r="GJ174" s="46"/>
      <c r="GK174" s="46"/>
      <c r="GL174" s="46"/>
      <c r="GM174" s="46"/>
      <c r="GN174" s="46"/>
      <c r="GO174" s="93">
        <f t="shared" si="60"/>
        <v>200</v>
      </c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>
        <v>100</v>
      </c>
      <c r="HI174" s="46"/>
      <c r="HJ174" s="46">
        <v>50</v>
      </c>
      <c r="HK174" s="46"/>
      <c r="HL174" s="46"/>
      <c r="HM174" s="46"/>
      <c r="HN174" s="46">
        <v>100</v>
      </c>
      <c r="HO174" s="46"/>
      <c r="HP174" s="46"/>
      <c r="HQ174" s="46"/>
      <c r="HR174" s="46"/>
      <c r="HS174" s="46"/>
      <c r="HT174" s="46"/>
      <c r="HU174" s="46"/>
      <c r="HV174" s="93">
        <f t="shared" si="61"/>
        <v>250</v>
      </c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  <c r="IT174" s="46"/>
      <c r="IU174" s="46"/>
      <c r="IV174" s="46"/>
      <c r="IW174" s="46"/>
      <c r="IX174" s="46"/>
      <c r="IY174" s="46"/>
      <c r="IZ174" s="46"/>
      <c r="JA174" s="46"/>
      <c r="JB174" s="46"/>
      <c r="JC174" s="93">
        <f t="shared" si="62"/>
        <v>0</v>
      </c>
      <c r="JE174" s="46"/>
      <c r="JF174" s="46"/>
      <c r="JG174" s="46"/>
      <c r="JH174" s="46"/>
      <c r="JI174" s="46"/>
      <c r="JJ174" s="46"/>
      <c r="JK174" s="46"/>
      <c r="JL174" s="46"/>
      <c r="JM174" s="46"/>
      <c r="JN174" s="46"/>
      <c r="JO174" s="46"/>
      <c r="JP174" s="46"/>
      <c r="JQ174" s="46"/>
      <c r="JR174" s="46"/>
      <c r="JS174" s="46"/>
      <c r="JT174" s="46"/>
      <c r="JU174" s="46"/>
      <c r="JV174" s="46"/>
      <c r="JW174" s="46"/>
      <c r="JX174" s="46"/>
      <c r="JY174" s="46"/>
      <c r="JZ174" s="46"/>
      <c r="KA174" s="46"/>
      <c r="KB174" s="46">
        <v>100</v>
      </c>
      <c r="KC174" s="46"/>
      <c r="KD174" s="46"/>
      <c r="KE174" s="46"/>
      <c r="KF174" s="46"/>
      <c r="KG174" s="46"/>
      <c r="KH174" s="46"/>
      <c r="KI174" s="46"/>
      <c r="KJ174" s="93">
        <f t="shared" si="63"/>
        <v>100</v>
      </c>
    </row>
    <row r="175" spans="1:296" ht="20.149999999999999" customHeight="1" x14ac:dyDescent="0.5">
      <c r="A175" s="84">
        <f t="shared" si="53"/>
        <v>166</v>
      </c>
      <c r="B175" s="141" t="s">
        <v>146</v>
      </c>
      <c r="C175" s="156" t="s">
        <v>212</v>
      </c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>
        <f t="shared" si="41"/>
        <v>0</v>
      </c>
      <c r="S175" s="46">
        <f t="shared" si="42"/>
        <v>0</v>
      </c>
      <c r="T175" s="46">
        <f t="shared" si="43"/>
        <v>0</v>
      </c>
      <c r="U175" s="46">
        <f t="shared" si="44"/>
        <v>0</v>
      </c>
      <c r="V175" s="46">
        <f t="shared" si="45"/>
        <v>0</v>
      </c>
      <c r="W175" s="46">
        <f t="shared" si="46"/>
        <v>0</v>
      </c>
      <c r="X175" s="46">
        <f t="shared" si="47"/>
        <v>0</v>
      </c>
      <c r="Y175" s="46">
        <f t="shared" si="48"/>
        <v>0</v>
      </c>
      <c r="Z175" s="90">
        <f t="shared" si="49"/>
        <v>0</v>
      </c>
      <c r="AA175" s="95"/>
      <c r="AB175" s="92">
        <f>'LPLPO GUDANG'!H180</f>
        <v>40</v>
      </c>
      <c r="AC175" s="91"/>
      <c r="AD175" s="91"/>
      <c r="AE175" s="91"/>
      <c r="AF175" s="91"/>
      <c r="AG175" s="92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93">
        <f t="shared" si="50"/>
        <v>0</v>
      </c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93">
        <f t="shared" si="59"/>
        <v>0</v>
      </c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  <c r="DK175" s="46"/>
      <c r="DL175" s="46"/>
      <c r="DM175" s="46"/>
      <c r="DN175" s="46"/>
      <c r="DO175" s="46"/>
      <c r="DP175" s="46"/>
      <c r="DQ175" s="46"/>
      <c r="DR175" s="46"/>
      <c r="DS175" s="46"/>
      <c r="DT175" s="46"/>
      <c r="DU175" s="46"/>
      <c r="DV175" s="46"/>
      <c r="DW175" s="46"/>
      <c r="DX175" s="46"/>
      <c r="DY175" s="46"/>
      <c r="DZ175" s="46"/>
      <c r="EA175" s="93">
        <f t="shared" si="51"/>
        <v>0</v>
      </c>
      <c r="EC175" s="46"/>
      <c r="ED175" s="46"/>
      <c r="EE175" s="46"/>
      <c r="EF175" s="46"/>
      <c r="EG175" s="46"/>
      <c r="EH175" s="46"/>
      <c r="EI175" s="46"/>
      <c r="EJ175" s="46"/>
      <c r="EK175" s="46"/>
      <c r="EL175" s="46"/>
      <c r="EM175" s="46"/>
      <c r="EN175" s="46"/>
      <c r="EO175" s="46"/>
      <c r="EP175" s="46"/>
      <c r="EQ175" s="46"/>
      <c r="ER175" s="46"/>
      <c r="ES175" s="46"/>
      <c r="ET175" s="46"/>
      <c r="EU175" s="46"/>
      <c r="EV175" s="46"/>
      <c r="EW175" s="46"/>
      <c r="EX175" s="46"/>
      <c r="EY175" s="46"/>
      <c r="EZ175" s="46"/>
      <c r="FA175" s="46"/>
      <c r="FB175" s="46"/>
      <c r="FC175" s="46"/>
      <c r="FD175" s="46"/>
      <c r="FE175" s="46"/>
      <c r="FF175" s="46"/>
      <c r="FG175" s="46"/>
      <c r="FH175" s="93">
        <f t="shared" si="52"/>
        <v>0</v>
      </c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93">
        <f t="shared" si="60"/>
        <v>0</v>
      </c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93">
        <f t="shared" si="61"/>
        <v>0</v>
      </c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  <c r="IT175" s="46"/>
      <c r="IU175" s="46"/>
      <c r="IV175" s="46"/>
      <c r="IW175" s="46"/>
      <c r="IX175" s="46"/>
      <c r="IY175" s="46"/>
      <c r="IZ175" s="46"/>
      <c r="JA175" s="46"/>
      <c r="JB175" s="46"/>
      <c r="JC175" s="93">
        <f t="shared" si="62"/>
        <v>0</v>
      </c>
      <c r="JE175" s="46"/>
      <c r="JF175" s="46"/>
      <c r="JG175" s="46"/>
      <c r="JH175" s="46"/>
      <c r="JI175" s="46"/>
      <c r="JJ175" s="46"/>
      <c r="JK175" s="46"/>
      <c r="JL175" s="46"/>
      <c r="JM175" s="46"/>
      <c r="JN175" s="46"/>
      <c r="JO175" s="46"/>
      <c r="JP175" s="46"/>
      <c r="JQ175" s="46"/>
      <c r="JR175" s="46"/>
      <c r="JS175" s="46"/>
      <c r="JT175" s="46"/>
      <c r="JU175" s="46"/>
      <c r="JV175" s="46"/>
      <c r="JW175" s="46"/>
      <c r="JX175" s="46"/>
      <c r="JY175" s="46"/>
      <c r="JZ175" s="46"/>
      <c r="KA175" s="46"/>
      <c r="KB175" s="46"/>
      <c r="KC175" s="46"/>
      <c r="KD175" s="46"/>
      <c r="KE175" s="46"/>
      <c r="KF175" s="46"/>
      <c r="KG175" s="46"/>
      <c r="KH175" s="46"/>
      <c r="KI175" s="46"/>
      <c r="KJ175" s="93">
        <f t="shared" si="63"/>
        <v>0</v>
      </c>
    </row>
    <row r="176" spans="1:296" x14ac:dyDescent="0.5">
      <c r="A176" s="84">
        <f t="shared" si="53"/>
        <v>167</v>
      </c>
      <c r="B176" s="141" t="s">
        <v>147</v>
      </c>
      <c r="C176" s="156" t="s">
        <v>212</v>
      </c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>
        <f t="shared" si="41"/>
        <v>5</v>
      </c>
      <c r="S176" s="46">
        <f t="shared" si="42"/>
        <v>0</v>
      </c>
      <c r="T176" s="46">
        <f t="shared" si="43"/>
        <v>0</v>
      </c>
      <c r="U176" s="46">
        <f t="shared" si="44"/>
        <v>0</v>
      </c>
      <c r="V176" s="46">
        <f t="shared" si="45"/>
        <v>0</v>
      </c>
      <c r="W176" s="46">
        <f t="shared" si="46"/>
        <v>0</v>
      </c>
      <c r="X176" s="46">
        <f t="shared" si="47"/>
        <v>0</v>
      </c>
      <c r="Y176" s="46">
        <f t="shared" si="48"/>
        <v>0</v>
      </c>
      <c r="Z176" s="90">
        <f t="shared" si="49"/>
        <v>5</v>
      </c>
      <c r="AA176" s="95"/>
      <c r="AB176" s="92">
        <f>'LPLPO GUDANG'!H181</f>
        <v>5</v>
      </c>
      <c r="AC176" s="91"/>
      <c r="AD176" s="91"/>
      <c r="AE176" s="91"/>
      <c r="AF176" s="91"/>
      <c r="AG176" s="92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>
        <v>5</v>
      </c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93">
        <f t="shared" si="50"/>
        <v>5</v>
      </c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93">
        <f t="shared" si="59"/>
        <v>0</v>
      </c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  <c r="DK176" s="46"/>
      <c r="DL176" s="46"/>
      <c r="DM176" s="46"/>
      <c r="DN176" s="46"/>
      <c r="DO176" s="46"/>
      <c r="DP176" s="46"/>
      <c r="DQ176" s="46"/>
      <c r="DR176" s="46"/>
      <c r="DS176" s="46"/>
      <c r="DT176" s="46"/>
      <c r="DU176" s="46"/>
      <c r="DV176" s="46"/>
      <c r="DW176" s="46"/>
      <c r="DX176" s="46"/>
      <c r="DY176" s="46"/>
      <c r="DZ176" s="46"/>
      <c r="EA176" s="93">
        <f t="shared" si="51"/>
        <v>0</v>
      </c>
      <c r="EC176" s="46"/>
      <c r="ED176" s="46"/>
      <c r="EE176" s="46"/>
      <c r="EF176" s="46"/>
      <c r="EG176" s="46"/>
      <c r="EH176" s="46"/>
      <c r="EI176" s="46"/>
      <c r="EJ176" s="46"/>
      <c r="EK176" s="46"/>
      <c r="EL176" s="46"/>
      <c r="EM176" s="46"/>
      <c r="EN176" s="46"/>
      <c r="EO176" s="46"/>
      <c r="EP176" s="46"/>
      <c r="EQ176" s="46"/>
      <c r="ER176" s="46"/>
      <c r="ES176" s="46"/>
      <c r="ET176" s="46"/>
      <c r="EU176" s="46"/>
      <c r="EV176" s="46"/>
      <c r="EW176" s="46"/>
      <c r="EX176" s="46"/>
      <c r="EY176" s="46"/>
      <c r="EZ176" s="46"/>
      <c r="FA176" s="46"/>
      <c r="FB176" s="46"/>
      <c r="FC176" s="46"/>
      <c r="FD176" s="46"/>
      <c r="FE176" s="46"/>
      <c r="FF176" s="46"/>
      <c r="FG176" s="46"/>
      <c r="FH176" s="93">
        <f t="shared" si="52"/>
        <v>0</v>
      </c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93">
        <f t="shared" si="60"/>
        <v>0</v>
      </c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93">
        <f t="shared" si="61"/>
        <v>0</v>
      </c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  <c r="IT176" s="46"/>
      <c r="IU176" s="46"/>
      <c r="IV176" s="46"/>
      <c r="IW176" s="46"/>
      <c r="IX176" s="46"/>
      <c r="IY176" s="46"/>
      <c r="IZ176" s="46"/>
      <c r="JA176" s="46"/>
      <c r="JB176" s="46"/>
      <c r="JC176" s="93">
        <f t="shared" si="62"/>
        <v>0</v>
      </c>
      <c r="JE176" s="46"/>
      <c r="JF176" s="46"/>
      <c r="JG176" s="46"/>
      <c r="JH176" s="46"/>
      <c r="JI176" s="46"/>
      <c r="JJ176" s="46"/>
      <c r="JK176" s="46"/>
      <c r="JL176" s="46"/>
      <c r="JM176" s="46"/>
      <c r="JN176" s="46"/>
      <c r="JO176" s="46"/>
      <c r="JP176" s="46"/>
      <c r="JQ176" s="46"/>
      <c r="JR176" s="46"/>
      <c r="JS176" s="46"/>
      <c r="JT176" s="46"/>
      <c r="JU176" s="46"/>
      <c r="JV176" s="46"/>
      <c r="JW176" s="46"/>
      <c r="JX176" s="46"/>
      <c r="JY176" s="46"/>
      <c r="JZ176" s="46"/>
      <c r="KA176" s="46"/>
      <c r="KB176" s="46"/>
      <c r="KC176" s="46"/>
      <c r="KD176" s="46"/>
      <c r="KE176" s="46"/>
      <c r="KF176" s="46"/>
      <c r="KG176" s="46"/>
      <c r="KH176" s="46"/>
      <c r="KI176" s="46"/>
      <c r="KJ176" s="93">
        <f t="shared" si="63"/>
        <v>0</v>
      </c>
    </row>
    <row r="177" spans="1:296" x14ac:dyDescent="0.5">
      <c r="A177" s="249"/>
      <c r="B177" s="141"/>
      <c r="C177" s="15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>
        <f t="shared" si="41"/>
        <v>0</v>
      </c>
      <c r="S177" s="46">
        <f t="shared" si="42"/>
        <v>0</v>
      </c>
      <c r="T177" s="46">
        <f t="shared" si="43"/>
        <v>0</v>
      </c>
      <c r="U177" s="46">
        <f t="shared" si="44"/>
        <v>0</v>
      </c>
      <c r="V177" s="46">
        <f t="shared" si="45"/>
        <v>0</v>
      </c>
      <c r="W177" s="46">
        <f t="shared" si="46"/>
        <v>0</v>
      </c>
      <c r="X177" s="46">
        <f t="shared" si="47"/>
        <v>0</v>
      </c>
      <c r="Y177" s="46">
        <f t="shared" si="48"/>
        <v>0</v>
      </c>
      <c r="Z177" s="90"/>
      <c r="AA177" s="95"/>
      <c r="AB177" s="95"/>
      <c r="AC177" s="91"/>
      <c r="AD177" s="91"/>
      <c r="AE177" s="91"/>
      <c r="AF177" s="91"/>
      <c r="AG177" s="92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93">
        <f t="shared" si="50"/>
        <v>0</v>
      </c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93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  <c r="DK177" s="46"/>
      <c r="DL177" s="46"/>
      <c r="DM177" s="46"/>
      <c r="DN177" s="46"/>
      <c r="DO177" s="46"/>
      <c r="DP177" s="46"/>
      <c r="DQ177" s="46"/>
      <c r="DR177" s="46"/>
      <c r="DS177" s="46"/>
      <c r="DT177" s="46"/>
      <c r="DU177" s="46"/>
      <c r="DV177" s="46"/>
      <c r="DW177" s="46"/>
      <c r="DX177" s="46"/>
      <c r="DY177" s="46"/>
      <c r="DZ177" s="46"/>
      <c r="EA177" s="93">
        <f t="shared" si="51"/>
        <v>0</v>
      </c>
      <c r="EC177" s="46"/>
      <c r="ED177" s="46"/>
      <c r="EE177" s="46"/>
      <c r="EF177" s="46"/>
      <c r="EG177" s="46"/>
      <c r="EH177" s="46"/>
      <c r="EI177" s="46"/>
      <c r="EJ177" s="46"/>
      <c r="EK177" s="46"/>
      <c r="EL177" s="46"/>
      <c r="EM177" s="46"/>
      <c r="EN177" s="46"/>
      <c r="EO177" s="46"/>
      <c r="EP177" s="46"/>
      <c r="EQ177" s="46"/>
      <c r="ER177" s="46"/>
      <c r="ES177" s="46"/>
      <c r="ET177" s="46"/>
      <c r="EU177" s="46"/>
      <c r="EV177" s="46"/>
      <c r="EW177" s="46"/>
      <c r="EX177" s="46"/>
      <c r="EY177" s="46"/>
      <c r="EZ177" s="46"/>
      <c r="FA177" s="46"/>
      <c r="FB177" s="46"/>
      <c r="FC177" s="46"/>
      <c r="FD177" s="46"/>
      <c r="FE177" s="46"/>
      <c r="FF177" s="46"/>
      <c r="FG177" s="46"/>
      <c r="FH177" s="93">
        <f t="shared" si="52"/>
        <v>0</v>
      </c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93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93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  <c r="IT177" s="46"/>
      <c r="IU177" s="46"/>
      <c r="IV177" s="46"/>
      <c r="IW177" s="46"/>
      <c r="IX177" s="46"/>
      <c r="IY177" s="46"/>
      <c r="IZ177" s="46"/>
      <c r="JA177" s="46"/>
      <c r="JB177" s="46"/>
      <c r="JC177" s="93"/>
      <c r="JE177" s="46"/>
      <c r="JF177" s="46"/>
      <c r="JG177" s="46"/>
      <c r="JH177" s="46"/>
      <c r="JI177" s="46"/>
      <c r="JJ177" s="46"/>
      <c r="JK177" s="46"/>
      <c r="JL177" s="46"/>
      <c r="JM177" s="46"/>
      <c r="JN177" s="46"/>
      <c r="JO177" s="46"/>
      <c r="JP177" s="46"/>
      <c r="JQ177" s="46"/>
      <c r="JR177" s="46"/>
      <c r="JS177" s="46"/>
      <c r="JT177" s="46"/>
      <c r="JU177" s="46"/>
      <c r="JV177" s="46"/>
      <c r="JW177" s="46"/>
      <c r="JX177" s="46"/>
      <c r="JY177" s="46"/>
      <c r="JZ177" s="46"/>
      <c r="KA177" s="46"/>
      <c r="KB177" s="46"/>
      <c r="KC177" s="46"/>
      <c r="KD177" s="46"/>
      <c r="KE177" s="46"/>
      <c r="KF177" s="46"/>
      <c r="KG177" s="46"/>
      <c r="KH177" s="46"/>
      <c r="KI177" s="46"/>
      <c r="KJ177" s="93"/>
    </row>
    <row r="178" spans="1:296" x14ac:dyDescent="0.5">
      <c r="A178" s="249"/>
      <c r="B178" s="141"/>
      <c r="C178" s="15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>
        <f t="shared" si="41"/>
        <v>0</v>
      </c>
      <c r="S178" s="46">
        <f t="shared" si="42"/>
        <v>0</v>
      </c>
      <c r="T178" s="46">
        <f t="shared" si="43"/>
        <v>0</v>
      </c>
      <c r="U178" s="46">
        <f t="shared" si="44"/>
        <v>0</v>
      </c>
      <c r="V178" s="46">
        <f t="shared" si="45"/>
        <v>0</v>
      </c>
      <c r="W178" s="46">
        <f t="shared" si="46"/>
        <v>0</v>
      </c>
      <c r="X178" s="46">
        <f t="shared" si="47"/>
        <v>0</v>
      </c>
      <c r="Y178" s="46">
        <f t="shared" si="48"/>
        <v>0</v>
      </c>
      <c r="Z178" s="90"/>
      <c r="AA178" s="95"/>
      <c r="AB178" s="95"/>
      <c r="AC178" s="91"/>
      <c r="AD178" s="91"/>
      <c r="AE178" s="91"/>
      <c r="AF178" s="91"/>
      <c r="AG178" s="92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93">
        <f t="shared" si="50"/>
        <v>0</v>
      </c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93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  <c r="DK178" s="46"/>
      <c r="DL178" s="46"/>
      <c r="DM178" s="46"/>
      <c r="DN178" s="46"/>
      <c r="DO178" s="46"/>
      <c r="DP178" s="46"/>
      <c r="DQ178" s="46"/>
      <c r="DR178" s="46"/>
      <c r="DS178" s="46"/>
      <c r="DT178" s="46"/>
      <c r="DU178" s="46"/>
      <c r="DV178" s="46"/>
      <c r="DW178" s="46"/>
      <c r="DX178" s="46"/>
      <c r="DY178" s="46"/>
      <c r="DZ178" s="46"/>
      <c r="EA178" s="93">
        <f t="shared" si="51"/>
        <v>0</v>
      </c>
      <c r="EC178" s="46"/>
      <c r="ED178" s="46"/>
      <c r="EE178" s="46"/>
      <c r="EF178" s="46"/>
      <c r="EG178" s="46"/>
      <c r="EH178" s="46"/>
      <c r="EI178" s="46"/>
      <c r="EJ178" s="46"/>
      <c r="EK178" s="46"/>
      <c r="EL178" s="46"/>
      <c r="EM178" s="46"/>
      <c r="EN178" s="46"/>
      <c r="EO178" s="46"/>
      <c r="EP178" s="46"/>
      <c r="EQ178" s="46"/>
      <c r="ER178" s="46"/>
      <c r="ES178" s="46"/>
      <c r="ET178" s="46"/>
      <c r="EU178" s="46"/>
      <c r="EV178" s="46"/>
      <c r="EW178" s="46"/>
      <c r="EX178" s="46"/>
      <c r="EY178" s="46"/>
      <c r="EZ178" s="46"/>
      <c r="FA178" s="46"/>
      <c r="FB178" s="46"/>
      <c r="FC178" s="46"/>
      <c r="FD178" s="46"/>
      <c r="FE178" s="46"/>
      <c r="FF178" s="46"/>
      <c r="FG178" s="46"/>
      <c r="FH178" s="93">
        <f t="shared" si="52"/>
        <v>0</v>
      </c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93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93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  <c r="IT178" s="46"/>
      <c r="IU178" s="46"/>
      <c r="IV178" s="46"/>
      <c r="IW178" s="46"/>
      <c r="IX178" s="46"/>
      <c r="IY178" s="46"/>
      <c r="IZ178" s="46"/>
      <c r="JA178" s="46"/>
      <c r="JB178" s="46"/>
      <c r="JC178" s="93"/>
      <c r="JE178" s="46"/>
      <c r="JF178" s="46"/>
      <c r="JG178" s="46"/>
      <c r="JH178" s="46"/>
      <c r="JI178" s="46"/>
      <c r="JJ178" s="46"/>
      <c r="JK178" s="46"/>
      <c r="JL178" s="46"/>
      <c r="JM178" s="46"/>
      <c r="JN178" s="46"/>
      <c r="JO178" s="46"/>
      <c r="JP178" s="46"/>
      <c r="JQ178" s="46"/>
      <c r="JR178" s="46"/>
      <c r="JS178" s="46"/>
      <c r="JT178" s="46"/>
      <c r="JU178" s="46"/>
      <c r="JV178" s="46"/>
      <c r="JW178" s="46"/>
      <c r="JX178" s="46"/>
      <c r="JY178" s="46"/>
      <c r="JZ178" s="46"/>
      <c r="KA178" s="46"/>
      <c r="KB178" s="46"/>
      <c r="KC178" s="46"/>
      <c r="KD178" s="46"/>
      <c r="KE178" s="46"/>
      <c r="KF178" s="46"/>
      <c r="KG178" s="46"/>
      <c r="KH178" s="46"/>
      <c r="KI178" s="46"/>
      <c r="KJ178" s="93"/>
    </row>
    <row r="179" spans="1:296" x14ac:dyDescent="0.5">
      <c r="A179" s="249"/>
      <c r="B179" s="141"/>
      <c r="C179" s="15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>
        <f t="shared" si="41"/>
        <v>0</v>
      </c>
      <c r="S179" s="46">
        <f t="shared" si="42"/>
        <v>0</v>
      </c>
      <c r="T179" s="46">
        <f t="shared" si="43"/>
        <v>0</v>
      </c>
      <c r="U179" s="46">
        <f t="shared" si="44"/>
        <v>0</v>
      </c>
      <c r="V179" s="46">
        <f t="shared" si="45"/>
        <v>0</v>
      </c>
      <c r="W179" s="46">
        <f t="shared" si="46"/>
        <v>0</v>
      </c>
      <c r="X179" s="46">
        <f t="shared" si="47"/>
        <v>0</v>
      </c>
      <c r="Y179" s="46">
        <f t="shared" si="48"/>
        <v>0</v>
      </c>
      <c r="Z179" s="90"/>
      <c r="AA179" s="95"/>
      <c r="AB179" s="95"/>
      <c r="AC179" s="91"/>
      <c r="AD179" s="91"/>
      <c r="AE179" s="91"/>
      <c r="AF179" s="91"/>
      <c r="AG179" s="92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93">
        <f t="shared" si="50"/>
        <v>0</v>
      </c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93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  <c r="DK179" s="46"/>
      <c r="DL179" s="46"/>
      <c r="DM179" s="46"/>
      <c r="DN179" s="46"/>
      <c r="DO179" s="46"/>
      <c r="DP179" s="46"/>
      <c r="DQ179" s="46"/>
      <c r="DR179" s="46"/>
      <c r="DS179" s="46"/>
      <c r="DT179" s="46"/>
      <c r="DU179" s="46"/>
      <c r="DV179" s="46"/>
      <c r="DW179" s="46"/>
      <c r="DX179" s="46"/>
      <c r="DY179" s="46"/>
      <c r="DZ179" s="46"/>
      <c r="EA179" s="93">
        <f t="shared" si="51"/>
        <v>0</v>
      </c>
      <c r="EC179" s="46"/>
      <c r="ED179" s="46"/>
      <c r="EE179" s="46"/>
      <c r="EF179" s="46"/>
      <c r="EG179" s="46"/>
      <c r="EH179" s="46"/>
      <c r="EI179" s="46"/>
      <c r="EJ179" s="46"/>
      <c r="EK179" s="46"/>
      <c r="EL179" s="46"/>
      <c r="EM179" s="46"/>
      <c r="EN179" s="46"/>
      <c r="EO179" s="46"/>
      <c r="EP179" s="46"/>
      <c r="EQ179" s="46"/>
      <c r="ER179" s="46"/>
      <c r="ES179" s="46"/>
      <c r="ET179" s="46"/>
      <c r="EU179" s="46"/>
      <c r="EV179" s="46"/>
      <c r="EW179" s="46"/>
      <c r="EX179" s="46"/>
      <c r="EY179" s="46"/>
      <c r="EZ179" s="46"/>
      <c r="FA179" s="46"/>
      <c r="FB179" s="46"/>
      <c r="FC179" s="46"/>
      <c r="FD179" s="46"/>
      <c r="FE179" s="46"/>
      <c r="FF179" s="46"/>
      <c r="FG179" s="46"/>
      <c r="FH179" s="93">
        <f t="shared" si="52"/>
        <v>0</v>
      </c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93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93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  <c r="IT179" s="46"/>
      <c r="IU179" s="46"/>
      <c r="IV179" s="46"/>
      <c r="IW179" s="46"/>
      <c r="IX179" s="46"/>
      <c r="IY179" s="46"/>
      <c r="IZ179" s="46"/>
      <c r="JA179" s="46"/>
      <c r="JB179" s="46"/>
      <c r="JC179" s="93"/>
      <c r="JE179" s="46"/>
      <c r="JF179" s="46"/>
      <c r="JG179" s="46"/>
      <c r="JH179" s="46"/>
      <c r="JI179" s="46"/>
      <c r="JJ179" s="46"/>
      <c r="JK179" s="46"/>
      <c r="JL179" s="46"/>
      <c r="JM179" s="46"/>
      <c r="JN179" s="46"/>
      <c r="JO179" s="46"/>
      <c r="JP179" s="46"/>
      <c r="JQ179" s="46"/>
      <c r="JR179" s="46"/>
      <c r="JS179" s="46"/>
      <c r="JT179" s="46"/>
      <c r="JU179" s="46"/>
      <c r="JV179" s="46"/>
      <c r="JW179" s="46"/>
      <c r="JX179" s="46"/>
      <c r="JY179" s="46"/>
      <c r="JZ179" s="46"/>
      <c r="KA179" s="46"/>
      <c r="KB179" s="46"/>
      <c r="KC179" s="46"/>
      <c r="KD179" s="46"/>
      <c r="KE179" s="46"/>
      <c r="KF179" s="46"/>
      <c r="KG179" s="46"/>
      <c r="KH179" s="46"/>
      <c r="KI179" s="46"/>
      <c r="KJ179" s="93"/>
    </row>
    <row r="180" spans="1:296" x14ac:dyDescent="0.5">
      <c r="A180" s="59"/>
      <c r="B180" s="142"/>
      <c r="C180" s="10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>
        <f t="shared" si="41"/>
        <v>0</v>
      </c>
      <c r="S180" s="46">
        <f t="shared" si="42"/>
        <v>0</v>
      </c>
      <c r="T180" s="46">
        <f t="shared" si="43"/>
        <v>0</v>
      </c>
      <c r="U180" s="46">
        <f t="shared" si="44"/>
        <v>0</v>
      </c>
      <c r="V180" s="46">
        <f t="shared" si="45"/>
        <v>0</v>
      </c>
      <c r="W180" s="46">
        <f t="shared" si="46"/>
        <v>0</v>
      </c>
      <c r="X180" s="46">
        <f t="shared" si="47"/>
        <v>0</v>
      </c>
      <c r="Y180" s="46">
        <f t="shared" si="48"/>
        <v>0</v>
      </c>
      <c r="Z180" s="90"/>
      <c r="AA180" s="95"/>
      <c r="AB180" s="95"/>
      <c r="AC180" s="91"/>
      <c r="AD180" s="91"/>
      <c r="AE180" s="91"/>
      <c r="AF180" s="150"/>
      <c r="AG180" s="92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93">
        <f t="shared" si="50"/>
        <v>0</v>
      </c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  <c r="CK180" s="46"/>
      <c r="CL180" s="46"/>
      <c r="CM180" s="46"/>
      <c r="CN180" s="46"/>
      <c r="CO180" s="46"/>
      <c r="CP180" s="46"/>
      <c r="CQ180" s="46"/>
      <c r="CR180" s="46"/>
      <c r="CS180" s="46"/>
      <c r="CT180" s="93">
        <f t="shared" ref="CT180:CT243" si="64">SUM(BO180:CS180)</f>
        <v>0</v>
      </c>
      <c r="CV180" s="46"/>
      <c r="CW180" s="46"/>
      <c r="CX180" s="46"/>
      <c r="CY180" s="46"/>
      <c r="CZ180" s="46"/>
      <c r="DA180" s="46"/>
      <c r="DB180" s="46"/>
      <c r="DC180" s="46"/>
      <c r="DD180" s="46"/>
      <c r="DE180" s="46"/>
      <c r="DF180" s="46"/>
      <c r="DG180" s="46"/>
      <c r="DH180" s="46"/>
      <c r="DI180" s="46"/>
      <c r="DJ180" s="46"/>
      <c r="DK180" s="46"/>
      <c r="DL180" s="46"/>
      <c r="DM180" s="46"/>
      <c r="DN180" s="46"/>
      <c r="DO180" s="46"/>
      <c r="DP180" s="46"/>
      <c r="DQ180" s="46"/>
      <c r="DR180" s="46"/>
      <c r="DS180" s="46"/>
      <c r="DT180" s="46"/>
      <c r="DU180" s="46"/>
      <c r="DV180" s="46"/>
      <c r="DW180" s="46"/>
      <c r="DX180" s="46"/>
      <c r="DY180" s="46"/>
      <c r="DZ180" s="46"/>
      <c r="EA180" s="93">
        <f t="shared" si="51"/>
        <v>0</v>
      </c>
      <c r="EC180" s="46"/>
      <c r="ED180" s="46"/>
      <c r="EE180" s="46"/>
      <c r="EF180" s="46"/>
      <c r="EG180" s="46"/>
      <c r="EH180" s="46"/>
      <c r="EI180" s="46"/>
      <c r="EJ180" s="46"/>
      <c r="EK180" s="46"/>
      <c r="EL180" s="46"/>
      <c r="EM180" s="46"/>
      <c r="EN180" s="46"/>
      <c r="EO180" s="46"/>
      <c r="EP180" s="46"/>
      <c r="EQ180" s="46"/>
      <c r="ER180" s="46"/>
      <c r="ES180" s="46"/>
      <c r="ET180" s="46"/>
      <c r="EU180" s="46"/>
      <c r="EV180" s="46"/>
      <c r="EW180" s="46"/>
      <c r="EX180" s="46"/>
      <c r="EY180" s="46"/>
      <c r="EZ180" s="46"/>
      <c r="FA180" s="46"/>
      <c r="FB180" s="46"/>
      <c r="FC180" s="46"/>
      <c r="FD180" s="46"/>
      <c r="FE180" s="46"/>
      <c r="FF180" s="46"/>
      <c r="FG180" s="46"/>
      <c r="FH180" s="93">
        <f t="shared" si="52"/>
        <v>0</v>
      </c>
      <c r="FJ180" s="46"/>
      <c r="FK180" s="46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93">
        <f t="shared" ref="GO180:GO243" si="65">SUM(FJ180:GN180)</f>
        <v>0</v>
      </c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46"/>
      <c r="HN180" s="46"/>
      <c r="HO180" s="46"/>
      <c r="HP180" s="46"/>
      <c r="HQ180" s="46"/>
      <c r="HR180" s="46"/>
      <c r="HS180" s="46"/>
      <c r="HT180" s="46"/>
      <c r="HU180" s="46"/>
      <c r="HV180" s="93">
        <f t="shared" ref="HV180:HV243" si="66">SUM(GQ180:HU180)</f>
        <v>0</v>
      </c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  <c r="IT180" s="46"/>
      <c r="IU180" s="46"/>
      <c r="IV180" s="46"/>
      <c r="IW180" s="46"/>
      <c r="IX180" s="46"/>
      <c r="IY180" s="46"/>
      <c r="IZ180" s="46"/>
      <c r="JA180" s="46"/>
      <c r="JB180" s="46"/>
      <c r="JC180" s="93">
        <f t="shared" ref="JC180:JC243" si="67">SUM(HX180:JB180)</f>
        <v>0</v>
      </c>
      <c r="JE180" s="46"/>
      <c r="JF180" s="46"/>
      <c r="JG180" s="46"/>
      <c r="JH180" s="46"/>
      <c r="JI180" s="46"/>
      <c r="JJ180" s="46"/>
      <c r="JK180" s="46"/>
      <c r="JL180" s="46"/>
      <c r="JM180" s="46"/>
      <c r="JN180" s="46"/>
      <c r="JO180" s="46"/>
      <c r="JP180" s="46"/>
      <c r="JQ180" s="46"/>
      <c r="JR180" s="46"/>
      <c r="JS180" s="46"/>
      <c r="JT180" s="46"/>
      <c r="JU180" s="46"/>
      <c r="JV180" s="46"/>
      <c r="JW180" s="46"/>
      <c r="JX180" s="46"/>
      <c r="JY180" s="46"/>
      <c r="JZ180" s="46"/>
      <c r="KA180" s="46"/>
      <c r="KB180" s="46"/>
      <c r="KC180" s="46"/>
      <c r="KD180" s="46"/>
      <c r="KE180" s="46"/>
      <c r="KF180" s="46"/>
      <c r="KG180" s="46"/>
      <c r="KH180" s="46"/>
      <c r="KI180" s="46"/>
      <c r="KJ180" s="93">
        <f t="shared" ref="KJ180:KJ243" si="68">SUM(JE180:KI180)</f>
        <v>0</v>
      </c>
    </row>
    <row r="181" spans="1:296" x14ac:dyDescent="0.5">
      <c r="A181" s="59"/>
      <c r="B181" s="142"/>
      <c r="C181" s="10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>
        <f t="shared" si="41"/>
        <v>0</v>
      </c>
      <c r="S181" s="46">
        <f t="shared" si="42"/>
        <v>0</v>
      </c>
      <c r="T181" s="46">
        <f t="shared" si="43"/>
        <v>0</v>
      </c>
      <c r="U181" s="46">
        <f t="shared" si="44"/>
        <v>0</v>
      </c>
      <c r="V181" s="46">
        <f t="shared" si="45"/>
        <v>0</v>
      </c>
      <c r="W181" s="46">
        <f t="shared" si="46"/>
        <v>0</v>
      </c>
      <c r="X181" s="46">
        <f t="shared" si="47"/>
        <v>0</v>
      </c>
      <c r="Y181" s="46">
        <f t="shared" si="48"/>
        <v>0</v>
      </c>
      <c r="Z181" s="90"/>
      <c r="AA181" s="95"/>
      <c r="AB181" s="95"/>
      <c r="AC181" s="91"/>
      <c r="AD181" s="91"/>
      <c r="AE181" s="91"/>
      <c r="AF181" s="150"/>
      <c r="AG181" s="92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93">
        <f t="shared" si="50"/>
        <v>0</v>
      </c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  <c r="CK181" s="46"/>
      <c r="CL181" s="46"/>
      <c r="CM181" s="46"/>
      <c r="CN181" s="46"/>
      <c r="CO181" s="46"/>
      <c r="CP181" s="46"/>
      <c r="CQ181" s="46"/>
      <c r="CR181" s="46"/>
      <c r="CS181" s="46"/>
      <c r="CT181" s="93">
        <f t="shared" si="64"/>
        <v>0</v>
      </c>
      <c r="CV181" s="46"/>
      <c r="CW181" s="46"/>
      <c r="CX181" s="46"/>
      <c r="CY181" s="46"/>
      <c r="CZ181" s="46"/>
      <c r="DA181" s="46"/>
      <c r="DB181" s="46"/>
      <c r="DC181" s="46"/>
      <c r="DD181" s="46"/>
      <c r="DE181" s="46"/>
      <c r="DF181" s="46"/>
      <c r="DG181" s="46"/>
      <c r="DH181" s="46"/>
      <c r="DI181" s="46"/>
      <c r="DJ181" s="46"/>
      <c r="DK181" s="46"/>
      <c r="DL181" s="46"/>
      <c r="DM181" s="46"/>
      <c r="DN181" s="46"/>
      <c r="DO181" s="46"/>
      <c r="DP181" s="46"/>
      <c r="DQ181" s="46"/>
      <c r="DR181" s="46"/>
      <c r="DS181" s="46"/>
      <c r="DT181" s="46"/>
      <c r="DU181" s="46"/>
      <c r="DV181" s="46"/>
      <c r="DW181" s="46"/>
      <c r="DX181" s="46"/>
      <c r="DY181" s="46"/>
      <c r="DZ181" s="46"/>
      <c r="EA181" s="93">
        <f t="shared" si="51"/>
        <v>0</v>
      </c>
      <c r="EC181" s="46"/>
      <c r="ED181" s="46"/>
      <c r="EE181" s="46"/>
      <c r="EF181" s="46"/>
      <c r="EG181" s="46"/>
      <c r="EH181" s="46"/>
      <c r="EI181" s="46"/>
      <c r="EJ181" s="46"/>
      <c r="EK181" s="46"/>
      <c r="EL181" s="46"/>
      <c r="EM181" s="46"/>
      <c r="EN181" s="46"/>
      <c r="EO181" s="46"/>
      <c r="EP181" s="46"/>
      <c r="EQ181" s="46"/>
      <c r="ER181" s="46"/>
      <c r="ES181" s="46"/>
      <c r="ET181" s="46"/>
      <c r="EU181" s="46"/>
      <c r="EV181" s="46"/>
      <c r="EW181" s="46"/>
      <c r="EX181" s="46"/>
      <c r="EY181" s="46"/>
      <c r="EZ181" s="46"/>
      <c r="FA181" s="46"/>
      <c r="FB181" s="46"/>
      <c r="FC181" s="46"/>
      <c r="FD181" s="46"/>
      <c r="FE181" s="46"/>
      <c r="FF181" s="46"/>
      <c r="FG181" s="46"/>
      <c r="FH181" s="93">
        <f t="shared" si="52"/>
        <v>0</v>
      </c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93">
        <f t="shared" si="65"/>
        <v>0</v>
      </c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46"/>
      <c r="HN181" s="46"/>
      <c r="HO181" s="46"/>
      <c r="HP181" s="46"/>
      <c r="HQ181" s="46"/>
      <c r="HR181" s="46"/>
      <c r="HS181" s="46"/>
      <c r="HT181" s="46"/>
      <c r="HU181" s="46"/>
      <c r="HV181" s="93">
        <f t="shared" si="66"/>
        <v>0</v>
      </c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  <c r="IT181" s="46"/>
      <c r="IU181" s="46"/>
      <c r="IV181" s="46"/>
      <c r="IW181" s="46"/>
      <c r="IX181" s="46"/>
      <c r="IY181" s="46"/>
      <c r="IZ181" s="46"/>
      <c r="JA181" s="46"/>
      <c r="JB181" s="46"/>
      <c r="JC181" s="93">
        <f t="shared" si="67"/>
        <v>0</v>
      </c>
      <c r="JE181" s="46"/>
      <c r="JF181" s="46"/>
      <c r="JG181" s="46"/>
      <c r="JH181" s="46"/>
      <c r="JI181" s="46"/>
      <c r="JJ181" s="46"/>
      <c r="JK181" s="46"/>
      <c r="JL181" s="46"/>
      <c r="JM181" s="46"/>
      <c r="JN181" s="46"/>
      <c r="JO181" s="46"/>
      <c r="JP181" s="46"/>
      <c r="JQ181" s="46"/>
      <c r="JR181" s="46"/>
      <c r="JS181" s="46"/>
      <c r="JT181" s="46"/>
      <c r="JU181" s="46"/>
      <c r="JV181" s="46"/>
      <c r="JW181" s="46"/>
      <c r="JX181" s="46"/>
      <c r="JY181" s="46"/>
      <c r="JZ181" s="46"/>
      <c r="KA181" s="46"/>
      <c r="KB181" s="46"/>
      <c r="KC181" s="46"/>
      <c r="KD181" s="46"/>
      <c r="KE181" s="46"/>
      <c r="KF181" s="46"/>
      <c r="KG181" s="46"/>
      <c r="KH181" s="46"/>
      <c r="KI181" s="46"/>
      <c r="KJ181" s="93">
        <f t="shared" si="68"/>
        <v>0</v>
      </c>
    </row>
    <row r="182" spans="1:296" ht="32.5" x14ac:dyDescent="0.5">
      <c r="A182" s="98" t="s">
        <v>313</v>
      </c>
      <c r="B182" s="94"/>
      <c r="C182" s="10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>
        <f t="shared" si="41"/>
        <v>0</v>
      </c>
      <c r="S182" s="46">
        <f t="shared" si="42"/>
        <v>0</v>
      </c>
      <c r="T182" s="46">
        <f t="shared" si="43"/>
        <v>0</v>
      </c>
      <c r="U182" s="46">
        <f t="shared" si="44"/>
        <v>0</v>
      </c>
      <c r="V182" s="46">
        <f t="shared" si="45"/>
        <v>0</v>
      </c>
      <c r="W182" s="46">
        <f t="shared" si="46"/>
        <v>0</v>
      </c>
      <c r="X182" s="46">
        <f t="shared" si="47"/>
        <v>0</v>
      </c>
      <c r="Y182" s="46">
        <f t="shared" si="48"/>
        <v>0</v>
      </c>
      <c r="Z182" s="90"/>
      <c r="AA182" s="95"/>
      <c r="AB182" s="95"/>
      <c r="AC182" s="91"/>
      <c r="AD182" s="176"/>
      <c r="AE182" s="176"/>
      <c r="AF182" s="176"/>
      <c r="AG182" s="92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93">
        <f t="shared" si="50"/>
        <v>0</v>
      </c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  <c r="CK182" s="46"/>
      <c r="CL182" s="46"/>
      <c r="CM182" s="46"/>
      <c r="CN182" s="46"/>
      <c r="CO182" s="46"/>
      <c r="CP182" s="46"/>
      <c r="CQ182" s="46"/>
      <c r="CR182" s="46"/>
      <c r="CS182" s="46"/>
      <c r="CT182" s="93">
        <f t="shared" si="64"/>
        <v>0</v>
      </c>
      <c r="CV182" s="46"/>
      <c r="CW182" s="46"/>
      <c r="CX182" s="46"/>
      <c r="CY182" s="46"/>
      <c r="CZ182" s="46"/>
      <c r="DA182" s="46"/>
      <c r="DB182" s="46"/>
      <c r="DC182" s="46"/>
      <c r="DD182" s="46"/>
      <c r="DE182" s="46"/>
      <c r="DF182" s="46"/>
      <c r="DG182" s="46"/>
      <c r="DH182" s="46"/>
      <c r="DI182" s="46"/>
      <c r="DJ182" s="46"/>
      <c r="DK182" s="46"/>
      <c r="DL182" s="46"/>
      <c r="DM182" s="46"/>
      <c r="DN182" s="46"/>
      <c r="DO182" s="46"/>
      <c r="DP182" s="46"/>
      <c r="DQ182" s="46"/>
      <c r="DR182" s="46"/>
      <c r="DS182" s="46"/>
      <c r="DT182" s="46"/>
      <c r="DU182" s="46"/>
      <c r="DV182" s="46"/>
      <c r="DW182" s="46"/>
      <c r="DX182" s="46"/>
      <c r="DY182" s="46"/>
      <c r="DZ182" s="46"/>
      <c r="EA182" s="93">
        <f t="shared" si="51"/>
        <v>0</v>
      </c>
      <c r="EC182" s="46"/>
      <c r="ED182" s="46"/>
      <c r="EE182" s="46"/>
      <c r="EF182" s="46"/>
      <c r="EG182" s="46"/>
      <c r="EH182" s="46"/>
      <c r="EI182" s="46"/>
      <c r="EJ182" s="46"/>
      <c r="EK182" s="46"/>
      <c r="EL182" s="46"/>
      <c r="EM182" s="46"/>
      <c r="EN182" s="46"/>
      <c r="EO182" s="46"/>
      <c r="EP182" s="46"/>
      <c r="EQ182" s="46"/>
      <c r="ER182" s="46"/>
      <c r="ES182" s="46"/>
      <c r="ET182" s="46"/>
      <c r="EU182" s="46"/>
      <c r="EV182" s="46"/>
      <c r="EW182" s="46"/>
      <c r="EX182" s="46"/>
      <c r="EY182" s="46"/>
      <c r="EZ182" s="46"/>
      <c r="FA182" s="46"/>
      <c r="FB182" s="46"/>
      <c r="FC182" s="46"/>
      <c r="FD182" s="46"/>
      <c r="FE182" s="46"/>
      <c r="FF182" s="46"/>
      <c r="FG182" s="46"/>
      <c r="FH182" s="93">
        <f t="shared" si="52"/>
        <v>0</v>
      </c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93">
        <f t="shared" si="65"/>
        <v>0</v>
      </c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93">
        <f t="shared" si="66"/>
        <v>0</v>
      </c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  <c r="IT182" s="46"/>
      <c r="IU182" s="46"/>
      <c r="IV182" s="46"/>
      <c r="IW182" s="46"/>
      <c r="IX182" s="46"/>
      <c r="IY182" s="46"/>
      <c r="IZ182" s="46"/>
      <c r="JA182" s="46"/>
      <c r="JB182" s="46"/>
      <c r="JC182" s="93">
        <f t="shared" si="67"/>
        <v>0</v>
      </c>
      <c r="JE182" s="46"/>
      <c r="JF182" s="46"/>
      <c r="JG182" s="46"/>
      <c r="JH182" s="46"/>
      <c r="JI182" s="46"/>
      <c r="JJ182" s="46"/>
      <c r="JK182" s="46"/>
      <c r="JL182" s="46"/>
      <c r="JM182" s="46"/>
      <c r="JN182" s="46"/>
      <c r="JO182" s="46"/>
      <c r="JP182" s="46"/>
      <c r="JQ182" s="46"/>
      <c r="JR182" s="46"/>
      <c r="JS182" s="46"/>
      <c r="JT182" s="46"/>
      <c r="JU182" s="46"/>
      <c r="JV182" s="46"/>
      <c r="JW182" s="46"/>
      <c r="JX182" s="46"/>
      <c r="JY182" s="46"/>
      <c r="JZ182" s="46"/>
      <c r="KA182" s="46"/>
      <c r="KB182" s="46"/>
      <c r="KC182" s="46"/>
      <c r="KD182" s="46"/>
      <c r="KE182" s="46"/>
      <c r="KF182" s="46"/>
      <c r="KG182" s="46"/>
      <c r="KH182" s="46"/>
      <c r="KI182" s="46"/>
      <c r="KJ182" s="93">
        <f t="shared" si="68"/>
        <v>0</v>
      </c>
    </row>
    <row r="183" spans="1:296" x14ac:dyDescent="0.5">
      <c r="A183" s="187">
        <v>1</v>
      </c>
      <c r="B183" s="145" t="s">
        <v>309</v>
      </c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46">
        <f t="shared" si="41"/>
        <v>0</v>
      </c>
      <c r="S183" s="46">
        <f t="shared" si="42"/>
        <v>0</v>
      </c>
      <c r="T183" s="46">
        <f t="shared" si="43"/>
        <v>0</v>
      </c>
      <c r="U183" s="46">
        <f t="shared" si="44"/>
        <v>0</v>
      </c>
      <c r="V183" s="46">
        <f t="shared" si="45"/>
        <v>0</v>
      </c>
      <c r="W183" s="46">
        <f t="shared" si="46"/>
        <v>0</v>
      </c>
      <c r="X183" s="46">
        <f t="shared" si="47"/>
        <v>0</v>
      </c>
      <c r="Y183" s="46">
        <f t="shared" si="48"/>
        <v>0</v>
      </c>
      <c r="Z183" s="146"/>
      <c r="AA183" s="91"/>
      <c r="AB183" s="95"/>
      <c r="AC183" s="91"/>
      <c r="AD183" s="91"/>
      <c r="AE183" s="91"/>
      <c r="AF183" s="150"/>
      <c r="AG183" s="92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93">
        <f t="shared" si="50"/>
        <v>0</v>
      </c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/>
      <c r="CL183" s="46"/>
      <c r="CM183" s="46"/>
      <c r="CN183" s="46"/>
      <c r="CO183" s="46"/>
      <c r="CP183" s="46"/>
      <c r="CQ183" s="46"/>
      <c r="CR183" s="46"/>
      <c r="CS183" s="46"/>
      <c r="CT183" s="93">
        <f t="shared" si="64"/>
        <v>0</v>
      </c>
      <c r="CV183" s="46"/>
      <c r="CW183" s="46"/>
      <c r="CX183" s="46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/>
      <c r="DJ183" s="46"/>
      <c r="DK183" s="46"/>
      <c r="DL183" s="46"/>
      <c r="DM183" s="46"/>
      <c r="DN183" s="46"/>
      <c r="DO183" s="46"/>
      <c r="DP183" s="46"/>
      <c r="DQ183" s="46"/>
      <c r="DR183" s="46"/>
      <c r="DS183" s="46"/>
      <c r="DT183" s="46"/>
      <c r="DU183" s="46"/>
      <c r="DV183" s="46"/>
      <c r="DW183" s="46"/>
      <c r="DX183" s="46"/>
      <c r="DY183" s="46"/>
      <c r="DZ183" s="46"/>
      <c r="EA183" s="93">
        <f t="shared" si="51"/>
        <v>0</v>
      </c>
      <c r="EC183" s="46"/>
      <c r="ED183" s="46"/>
      <c r="EE183" s="46"/>
      <c r="EF183" s="46"/>
      <c r="EG183" s="46"/>
      <c r="EH183" s="46"/>
      <c r="EI183" s="46"/>
      <c r="EJ183" s="46"/>
      <c r="EK183" s="46"/>
      <c r="EL183" s="46"/>
      <c r="EM183" s="46"/>
      <c r="EN183" s="46"/>
      <c r="EO183" s="46"/>
      <c r="EP183" s="46"/>
      <c r="EQ183" s="46"/>
      <c r="ER183" s="46"/>
      <c r="ES183" s="46"/>
      <c r="ET183" s="46"/>
      <c r="EU183" s="46"/>
      <c r="EV183" s="46"/>
      <c r="EW183" s="46"/>
      <c r="EX183" s="46"/>
      <c r="EY183" s="46"/>
      <c r="EZ183" s="46"/>
      <c r="FA183" s="46"/>
      <c r="FB183" s="46"/>
      <c r="FC183" s="46"/>
      <c r="FD183" s="46"/>
      <c r="FE183" s="46"/>
      <c r="FF183" s="46"/>
      <c r="FG183" s="46"/>
      <c r="FH183" s="93">
        <f t="shared" si="52"/>
        <v>0</v>
      </c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93">
        <f t="shared" si="65"/>
        <v>0</v>
      </c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93">
        <f t="shared" si="66"/>
        <v>0</v>
      </c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  <c r="IT183" s="46"/>
      <c r="IU183" s="46"/>
      <c r="IV183" s="46"/>
      <c r="IW183" s="46"/>
      <c r="IX183" s="46"/>
      <c r="IY183" s="46"/>
      <c r="IZ183" s="46"/>
      <c r="JA183" s="46"/>
      <c r="JB183" s="46"/>
      <c r="JC183" s="93">
        <f t="shared" si="67"/>
        <v>0</v>
      </c>
      <c r="JE183" s="46"/>
      <c r="JF183" s="46"/>
      <c r="JG183" s="46"/>
      <c r="JH183" s="46"/>
      <c r="JI183" s="46"/>
      <c r="JJ183" s="46"/>
      <c r="JK183" s="46"/>
      <c r="JL183" s="46"/>
      <c r="JM183" s="46"/>
      <c r="JN183" s="46"/>
      <c r="JO183" s="46"/>
      <c r="JP183" s="46"/>
      <c r="JQ183" s="46"/>
      <c r="JR183" s="46"/>
      <c r="JS183" s="46"/>
      <c r="JT183" s="46"/>
      <c r="JU183" s="46"/>
      <c r="JV183" s="46"/>
      <c r="JW183" s="46"/>
      <c r="JX183" s="46"/>
      <c r="JY183" s="46"/>
      <c r="JZ183" s="46"/>
      <c r="KA183" s="46"/>
      <c r="KB183" s="46"/>
      <c r="KC183" s="46"/>
      <c r="KD183" s="46"/>
      <c r="KE183" s="46"/>
      <c r="KF183" s="46"/>
      <c r="KG183" s="46"/>
      <c r="KH183" s="46"/>
      <c r="KI183" s="46"/>
      <c r="KJ183" s="93">
        <f t="shared" si="68"/>
        <v>0</v>
      </c>
    </row>
    <row r="184" spans="1:296" ht="20.149999999999999" customHeight="1" x14ac:dyDescent="0.5">
      <c r="A184" s="11">
        <v>2</v>
      </c>
      <c r="B184" s="178" t="s">
        <v>148</v>
      </c>
      <c r="C184" s="144" t="s">
        <v>177</v>
      </c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>
        <f t="shared" si="41"/>
        <v>0</v>
      </c>
      <c r="S184" s="46">
        <f t="shared" si="42"/>
        <v>0</v>
      </c>
      <c r="T184" s="46">
        <f t="shared" si="43"/>
        <v>0</v>
      </c>
      <c r="U184" s="46">
        <f t="shared" si="44"/>
        <v>0</v>
      </c>
      <c r="V184" s="46">
        <f t="shared" si="45"/>
        <v>0</v>
      </c>
      <c r="W184" s="46">
        <f t="shared" si="46"/>
        <v>0</v>
      </c>
      <c r="X184" s="46">
        <f t="shared" si="47"/>
        <v>0</v>
      </c>
      <c r="Y184" s="46">
        <f t="shared" si="48"/>
        <v>0</v>
      </c>
      <c r="Z184" s="90">
        <f t="shared" ref="Z184:Z209" si="69">SUM(D184:Y184)</f>
        <v>0</v>
      </c>
      <c r="AA184" s="95"/>
      <c r="AB184" s="95">
        <f>'LPLPO PROGRAM'!H15</f>
        <v>0</v>
      </c>
      <c r="AC184" s="91"/>
      <c r="AD184" s="91"/>
      <c r="AE184" s="91"/>
      <c r="AF184" s="91"/>
      <c r="AG184" s="92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93">
        <f t="shared" si="50"/>
        <v>0</v>
      </c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  <c r="CK184" s="46"/>
      <c r="CL184" s="46"/>
      <c r="CM184" s="46"/>
      <c r="CN184" s="46"/>
      <c r="CO184" s="46"/>
      <c r="CP184" s="46"/>
      <c r="CQ184" s="46"/>
      <c r="CR184" s="46"/>
      <c r="CS184" s="46"/>
      <c r="CT184" s="93">
        <f t="shared" si="64"/>
        <v>0</v>
      </c>
      <c r="CV184" s="46"/>
      <c r="CW184" s="46"/>
      <c r="CX184" s="46"/>
      <c r="CY184" s="46"/>
      <c r="CZ184" s="46"/>
      <c r="DA184" s="46"/>
      <c r="DB184" s="46"/>
      <c r="DC184" s="46"/>
      <c r="DD184" s="46"/>
      <c r="DE184" s="46"/>
      <c r="DF184" s="46"/>
      <c r="DG184" s="46"/>
      <c r="DH184" s="46"/>
      <c r="DI184" s="46"/>
      <c r="DJ184" s="46"/>
      <c r="DK184" s="46"/>
      <c r="DL184" s="46"/>
      <c r="DM184" s="46"/>
      <c r="DN184" s="46"/>
      <c r="DO184" s="46"/>
      <c r="DP184" s="46"/>
      <c r="DQ184" s="46"/>
      <c r="DR184" s="46"/>
      <c r="DS184" s="46"/>
      <c r="DT184" s="46"/>
      <c r="DU184" s="46"/>
      <c r="DV184" s="46"/>
      <c r="DW184" s="46"/>
      <c r="DX184" s="46"/>
      <c r="DY184" s="46"/>
      <c r="DZ184" s="46"/>
      <c r="EA184" s="93">
        <f t="shared" si="51"/>
        <v>0</v>
      </c>
      <c r="EC184" s="46"/>
      <c r="ED184" s="46"/>
      <c r="EE184" s="46"/>
      <c r="EF184" s="46"/>
      <c r="EG184" s="46"/>
      <c r="EH184" s="46"/>
      <c r="EI184" s="46"/>
      <c r="EJ184" s="46"/>
      <c r="EK184" s="46"/>
      <c r="EL184" s="46"/>
      <c r="EM184" s="46"/>
      <c r="EN184" s="46"/>
      <c r="EO184" s="46"/>
      <c r="EP184" s="46"/>
      <c r="EQ184" s="46"/>
      <c r="ER184" s="46"/>
      <c r="ES184" s="46"/>
      <c r="ET184" s="46"/>
      <c r="EU184" s="46"/>
      <c r="EV184" s="46"/>
      <c r="EW184" s="46"/>
      <c r="EX184" s="46"/>
      <c r="EY184" s="46"/>
      <c r="EZ184" s="46"/>
      <c r="FA184" s="46"/>
      <c r="FB184" s="46"/>
      <c r="FC184" s="46"/>
      <c r="FD184" s="46"/>
      <c r="FE184" s="46"/>
      <c r="FF184" s="46"/>
      <c r="FG184" s="46"/>
      <c r="FH184" s="93">
        <f t="shared" si="52"/>
        <v>0</v>
      </c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93">
        <f t="shared" si="65"/>
        <v>0</v>
      </c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93">
        <f t="shared" si="66"/>
        <v>0</v>
      </c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  <c r="IT184" s="46"/>
      <c r="IU184" s="46"/>
      <c r="IV184" s="46"/>
      <c r="IW184" s="46"/>
      <c r="IX184" s="46"/>
      <c r="IY184" s="46"/>
      <c r="IZ184" s="46"/>
      <c r="JA184" s="46"/>
      <c r="JB184" s="46"/>
      <c r="JC184" s="93">
        <f t="shared" si="67"/>
        <v>0</v>
      </c>
      <c r="JE184" s="46"/>
      <c r="JF184" s="46"/>
      <c r="JG184" s="46"/>
      <c r="JH184" s="46"/>
      <c r="JI184" s="46"/>
      <c r="JJ184" s="46"/>
      <c r="JK184" s="46"/>
      <c r="JL184" s="46"/>
      <c r="JM184" s="46"/>
      <c r="JN184" s="46"/>
      <c r="JO184" s="46"/>
      <c r="JP184" s="46"/>
      <c r="JQ184" s="46"/>
      <c r="JR184" s="46"/>
      <c r="JS184" s="46"/>
      <c r="JT184" s="46"/>
      <c r="JU184" s="46"/>
      <c r="JV184" s="46"/>
      <c r="JW184" s="46"/>
      <c r="JX184" s="46"/>
      <c r="JY184" s="46"/>
      <c r="JZ184" s="46"/>
      <c r="KA184" s="46"/>
      <c r="KB184" s="46"/>
      <c r="KC184" s="46"/>
      <c r="KD184" s="46"/>
      <c r="KE184" s="46"/>
      <c r="KF184" s="46"/>
      <c r="KG184" s="46"/>
      <c r="KH184" s="46"/>
      <c r="KI184" s="46"/>
      <c r="KJ184" s="93">
        <f t="shared" si="68"/>
        <v>0</v>
      </c>
    </row>
    <row r="185" spans="1:296" ht="20.149999999999999" customHeight="1" x14ac:dyDescent="0.5">
      <c r="A185" s="11">
        <v>3</v>
      </c>
      <c r="B185" s="178" t="s">
        <v>391</v>
      </c>
      <c r="C185" s="144" t="s">
        <v>48</v>
      </c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>
        <f t="shared" si="41"/>
        <v>0</v>
      </c>
      <c r="S185" s="46">
        <f t="shared" si="42"/>
        <v>0</v>
      </c>
      <c r="T185" s="46">
        <f t="shared" si="43"/>
        <v>0</v>
      </c>
      <c r="U185" s="46">
        <f t="shared" si="44"/>
        <v>0</v>
      </c>
      <c r="V185" s="46">
        <f t="shared" si="45"/>
        <v>0</v>
      </c>
      <c r="W185" s="46">
        <f t="shared" si="46"/>
        <v>0</v>
      </c>
      <c r="X185" s="46">
        <f t="shared" si="47"/>
        <v>0</v>
      </c>
      <c r="Y185" s="46">
        <f t="shared" si="48"/>
        <v>0</v>
      </c>
      <c r="Z185" s="90">
        <f t="shared" si="69"/>
        <v>0</v>
      </c>
      <c r="AA185" s="95"/>
      <c r="AB185" s="95">
        <f>'LPLPO PROGRAM'!H16</f>
        <v>0</v>
      </c>
      <c r="AC185" s="91"/>
      <c r="AD185" s="91"/>
      <c r="AE185" s="91"/>
      <c r="AF185" s="91"/>
      <c r="AG185" s="92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93">
        <f t="shared" si="50"/>
        <v>0</v>
      </c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  <c r="CK185" s="46"/>
      <c r="CL185" s="46"/>
      <c r="CM185" s="46"/>
      <c r="CN185" s="46"/>
      <c r="CO185" s="46"/>
      <c r="CP185" s="46"/>
      <c r="CQ185" s="46"/>
      <c r="CR185" s="46"/>
      <c r="CS185" s="46"/>
      <c r="CT185" s="93">
        <f t="shared" si="64"/>
        <v>0</v>
      </c>
      <c r="CV185" s="46"/>
      <c r="CW185" s="46"/>
      <c r="CX185" s="46"/>
      <c r="CY185" s="46"/>
      <c r="CZ185" s="46"/>
      <c r="DA185" s="46"/>
      <c r="DB185" s="46"/>
      <c r="DC185" s="46"/>
      <c r="DD185" s="46"/>
      <c r="DE185" s="46"/>
      <c r="DF185" s="46"/>
      <c r="DG185" s="46"/>
      <c r="DH185" s="46"/>
      <c r="DI185" s="46"/>
      <c r="DJ185" s="46"/>
      <c r="DK185" s="46"/>
      <c r="DL185" s="46"/>
      <c r="DM185" s="46"/>
      <c r="DN185" s="46"/>
      <c r="DO185" s="46"/>
      <c r="DP185" s="46"/>
      <c r="DQ185" s="46"/>
      <c r="DR185" s="46"/>
      <c r="DS185" s="46"/>
      <c r="DT185" s="46"/>
      <c r="DU185" s="46"/>
      <c r="DV185" s="46"/>
      <c r="DW185" s="46"/>
      <c r="DX185" s="46"/>
      <c r="DY185" s="46"/>
      <c r="DZ185" s="46"/>
      <c r="EA185" s="93">
        <f t="shared" si="51"/>
        <v>0</v>
      </c>
      <c r="EC185" s="46"/>
      <c r="ED185" s="46"/>
      <c r="EE185" s="46"/>
      <c r="EF185" s="46"/>
      <c r="EG185" s="46"/>
      <c r="EH185" s="46"/>
      <c r="EI185" s="46"/>
      <c r="EJ185" s="46"/>
      <c r="EK185" s="46"/>
      <c r="EL185" s="46"/>
      <c r="EM185" s="46"/>
      <c r="EN185" s="46"/>
      <c r="EO185" s="46"/>
      <c r="EP185" s="46"/>
      <c r="EQ185" s="46"/>
      <c r="ER185" s="46"/>
      <c r="ES185" s="46"/>
      <c r="ET185" s="46"/>
      <c r="EU185" s="46"/>
      <c r="EV185" s="46"/>
      <c r="EW185" s="46"/>
      <c r="EX185" s="46"/>
      <c r="EY185" s="46"/>
      <c r="EZ185" s="46"/>
      <c r="FA185" s="46"/>
      <c r="FB185" s="46"/>
      <c r="FC185" s="46"/>
      <c r="FD185" s="46"/>
      <c r="FE185" s="46"/>
      <c r="FF185" s="46"/>
      <c r="FG185" s="46"/>
      <c r="FH185" s="93">
        <f t="shared" si="52"/>
        <v>0</v>
      </c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93">
        <f t="shared" si="65"/>
        <v>0</v>
      </c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93">
        <f t="shared" si="66"/>
        <v>0</v>
      </c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  <c r="IT185" s="46"/>
      <c r="IU185" s="46"/>
      <c r="IV185" s="46"/>
      <c r="IW185" s="46"/>
      <c r="IX185" s="46"/>
      <c r="IY185" s="46"/>
      <c r="IZ185" s="46"/>
      <c r="JA185" s="46"/>
      <c r="JB185" s="46"/>
      <c r="JC185" s="93">
        <f t="shared" si="67"/>
        <v>0</v>
      </c>
      <c r="JE185" s="46"/>
      <c r="JF185" s="46"/>
      <c r="JG185" s="46"/>
      <c r="JH185" s="46"/>
      <c r="JI185" s="46"/>
      <c r="JJ185" s="46"/>
      <c r="JK185" s="46"/>
      <c r="JL185" s="46"/>
      <c r="JM185" s="46"/>
      <c r="JN185" s="46"/>
      <c r="JO185" s="46"/>
      <c r="JP185" s="46"/>
      <c r="JQ185" s="46"/>
      <c r="JR185" s="46"/>
      <c r="JS185" s="46"/>
      <c r="JT185" s="46"/>
      <c r="JU185" s="46"/>
      <c r="JV185" s="46"/>
      <c r="JW185" s="46"/>
      <c r="JX185" s="46"/>
      <c r="JY185" s="46"/>
      <c r="JZ185" s="46"/>
      <c r="KA185" s="46"/>
      <c r="KB185" s="46"/>
      <c r="KC185" s="46"/>
      <c r="KD185" s="46"/>
      <c r="KE185" s="46"/>
      <c r="KF185" s="46"/>
      <c r="KG185" s="46"/>
      <c r="KH185" s="46"/>
      <c r="KI185" s="46"/>
      <c r="KJ185" s="93">
        <f t="shared" si="68"/>
        <v>0</v>
      </c>
    </row>
    <row r="186" spans="1:296" ht="20.149999999999999" customHeight="1" x14ac:dyDescent="0.5">
      <c r="A186" s="11">
        <v>4</v>
      </c>
      <c r="B186" s="178" t="s">
        <v>283</v>
      </c>
      <c r="C186" s="144" t="s">
        <v>6</v>
      </c>
      <c r="D186" s="46"/>
      <c r="E186" s="46"/>
      <c r="F186" s="46">
        <v>200</v>
      </c>
      <c r="G186" s="46"/>
      <c r="H186" s="46">
        <v>100</v>
      </c>
      <c r="I186" s="46"/>
      <c r="J186" s="46"/>
      <c r="K186" s="46"/>
      <c r="L186" s="46"/>
      <c r="M186" s="46"/>
      <c r="N186" s="46"/>
      <c r="O186" s="46"/>
      <c r="P186" s="46"/>
      <c r="Q186" s="46"/>
      <c r="R186" s="46">
        <f t="shared" si="41"/>
        <v>4000</v>
      </c>
      <c r="S186" s="46">
        <f t="shared" si="42"/>
        <v>0</v>
      </c>
      <c r="T186" s="46">
        <f t="shared" si="43"/>
        <v>0</v>
      </c>
      <c r="U186" s="46">
        <f t="shared" si="44"/>
        <v>0</v>
      </c>
      <c r="V186" s="46">
        <f t="shared" si="45"/>
        <v>0</v>
      </c>
      <c r="W186" s="46">
        <f t="shared" si="46"/>
        <v>0</v>
      </c>
      <c r="X186" s="46">
        <f t="shared" si="47"/>
        <v>0</v>
      </c>
      <c r="Y186" s="46">
        <f t="shared" si="48"/>
        <v>0</v>
      </c>
      <c r="Z186" s="90">
        <f t="shared" si="69"/>
        <v>4300</v>
      </c>
      <c r="AA186" s="95"/>
      <c r="AB186" s="95">
        <f>'LPLPO PROGRAM'!H17</f>
        <v>20000</v>
      </c>
      <c r="AC186" s="91"/>
      <c r="AD186" s="91"/>
      <c r="AE186" s="91"/>
      <c r="AF186" s="91"/>
      <c r="AG186" s="92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>
        <v>4000</v>
      </c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93">
        <f t="shared" si="50"/>
        <v>4000</v>
      </c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  <c r="CK186" s="46"/>
      <c r="CL186" s="46"/>
      <c r="CM186" s="46"/>
      <c r="CN186" s="46"/>
      <c r="CO186" s="46"/>
      <c r="CP186" s="46"/>
      <c r="CQ186" s="46"/>
      <c r="CR186" s="46"/>
      <c r="CS186" s="46"/>
      <c r="CT186" s="93">
        <f t="shared" si="64"/>
        <v>0</v>
      </c>
      <c r="CV186" s="46"/>
      <c r="CW186" s="46"/>
      <c r="CX186" s="46"/>
      <c r="CY186" s="46"/>
      <c r="CZ186" s="46"/>
      <c r="DA186" s="46"/>
      <c r="DB186" s="46"/>
      <c r="DC186" s="46"/>
      <c r="DD186" s="46"/>
      <c r="DE186" s="46"/>
      <c r="DF186" s="46"/>
      <c r="DG186" s="46"/>
      <c r="DH186" s="46"/>
      <c r="DI186" s="46"/>
      <c r="DJ186" s="46"/>
      <c r="DK186" s="46"/>
      <c r="DL186" s="46"/>
      <c r="DM186" s="46"/>
      <c r="DN186" s="46"/>
      <c r="DO186" s="46"/>
      <c r="DP186" s="46"/>
      <c r="DQ186" s="46"/>
      <c r="DR186" s="46"/>
      <c r="DS186" s="46"/>
      <c r="DT186" s="46"/>
      <c r="DU186" s="46"/>
      <c r="DV186" s="46"/>
      <c r="DW186" s="46"/>
      <c r="DX186" s="46"/>
      <c r="DY186" s="46"/>
      <c r="DZ186" s="46"/>
      <c r="EA186" s="93">
        <f t="shared" si="51"/>
        <v>0</v>
      </c>
      <c r="EC186" s="46"/>
      <c r="ED186" s="46"/>
      <c r="EE186" s="46"/>
      <c r="EF186" s="46"/>
      <c r="EG186" s="46"/>
      <c r="EH186" s="46"/>
      <c r="EI186" s="46"/>
      <c r="EJ186" s="46"/>
      <c r="EK186" s="46"/>
      <c r="EL186" s="46"/>
      <c r="EM186" s="46"/>
      <c r="EN186" s="46"/>
      <c r="EO186" s="46"/>
      <c r="EP186" s="46"/>
      <c r="EQ186" s="46"/>
      <c r="ER186" s="46"/>
      <c r="ES186" s="46"/>
      <c r="ET186" s="46"/>
      <c r="EU186" s="46"/>
      <c r="EV186" s="46"/>
      <c r="EW186" s="46"/>
      <c r="EX186" s="46"/>
      <c r="EY186" s="46"/>
      <c r="EZ186" s="46"/>
      <c r="FA186" s="46"/>
      <c r="FB186" s="46"/>
      <c r="FC186" s="46"/>
      <c r="FD186" s="46"/>
      <c r="FE186" s="46"/>
      <c r="FF186" s="46"/>
      <c r="FG186" s="46"/>
      <c r="FH186" s="93">
        <f t="shared" si="52"/>
        <v>0</v>
      </c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93">
        <f t="shared" si="65"/>
        <v>0</v>
      </c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93">
        <f t="shared" si="66"/>
        <v>0</v>
      </c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  <c r="IT186" s="46"/>
      <c r="IU186" s="46"/>
      <c r="IV186" s="46"/>
      <c r="IW186" s="46"/>
      <c r="IX186" s="46"/>
      <c r="IY186" s="46"/>
      <c r="IZ186" s="46"/>
      <c r="JA186" s="46"/>
      <c r="JB186" s="46"/>
      <c r="JC186" s="93">
        <f t="shared" si="67"/>
        <v>0</v>
      </c>
      <c r="JE186" s="46"/>
      <c r="JF186" s="46"/>
      <c r="JG186" s="46"/>
      <c r="JH186" s="46"/>
      <c r="JI186" s="46"/>
      <c r="JJ186" s="46"/>
      <c r="JK186" s="46"/>
      <c r="JL186" s="46"/>
      <c r="JM186" s="46"/>
      <c r="JN186" s="46"/>
      <c r="JO186" s="46"/>
      <c r="JP186" s="46"/>
      <c r="JQ186" s="46"/>
      <c r="JR186" s="46"/>
      <c r="JS186" s="46"/>
      <c r="JT186" s="46"/>
      <c r="JU186" s="46"/>
      <c r="JV186" s="46"/>
      <c r="JW186" s="46"/>
      <c r="JX186" s="46"/>
      <c r="JY186" s="46"/>
      <c r="JZ186" s="46"/>
      <c r="KA186" s="46"/>
      <c r="KB186" s="46"/>
      <c r="KC186" s="46"/>
      <c r="KD186" s="46"/>
      <c r="KE186" s="46"/>
      <c r="KF186" s="46"/>
      <c r="KG186" s="46"/>
      <c r="KH186" s="46"/>
      <c r="KI186" s="46"/>
      <c r="KJ186" s="93">
        <f t="shared" si="68"/>
        <v>0</v>
      </c>
    </row>
    <row r="187" spans="1:296" ht="20.149999999999999" customHeight="1" x14ac:dyDescent="0.5">
      <c r="A187" s="11">
        <v>5</v>
      </c>
      <c r="B187" s="178" t="s">
        <v>392</v>
      </c>
      <c r="C187" s="144" t="s">
        <v>177</v>
      </c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>
        <f t="shared" si="41"/>
        <v>0</v>
      </c>
      <c r="S187" s="46">
        <f t="shared" si="42"/>
        <v>0</v>
      </c>
      <c r="T187" s="46">
        <f t="shared" si="43"/>
        <v>0</v>
      </c>
      <c r="U187" s="46">
        <f t="shared" si="44"/>
        <v>0</v>
      </c>
      <c r="V187" s="46">
        <f t="shared" si="45"/>
        <v>0</v>
      </c>
      <c r="W187" s="46">
        <f t="shared" si="46"/>
        <v>0</v>
      </c>
      <c r="X187" s="46">
        <f t="shared" si="47"/>
        <v>0</v>
      </c>
      <c r="Y187" s="46">
        <f t="shared" si="48"/>
        <v>0</v>
      </c>
      <c r="Z187" s="90">
        <f t="shared" si="69"/>
        <v>0</v>
      </c>
      <c r="AA187" s="95"/>
      <c r="AB187" s="95">
        <f>'LPLPO PROGRAM'!H18</f>
        <v>0</v>
      </c>
      <c r="AC187" s="91"/>
      <c r="AD187" s="91"/>
      <c r="AE187" s="91"/>
      <c r="AF187" s="91"/>
      <c r="AG187" s="92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93">
        <f t="shared" si="50"/>
        <v>0</v>
      </c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/>
      <c r="CL187" s="46"/>
      <c r="CM187" s="46"/>
      <c r="CN187" s="46"/>
      <c r="CO187" s="46"/>
      <c r="CP187" s="46"/>
      <c r="CQ187" s="46"/>
      <c r="CR187" s="46"/>
      <c r="CS187" s="46"/>
      <c r="CT187" s="93">
        <f t="shared" si="64"/>
        <v>0</v>
      </c>
      <c r="CV187" s="46"/>
      <c r="CW187" s="46"/>
      <c r="CX187" s="46"/>
      <c r="CY187" s="46"/>
      <c r="CZ187" s="46"/>
      <c r="DA187" s="46"/>
      <c r="DB187" s="46"/>
      <c r="DC187" s="46"/>
      <c r="DD187" s="46"/>
      <c r="DE187" s="46"/>
      <c r="DF187" s="46"/>
      <c r="DG187" s="46"/>
      <c r="DH187" s="46"/>
      <c r="DI187" s="46"/>
      <c r="DJ187" s="46"/>
      <c r="DK187" s="46"/>
      <c r="DL187" s="46"/>
      <c r="DM187" s="46"/>
      <c r="DN187" s="46"/>
      <c r="DO187" s="46"/>
      <c r="DP187" s="46"/>
      <c r="DQ187" s="46"/>
      <c r="DR187" s="46"/>
      <c r="DS187" s="46"/>
      <c r="DT187" s="46"/>
      <c r="DU187" s="46"/>
      <c r="DV187" s="46"/>
      <c r="DW187" s="46"/>
      <c r="DX187" s="46"/>
      <c r="DY187" s="46"/>
      <c r="DZ187" s="46"/>
      <c r="EA187" s="93">
        <f t="shared" si="51"/>
        <v>0</v>
      </c>
      <c r="EC187" s="46"/>
      <c r="ED187" s="46"/>
      <c r="EE187" s="46"/>
      <c r="EF187" s="46"/>
      <c r="EG187" s="46"/>
      <c r="EH187" s="46"/>
      <c r="EI187" s="46"/>
      <c r="EJ187" s="46"/>
      <c r="EK187" s="46"/>
      <c r="EL187" s="46"/>
      <c r="EM187" s="46"/>
      <c r="EN187" s="46"/>
      <c r="EO187" s="46"/>
      <c r="EP187" s="46"/>
      <c r="EQ187" s="46"/>
      <c r="ER187" s="46"/>
      <c r="ES187" s="46"/>
      <c r="ET187" s="46"/>
      <c r="EU187" s="46"/>
      <c r="EV187" s="46"/>
      <c r="EW187" s="46"/>
      <c r="EX187" s="46"/>
      <c r="EY187" s="46"/>
      <c r="EZ187" s="46"/>
      <c r="FA187" s="46"/>
      <c r="FB187" s="46"/>
      <c r="FC187" s="46"/>
      <c r="FD187" s="46"/>
      <c r="FE187" s="46"/>
      <c r="FF187" s="46"/>
      <c r="FG187" s="46"/>
      <c r="FH187" s="93">
        <f t="shared" si="52"/>
        <v>0</v>
      </c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93">
        <f t="shared" si="65"/>
        <v>0</v>
      </c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93">
        <f t="shared" si="66"/>
        <v>0</v>
      </c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  <c r="IT187" s="46"/>
      <c r="IU187" s="46"/>
      <c r="IV187" s="46"/>
      <c r="IW187" s="46"/>
      <c r="IX187" s="46"/>
      <c r="IY187" s="46"/>
      <c r="IZ187" s="46"/>
      <c r="JA187" s="46"/>
      <c r="JB187" s="46"/>
      <c r="JC187" s="93">
        <f t="shared" si="67"/>
        <v>0</v>
      </c>
      <c r="JE187" s="46"/>
      <c r="JF187" s="46"/>
      <c r="JG187" s="46"/>
      <c r="JH187" s="46"/>
      <c r="JI187" s="46"/>
      <c r="JJ187" s="46"/>
      <c r="JK187" s="46"/>
      <c r="JL187" s="46"/>
      <c r="JM187" s="46"/>
      <c r="JN187" s="46"/>
      <c r="JO187" s="46"/>
      <c r="JP187" s="46"/>
      <c r="JQ187" s="46"/>
      <c r="JR187" s="46"/>
      <c r="JS187" s="46"/>
      <c r="JT187" s="46"/>
      <c r="JU187" s="46"/>
      <c r="JV187" s="46"/>
      <c r="JW187" s="46"/>
      <c r="JX187" s="46"/>
      <c r="JY187" s="46"/>
      <c r="JZ187" s="46"/>
      <c r="KA187" s="46"/>
      <c r="KB187" s="46"/>
      <c r="KC187" s="46"/>
      <c r="KD187" s="46"/>
      <c r="KE187" s="46"/>
      <c r="KF187" s="46"/>
      <c r="KG187" s="46"/>
      <c r="KH187" s="46"/>
      <c r="KI187" s="46"/>
      <c r="KJ187" s="93">
        <f t="shared" si="68"/>
        <v>0</v>
      </c>
    </row>
    <row r="188" spans="1:296" ht="20.149999999999999" customHeight="1" x14ac:dyDescent="0.5">
      <c r="A188" s="11">
        <v>6</v>
      </c>
      <c r="B188" s="178" t="s">
        <v>176</v>
      </c>
      <c r="C188" s="144" t="s">
        <v>33</v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>
        <f t="shared" si="41"/>
        <v>0</v>
      </c>
      <c r="S188" s="46">
        <f t="shared" si="42"/>
        <v>0</v>
      </c>
      <c r="T188" s="46">
        <f t="shared" si="43"/>
        <v>0</v>
      </c>
      <c r="U188" s="46">
        <f t="shared" si="44"/>
        <v>0</v>
      </c>
      <c r="V188" s="46">
        <f t="shared" si="45"/>
        <v>0</v>
      </c>
      <c r="W188" s="46">
        <f t="shared" si="46"/>
        <v>0</v>
      </c>
      <c r="X188" s="46">
        <f t="shared" si="47"/>
        <v>0</v>
      </c>
      <c r="Y188" s="46">
        <f t="shared" si="48"/>
        <v>0</v>
      </c>
      <c r="Z188" s="90">
        <f t="shared" si="69"/>
        <v>0</v>
      </c>
      <c r="AA188" s="95"/>
      <c r="AB188" s="95">
        <f>'LPLPO PROGRAM'!H19</f>
        <v>0</v>
      </c>
      <c r="AC188" s="91" t="s">
        <v>420</v>
      </c>
      <c r="AD188" s="91"/>
      <c r="AE188" s="91"/>
      <c r="AF188" s="91"/>
      <c r="AG188" s="92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93">
        <f t="shared" si="50"/>
        <v>0</v>
      </c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  <c r="CK188" s="46"/>
      <c r="CL188" s="46"/>
      <c r="CM188" s="46"/>
      <c r="CN188" s="46"/>
      <c r="CO188" s="46"/>
      <c r="CP188" s="46"/>
      <c r="CQ188" s="46"/>
      <c r="CR188" s="46"/>
      <c r="CS188" s="46"/>
      <c r="CT188" s="93">
        <f t="shared" si="64"/>
        <v>0</v>
      </c>
      <c r="CV188" s="46"/>
      <c r="CW188" s="46"/>
      <c r="CX188" s="46"/>
      <c r="CY188" s="46"/>
      <c r="CZ188" s="46"/>
      <c r="DA188" s="46"/>
      <c r="DB188" s="46"/>
      <c r="DC188" s="46"/>
      <c r="DD188" s="46"/>
      <c r="DE188" s="46"/>
      <c r="DF188" s="46"/>
      <c r="DG188" s="46"/>
      <c r="DH188" s="46"/>
      <c r="DI188" s="46"/>
      <c r="DJ188" s="46"/>
      <c r="DK188" s="46"/>
      <c r="DL188" s="46"/>
      <c r="DM188" s="46"/>
      <c r="DN188" s="46"/>
      <c r="DO188" s="46"/>
      <c r="DP188" s="46"/>
      <c r="DQ188" s="46"/>
      <c r="DR188" s="46"/>
      <c r="DS188" s="46"/>
      <c r="DT188" s="46"/>
      <c r="DU188" s="46"/>
      <c r="DV188" s="46"/>
      <c r="DW188" s="46"/>
      <c r="DX188" s="46"/>
      <c r="DY188" s="46"/>
      <c r="DZ188" s="46"/>
      <c r="EA188" s="93">
        <f t="shared" si="51"/>
        <v>0</v>
      </c>
      <c r="EC188" s="46"/>
      <c r="ED188" s="46"/>
      <c r="EE188" s="46"/>
      <c r="EF188" s="46"/>
      <c r="EG188" s="46"/>
      <c r="EH188" s="46"/>
      <c r="EI188" s="46"/>
      <c r="EJ188" s="46"/>
      <c r="EK188" s="46"/>
      <c r="EL188" s="46"/>
      <c r="EM188" s="46"/>
      <c r="EN188" s="46"/>
      <c r="EO188" s="46"/>
      <c r="EP188" s="46"/>
      <c r="EQ188" s="46"/>
      <c r="ER188" s="46"/>
      <c r="ES188" s="46"/>
      <c r="ET188" s="46"/>
      <c r="EU188" s="46"/>
      <c r="EV188" s="46"/>
      <c r="EW188" s="46"/>
      <c r="EX188" s="46"/>
      <c r="EY188" s="46"/>
      <c r="EZ188" s="46"/>
      <c r="FA188" s="46"/>
      <c r="FB188" s="46"/>
      <c r="FC188" s="46"/>
      <c r="FD188" s="46"/>
      <c r="FE188" s="46"/>
      <c r="FF188" s="46"/>
      <c r="FG188" s="46"/>
      <c r="FH188" s="93">
        <f t="shared" si="52"/>
        <v>0</v>
      </c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93">
        <f t="shared" si="65"/>
        <v>0</v>
      </c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93">
        <f t="shared" si="66"/>
        <v>0</v>
      </c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  <c r="IT188" s="46"/>
      <c r="IU188" s="46"/>
      <c r="IV188" s="46"/>
      <c r="IW188" s="46"/>
      <c r="IX188" s="46"/>
      <c r="IY188" s="46"/>
      <c r="IZ188" s="46"/>
      <c r="JA188" s="46"/>
      <c r="JB188" s="46"/>
      <c r="JC188" s="93">
        <f t="shared" si="67"/>
        <v>0</v>
      </c>
      <c r="JE188" s="46"/>
      <c r="JF188" s="46"/>
      <c r="JG188" s="46"/>
      <c r="JH188" s="46"/>
      <c r="JI188" s="46"/>
      <c r="JJ188" s="46"/>
      <c r="JK188" s="46"/>
      <c r="JL188" s="46"/>
      <c r="JM188" s="46"/>
      <c r="JN188" s="46"/>
      <c r="JO188" s="46"/>
      <c r="JP188" s="46"/>
      <c r="JQ188" s="46"/>
      <c r="JR188" s="46"/>
      <c r="JS188" s="46"/>
      <c r="JT188" s="46"/>
      <c r="JU188" s="46"/>
      <c r="JV188" s="46"/>
      <c r="JW188" s="46"/>
      <c r="JX188" s="46"/>
      <c r="JY188" s="46"/>
      <c r="JZ188" s="46"/>
      <c r="KA188" s="46"/>
      <c r="KB188" s="46"/>
      <c r="KC188" s="46"/>
      <c r="KD188" s="46"/>
      <c r="KE188" s="46"/>
      <c r="KF188" s="46"/>
      <c r="KG188" s="46"/>
      <c r="KH188" s="46"/>
      <c r="KI188" s="46"/>
      <c r="KJ188" s="93">
        <f t="shared" si="68"/>
        <v>0</v>
      </c>
    </row>
    <row r="189" spans="1:296" ht="30" customHeight="1" x14ac:dyDescent="0.5">
      <c r="A189" s="11">
        <v>7</v>
      </c>
      <c r="B189" s="181" t="s">
        <v>175</v>
      </c>
      <c r="C189" s="144" t="s">
        <v>33</v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>
        <f t="shared" si="41"/>
        <v>0</v>
      </c>
      <c r="S189" s="46">
        <f t="shared" si="42"/>
        <v>0</v>
      </c>
      <c r="T189" s="46">
        <f t="shared" si="43"/>
        <v>0</v>
      </c>
      <c r="U189" s="46">
        <f t="shared" si="44"/>
        <v>0</v>
      </c>
      <c r="V189" s="46">
        <f t="shared" si="45"/>
        <v>0</v>
      </c>
      <c r="W189" s="46">
        <f t="shared" si="46"/>
        <v>0</v>
      </c>
      <c r="X189" s="46">
        <f t="shared" si="47"/>
        <v>0</v>
      </c>
      <c r="Y189" s="46">
        <f t="shared" si="48"/>
        <v>0</v>
      </c>
      <c r="Z189" s="90">
        <f t="shared" si="69"/>
        <v>0</v>
      </c>
      <c r="AA189" s="95"/>
      <c r="AB189" s="95">
        <f>'LPLPO PROGRAM'!H20</f>
        <v>50</v>
      </c>
      <c r="AC189" s="91" t="s">
        <v>420</v>
      </c>
      <c r="AD189" s="91"/>
      <c r="AE189" s="91"/>
      <c r="AF189" s="91"/>
      <c r="AG189" s="92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93">
        <f t="shared" si="50"/>
        <v>0</v>
      </c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  <c r="CK189" s="46"/>
      <c r="CL189" s="46"/>
      <c r="CM189" s="46"/>
      <c r="CN189" s="46"/>
      <c r="CO189" s="46"/>
      <c r="CP189" s="46"/>
      <c r="CQ189" s="46"/>
      <c r="CR189" s="46"/>
      <c r="CS189" s="46"/>
      <c r="CT189" s="93">
        <f t="shared" si="64"/>
        <v>0</v>
      </c>
      <c r="CV189" s="46"/>
      <c r="CW189" s="46"/>
      <c r="CX189" s="46"/>
      <c r="CY189" s="46"/>
      <c r="CZ189" s="46"/>
      <c r="DA189" s="46"/>
      <c r="DB189" s="46"/>
      <c r="DC189" s="46"/>
      <c r="DD189" s="46"/>
      <c r="DE189" s="46"/>
      <c r="DF189" s="46"/>
      <c r="DG189" s="46"/>
      <c r="DH189" s="46"/>
      <c r="DI189" s="46"/>
      <c r="DJ189" s="46"/>
      <c r="DK189" s="46"/>
      <c r="DL189" s="46"/>
      <c r="DM189" s="46"/>
      <c r="DN189" s="46"/>
      <c r="DO189" s="46"/>
      <c r="DP189" s="46"/>
      <c r="DQ189" s="46"/>
      <c r="DR189" s="46"/>
      <c r="DS189" s="46"/>
      <c r="DT189" s="46"/>
      <c r="DU189" s="46"/>
      <c r="DV189" s="46"/>
      <c r="DW189" s="46"/>
      <c r="DX189" s="46"/>
      <c r="DY189" s="46"/>
      <c r="DZ189" s="46"/>
      <c r="EA189" s="93">
        <f t="shared" si="51"/>
        <v>0</v>
      </c>
      <c r="EC189" s="46"/>
      <c r="ED189" s="46"/>
      <c r="EE189" s="46"/>
      <c r="EF189" s="46"/>
      <c r="EG189" s="46"/>
      <c r="EH189" s="46"/>
      <c r="EI189" s="46"/>
      <c r="EJ189" s="46"/>
      <c r="EK189" s="46"/>
      <c r="EL189" s="46"/>
      <c r="EM189" s="46"/>
      <c r="EN189" s="46"/>
      <c r="EO189" s="46"/>
      <c r="EP189" s="46"/>
      <c r="EQ189" s="46"/>
      <c r="ER189" s="46"/>
      <c r="ES189" s="46"/>
      <c r="ET189" s="46"/>
      <c r="EU189" s="46"/>
      <c r="EV189" s="46"/>
      <c r="EW189" s="46"/>
      <c r="EX189" s="46"/>
      <c r="EY189" s="46"/>
      <c r="EZ189" s="46"/>
      <c r="FA189" s="46"/>
      <c r="FB189" s="46"/>
      <c r="FC189" s="46"/>
      <c r="FD189" s="46"/>
      <c r="FE189" s="46"/>
      <c r="FF189" s="46"/>
      <c r="FG189" s="46"/>
      <c r="FH189" s="93">
        <f t="shared" si="52"/>
        <v>0</v>
      </c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93">
        <f t="shared" si="65"/>
        <v>0</v>
      </c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93">
        <f t="shared" si="66"/>
        <v>0</v>
      </c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  <c r="IT189" s="46"/>
      <c r="IU189" s="46"/>
      <c r="IV189" s="46"/>
      <c r="IW189" s="46"/>
      <c r="IX189" s="46"/>
      <c r="IY189" s="46"/>
      <c r="IZ189" s="46"/>
      <c r="JA189" s="46"/>
      <c r="JB189" s="46"/>
      <c r="JC189" s="93">
        <f t="shared" si="67"/>
        <v>0</v>
      </c>
      <c r="JE189" s="46"/>
      <c r="JF189" s="46"/>
      <c r="JG189" s="46"/>
      <c r="JH189" s="46"/>
      <c r="JI189" s="46"/>
      <c r="JJ189" s="46"/>
      <c r="JK189" s="46"/>
      <c r="JL189" s="46"/>
      <c r="JM189" s="46"/>
      <c r="JN189" s="46"/>
      <c r="JO189" s="46"/>
      <c r="JP189" s="46"/>
      <c r="JQ189" s="46"/>
      <c r="JR189" s="46"/>
      <c r="JS189" s="46"/>
      <c r="JT189" s="46"/>
      <c r="JU189" s="46"/>
      <c r="JV189" s="46"/>
      <c r="JW189" s="46"/>
      <c r="JX189" s="46"/>
      <c r="JY189" s="46"/>
      <c r="JZ189" s="46"/>
      <c r="KA189" s="46"/>
      <c r="KB189" s="46"/>
      <c r="KC189" s="46"/>
      <c r="KD189" s="46"/>
      <c r="KE189" s="46"/>
      <c r="KF189" s="46"/>
      <c r="KG189" s="46"/>
      <c r="KH189" s="46"/>
      <c r="KI189" s="46"/>
      <c r="KJ189" s="93">
        <f t="shared" si="68"/>
        <v>0</v>
      </c>
    </row>
    <row r="190" spans="1:296" ht="20.149999999999999" customHeight="1" x14ac:dyDescent="0.5">
      <c r="A190" s="11">
        <v>8</v>
      </c>
      <c r="B190" s="178"/>
      <c r="C190" s="144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>
        <f t="shared" si="41"/>
        <v>0</v>
      </c>
      <c r="S190" s="46">
        <f t="shared" si="42"/>
        <v>0</v>
      </c>
      <c r="T190" s="46">
        <f t="shared" si="43"/>
        <v>0</v>
      </c>
      <c r="U190" s="46">
        <f t="shared" si="44"/>
        <v>0</v>
      </c>
      <c r="V190" s="46">
        <f t="shared" si="45"/>
        <v>0</v>
      </c>
      <c r="W190" s="46">
        <f t="shared" si="46"/>
        <v>0</v>
      </c>
      <c r="X190" s="46">
        <f t="shared" si="47"/>
        <v>0</v>
      </c>
      <c r="Y190" s="46">
        <f t="shared" si="48"/>
        <v>0</v>
      </c>
      <c r="Z190" s="90">
        <f t="shared" si="69"/>
        <v>0</v>
      </c>
      <c r="AA190" s="95"/>
      <c r="AB190" s="95">
        <f>'LPLPO PROGRAM'!H21</f>
        <v>0</v>
      </c>
      <c r="AC190" s="91"/>
      <c r="AD190" s="91"/>
      <c r="AE190" s="91"/>
      <c r="AF190" s="91"/>
      <c r="AG190" s="92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93">
        <f t="shared" si="50"/>
        <v>0</v>
      </c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  <c r="CK190" s="46"/>
      <c r="CL190" s="46"/>
      <c r="CM190" s="46"/>
      <c r="CN190" s="46"/>
      <c r="CO190" s="46"/>
      <c r="CP190" s="46"/>
      <c r="CQ190" s="46"/>
      <c r="CR190" s="46"/>
      <c r="CS190" s="46"/>
      <c r="CT190" s="93">
        <f t="shared" si="64"/>
        <v>0</v>
      </c>
      <c r="CV190" s="46"/>
      <c r="CW190" s="46"/>
      <c r="CX190" s="46"/>
      <c r="CY190" s="46"/>
      <c r="CZ190" s="46"/>
      <c r="DA190" s="46"/>
      <c r="DB190" s="46"/>
      <c r="DC190" s="46"/>
      <c r="DD190" s="46"/>
      <c r="DE190" s="46"/>
      <c r="DF190" s="46"/>
      <c r="DG190" s="46"/>
      <c r="DH190" s="46"/>
      <c r="DI190" s="46"/>
      <c r="DJ190" s="46"/>
      <c r="DK190" s="46"/>
      <c r="DL190" s="46"/>
      <c r="DM190" s="46"/>
      <c r="DN190" s="46"/>
      <c r="DO190" s="46"/>
      <c r="DP190" s="46"/>
      <c r="DQ190" s="46"/>
      <c r="DR190" s="46"/>
      <c r="DS190" s="46"/>
      <c r="DT190" s="46"/>
      <c r="DU190" s="46"/>
      <c r="DV190" s="46"/>
      <c r="DW190" s="46"/>
      <c r="DX190" s="46"/>
      <c r="DY190" s="46"/>
      <c r="DZ190" s="46"/>
      <c r="EA190" s="93">
        <f t="shared" si="51"/>
        <v>0</v>
      </c>
      <c r="EC190" s="46"/>
      <c r="ED190" s="46"/>
      <c r="EE190" s="46"/>
      <c r="EF190" s="46"/>
      <c r="EG190" s="46"/>
      <c r="EH190" s="46"/>
      <c r="EI190" s="46"/>
      <c r="EJ190" s="46"/>
      <c r="EK190" s="46"/>
      <c r="EL190" s="46"/>
      <c r="EM190" s="46"/>
      <c r="EN190" s="46"/>
      <c r="EO190" s="46"/>
      <c r="EP190" s="46"/>
      <c r="EQ190" s="46"/>
      <c r="ER190" s="46"/>
      <c r="ES190" s="46"/>
      <c r="ET190" s="46"/>
      <c r="EU190" s="46"/>
      <c r="EV190" s="46"/>
      <c r="EW190" s="46"/>
      <c r="EX190" s="46"/>
      <c r="EY190" s="46"/>
      <c r="EZ190" s="46"/>
      <c r="FA190" s="46"/>
      <c r="FB190" s="46"/>
      <c r="FC190" s="46"/>
      <c r="FD190" s="46"/>
      <c r="FE190" s="46"/>
      <c r="FF190" s="46"/>
      <c r="FG190" s="46"/>
      <c r="FH190" s="93">
        <f t="shared" si="52"/>
        <v>0</v>
      </c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93">
        <f t="shared" si="65"/>
        <v>0</v>
      </c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46"/>
      <c r="HN190" s="46"/>
      <c r="HO190" s="46"/>
      <c r="HP190" s="46"/>
      <c r="HQ190" s="46"/>
      <c r="HR190" s="46"/>
      <c r="HS190" s="46"/>
      <c r="HT190" s="46"/>
      <c r="HU190" s="46"/>
      <c r="HV190" s="93">
        <f t="shared" si="66"/>
        <v>0</v>
      </c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  <c r="IT190" s="46"/>
      <c r="IU190" s="46"/>
      <c r="IV190" s="46"/>
      <c r="IW190" s="46"/>
      <c r="IX190" s="46"/>
      <c r="IY190" s="46"/>
      <c r="IZ190" s="46"/>
      <c r="JA190" s="46"/>
      <c r="JB190" s="46"/>
      <c r="JC190" s="93">
        <f t="shared" si="67"/>
        <v>0</v>
      </c>
      <c r="JE190" s="46"/>
      <c r="JF190" s="46"/>
      <c r="JG190" s="46"/>
      <c r="JH190" s="46"/>
      <c r="JI190" s="46"/>
      <c r="JJ190" s="46"/>
      <c r="JK190" s="46"/>
      <c r="JL190" s="46"/>
      <c r="JM190" s="46"/>
      <c r="JN190" s="46"/>
      <c r="JO190" s="46"/>
      <c r="JP190" s="46"/>
      <c r="JQ190" s="46"/>
      <c r="JR190" s="46"/>
      <c r="JS190" s="46"/>
      <c r="JT190" s="46"/>
      <c r="JU190" s="46"/>
      <c r="JV190" s="46"/>
      <c r="JW190" s="46"/>
      <c r="JX190" s="46"/>
      <c r="JY190" s="46"/>
      <c r="JZ190" s="46"/>
      <c r="KA190" s="46"/>
      <c r="KB190" s="46"/>
      <c r="KC190" s="46"/>
      <c r="KD190" s="46"/>
      <c r="KE190" s="46"/>
      <c r="KF190" s="46"/>
      <c r="KG190" s="46"/>
      <c r="KH190" s="46"/>
      <c r="KI190" s="46"/>
      <c r="KJ190" s="93">
        <f t="shared" si="68"/>
        <v>0</v>
      </c>
    </row>
    <row r="191" spans="1:296" ht="20.149999999999999" customHeight="1" x14ac:dyDescent="0.5">
      <c r="A191" s="11">
        <v>9</v>
      </c>
      <c r="B191" s="178"/>
      <c r="C191" s="144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>
        <f t="shared" si="41"/>
        <v>0</v>
      </c>
      <c r="S191" s="46">
        <f t="shared" si="42"/>
        <v>0</v>
      </c>
      <c r="T191" s="46">
        <f t="shared" si="43"/>
        <v>0</v>
      </c>
      <c r="U191" s="46">
        <f t="shared" si="44"/>
        <v>0</v>
      </c>
      <c r="V191" s="46">
        <f t="shared" si="45"/>
        <v>0</v>
      </c>
      <c r="W191" s="46">
        <f t="shared" si="46"/>
        <v>0</v>
      </c>
      <c r="X191" s="46">
        <f t="shared" si="47"/>
        <v>0</v>
      </c>
      <c r="Y191" s="46">
        <f t="shared" si="48"/>
        <v>0</v>
      </c>
      <c r="Z191" s="90">
        <f t="shared" si="69"/>
        <v>0</v>
      </c>
      <c r="AA191" s="95"/>
      <c r="AB191" s="95">
        <f>'LPLPO PROGRAM'!H22</f>
        <v>0</v>
      </c>
      <c r="AC191" s="91"/>
      <c r="AD191" s="91"/>
      <c r="AE191" s="91"/>
      <c r="AF191" s="91"/>
      <c r="AG191" s="92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93">
        <f t="shared" si="50"/>
        <v>0</v>
      </c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  <c r="CK191" s="46"/>
      <c r="CL191" s="46"/>
      <c r="CM191" s="46"/>
      <c r="CN191" s="46"/>
      <c r="CO191" s="46"/>
      <c r="CP191" s="46"/>
      <c r="CQ191" s="46"/>
      <c r="CR191" s="46"/>
      <c r="CS191" s="46"/>
      <c r="CT191" s="93">
        <f t="shared" si="64"/>
        <v>0</v>
      </c>
      <c r="CV191" s="46"/>
      <c r="CW191" s="46"/>
      <c r="CX191" s="46"/>
      <c r="CY191" s="46"/>
      <c r="CZ191" s="46"/>
      <c r="DA191" s="46"/>
      <c r="DB191" s="46"/>
      <c r="DC191" s="46"/>
      <c r="DD191" s="46"/>
      <c r="DE191" s="46"/>
      <c r="DF191" s="46"/>
      <c r="DG191" s="46"/>
      <c r="DH191" s="46"/>
      <c r="DI191" s="46"/>
      <c r="DJ191" s="46"/>
      <c r="DK191" s="46"/>
      <c r="DL191" s="46"/>
      <c r="DM191" s="46"/>
      <c r="DN191" s="46"/>
      <c r="DO191" s="46"/>
      <c r="DP191" s="46"/>
      <c r="DQ191" s="46"/>
      <c r="DR191" s="46"/>
      <c r="DS191" s="46"/>
      <c r="DT191" s="46"/>
      <c r="DU191" s="46"/>
      <c r="DV191" s="46"/>
      <c r="DW191" s="46"/>
      <c r="DX191" s="46"/>
      <c r="DY191" s="46"/>
      <c r="DZ191" s="46"/>
      <c r="EA191" s="93">
        <f t="shared" si="51"/>
        <v>0</v>
      </c>
      <c r="EC191" s="46"/>
      <c r="ED191" s="46"/>
      <c r="EE191" s="46"/>
      <c r="EF191" s="46"/>
      <c r="EG191" s="46"/>
      <c r="EH191" s="46"/>
      <c r="EI191" s="46"/>
      <c r="EJ191" s="46"/>
      <c r="EK191" s="46"/>
      <c r="EL191" s="46"/>
      <c r="EM191" s="46"/>
      <c r="EN191" s="46"/>
      <c r="EO191" s="46"/>
      <c r="EP191" s="46"/>
      <c r="EQ191" s="46"/>
      <c r="ER191" s="46"/>
      <c r="ES191" s="46"/>
      <c r="ET191" s="46"/>
      <c r="EU191" s="46"/>
      <c r="EV191" s="46"/>
      <c r="EW191" s="46"/>
      <c r="EX191" s="46"/>
      <c r="EY191" s="46"/>
      <c r="EZ191" s="46"/>
      <c r="FA191" s="46"/>
      <c r="FB191" s="46"/>
      <c r="FC191" s="46"/>
      <c r="FD191" s="46"/>
      <c r="FE191" s="46"/>
      <c r="FF191" s="46"/>
      <c r="FG191" s="46"/>
      <c r="FH191" s="93">
        <f t="shared" si="52"/>
        <v>0</v>
      </c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93">
        <f t="shared" si="65"/>
        <v>0</v>
      </c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46"/>
      <c r="HC191" s="46"/>
      <c r="HD191" s="46"/>
      <c r="HE191" s="46"/>
      <c r="HF191" s="46"/>
      <c r="HG191" s="46"/>
      <c r="HH191" s="46"/>
      <c r="HI191" s="46"/>
      <c r="HJ191" s="46"/>
      <c r="HK191" s="46"/>
      <c r="HL191" s="46"/>
      <c r="HM191" s="46"/>
      <c r="HN191" s="46"/>
      <c r="HO191" s="46"/>
      <c r="HP191" s="46"/>
      <c r="HQ191" s="46"/>
      <c r="HR191" s="46"/>
      <c r="HS191" s="46"/>
      <c r="HT191" s="46"/>
      <c r="HU191" s="46"/>
      <c r="HV191" s="93">
        <f t="shared" si="66"/>
        <v>0</v>
      </c>
      <c r="HX191" s="46"/>
      <c r="HY191" s="46"/>
      <c r="HZ191" s="46"/>
      <c r="IA191" s="46"/>
      <c r="IB191" s="46"/>
      <c r="IC191" s="46"/>
      <c r="ID191" s="46"/>
      <c r="IE191" s="46"/>
      <c r="IF191" s="46"/>
      <c r="IG191" s="46"/>
      <c r="IH191" s="46"/>
      <c r="II191" s="46"/>
      <c r="IJ191" s="46"/>
      <c r="IK191" s="46"/>
      <c r="IL191" s="46"/>
      <c r="IM191" s="46"/>
      <c r="IN191" s="46"/>
      <c r="IO191" s="46"/>
      <c r="IP191" s="46"/>
      <c r="IQ191" s="46"/>
      <c r="IR191" s="46"/>
      <c r="IS191" s="46"/>
      <c r="IT191" s="46"/>
      <c r="IU191" s="46"/>
      <c r="IV191" s="46"/>
      <c r="IW191" s="46"/>
      <c r="IX191" s="46"/>
      <c r="IY191" s="46"/>
      <c r="IZ191" s="46"/>
      <c r="JA191" s="46"/>
      <c r="JB191" s="46"/>
      <c r="JC191" s="93">
        <f t="shared" si="67"/>
        <v>0</v>
      </c>
      <c r="JE191" s="46"/>
      <c r="JF191" s="46"/>
      <c r="JG191" s="46"/>
      <c r="JH191" s="46"/>
      <c r="JI191" s="46"/>
      <c r="JJ191" s="46"/>
      <c r="JK191" s="46"/>
      <c r="JL191" s="46"/>
      <c r="JM191" s="46"/>
      <c r="JN191" s="46"/>
      <c r="JO191" s="46"/>
      <c r="JP191" s="46"/>
      <c r="JQ191" s="46"/>
      <c r="JR191" s="46"/>
      <c r="JS191" s="46"/>
      <c r="JT191" s="46"/>
      <c r="JU191" s="46"/>
      <c r="JV191" s="46"/>
      <c r="JW191" s="46"/>
      <c r="JX191" s="46"/>
      <c r="JY191" s="46"/>
      <c r="JZ191" s="46"/>
      <c r="KA191" s="46"/>
      <c r="KB191" s="46"/>
      <c r="KC191" s="46"/>
      <c r="KD191" s="46"/>
      <c r="KE191" s="46"/>
      <c r="KF191" s="46"/>
      <c r="KG191" s="46"/>
      <c r="KH191" s="46"/>
      <c r="KI191" s="46"/>
      <c r="KJ191" s="93">
        <f t="shared" si="68"/>
        <v>0</v>
      </c>
    </row>
    <row r="192" spans="1:296" ht="20.149999999999999" customHeight="1" x14ac:dyDescent="0.5">
      <c r="A192" s="11">
        <v>10</v>
      </c>
      <c r="B192" s="178"/>
      <c r="C192" s="144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>
        <f t="shared" si="41"/>
        <v>0</v>
      </c>
      <c r="S192" s="46">
        <f t="shared" si="42"/>
        <v>0</v>
      </c>
      <c r="T192" s="46">
        <f t="shared" si="43"/>
        <v>0</v>
      </c>
      <c r="U192" s="46">
        <f t="shared" si="44"/>
        <v>0</v>
      </c>
      <c r="V192" s="46">
        <f t="shared" si="45"/>
        <v>0</v>
      </c>
      <c r="W192" s="46">
        <f t="shared" si="46"/>
        <v>0</v>
      </c>
      <c r="X192" s="46">
        <f t="shared" si="47"/>
        <v>0</v>
      </c>
      <c r="Y192" s="46">
        <f t="shared" si="48"/>
        <v>0</v>
      </c>
      <c r="Z192" s="90">
        <f t="shared" si="69"/>
        <v>0</v>
      </c>
      <c r="AA192" s="95"/>
      <c r="AB192" s="95">
        <f>'LPLPO PROGRAM'!H23</f>
        <v>0</v>
      </c>
      <c r="AC192" s="91"/>
      <c r="AD192" s="91"/>
      <c r="AE192" s="91"/>
      <c r="AF192" s="91"/>
      <c r="AG192" s="92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93">
        <f t="shared" si="50"/>
        <v>0</v>
      </c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  <c r="CK192" s="46"/>
      <c r="CL192" s="46"/>
      <c r="CM192" s="46"/>
      <c r="CN192" s="46"/>
      <c r="CO192" s="46"/>
      <c r="CP192" s="46"/>
      <c r="CQ192" s="46"/>
      <c r="CR192" s="46"/>
      <c r="CS192" s="46"/>
      <c r="CT192" s="93">
        <f t="shared" si="64"/>
        <v>0</v>
      </c>
      <c r="CV192" s="46"/>
      <c r="CW192" s="46"/>
      <c r="CX192" s="46"/>
      <c r="CY192" s="46"/>
      <c r="CZ192" s="46"/>
      <c r="DA192" s="46"/>
      <c r="DB192" s="46"/>
      <c r="DC192" s="46"/>
      <c r="DD192" s="46"/>
      <c r="DE192" s="46"/>
      <c r="DF192" s="46"/>
      <c r="DG192" s="46"/>
      <c r="DH192" s="46"/>
      <c r="DI192" s="46"/>
      <c r="DJ192" s="46"/>
      <c r="DK192" s="46"/>
      <c r="DL192" s="46"/>
      <c r="DM192" s="46"/>
      <c r="DN192" s="46"/>
      <c r="DO192" s="46"/>
      <c r="DP192" s="46"/>
      <c r="DQ192" s="46"/>
      <c r="DR192" s="46"/>
      <c r="DS192" s="46"/>
      <c r="DT192" s="46"/>
      <c r="DU192" s="46"/>
      <c r="DV192" s="46"/>
      <c r="DW192" s="46"/>
      <c r="DX192" s="46"/>
      <c r="DY192" s="46"/>
      <c r="DZ192" s="46"/>
      <c r="EA192" s="93">
        <f t="shared" si="51"/>
        <v>0</v>
      </c>
      <c r="EC192" s="46"/>
      <c r="ED192" s="46"/>
      <c r="EE192" s="46"/>
      <c r="EF192" s="46"/>
      <c r="EG192" s="46"/>
      <c r="EH192" s="46"/>
      <c r="EI192" s="46"/>
      <c r="EJ192" s="46"/>
      <c r="EK192" s="46"/>
      <c r="EL192" s="46"/>
      <c r="EM192" s="46"/>
      <c r="EN192" s="46"/>
      <c r="EO192" s="46"/>
      <c r="EP192" s="46"/>
      <c r="EQ192" s="46"/>
      <c r="ER192" s="46"/>
      <c r="ES192" s="46"/>
      <c r="ET192" s="46"/>
      <c r="EU192" s="46"/>
      <c r="EV192" s="46"/>
      <c r="EW192" s="46"/>
      <c r="EX192" s="46"/>
      <c r="EY192" s="46"/>
      <c r="EZ192" s="46"/>
      <c r="FA192" s="46"/>
      <c r="FB192" s="46"/>
      <c r="FC192" s="46"/>
      <c r="FD192" s="46"/>
      <c r="FE192" s="46"/>
      <c r="FF192" s="46"/>
      <c r="FG192" s="46"/>
      <c r="FH192" s="93">
        <f t="shared" si="52"/>
        <v>0</v>
      </c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93">
        <f t="shared" si="65"/>
        <v>0</v>
      </c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93">
        <f t="shared" si="66"/>
        <v>0</v>
      </c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  <c r="IT192" s="46"/>
      <c r="IU192" s="46"/>
      <c r="IV192" s="46"/>
      <c r="IW192" s="46"/>
      <c r="IX192" s="46"/>
      <c r="IY192" s="46"/>
      <c r="IZ192" s="46"/>
      <c r="JA192" s="46"/>
      <c r="JB192" s="46"/>
      <c r="JC192" s="93">
        <f t="shared" si="67"/>
        <v>0</v>
      </c>
      <c r="JE192" s="46"/>
      <c r="JF192" s="46"/>
      <c r="JG192" s="46"/>
      <c r="JH192" s="46"/>
      <c r="JI192" s="46"/>
      <c r="JJ192" s="46"/>
      <c r="JK192" s="46"/>
      <c r="JL192" s="46"/>
      <c r="JM192" s="46"/>
      <c r="JN192" s="46"/>
      <c r="JO192" s="46"/>
      <c r="JP192" s="46"/>
      <c r="JQ192" s="46"/>
      <c r="JR192" s="46"/>
      <c r="JS192" s="46"/>
      <c r="JT192" s="46"/>
      <c r="JU192" s="46"/>
      <c r="JV192" s="46"/>
      <c r="JW192" s="46"/>
      <c r="JX192" s="46"/>
      <c r="JY192" s="46"/>
      <c r="JZ192" s="46"/>
      <c r="KA192" s="46"/>
      <c r="KB192" s="46"/>
      <c r="KC192" s="46"/>
      <c r="KD192" s="46"/>
      <c r="KE192" s="46"/>
      <c r="KF192" s="46"/>
      <c r="KG192" s="46"/>
      <c r="KH192" s="46"/>
      <c r="KI192" s="46"/>
      <c r="KJ192" s="93">
        <f t="shared" si="68"/>
        <v>0</v>
      </c>
    </row>
    <row r="193" spans="1:296" ht="20.149999999999999" customHeight="1" x14ac:dyDescent="0.5">
      <c r="A193" s="187">
        <v>11</v>
      </c>
      <c r="B193" s="188" t="s">
        <v>178</v>
      </c>
      <c r="C193" s="1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>
        <f t="shared" si="41"/>
        <v>0</v>
      </c>
      <c r="S193" s="46">
        <f t="shared" si="42"/>
        <v>0</v>
      </c>
      <c r="T193" s="46">
        <f t="shared" si="43"/>
        <v>0</v>
      </c>
      <c r="U193" s="46">
        <f t="shared" si="44"/>
        <v>0</v>
      </c>
      <c r="V193" s="46">
        <f t="shared" si="45"/>
        <v>0</v>
      </c>
      <c r="W193" s="46">
        <f t="shared" si="46"/>
        <v>0</v>
      </c>
      <c r="X193" s="46">
        <f t="shared" si="47"/>
        <v>0</v>
      </c>
      <c r="Y193" s="46">
        <f t="shared" si="48"/>
        <v>0</v>
      </c>
      <c r="Z193" s="90">
        <f t="shared" si="69"/>
        <v>0</v>
      </c>
      <c r="AA193" s="95"/>
      <c r="AB193" s="95">
        <f>'LPLPO PROGRAM'!H24</f>
        <v>0</v>
      </c>
      <c r="AC193" s="91"/>
      <c r="AD193" s="91"/>
      <c r="AE193" s="91"/>
      <c r="AF193" s="91"/>
      <c r="AG193" s="92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93">
        <f t="shared" si="50"/>
        <v>0</v>
      </c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  <c r="CK193" s="46"/>
      <c r="CL193" s="46"/>
      <c r="CM193" s="46"/>
      <c r="CN193" s="46"/>
      <c r="CO193" s="46"/>
      <c r="CP193" s="46"/>
      <c r="CQ193" s="46"/>
      <c r="CR193" s="46"/>
      <c r="CS193" s="46"/>
      <c r="CT193" s="93">
        <f t="shared" si="64"/>
        <v>0</v>
      </c>
      <c r="CV193" s="46"/>
      <c r="CW193" s="46"/>
      <c r="CX193" s="46"/>
      <c r="CY193" s="46"/>
      <c r="CZ193" s="46"/>
      <c r="DA193" s="46"/>
      <c r="DB193" s="46"/>
      <c r="DC193" s="46"/>
      <c r="DD193" s="46"/>
      <c r="DE193" s="46"/>
      <c r="DF193" s="46"/>
      <c r="DG193" s="46"/>
      <c r="DH193" s="46"/>
      <c r="DI193" s="46"/>
      <c r="DJ193" s="46"/>
      <c r="DK193" s="46"/>
      <c r="DL193" s="46"/>
      <c r="DM193" s="46"/>
      <c r="DN193" s="46"/>
      <c r="DO193" s="46"/>
      <c r="DP193" s="46"/>
      <c r="DQ193" s="46"/>
      <c r="DR193" s="46"/>
      <c r="DS193" s="46"/>
      <c r="DT193" s="46"/>
      <c r="DU193" s="46"/>
      <c r="DV193" s="46"/>
      <c r="DW193" s="46"/>
      <c r="DX193" s="46"/>
      <c r="DY193" s="46"/>
      <c r="DZ193" s="46"/>
      <c r="EA193" s="93">
        <f t="shared" si="51"/>
        <v>0</v>
      </c>
      <c r="EC193" s="46"/>
      <c r="ED193" s="46"/>
      <c r="EE193" s="46"/>
      <c r="EF193" s="46"/>
      <c r="EG193" s="46"/>
      <c r="EH193" s="46"/>
      <c r="EI193" s="46"/>
      <c r="EJ193" s="46"/>
      <c r="EK193" s="46"/>
      <c r="EL193" s="46"/>
      <c r="EM193" s="46"/>
      <c r="EN193" s="46"/>
      <c r="EO193" s="46"/>
      <c r="EP193" s="46"/>
      <c r="EQ193" s="46"/>
      <c r="ER193" s="46"/>
      <c r="ES193" s="46"/>
      <c r="ET193" s="46"/>
      <c r="EU193" s="46"/>
      <c r="EV193" s="46"/>
      <c r="EW193" s="46"/>
      <c r="EX193" s="46"/>
      <c r="EY193" s="46"/>
      <c r="EZ193" s="46"/>
      <c r="FA193" s="46"/>
      <c r="FB193" s="46"/>
      <c r="FC193" s="46"/>
      <c r="FD193" s="46"/>
      <c r="FE193" s="46"/>
      <c r="FF193" s="46"/>
      <c r="FG193" s="46"/>
      <c r="FH193" s="93">
        <f t="shared" si="52"/>
        <v>0</v>
      </c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93">
        <f t="shared" si="65"/>
        <v>0</v>
      </c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93">
        <f t="shared" si="66"/>
        <v>0</v>
      </c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  <c r="IT193" s="46"/>
      <c r="IU193" s="46"/>
      <c r="IV193" s="46"/>
      <c r="IW193" s="46"/>
      <c r="IX193" s="46"/>
      <c r="IY193" s="46"/>
      <c r="IZ193" s="46"/>
      <c r="JA193" s="46"/>
      <c r="JB193" s="46"/>
      <c r="JC193" s="93">
        <f t="shared" si="67"/>
        <v>0</v>
      </c>
      <c r="JE193" s="46"/>
      <c r="JF193" s="46"/>
      <c r="JG193" s="46"/>
      <c r="JH193" s="46"/>
      <c r="JI193" s="46"/>
      <c r="JJ193" s="46"/>
      <c r="JK193" s="46"/>
      <c r="JL193" s="46"/>
      <c r="JM193" s="46"/>
      <c r="JN193" s="46"/>
      <c r="JO193" s="46"/>
      <c r="JP193" s="46"/>
      <c r="JQ193" s="46"/>
      <c r="JR193" s="46"/>
      <c r="JS193" s="46"/>
      <c r="JT193" s="46"/>
      <c r="JU193" s="46"/>
      <c r="JV193" s="46"/>
      <c r="JW193" s="46"/>
      <c r="JX193" s="46"/>
      <c r="JY193" s="46"/>
      <c r="JZ193" s="46"/>
      <c r="KA193" s="46"/>
      <c r="KB193" s="46"/>
      <c r="KC193" s="46"/>
      <c r="KD193" s="46"/>
      <c r="KE193" s="46"/>
      <c r="KF193" s="46"/>
      <c r="KG193" s="46"/>
      <c r="KH193" s="46"/>
      <c r="KI193" s="46"/>
      <c r="KJ193" s="93">
        <f t="shared" si="68"/>
        <v>0</v>
      </c>
    </row>
    <row r="194" spans="1:296" ht="20.149999999999999" customHeight="1" x14ac:dyDescent="0.5">
      <c r="A194" s="11">
        <v>12</v>
      </c>
      <c r="B194" s="182" t="s">
        <v>179</v>
      </c>
      <c r="C194" s="144" t="s">
        <v>4</v>
      </c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>
        <f t="shared" si="41"/>
        <v>0</v>
      </c>
      <c r="S194" s="46">
        <f t="shared" si="42"/>
        <v>0</v>
      </c>
      <c r="T194" s="46">
        <f t="shared" si="43"/>
        <v>0</v>
      </c>
      <c r="U194" s="46">
        <f t="shared" si="44"/>
        <v>0</v>
      </c>
      <c r="V194" s="46">
        <f t="shared" si="45"/>
        <v>0</v>
      </c>
      <c r="W194" s="46">
        <f t="shared" si="46"/>
        <v>0</v>
      </c>
      <c r="X194" s="46">
        <f t="shared" si="47"/>
        <v>0</v>
      </c>
      <c r="Y194" s="46">
        <f t="shared" si="48"/>
        <v>0</v>
      </c>
      <c r="Z194" s="90">
        <f t="shared" si="69"/>
        <v>0</v>
      </c>
      <c r="AA194" s="95"/>
      <c r="AB194" s="95">
        <f>'LPLPO PROGRAM'!H25</f>
        <v>0</v>
      </c>
      <c r="AC194" s="91"/>
      <c r="AD194" s="91"/>
      <c r="AE194" s="91"/>
      <c r="AF194" s="91"/>
      <c r="AG194" s="92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93">
        <f t="shared" si="50"/>
        <v>0</v>
      </c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  <c r="CK194" s="46"/>
      <c r="CL194" s="46"/>
      <c r="CM194" s="46"/>
      <c r="CN194" s="46"/>
      <c r="CO194" s="46"/>
      <c r="CP194" s="46"/>
      <c r="CQ194" s="46"/>
      <c r="CR194" s="46"/>
      <c r="CS194" s="46"/>
      <c r="CT194" s="93">
        <f t="shared" si="64"/>
        <v>0</v>
      </c>
      <c r="CV194" s="46"/>
      <c r="CW194" s="46"/>
      <c r="CX194" s="46"/>
      <c r="CY194" s="46"/>
      <c r="CZ194" s="46"/>
      <c r="DA194" s="46"/>
      <c r="DB194" s="46"/>
      <c r="DC194" s="46"/>
      <c r="DD194" s="46"/>
      <c r="DE194" s="46"/>
      <c r="DF194" s="46"/>
      <c r="DG194" s="46"/>
      <c r="DH194" s="46"/>
      <c r="DI194" s="46"/>
      <c r="DJ194" s="46"/>
      <c r="DK194" s="46"/>
      <c r="DL194" s="46"/>
      <c r="DM194" s="46"/>
      <c r="DN194" s="46"/>
      <c r="DO194" s="46"/>
      <c r="DP194" s="46"/>
      <c r="DQ194" s="46"/>
      <c r="DR194" s="46"/>
      <c r="DS194" s="46"/>
      <c r="DT194" s="46"/>
      <c r="DU194" s="46"/>
      <c r="DV194" s="46"/>
      <c r="DW194" s="46"/>
      <c r="DX194" s="46"/>
      <c r="DY194" s="46"/>
      <c r="DZ194" s="46"/>
      <c r="EA194" s="93">
        <f t="shared" si="51"/>
        <v>0</v>
      </c>
      <c r="EC194" s="46"/>
      <c r="ED194" s="46"/>
      <c r="EE194" s="46"/>
      <c r="EF194" s="46"/>
      <c r="EG194" s="46"/>
      <c r="EH194" s="46"/>
      <c r="EI194" s="46"/>
      <c r="EJ194" s="46"/>
      <c r="EK194" s="46"/>
      <c r="EL194" s="46"/>
      <c r="EM194" s="46"/>
      <c r="EN194" s="46"/>
      <c r="EO194" s="46"/>
      <c r="EP194" s="46"/>
      <c r="EQ194" s="46"/>
      <c r="ER194" s="46"/>
      <c r="ES194" s="46"/>
      <c r="ET194" s="46"/>
      <c r="EU194" s="46"/>
      <c r="EV194" s="46"/>
      <c r="EW194" s="46"/>
      <c r="EX194" s="46"/>
      <c r="EY194" s="46"/>
      <c r="EZ194" s="46"/>
      <c r="FA194" s="46"/>
      <c r="FB194" s="46"/>
      <c r="FC194" s="46"/>
      <c r="FD194" s="46"/>
      <c r="FE194" s="46"/>
      <c r="FF194" s="46"/>
      <c r="FG194" s="46"/>
      <c r="FH194" s="93">
        <f t="shared" si="52"/>
        <v>0</v>
      </c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93">
        <f t="shared" si="65"/>
        <v>0</v>
      </c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93">
        <f t="shared" si="66"/>
        <v>0</v>
      </c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  <c r="IT194" s="46"/>
      <c r="IU194" s="46"/>
      <c r="IV194" s="46"/>
      <c r="IW194" s="46"/>
      <c r="IX194" s="46"/>
      <c r="IY194" s="46"/>
      <c r="IZ194" s="46"/>
      <c r="JA194" s="46"/>
      <c r="JB194" s="46"/>
      <c r="JC194" s="93">
        <f t="shared" si="67"/>
        <v>0</v>
      </c>
      <c r="JE194" s="46"/>
      <c r="JF194" s="46"/>
      <c r="JG194" s="46"/>
      <c r="JH194" s="46"/>
      <c r="JI194" s="46"/>
      <c r="JJ194" s="46"/>
      <c r="JK194" s="46"/>
      <c r="JL194" s="46"/>
      <c r="JM194" s="46"/>
      <c r="JN194" s="46"/>
      <c r="JO194" s="46"/>
      <c r="JP194" s="46"/>
      <c r="JQ194" s="46"/>
      <c r="JR194" s="46"/>
      <c r="JS194" s="46"/>
      <c r="JT194" s="46"/>
      <c r="JU194" s="46"/>
      <c r="JV194" s="46"/>
      <c r="JW194" s="46"/>
      <c r="JX194" s="46"/>
      <c r="JY194" s="46"/>
      <c r="JZ194" s="46"/>
      <c r="KA194" s="46"/>
      <c r="KB194" s="46"/>
      <c r="KC194" s="46"/>
      <c r="KD194" s="46"/>
      <c r="KE194" s="46"/>
      <c r="KF194" s="46"/>
      <c r="KG194" s="46"/>
      <c r="KH194" s="46"/>
      <c r="KI194" s="46"/>
      <c r="KJ194" s="93">
        <f t="shared" si="68"/>
        <v>0</v>
      </c>
    </row>
    <row r="195" spans="1:296" ht="20.149999999999999" customHeight="1" x14ac:dyDescent="0.5">
      <c r="A195" s="11">
        <v>13</v>
      </c>
      <c r="B195" s="183" t="s">
        <v>181</v>
      </c>
      <c r="C195" s="144" t="s">
        <v>182</v>
      </c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>
        <f t="shared" si="41"/>
        <v>0</v>
      </c>
      <c r="S195" s="46">
        <f t="shared" si="42"/>
        <v>0</v>
      </c>
      <c r="T195" s="46">
        <f t="shared" si="43"/>
        <v>0</v>
      </c>
      <c r="U195" s="46">
        <f t="shared" si="44"/>
        <v>0</v>
      </c>
      <c r="V195" s="46">
        <f t="shared" si="45"/>
        <v>0</v>
      </c>
      <c r="W195" s="46">
        <f t="shared" si="46"/>
        <v>0</v>
      </c>
      <c r="X195" s="46">
        <f t="shared" si="47"/>
        <v>0</v>
      </c>
      <c r="Y195" s="46">
        <f t="shared" si="48"/>
        <v>0</v>
      </c>
      <c r="Z195" s="90">
        <f t="shared" si="69"/>
        <v>0</v>
      </c>
      <c r="AA195" s="95"/>
      <c r="AB195" s="95">
        <f>'LPLPO PROGRAM'!H26</f>
        <v>0</v>
      </c>
      <c r="AC195" s="91"/>
      <c r="AD195" s="91"/>
      <c r="AE195" s="91"/>
      <c r="AF195" s="91"/>
      <c r="AG195" s="92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93">
        <f t="shared" si="50"/>
        <v>0</v>
      </c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  <c r="CK195" s="46"/>
      <c r="CL195" s="46"/>
      <c r="CM195" s="46"/>
      <c r="CN195" s="46"/>
      <c r="CO195" s="46"/>
      <c r="CP195" s="46"/>
      <c r="CQ195" s="46"/>
      <c r="CR195" s="46"/>
      <c r="CS195" s="46"/>
      <c r="CT195" s="93">
        <f t="shared" si="64"/>
        <v>0</v>
      </c>
      <c r="CV195" s="46"/>
      <c r="CW195" s="46"/>
      <c r="CX195" s="46"/>
      <c r="CY195" s="46"/>
      <c r="CZ195" s="46"/>
      <c r="DA195" s="46"/>
      <c r="DB195" s="46"/>
      <c r="DC195" s="46"/>
      <c r="DD195" s="46"/>
      <c r="DE195" s="46"/>
      <c r="DF195" s="46"/>
      <c r="DG195" s="46"/>
      <c r="DH195" s="46"/>
      <c r="DI195" s="46"/>
      <c r="DJ195" s="46"/>
      <c r="DK195" s="46"/>
      <c r="DL195" s="46"/>
      <c r="DM195" s="46"/>
      <c r="DN195" s="46"/>
      <c r="DO195" s="46"/>
      <c r="DP195" s="46"/>
      <c r="DQ195" s="46"/>
      <c r="DR195" s="46"/>
      <c r="DS195" s="46"/>
      <c r="DT195" s="46"/>
      <c r="DU195" s="46"/>
      <c r="DV195" s="46"/>
      <c r="DW195" s="46"/>
      <c r="DX195" s="46"/>
      <c r="DY195" s="46"/>
      <c r="DZ195" s="46"/>
      <c r="EA195" s="93">
        <f t="shared" si="51"/>
        <v>0</v>
      </c>
      <c r="EC195" s="46"/>
      <c r="ED195" s="46"/>
      <c r="EE195" s="46"/>
      <c r="EF195" s="46"/>
      <c r="EG195" s="46"/>
      <c r="EH195" s="46"/>
      <c r="EI195" s="46"/>
      <c r="EJ195" s="46"/>
      <c r="EK195" s="46"/>
      <c r="EL195" s="46"/>
      <c r="EM195" s="46"/>
      <c r="EN195" s="46"/>
      <c r="EO195" s="46"/>
      <c r="EP195" s="46"/>
      <c r="EQ195" s="46"/>
      <c r="ER195" s="46"/>
      <c r="ES195" s="46"/>
      <c r="ET195" s="46"/>
      <c r="EU195" s="46"/>
      <c r="EV195" s="46"/>
      <c r="EW195" s="46"/>
      <c r="EX195" s="46"/>
      <c r="EY195" s="46"/>
      <c r="EZ195" s="46"/>
      <c r="FA195" s="46"/>
      <c r="FB195" s="46"/>
      <c r="FC195" s="46"/>
      <c r="FD195" s="46"/>
      <c r="FE195" s="46"/>
      <c r="FF195" s="46"/>
      <c r="FG195" s="46"/>
      <c r="FH195" s="93">
        <f t="shared" si="52"/>
        <v>0</v>
      </c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93">
        <f t="shared" si="65"/>
        <v>0</v>
      </c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93">
        <f t="shared" si="66"/>
        <v>0</v>
      </c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  <c r="IT195" s="46"/>
      <c r="IU195" s="46"/>
      <c r="IV195" s="46"/>
      <c r="IW195" s="46"/>
      <c r="IX195" s="46"/>
      <c r="IY195" s="46"/>
      <c r="IZ195" s="46"/>
      <c r="JA195" s="46"/>
      <c r="JB195" s="46"/>
      <c r="JC195" s="93">
        <f t="shared" si="67"/>
        <v>0</v>
      </c>
      <c r="JE195" s="46"/>
      <c r="JF195" s="46"/>
      <c r="JG195" s="46"/>
      <c r="JH195" s="46"/>
      <c r="JI195" s="46"/>
      <c r="JJ195" s="46"/>
      <c r="JK195" s="46"/>
      <c r="JL195" s="46"/>
      <c r="JM195" s="46"/>
      <c r="JN195" s="46"/>
      <c r="JO195" s="46"/>
      <c r="JP195" s="46"/>
      <c r="JQ195" s="46"/>
      <c r="JR195" s="46"/>
      <c r="JS195" s="46"/>
      <c r="JT195" s="46"/>
      <c r="JU195" s="46"/>
      <c r="JV195" s="46"/>
      <c r="JW195" s="46"/>
      <c r="JX195" s="46"/>
      <c r="JY195" s="46"/>
      <c r="JZ195" s="46"/>
      <c r="KA195" s="46"/>
      <c r="KB195" s="46"/>
      <c r="KC195" s="46"/>
      <c r="KD195" s="46"/>
      <c r="KE195" s="46"/>
      <c r="KF195" s="46"/>
      <c r="KG195" s="46"/>
      <c r="KH195" s="46"/>
      <c r="KI195" s="46"/>
      <c r="KJ195" s="93">
        <f t="shared" si="68"/>
        <v>0</v>
      </c>
    </row>
    <row r="196" spans="1:296" ht="20.149999999999999" customHeight="1" x14ac:dyDescent="0.5">
      <c r="A196" s="11">
        <v>14</v>
      </c>
      <c r="B196" s="183" t="s">
        <v>184</v>
      </c>
      <c r="C196" s="144" t="s">
        <v>4</v>
      </c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>
        <f t="shared" si="41"/>
        <v>0</v>
      </c>
      <c r="S196" s="46">
        <f t="shared" si="42"/>
        <v>0</v>
      </c>
      <c r="T196" s="46">
        <f t="shared" si="43"/>
        <v>0</v>
      </c>
      <c r="U196" s="46">
        <f t="shared" si="44"/>
        <v>0</v>
      </c>
      <c r="V196" s="46">
        <f t="shared" si="45"/>
        <v>0</v>
      </c>
      <c r="W196" s="46">
        <f t="shared" si="46"/>
        <v>0</v>
      </c>
      <c r="X196" s="46">
        <f t="shared" si="47"/>
        <v>0</v>
      </c>
      <c r="Y196" s="46">
        <f t="shared" si="48"/>
        <v>0</v>
      </c>
      <c r="Z196" s="90">
        <f t="shared" si="69"/>
        <v>0</v>
      </c>
      <c r="AA196" s="95"/>
      <c r="AB196" s="95">
        <f>'LPLPO PROGRAM'!H27</f>
        <v>0</v>
      </c>
      <c r="AC196" s="91"/>
      <c r="AD196" s="91"/>
      <c r="AE196" s="91"/>
      <c r="AF196" s="91"/>
      <c r="AG196" s="92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93">
        <f t="shared" si="50"/>
        <v>0</v>
      </c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  <c r="CK196" s="46"/>
      <c r="CL196" s="46"/>
      <c r="CM196" s="46"/>
      <c r="CN196" s="46"/>
      <c r="CO196" s="46"/>
      <c r="CP196" s="46"/>
      <c r="CQ196" s="46"/>
      <c r="CR196" s="46"/>
      <c r="CS196" s="46"/>
      <c r="CT196" s="93">
        <f t="shared" si="64"/>
        <v>0</v>
      </c>
      <c r="CV196" s="46"/>
      <c r="CW196" s="46"/>
      <c r="CX196" s="46"/>
      <c r="CY196" s="46"/>
      <c r="CZ196" s="46"/>
      <c r="DA196" s="46"/>
      <c r="DB196" s="46"/>
      <c r="DC196" s="46"/>
      <c r="DD196" s="46"/>
      <c r="DE196" s="46"/>
      <c r="DF196" s="46"/>
      <c r="DG196" s="46"/>
      <c r="DH196" s="46"/>
      <c r="DI196" s="46"/>
      <c r="DJ196" s="46"/>
      <c r="DK196" s="46"/>
      <c r="DL196" s="46"/>
      <c r="DM196" s="46"/>
      <c r="DN196" s="46"/>
      <c r="DO196" s="46"/>
      <c r="DP196" s="46"/>
      <c r="DQ196" s="46"/>
      <c r="DR196" s="46"/>
      <c r="DS196" s="46"/>
      <c r="DT196" s="46"/>
      <c r="DU196" s="46"/>
      <c r="DV196" s="46"/>
      <c r="DW196" s="46"/>
      <c r="DX196" s="46"/>
      <c r="DY196" s="46"/>
      <c r="DZ196" s="46"/>
      <c r="EA196" s="93">
        <f t="shared" si="51"/>
        <v>0</v>
      </c>
      <c r="EC196" s="46"/>
      <c r="ED196" s="46"/>
      <c r="EE196" s="46"/>
      <c r="EF196" s="46"/>
      <c r="EG196" s="46"/>
      <c r="EH196" s="46"/>
      <c r="EI196" s="46"/>
      <c r="EJ196" s="46"/>
      <c r="EK196" s="46"/>
      <c r="EL196" s="46"/>
      <c r="EM196" s="46"/>
      <c r="EN196" s="46"/>
      <c r="EO196" s="46"/>
      <c r="EP196" s="46"/>
      <c r="EQ196" s="46"/>
      <c r="ER196" s="46"/>
      <c r="ES196" s="46"/>
      <c r="ET196" s="46"/>
      <c r="EU196" s="46"/>
      <c r="EV196" s="46"/>
      <c r="EW196" s="46"/>
      <c r="EX196" s="46"/>
      <c r="EY196" s="46"/>
      <c r="EZ196" s="46"/>
      <c r="FA196" s="46"/>
      <c r="FB196" s="46"/>
      <c r="FC196" s="46"/>
      <c r="FD196" s="46"/>
      <c r="FE196" s="46"/>
      <c r="FF196" s="46"/>
      <c r="FG196" s="46"/>
      <c r="FH196" s="93">
        <f t="shared" si="52"/>
        <v>0</v>
      </c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93">
        <f t="shared" si="65"/>
        <v>0</v>
      </c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93">
        <f t="shared" si="66"/>
        <v>0</v>
      </c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  <c r="IT196" s="46"/>
      <c r="IU196" s="46"/>
      <c r="IV196" s="46"/>
      <c r="IW196" s="46"/>
      <c r="IX196" s="46"/>
      <c r="IY196" s="46"/>
      <c r="IZ196" s="46"/>
      <c r="JA196" s="46"/>
      <c r="JB196" s="46"/>
      <c r="JC196" s="93">
        <f t="shared" si="67"/>
        <v>0</v>
      </c>
      <c r="JE196" s="46"/>
      <c r="JF196" s="46"/>
      <c r="JG196" s="46"/>
      <c r="JH196" s="46"/>
      <c r="JI196" s="46"/>
      <c r="JJ196" s="46"/>
      <c r="JK196" s="46"/>
      <c r="JL196" s="46"/>
      <c r="JM196" s="46"/>
      <c r="JN196" s="46"/>
      <c r="JO196" s="46"/>
      <c r="JP196" s="46"/>
      <c r="JQ196" s="46"/>
      <c r="JR196" s="46"/>
      <c r="JS196" s="46"/>
      <c r="JT196" s="46"/>
      <c r="JU196" s="46"/>
      <c r="JV196" s="46"/>
      <c r="JW196" s="46"/>
      <c r="JX196" s="46"/>
      <c r="JY196" s="46"/>
      <c r="JZ196" s="46"/>
      <c r="KA196" s="46"/>
      <c r="KB196" s="46"/>
      <c r="KC196" s="46"/>
      <c r="KD196" s="46"/>
      <c r="KE196" s="46"/>
      <c r="KF196" s="46"/>
      <c r="KG196" s="46"/>
      <c r="KH196" s="46"/>
      <c r="KI196" s="46"/>
      <c r="KJ196" s="93">
        <f t="shared" si="68"/>
        <v>0</v>
      </c>
    </row>
    <row r="197" spans="1:296" ht="20.149999999999999" customHeight="1" x14ac:dyDescent="0.5">
      <c r="A197" s="11">
        <v>15</v>
      </c>
      <c r="B197" s="183" t="s">
        <v>353</v>
      </c>
      <c r="C197" s="144" t="s">
        <v>48</v>
      </c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>
        <f t="shared" si="41"/>
        <v>0</v>
      </c>
      <c r="S197" s="46">
        <f t="shared" si="42"/>
        <v>0</v>
      </c>
      <c r="T197" s="46">
        <f t="shared" si="43"/>
        <v>0</v>
      </c>
      <c r="U197" s="46">
        <f t="shared" si="44"/>
        <v>0</v>
      </c>
      <c r="V197" s="46">
        <f t="shared" si="45"/>
        <v>0</v>
      </c>
      <c r="W197" s="46">
        <f t="shared" si="46"/>
        <v>0</v>
      </c>
      <c r="X197" s="46">
        <f t="shared" si="47"/>
        <v>0</v>
      </c>
      <c r="Y197" s="46">
        <f t="shared" si="48"/>
        <v>0</v>
      </c>
      <c r="Z197" s="90">
        <f t="shared" si="69"/>
        <v>0</v>
      </c>
      <c r="AA197" s="95"/>
      <c r="AB197" s="95">
        <f>'LPLPO PROGRAM'!H28</f>
        <v>0</v>
      </c>
      <c r="AC197" s="91"/>
      <c r="AD197" s="91"/>
      <c r="AE197" s="91"/>
      <c r="AF197" s="91"/>
      <c r="AG197" s="92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93">
        <f t="shared" si="50"/>
        <v>0</v>
      </c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  <c r="CK197" s="46"/>
      <c r="CL197" s="46"/>
      <c r="CM197" s="46"/>
      <c r="CN197" s="46"/>
      <c r="CO197" s="46"/>
      <c r="CP197" s="46"/>
      <c r="CQ197" s="46"/>
      <c r="CR197" s="46"/>
      <c r="CS197" s="46"/>
      <c r="CT197" s="93">
        <f t="shared" si="64"/>
        <v>0</v>
      </c>
      <c r="CV197" s="46"/>
      <c r="CW197" s="46"/>
      <c r="CX197" s="46"/>
      <c r="CY197" s="46"/>
      <c r="CZ197" s="46"/>
      <c r="DA197" s="46"/>
      <c r="DB197" s="46"/>
      <c r="DC197" s="46"/>
      <c r="DD197" s="46"/>
      <c r="DE197" s="46"/>
      <c r="DF197" s="46"/>
      <c r="DG197" s="46"/>
      <c r="DH197" s="46"/>
      <c r="DI197" s="46"/>
      <c r="DJ197" s="46"/>
      <c r="DK197" s="46"/>
      <c r="DL197" s="46"/>
      <c r="DM197" s="46"/>
      <c r="DN197" s="46"/>
      <c r="DO197" s="46"/>
      <c r="DP197" s="46"/>
      <c r="DQ197" s="46"/>
      <c r="DR197" s="46"/>
      <c r="DS197" s="46"/>
      <c r="DT197" s="46"/>
      <c r="DU197" s="46"/>
      <c r="DV197" s="46"/>
      <c r="DW197" s="46"/>
      <c r="DX197" s="46"/>
      <c r="DY197" s="46"/>
      <c r="DZ197" s="46"/>
      <c r="EA197" s="93">
        <f t="shared" si="51"/>
        <v>0</v>
      </c>
      <c r="EC197" s="46"/>
      <c r="ED197" s="46"/>
      <c r="EE197" s="46"/>
      <c r="EF197" s="46"/>
      <c r="EG197" s="46"/>
      <c r="EH197" s="46"/>
      <c r="EI197" s="46"/>
      <c r="EJ197" s="46"/>
      <c r="EK197" s="46"/>
      <c r="EL197" s="46"/>
      <c r="EM197" s="46"/>
      <c r="EN197" s="46"/>
      <c r="EO197" s="46"/>
      <c r="EP197" s="46"/>
      <c r="EQ197" s="46"/>
      <c r="ER197" s="46"/>
      <c r="ES197" s="46"/>
      <c r="ET197" s="46"/>
      <c r="EU197" s="46"/>
      <c r="EV197" s="46"/>
      <c r="EW197" s="46"/>
      <c r="EX197" s="46"/>
      <c r="EY197" s="46"/>
      <c r="EZ197" s="46"/>
      <c r="FA197" s="46"/>
      <c r="FB197" s="46"/>
      <c r="FC197" s="46"/>
      <c r="FD197" s="46"/>
      <c r="FE197" s="46"/>
      <c r="FF197" s="46"/>
      <c r="FG197" s="46"/>
      <c r="FH197" s="93">
        <f t="shared" si="52"/>
        <v>0</v>
      </c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93">
        <f t="shared" si="65"/>
        <v>0</v>
      </c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93">
        <f t="shared" si="66"/>
        <v>0</v>
      </c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  <c r="IT197" s="46"/>
      <c r="IU197" s="46"/>
      <c r="IV197" s="46"/>
      <c r="IW197" s="46"/>
      <c r="IX197" s="46"/>
      <c r="IY197" s="46"/>
      <c r="IZ197" s="46"/>
      <c r="JA197" s="46"/>
      <c r="JB197" s="46"/>
      <c r="JC197" s="93">
        <f t="shared" si="67"/>
        <v>0</v>
      </c>
      <c r="JE197" s="46"/>
      <c r="JF197" s="46"/>
      <c r="JG197" s="46"/>
      <c r="JH197" s="46"/>
      <c r="JI197" s="46"/>
      <c r="JJ197" s="46"/>
      <c r="JK197" s="46"/>
      <c r="JL197" s="46"/>
      <c r="JM197" s="46"/>
      <c r="JN197" s="46"/>
      <c r="JO197" s="46"/>
      <c r="JP197" s="46"/>
      <c r="JQ197" s="46"/>
      <c r="JR197" s="46"/>
      <c r="JS197" s="46"/>
      <c r="JT197" s="46"/>
      <c r="JU197" s="46"/>
      <c r="JV197" s="46"/>
      <c r="JW197" s="46"/>
      <c r="JX197" s="46"/>
      <c r="JY197" s="46"/>
      <c r="JZ197" s="46"/>
      <c r="KA197" s="46"/>
      <c r="KB197" s="46"/>
      <c r="KC197" s="46"/>
      <c r="KD197" s="46"/>
      <c r="KE197" s="46"/>
      <c r="KF197" s="46"/>
      <c r="KG197" s="46"/>
      <c r="KH197" s="46"/>
      <c r="KI197" s="46"/>
      <c r="KJ197" s="93">
        <f t="shared" si="68"/>
        <v>0</v>
      </c>
    </row>
    <row r="198" spans="1:296" ht="20.149999999999999" customHeight="1" x14ac:dyDescent="0.5">
      <c r="A198" s="11">
        <v>16</v>
      </c>
      <c r="B198" s="178" t="s">
        <v>183</v>
      </c>
      <c r="C198" s="144" t="s">
        <v>4</v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>
        <f t="shared" si="41"/>
        <v>0</v>
      </c>
      <c r="S198" s="46">
        <f t="shared" si="42"/>
        <v>0</v>
      </c>
      <c r="T198" s="46">
        <f t="shared" si="43"/>
        <v>0</v>
      </c>
      <c r="U198" s="46">
        <f t="shared" si="44"/>
        <v>0</v>
      </c>
      <c r="V198" s="46">
        <f t="shared" si="45"/>
        <v>0</v>
      </c>
      <c r="W198" s="46">
        <f t="shared" si="46"/>
        <v>0</v>
      </c>
      <c r="X198" s="46">
        <f t="shared" si="47"/>
        <v>0</v>
      </c>
      <c r="Y198" s="46">
        <f t="shared" si="48"/>
        <v>0</v>
      </c>
      <c r="Z198" s="90">
        <f t="shared" si="69"/>
        <v>0</v>
      </c>
      <c r="AA198" s="95"/>
      <c r="AB198" s="95">
        <f>'LPLPO PROGRAM'!H29</f>
        <v>0</v>
      </c>
      <c r="AC198" s="91"/>
      <c r="AD198" s="91"/>
      <c r="AE198" s="91"/>
      <c r="AF198" s="91"/>
      <c r="AG198" s="92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93">
        <f t="shared" si="50"/>
        <v>0</v>
      </c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  <c r="CK198" s="46"/>
      <c r="CL198" s="46"/>
      <c r="CM198" s="46"/>
      <c r="CN198" s="46"/>
      <c r="CO198" s="46"/>
      <c r="CP198" s="46"/>
      <c r="CQ198" s="46"/>
      <c r="CR198" s="46"/>
      <c r="CS198" s="46"/>
      <c r="CT198" s="93">
        <f t="shared" si="64"/>
        <v>0</v>
      </c>
      <c r="CV198" s="46"/>
      <c r="CW198" s="46"/>
      <c r="CX198" s="46"/>
      <c r="CY198" s="46"/>
      <c r="CZ198" s="46"/>
      <c r="DA198" s="46"/>
      <c r="DB198" s="46"/>
      <c r="DC198" s="46"/>
      <c r="DD198" s="46"/>
      <c r="DE198" s="46"/>
      <c r="DF198" s="46"/>
      <c r="DG198" s="46"/>
      <c r="DH198" s="46"/>
      <c r="DI198" s="46"/>
      <c r="DJ198" s="46"/>
      <c r="DK198" s="46"/>
      <c r="DL198" s="46"/>
      <c r="DM198" s="46"/>
      <c r="DN198" s="46"/>
      <c r="DO198" s="46"/>
      <c r="DP198" s="46"/>
      <c r="DQ198" s="46"/>
      <c r="DR198" s="46"/>
      <c r="DS198" s="46"/>
      <c r="DT198" s="46"/>
      <c r="DU198" s="46"/>
      <c r="DV198" s="46"/>
      <c r="DW198" s="46"/>
      <c r="DX198" s="46"/>
      <c r="DY198" s="46"/>
      <c r="DZ198" s="46"/>
      <c r="EA198" s="93">
        <f t="shared" si="51"/>
        <v>0</v>
      </c>
      <c r="EC198" s="46"/>
      <c r="ED198" s="46"/>
      <c r="EE198" s="46"/>
      <c r="EF198" s="46"/>
      <c r="EG198" s="46"/>
      <c r="EH198" s="46"/>
      <c r="EI198" s="46"/>
      <c r="EJ198" s="46"/>
      <c r="EK198" s="46"/>
      <c r="EL198" s="46"/>
      <c r="EM198" s="46"/>
      <c r="EN198" s="46"/>
      <c r="EO198" s="46"/>
      <c r="EP198" s="46"/>
      <c r="EQ198" s="46"/>
      <c r="ER198" s="46"/>
      <c r="ES198" s="46"/>
      <c r="ET198" s="46"/>
      <c r="EU198" s="46"/>
      <c r="EV198" s="46"/>
      <c r="EW198" s="46"/>
      <c r="EX198" s="46"/>
      <c r="EY198" s="46"/>
      <c r="EZ198" s="46"/>
      <c r="FA198" s="46"/>
      <c r="FB198" s="46"/>
      <c r="FC198" s="46"/>
      <c r="FD198" s="46"/>
      <c r="FE198" s="46"/>
      <c r="FF198" s="46"/>
      <c r="FG198" s="46"/>
      <c r="FH198" s="93">
        <f t="shared" si="52"/>
        <v>0</v>
      </c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93">
        <f t="shared" si="65"/>
        <v>0</v>
      </c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93">
        <f t="shared" si="66"/>
        <v>0</v>
      </c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  <c r="IT198" s="46"/>
      <c r="IU198" s="46"/>
      <c r="IV198" s="46"/>
      <c r="IW198" s="46"/>
      <c r="IX198" s="46"/>
      <c r="IY198" s="46"/>
      <c r="IZ198" s="46"/>
      <c r="JA198" s="46"/>
      <c r="JB198" s="46"/>
      <c r="JC198" s="93">
        <f t="shared" si="67"/>
        <v>0</v>
      </c>
      <c r="JE198" s="46"/>
      <c r="JF198" s="46"/>
      <c r="JG198" s="46"/>
      <c r="JH198" s="46"/>
      <c r="JI198" s="46"/>
      <c r="JJ198" s="46"/>
      <c r="JK198" s="46"/>
      <c r="JL198" s="46"/>
      <c r="JM198" s="46"/>
      <c r="JN198" s="46"/>
      <c r="JO198" s="46"/>
      <c r="JP198" s="46"/>
      <c r="JQ198" s="46"/>
      <c r="JR198" s="46"/>
      <c r="JS198" s="46"/>
      <c r="JT198" s="46"/>
      <c r="JU198" s="46"/>
      <c r="JV198" s="46"/>
      <c r="JW198" s="46"/>
      <c r="JX198" s="46"/>
      <c r="JY198" s="46"/>
      <c r="JZ198" s="46"/>
      <c r="KA198" s="46"/>
      <c r="KB198" s="46"/>
      <c r="KC198" s="46"/>
      <c r="KD198" s="46"/>
      <c r="KE198" s="46"/>
      <c r="KF198" s="46"/>
      <c r="KG198" s="46"/>
      <c r="KH198" s="46"/>
      <c r="KI198" s="46"/>
      <c r="KJ198" s="93">
        <f t="shared" si="68"/>
        <v>0</v>
      </c>
    </row>
    <row r="199" spans="1:296" ht="20.149999999999999" customHeight="1" x14ac:dyDescent="0.5">
      <c r="A199" s="11">
        <v>17</v>
      </c>
      <c r="B199" s="178" t="s">
        <v>180</v>
      </c>
      <c r="C199" s="144" t="s">
        <v>4</v>
      </c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>
        <f t="shared" si="41"/>
        <v>0</v>
      </c>
      <c r="S199" s="46">
        <f t="shared" si="42"/>
        <v>0</v>
      </c>
      <c r="T199" s="46">
        <f t="shared" si="43"/>
        <v>0</v>
      </c>
      <c r="U199" s="46">
        <f t="shared" si="44"/>
        <v>0</v>
      </c>
      <c r="V199" s="46">
        <f t="shared" si="45"/>
        <v>40</v>
      </c>
      <c r="W199" s="46">
        <f t="shared" si="46"/>
        <v>0</v>
      </c>
      <c r="X199" s="46">
        <f t="shared" si="47"/>
        <v>0</v>
      </c>
      <c r="Y199" s="46">
        <f t="shared" si="48"/>
        <v>0</v>
      </c>
      <c r="Z199" s="90">
        <f t="shared" si="69"/>
        <v>40</v>
      </c>
      <c r="AA199" s="95"/>
      <c r="AB199" s="95">
        <f>'LPLPO PROGRAM'!H30</f>
        <v>0</v>
      </c>
      <c r="AC199" s="91" t="s">
        <v>420</v>
      </c>
      <c r="AD199" s="91"/>
      <c r="AE199" s="91"/>
      <c r="AF199" s="91"/>
      <c r="AG199" s="92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93">
        <f t="shared" si="50"/>
        <v>0</v>
      </c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  <c r="CK199" s="46"/>
      <c r="CL199" s="46"/>
      <c r="CM199" s="46"/>
      <c r="CN199" s="46"/>
      <c r="CO199" s="46"/>
      <c r="CP199" s="46"/>
      <c r="CQ199" s="46"/>
      <c r="CR199" s="46"/>
      <c r="CS199" s="46"/>
      <c r="CT199" s="93">
        <f t="shared" si="64"/>
        <v>0</v>
      </c>
      <c r="CV199" s="46"/>
      <c r="CW199" s="46"/>
      <c r="CX199" s="46"/>
      <c r="CY199" s="46"/>
      <c r="CZ199" s="46"/>
      <c r="DA199" s="46"/>
      <c r="DB199" s="46"/>
      <c r="DC199" s="46"/>
      <c r="DD199" s="46"/>
      <c r="DE199" s="46"/>
      <c r="DF199" s="46"/>
      <c r="DG199" s="46"/>
      <c r="DH199" s="46"/>
      <c r="DI199" s="46"/>
      <c r="DJ199" s="46"/>
      <c r="DK199" s="46"/>
      <c r="DL199" s="46"/>
      <c r="DM199" s="46"/>
      <c r="DN199" s="46"/>
      <c r="DO199" s="46"/>
      <c r="DP199" s="46"/>
      <c r="DQ199" s="46"/>
      <c r="DR199" s="46"/>
      <c r="DS199" s="46"/>
      <c r="DT199" s="46"/>
      <c r="DU199" s="46"/>
      <c r="DV199" s="46"/>
      <c r="DW199" s="46"/>
      <c r="DX199" s="46"/>
      <c r="DY199" s="46"/>
      <c r="DZ199" s="46"/>
      <c r="EA199" s="93">
        <f t="shared" si="51"/>
        <v>0</v>
      </c>
      <c r="EC199" s="46"/>
      <c r="ED199" s="46"/>
      <c r="EE199" s="46"/>
      <c r="EF199" s="46"/>
      <c r="EG199" s="46"/>
      <c r="EH199" s="46"/>
      <c r="EI199" s="46"/>
      <c r="EJ199" s="46"/>
      <c r="EK199" s="46"/>
      <c r="EL199" s="46"/>
      <c r="EM199" s="46"/>
      <c r="EN199" s="46"/>
      <c r="EO199" s="46"/>
      <c r="EP199" s="46"/>
      <c r="EQ199" s="46"/>
      <c r="ER199" s="46"/>
      <c r="ES199" s="46"/>
      <c r="ET199" s="46"/>
      <c r="EU199" s="46"/>
      <c r="EV199" s="46"/>
      <c r="EW199" s="46"/>
      <c r="EX199" s="46"/>
      <c r="EY199" s="46"/>
      <c r="EZ199" s="46"/>
      <c r="FA199" s="46"/>
      <c r="FB199" s="46"/>
      <c r="FC199" s="46"/>
      <c r="FD199" s="46"/>
      <c r="FE199" s="46"/>
      <c r="FF199" s="46"/>
      <c r="FG199" s="46"/>
      <c r="FH199" s="93">
        <f t="shared" si="52"/>
        <v>0</v>
      </c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>
        <v>40</v>
      </c>
      <c r="GH199" s="46"/>
      <c r="GI199" s="46"/>
      <c r="GJ199" s="46"/>
      <c r="GK199" s="46"/>
      <c r="GL199" s="46"/>
      <c r="GM199" s="46"/>
      <c r="GN199" s="46"/>
      <c r="GO199" s="93">
        <f t="shared" si="65"/>
        <v>40</v>
      </c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93">
        <f t="shared" si="66"/>
        <v>0</v>
      </c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  <c r="IT199" s="46"/>
      <c r="IU199" s="46"/>
      <c r="IV199" s="46"/>
      <c r="IW199" s="46"/>
      <c r="IX199" s="46"/>
      <c r="IY199" s="46"/>
      <c r="IZ199" s="46"/>
      <c r="JA199" s="46"/>
      <c r="JB199" s="46"/>
      <c r="JC199" s="93">
        <f t="shared" si="67"/>
        <v>0</v>
      </c>
      <c r="JE199" s="46"/>
      <c r="JF199" s="46"/>
      <c r="JG199" s="46"/>
      <c r="JH199" s="46"/>
      <c r="JI199" s="46"/>
      <c r="JJ199" s="46"/>
      <c r="JK199" s="46"/>
      <c r="JL199" s="46"/>
      <c r="JM199" s="46"/>
      <c r="JN199" s="46"/>
      <c r="JO199" s="46"/>
      <c r="JP199" s="46"/>
      <c r="JQ199" s="46"/>
      <c r="JR199" s="46"/>
      <c r="JS199" s="46"/>
      <c r="JT199" s="46"/>
      <c r="JU199" s="46"/>
      <c r="JV199" s="46"/>
      <c r="JW199" s="46"/>
      <c r="JX199" s="46"/>
      <c r="JY199" s="46"/>
      <c r="JZ199" s="46"/>
      <c r="KA199" s="46"/>
      <c r="KB199" s="46"/>
      <c r="KC199" s="46"/>
      <c r="KD199" s="46"/>
      <c r="KE199" s="46"/>
      <c r="KF199" s="46"/>
      <c r="KG199" s="46"/>
      <c r="KH199" s="46"/>
      <c r="KI199" s="46"/>
      <c r="KJ199" s="93">
        <f t="shared" si="68"/>
        <v>0</v>
      </c>
    </row>
    <row r="200" spans="1:296" ht="20.149999999999999" customHeight="1" x14ac:dyDescent="0.5">
      <c r="A200" s="11">
        <v>18</v>
      </c>
      <c r="B200" s="178" t="s">
        <v>185</v>
      </c>
      <c r="C200" s="144" t="s">
        <v>4</v>
      </c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>
        <f t="shared" si="41"/>
        <v>0</v>
      </c>
      <c r="S200" s="46">
        <f t="shared" si="42"/>
        <v>0</v>
      </c>
      <c r="T200" s="46">
        <f t="shared" si="43"/>
        <v>0</v>
      </c>
      <c r="U200" s="46">
        <f t="shared" si="44"/>
        <v>0</v>
      </c>
      <c r="V200" s="46">
        <f t="shared" si="45"/>
        <v>0</v>
      </c>
      <c r="W200" s="46">
        <f t="shared" si="46"/>
        <v>0</v>
      </c>
      <c r="X200" s="46">
        <f t="shared" si="47"/>
        <v>0</v>
      </c>
      <c r="Y200" s="46">
        <f t="shared" si="48"/>
        <v>0</v>
      </c>
      <c r="Z200" s="90">
        <f t="shared" si="69"/>
        <v>0</v>
      </c>
      <c r="AA200" s="95"/>
      <c r="AB200" s="95">
        <f>'LPLPO PROGRAM'!H31</f>
        <v>0</v>
      </c>
      <c r="AC200" s="91"/>
      <c r="AD200" s="91"/>
      <c r="AE200" s="91"/>
      <c r="AF200" s="91"/>
      <c r="AG200" s="92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93">
        <f t="shared" si="50"/>
        <v>0</v>
      </c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  <c r="CK200" s="46"/>
      <c r="CL200" s="46"/>
      <c r="CM200" s="46"/>
      <c r="CN200" s="46"/>
      <c r="CO200" s="46"/>
      <c r="CP200" s="46"/>
      <c r="CQ200" s="46"/>
      <c r="CR200" s="46"/>
      <c r="CS200" s="46"/>
      <c r="CT200" s="93">
        <f t="shared" si="64"/>
        <v>0</v>
      </c>
      <c r="CV200" s="46"/>
      <c r="CW200" s="46"/>
      <c r="CX200" s="46"/>
      <c r="CY200" s="46"/>
      <c r="CZ200" s="46"/>
      <c r="DA200" s="46"/>
      <c r="DB200" s="46"/>
      <c r="DC200" s="46"/>
      <c r="DD200" s="46"/>
      <c r="DE200" s="46"/>
      <c r="DF200" s="46"/>
      <c r="DG200" s="46"/>
      <c r="DH200" s="46"/>
      <c r="DI200" s="46"/>
      <c r="DJ200" s="46"/>
      <c r="DK200" s="46"/>
      <c r="DL200" s="46"/>
      <c r="DM200" s="46"/>
      <c r="DN200" s="46"/>
      <c r="DO200" s="46"/>
      <c r="DP200" s="46"/>
      <c r="DQ200" s="46"/>
      <c r="DR200" s="46"/>
      <c r="DS200" s="46"/>
      <c r="DT200" s="46"/>
      <c r="DU200" s="46"/>
      <c r="DV200" s="46"/>
      <c r="DW200" s="46"/>
      <c r="DX200" s="46"/>
      <c r="DY200" s="46"/>
      <c r="DZ200" s="46"/>
      <c r="EA200" s="93">
        <f t="shared" si="51"/>
        <v>0</v>
      </c>
      <c r="EC200" s="46"/>
      <c r="ED200" s="46"/>
      <c r="EE200" s="46"/>
      <c r="EF200" s="46"/>
      <c r="EG200" s="46"/>
      <c r="EH200" s="46"/>
      <c r="EI200" s="46"/>
      <c r="EJ200" s="46"/>
      <c r="EK200" s="46"/>
      <c r="EL200" s="46"/>
      <c r="EM200" s="46"/>
      <c r="EN200" s="46"/>
      <c r="EO200" s="46"/>
      <c r="EP200" s="46"/>
      <c r="EQ200" s="46"/>
      <c r="ER200" s="46"/>
      <c r="ES200" s="46"/>
      <c r="ET200" s="46"/>
      <c r="EU200" s="46"/>
      <c r="EV200" s="46"/>
      <c r="EW200" s="46"/>
      <c r="EX200" s="46"/>
      <c r="EY200" s="46"/>
      <c r="EZ200" s="46"/>
      <c r="FA200" s="46"/>
      <c r="FB200" s="46"/>
      <c r="FC200" s="46"/>
      <c r="FD200" s="46"/>
      <c r="FE200" s="46"/>
      <c r="FF200" s="46"/>
      <c r="FG200" s="46"/>
      <c r="FH200" s="93">
        <f t="shared" si="52"/>
        <v>0</v>
      </c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93">
        <f t="shared" si="65"/>
        <v>0</v>
      </c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46"/>
      <c r="HC200" s="46"/>
      <c r="HD200" s="46"/>
      <c r="HE200" s="46"/>
      <c r="HF200" s="46"/>
      <c r="HG200" s="46"/>
      <c r="HH200" s="46"/>
      <c r="HI200" s="46"/>
      <c r="HJ200" s="46"/>
      <c r="HK200" s="46"/>
      <c r="HL200" s="46"/>
      <c r="HM200" s="46"/>
      <c r="HN200" s="46"/>
      <c r="HO200" s="46"/>
      <c r="HP200" s="46"/>
      <c r="HQ200" s="46"/>
      <c r="HR200" s="46"/>
      <c r="HS200" s="46"/>
      <c r="HT200" s="46"/>
      <c r="HU200" s="46"/>
      <c r="HV200" s="93">
        <f t="shared" si="66"/>
        <v>0</v>
      </c>
      <c r="HX200" s="46"/>
      <c r="HY200" s="46"/>
      <c r="HZ200" s="46"/>
      <c r="IA200" s="46"/>
      <c r="IB200" s="46"/>
      <c r="IC200" s="46"/>
      <c r="ID200" s="46"/>
      <c r="IE200" s="46"/>
      <c r="IF200" s="46"/>
      <c r="IG200" s="46"/>
      <c r="IH200" s="46"/>
      <c r="II200" s="46"/>
      <c r="IJ200" s="46"/>
      <c r="IK200" s="46"/>
      <c r="IL200" s="46"/>
      <c r="IM200" s="46"/>
      <c r="IN200" s="46"/>
      <c r="IO200" s="46"/>
      <c r="IP200" s="46"/>
      <c r="IQ200" s="46"/>
      <c r="IR200" s="46"/>
      <c r="IS200" s="46"/>
      <c r="IT200" s="46"/>
      <c r="IU200" s="46"/>
      <c r="IV200" s="46"/>
      <c r="IW200" s="46"/>
      <c r="IX200" s="46"/>
      <c r="IY200" s="46"/>
      <c r="IZ200" s="46"/>
      <c r="JA200" s="46"/>
      <c r="JB200" s="46"/>
      <c r="JC200" s="93">
        <f t="shared" si="67"/>
        <v>0</v>
      </c>
      <c r="JE200" s="46"/>
      <c r="JF200" s="46"/>
      <c r="JG200" s="46"/>
      <c r="JH200" s="46"/>
      <c r="JI200" s="46"/>
      <c r="JJ200" s="46"/>
      <c r="JK200" s="46"/>
      <c r="JL200" s="46"/>
      <c r="JM200" s="46"/>
      <c r="JN200" s="46"/>
      <c r="JO200" s="46"/>
      <c r="JP200" s="46"/>
      <c r="JQ200" s="46"/>
      <c r="JR200" s="46"/>
      <c r="JS200" s="46"/>
      <c r="JT200" s="46"/>
      <c r="JU200" s="46"/>
      <c r="JV200" s="46"/>
      <c r="JW200" s="46"/>
      <c r="JX200" s="46"/>
      <c r="JY200" s="46"/>
      <c r="JZ200" s="46"/>
      <c r="KA200" s="46"/>
      <c r="KB200" s="46"/>
      <c r="KC200" s="46"/>
      <c r="KD200" s="46"/>
      <c r="KE200" s="46"/>
      <c r="KF200" s="46"/>
      <c r="KG200" s="46"/>
      <c r="KH200" s="46"/>
      <c r="KI200" s="46"/>
      <c r="KJ200" s="93">
        <f t="shared" si="68"/>
        <v>0</v>
      </c>
    </row>
    <row r="201" spans="1:296" ht="20.149999999999999" customHeight="1" x14ac:dyDescent="0.5">
      <c r="A201" s="11">
        <v>19</v>
      </c>
      <c r="B201" s="178" t="s">
        <v>267</v>
      </c>
      <c r="C201" s="144" t="s">
        <v>4</v>
      </c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>
        <f t="shared" si="41"/>
        <v>0</v>
      </c>
      <c r="S201" s="46">
        <f t="shared" si="42"/>
        <v>0</v>
      </c>
      <c r="T201" s="46">
        <f t="shared" si="43"/>
        <v>0</v>
      </c>
      <c r="U201" s="46">
        <f t="shared" si="44"/>
        <v>0</v>
      </c>
      <c r="V201" s="46">
        <f t="shared" si="45"/>
        <v>0</v>
      </c>
      <c r="W201" s="46">
        <f t="shared" si="46"/>
        <v>0</v>
      </c>
      <c r="X201" s="46">
        <f t="shared" si="47"/>
        <v>0</v>
      </c>
      <c r="Y201" s="46">
        <f t="shared" si="48"/>
        <v>0</v>
      </c>
      <c r="Z201" s="90">
        <f t="shared" si="69"/>
        <v>0</v>
      </c>
      <c r="AA201" s="95"/>
      <c r="AB201" s="95">
        <f>'LPLPO PROGRAM'!H32</f>
        <v>0</v>
      </c>
      <c r="AC201" s="91"/>
      <c r="AD201" s="91"/>
      <c r="AE201" s="91"/>
      <c r="AF201" s="91"/>
      <c r="AG201" s="92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93">
        <f t="shared" si="50"/>
        <v>0</v>
      </c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  <c r="CM201" s="46"/>
      <c r="CN201" s="46"/>
      <c r="CO201" s="46"/>
      <c r="CP201" s="46"/>
      <c r="CQ201" s="46"/>
      <c r="CR201" s="46"/>
      <c r="CS201" s="46"/>
      <c r="CT201" s="93">
        <f t="shared" si="64"/>
        <v>0</v>
      </c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  <c r="DF201" s="46"/>
      <c r="DG201" s="46"/>
      <c r="DH201" s="46"/>
      <c r="DI201" s="46"/>
      <c r="DJ201" s="46"/>
      <c r="DK201" s="46"/>
      <c r="DL201" s="46"/>
      <c r="DM201" s="46"/>
      <c r="DN201" s="46"/>
      <c r="DO201" s="46"/>
      <c r="DP201" s="46"/>
      <c r="DQ201" s="46"/>
      <c r="DR201" s="46"/>
      <c r="DS201" s="46"/>
      <c r="DT201" s="46"/>
      <c r="DU201" s="46"/>
      <c r="DV201" s="46"/>
      <c r="DW201" s="46"/>
      <c r="DX201" s="46"/>
      <c r="DY201" s="46"/>
      <c r="DZ201" s="46"/>
      <c r="EA201" s="93">
        <f t="shared" si="51"/>
        <v>0</v>
      </c>
      <c r="EC201" s="46"/>
      <c r="ED201" s="46"/>
      <c r="EE201" s="46"/>
      <c r="EF201" s="46"/>
      <c r="EG201" s="46"/>
      <c r="EH201" s="46"/>
      <c r="EI201" s="46"/>
      <c r="EJ201" s="46"/>
      <c r="EK201" s="46"/>
      <c r="EL201" s="46"/>
      <c r="EM201" s="46"/>
      <c r="EN201" s="46"/>
      <c r="EO201" s="46"/>
      <c r="EP201" s="46"/>
      <c r="EQ201" s="46"/>
      <c r="ER201" s="46"/>
      <c r="ES201" s="46"/>
      <c r="ET201" s="46"/>
      <c r="EU201" s="46"/>
      <c r="EV201" s="46"/>
      <c r="EW201" s="46"/>
      <c r="EX201" s="46"/>
      <c r="EY201" s="46"/>
      <c r="EZ201" s="46"/>
      <c r="FA201" s="46"/>
      <c r="FB201" s="46"/>
      <c r="FC201" s="46"/>
      <c r="FD201" s="46"/>
      <c r="FE201" s="46"/>
      <c r="FF201" s="46"/>
      <c r="FG201" s="46"/>
      <c r="FH201" s="93">
        <f t="shared" si="52"/>
        <v>0</v>
      </c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93">
        <f t="shared" si="65"/>
        <v>0</v>
      </c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93">
        <f t="shared" si="66"/>
        <v>0</v>
      </c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  <c r="IT201" s="46"/>
      <c r="IU201" s="46"/>
      <c r="IV201" s="46"/>
      <c r="IW201" s="46"/>
      <c r="IX201" s="46"/>
      <c r="IY201" s="46"/>
      <c r="IZ201" s="46"/>
      <c r="JA201" s="46"/>
      <c r="JB201" s="46"/>
      <c r="JC201" s="93">
        <f t="shared" si="67"/>
        <v>0</v>
      </c>
      <c r="JE201" s="46"/>
      <c r="JF201" s="46"/>
      <c r="JG201" s="46"/>
      <c r="JH201" s="46"/>
      <c r="JI201" s="46"/>
      <c r="JJ201" s="46"/>
      <c r="JK201" s="46"/>
      <c r="JL201" s="46"/>
      <c r="JM201" s="46"/>
      <c r="JN201" s="46"/>
      <c r="JO201" s="46"/>
      <c r="JP201" s="46"/>
      <c r="JQ201" s="46"/>
      <c r="JR201" s="46"/>
      <c r="JS201" s="46"/>
      <c r="JT201" s="46"/>
      <c r="JU201" s="46"/>
      <c r="JV201" s="46"/>
      <c r="JW201" s="46"/>
      <c r="JX201" s="46"/>
      <c r="JY201" s="46"/>
      <c r="JZ201" s="46"/>
      <c r="KA201" s="46"/>
      <c r="KB201" s="46"/>
      <c r="KC201" s="46"/>
      <c r="KD201" s="46"/>
      <c r="KE201" s="46"/>
      <c r="KF201" s="46"/>
      <c r="KG201" s="46"/>
      <c r="KH201" s="46"/>
      <c r="KI201" s="46"/>
      <c r="KJ201" s="93">
        <f t="shared" si="68"/>
        <v>0</v>
      </c>
    </row>
    <row r="202" spans="1:296" ht="20.149999999999999" customHeight="1" x14ac:dyDescent="0.5">
      <c r="A202" s="11">
        <v>20</v>
      </c>
      <c r="B202" s="178" t="s">
        <v>186</v>
      </c>
      <c r="C202" s="144" t="s">
        <v>4</v>
      </c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>
        <f t="shared" si="41"/>
        <v>0</v>
      </c>
      <c r="S202" s="46">
        <f t="shared" si="42"/>
        <v>0</v>
      </c>
      <c r="T202" s="46">
        <f t="shared" si="43"/>
        <v>0</v>
      </c>
      <c r="U202" s="46">
        <f t="shared" si="44"/>
        <v>0</v>
      </c>
      <c r="V202" s="46">
        <f t="shared" si="45"/>
        <v>0</v>
      </c>
      <c r="W202" s="46">
        <f t="shared" si="46"/>
        <v>0</v>
      </c>
      <c r="X202" s="46">
        <f t="shared" si="47"/>
        <v>0</v>
      </c>
      <c r="Y202" s="46">
        <f t="shared" si="48"/>
        <v>0</v>
      </c>
      <c r="Z202" s="90">
        <f t="shared" si="69"/>
        <v>0</v>
      </c>
      <c r="AA202" s="95"/>
      <c r="AB202" s="95">
        <f>'LPLPO PROGRAM'!H33</f>
        <v>0</v>
      </c>
      <c r="AC202" s="91"/>
      <c r="AD202" s="91"/>
      <c r="AE202" s="91"/>
      <c r="AF202" s="91"/>
      <c r="AG202" s="92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93">
        <f t="shared" si="50"/>
        <v>0</v>
      </c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  <c r="CK202" s="46"/>
      <c r="CL202" s="46"/>
      <c r="CM202" s="46"/>
      <c r="CN202" s="46"/>
      <c r="CO202" s="46"/>
      <c r="CP202" s="46"/>
      <c r="CQ202" s="46"/>
      <c r="CR202" s="46"/>
      <c r="CS202" s="46"/>
      <c r="CT202" s="93">
        <f t="shared" si="64"/>
        <v>0</v>
      </c>
      <c r="CV202" s="46"/>
      <c r="CW202" s="46"/>
      <c r="CX202" s="46"/>
      <c r="CY202" s="46"/>
      <c r="CZ202" s="46"/>
      <c r="DA202" s="46"/>
      <c r="DB202" s="46"/>
      <c r="DC202" s="46"/>
      <c r="DD202" s="46"/>
      <c r="DE202" s="46"/>
      <c r="DF202" s="46"/>
      <c r="DG202" s="46"/>
      <c r="DH202" s="46"/>
      <c r="DI202" s="46"/>
      <c r="DJ202" s="46"/>
      <c r="DK202" s="46"/>
      <c r="DL202" s="46"/>
      <c r="DM202" s="46"/>
      <c r="DN202" s="46"/>
      <c r="DO202" s="46"/>
      <c r="DP202" s="46"/>
      <c r="DQ202" s="46"/>
      <c r="DR202" s="46"/>
      <c r="DS202" s="46"/>
      <c r="DT202" s="46"/>
      <c r="DU202" s="46"/>
      <c r="DV202" s="46"/>
      <c r="DW202" s="46"/>
      <c r="DX202" s="46"/>
      <c r="DY202" s="46"/>
      <c r="DZ202" s="46"/>
      <c r="EA202" s="93">
        <f t="shared" si="51"/>
        <v>0</v>
      </c>
      <c r="EC202" s="46"/>
      <c r="ED202" s="46"/>
      <c r="EE202" s="46"/>
      <c r="EF202" s="46"/>
      <c r="EG202" s="46"/>
      <c r="EH202" s="46"/>
      <c r="EI202" s="46"/>
      <c r="EJ202" s="46"/>
      <c r="EK202" s="46"/>
      <c r="EL202" s="46"/>
      <c r="EM202" s="46"/>
      <c r="EN202" s="46"/>
      <c r="EO202" s="46"/>
      <c r="EP202" s="46"/>
      <c r="EQ202" s="46"/>
      <c r="ER202" s="46"/>
      <c r="ES202" s="46"/>
      <c r="ET202" s="46"/>
      <c r="EU202" s="46"/>
      <c r="EV202" s="46"/>
      <c r="EW202" s="46"/>
      <c r="EX202" s="46"/>
      <c r="EY202" s="46"/>
      <c r="EZ202" s="46"/>
      <c r="FA202" s="46"/>
      <c r="FB202" s="46"/>
      <c r="FC202" s="46"/>
      <c r="FD202" s="46"/>
      <c r="FE202" s="46"/>
      <c r="FF202" s="46"/>
      <c r="FG202" s="46"/>
      <c r="FH202" s="93">
        <f t="shared" si="52"/>
        <v>0</v>
      </c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93">
        <f t="shared" si="65"/>
        <v>0</v>
      </c>
      <c r="GQ202" s="46"/>
      <c r="GR202" s="46"/>
      <c r="GS202" s="46"/>
      <c r="GT202" s="46"/>
      <c r="GU202" s="46"/>
      <c r="GV202" s="46"/>
      <c r="GW202" s="46"/>
      <c r="GX202" s="46"/>
      <c r="GY202" s="46"/>
      <c r="GZ202" s="46"/>
      <c r="HA202" s="46"/>
      <c r="HB202" s="46"/>
      <c r="HC202" s="46"/>
      <c r="HD202" s="46"/>
      <c r="HE202" s="46"/>
      <c r="HF202" s="46"/>
      <c r="HG202" s="46"/>
      <c r="HH202" s="46"/>
      <c r="HI202" s="46"/>
      <c r="HJ202" s="46"/>
      <c r="HK202" s="46"/>
      <c r="HL202" s="46"/>
      <c r="HM202" s="46"/>
      <c r="HN202" s="46"/>
      <c r="HO202" s="46"/>
      <c r="HP202" s="46"/>
      <c r="HQ202" s="46"/>
      <c r="HR202" s="46"/>
      <c r="HS202" s="46"/>
      <c r="HT202" s="46"/>
      <c r="HU202" s="46"/>
      <c r="HV202" s="93">
        <f t="shared" si="66"/>
        <v>0</v>
      </c>
      <c r="HX202" s="46"/>
      <c r="HY202" s="46"/>
      <c r="HZ202" s="46"/>
      <c r="IA202" s="46"/>
      <c r="IB202" s="46"/>
      <c r="IC202" s="46"/>
      <c r="ID202" s="46"/>
      <c r="IE202" s="46"/>
      <c r="IF202" s="46"/>
      <c r="IG202" s="46"/>
      <c r="IH202" s="46"/>
      <c r="II202" s="46"/>
      <c r="IJ202" s="46"/>
      <c r="IK202" s="46"/>
      <c r="IL202" s="46"/>
      <c r="IM202" s="46"/>
      <c r="IN202" s="46"/>
      <c r="IO202" s="46"/>
      <c r="IP202" s="46"/>
      <c r="IQ202" s="46"/>
      <c r="IR202" s="46"/>
      <c r="IS202" s="46"/>
      <c r="IT202" s="46"/>
      <c r="IU202" s="46"/>
      <c r="IV202" s="46"/>
      <c r="IW202" s="46"/>
      <c r="IX202" s="46"/>
      <c r="IY202" s="46"/>
      <c r="IZ202" s="46"/>
      <c r="JA202" s="46"/>
      <c r="JB202" s="46"/>
      <c r="JC202" s="93">
        <f t="shared" si="67"/>
        <v>0</v>
      </c>
      <c r="JE202" s="46"/>
      <c r="JF202" s="46"/>
      <c r="JG202" s="46"/>
      <c r="JH202" s="46"/>
      <c r="JI202" s="46"/>
      <c r="JJ202" s="46"/>
      <c r="JK202" s="46"/>
      <c r="JL202" s="46"/>
      <c r="JM202" s="46"/>
      <c r="JN202" s="46"/>
      <c r="JO202" s="46"/>
      <c r="JP202" s="46"/>
      <c r="JQ202" s="46"/>
      <c r="JR202" s="46"/>
      <c r="JS202" s="46"/>
      <c r="JT202" s="46"/>
      <c r="JU202" s="46"/>
      <c r="JV202" s="46"/>
      <c r="JW202" s="46"/>
      <c r="JX202" s="46"/>
      <c r="JY202" s="46"/>
      <c r="JZ202" s="46"/>
      <c r="KA202" s="46"/>
      <c r="KB202" s="46"/>
      <c r="KC202" s="46"/>
      <c r="KD202" s="46"/>
      <c r="KE202" s="46"/>
      <c r="KF202" s="46"/>
      <c r="KG202" s="46"/>
      <c r="KH202" s="46"/>
      <c r="KI202" s="46"/>
      <c r="KJ202" s="93">
        <f t="shared" si="68"/>
        <v>0</v>
      </c>
    </row>
    <row r="203" spans="1:296" ht="20.149999999999999" customHeight="1" x14ac:dyDescent="0.5">
      <c r="A203" s="11">
        <v>21</v>
      </c>
      <c r="B203" s="178" t="s">
        <v>266</v>
      </c>
      <c r="C203" s="144" t="s">
        <v>4</v>
      </c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>
        <f t="shared" ref="R203:R266" si="70">BM203</f>
        <v>20</v>
      </c>
      <c r="S203" s="46">
        <f t="shared" ref="S203:S266" si="71">CT203</f>
        <v>0</v>
      </c>
      <c r="T203" s="46">
        <f t="shared" ref="T203:T266" si="72">EA203</f>
        <v>0</v>
      </c>
      <c r="U203" s="46">
        <f t="shared" ref="U203:U266" si="73">FH203</f>
        <v>0</v>
      </c>
      <c r="V203" s="46">
        <f t="shared" ref="V203:V266" si="74">GO203</f>
        <v>20</v>
      </c>
      <c r="W203" s="46">
        <f t="shared" ref="W203:W266" si="75">HV203</f>
        <v>0</v>
      </c>
      <c r="X203" s="46">
        <f t="shared" ref="X203:X266" si="76">JC203</f>
        <v>0</v>
      </c>
      <c r="Y203" s="46">
        <f t="shared" ref="Y203:Y266" si="77">KJ203</f>
        <v>0</v>
      </c>
      <c r="Z203" s="90">
        <f t="shared" si="69"/>
        <v>40</v>
      </c>
      <c r="AA203" s="95"/>
      <c r="AB203" s="95">
        <f>'LPLPO PROGRAM'!H34</f>
        <v>10</v>
      </c>
      <c r="AC203" s="91"/>
      <c r="AD203" s="91"/>
      <c r="AE203" s="91"/>
      <c r="AF203" s="91"/>
      <c r="AG203" s="92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>
        <v>20</v>
      </c>
      <c r="BJ203" s="46"/>
      <c r="BK203" s="46"/>
      <c r="BL203" s="46"/>
      <c r="BM203" s="93">
        <f t="shared" ref="BM203:BM266" si="78">SUM(AH203:BL203)</f>
        <v>20</v>
      </c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  <c r="CK203" s="46"/>
      <c r="CL203" s="46"/>
      <c r="CM203" s="46"/>
      <c r="CN203" s="46"/>
      <c r="CO203" s="46"/>
      <c r="CP203" s="46"/>
      <c r="CQ203" s="46"/>
      <c r="CR203" s="46"/>
      <c r="CS203" s="46"/>
      <c r="CT203" s="93">
        <f t="shared" si="64"/>
        <v>0</v>
      </c>
      <c r="CV203" s="46"/>
      <c r="CW203" s="46"/>
      <c r="CX203" s="46"/>
      <c r="CY203" s="46"/>
      <c r="CZ203" s="46"/>
      <c r="DA203" s="46"/>
      <c r="DB203" s="46"/>
      <c r="DC203" s="46"/>
      <c r="DD203" s="46"/>
      <c r="DE203" s="46"/>
      <c r="DF203" s="46"/>
      <c r="DG203" s="46"/>
      <c r="DH203" s="46"/>
      <c r="DI203" s="46"/>
      <c r="DJ203" s="46"/>
      <c r="DK203" s="46"/>
      <c r="DL203" s="46"/>
      <c r="DM203" s="46"/>
      <c r="DN203" s="46"/>
      <c r="DO203" s="46"/>
      <c r="DP203" s="46"/>
      <c r="DQ203" s="46"/>
      <c r="DR203" s="46"/>
      <c r="DS203" s="46"/>
      <c r="DT203" s="46"/>
      <c r="DU203" s="46"/>
      <c r="DV203" s="46"/>
      <c r="DW203" s="46"/>
      <c r="DX203" s="46"/>
      <c r="DY203" s="46"/>
      <c r="DZ203" s="46"/>
      <c r="EA203" s="93">
        <f t="shared" ref="EA203:EA266" si="79">SUM(CV203:DZ203)</f>
        <v>0</v>
      </c>
      <c r="EC203" s="46"/>
      <c r="ED203" s="46"/>
      <c r="EE203" s="46"/>
      <c r="EF203" s="46"/>
      <c r="EG203" s="46"/>
      <c r="EH203" s="46"/>
      <c r="EI203" s="46"/>
      <c r="EJ203" s="46"/>
      <c r="EK203" s="46"/>
      <c r="EL203" s="46"/>
      <c r="EM203" s="46"/>
      <c r="EN203" s="46"/>
      <c r="EO203" s="46"/>
      <c r="EP203" s="46"/>
      <c r="EQ203" s="46"/>
      <c r="ER203" s="46"/>
      <c r="ES203" s="46"/>
      <c r="ET203" s="46"/>
      <c r="EU203" s="46"/>
      <c r="EV203" s="46"/>
      <c r="EW203" s="46"/>
      <c r="EX203" s="46"/>
      <c r="EY203" s="46"/>
      <c r="EZ203" s="46"/>
      <c r="FA203" s="46"/>
      <c r="FB203" s="46"/>
      <c r="FC203" s="46"/>
      <c r="FD203" s="46"/>
      <c r="FE203" s="46"/>
      <c r="FF203" s="46"/>
      <c r="FG203" s="46"/>
      <c r="FH203" s="93">
        <f t="shared" ref="FH203:FH266" si="80">SUM(EC203:FG203)</f>
        <v>0</v>
      </c>
      <c r="FJ203" s="46"/>
      <c r="FK203" s="46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>
        <v>20</v>
      </c>
      <c r="GL203" s="46"/>
      <c r="GM203" s="46"/>
      <c r="GN203" s="46"/>
      <c r="GO203" s="93">
        <f t="shared" si="65"/>
        <v>20</v>
      </c>
      <c r="GQ203" s="46"/>
      <c r="GR203" s="46"/>
      <c r="GS203" s="46"/>
      <c r="GT203" s="46"/>
      <c r="GU203" s="46"/>
      <c r="GV203" s="46"/>
      <c r="GW203" s="46"/>
      <c r="GX203" s="46"/>
      <c r="GY203" s="46"/>
      <c r="GZ203" s="46"/>
      <c r="HA203" s="46"/>
      <c r="HB203" s="46"/>
      <c r="HC203" s="46"/>
      <c r="HD203" s="46"/>
      <c r="HE203" s="46"/>
      <c r="HF203" s="46"/>
      <c r="HG203" s="46"/>
      <c r="HH203" s="46"/>
      <c r="HI203" s="46"/>
      <c r="HJ203" s="46"/>
      <c r="HK203" s="46"/>
      <c r="HL203" s="46"/>
      <c r="HM203" s="46"/>
      <c r="HN203" s="46"/>
      <c r="HO203" s="46"/>
      <c r="HP203" s="46"/>
      <c r="HQ203" s="46"/>
      <c r="HR203" s="46"/>
      <c r="HS203" s="46"/>
      <c r="HT203" s="46"/>
      <c r="HU203" s="46"/>
      <c r="HV203" s="93">
        <f t="shared" si="66"/>
        <v>0</v>
      </c>
      <c r="HX203" s="46"/>
      <c r="HY203" s="46"/>
      <c r="HZ203" s="46"/>
      <c r="IA203" s="46"/>
      <c r="IB203" s="46"/>
      <c r="IC203" s="46"/>
      <c r="ID203" s="46"/>
      <c r="IE203" s="46"/>
      <c r="IF203" s="46"/>
      <c r="IG203" s="46"/>
      <c r="IH203" s="46"/>
      <c r="II203" s="46"/>
      <c r="IJ203" s="46"/>
      <c r="IK203" s="46"/>
      <c r="IL203" s="46"/>
      <c r="IM203" s="46"/>
      <c r="IN203" s="46"/>
      <c r="IO203" s="46"/>
      <c r="IP203" s="46"/>
      <c r="IQ203" s="46"/>
      <c r="IR203" s="46"/>
      <c r="IS203" s="46"/>
      <c r="IT203" s="46"/>
      <c r="IU203" s="46"/>
      <c r="IV203" s="46"/>
      <c r="IW203" s="46"/>
      <c r="IX203" s="46"/>
      <c r="IY203" s="46"/>
      <c r="IZ203" s="46"/>
      <c r="JA203" s="46"/>
      <c r="JB203" s="46"/>
      <c r="JC203" s="93">
        <f t="shared" si="67"/>
        <v>0</v>
      </c>
      <c r="JE203" s="46"/>
      <c r="JF203" s="46"/>
      <c r="JG203" s="46"/>
      <c r="JH203" s="46"/>
      <c r="JI203" s="46"/>
      <c r="JJ203" s="46"/>
      <c r="JK203" s="46"/>
      <c r="JL203" s="46"/>
      <c r="JM203" s="46"/>
      <c r="JN203" s="46"/>
      <c r="JO203" s="46"/>
      <c r="JP203" s="46"/>
      <c r="JQ203" s="46"/>
      <c r="JR203" s="46"/>
      <c r="JS203" s="46"/>
      <c r="JT203" s="46"/>
      <c r="JU203" s="46"/>
      <c r="JV203" s="46"/>
      <c r="JW203" s="46"/>
      <c r="JX203" s="46"/>
      <c r="JY203" s="46"/>
      <c r="JZ203" s="46"/>
      <c r="KA203" s="46"/>
      <c r="KB203" s="46"/>
      <c r="KC203" s="46"/>
      <c r="KD203" s="46"/>
      <c r="KE203" s="46"/>
      <c r="KF203" s="46"/>
      <c r="KG203" s="46"/>
      <c r="KH203" s="46"/>
      <c r="KI203" s="46"/>
      <c r="KJ203" s="93">
        <f t="shared" si="68"/>
        <v>0</v>
      </c>
    </row>
    <row r="204" spans="1:296" ht="20.149999999999999" customHeight="1" x14ac:dyDescent="0.5">
      <c r="A204" s="11">
        <v>22</v>
      </c>
      <c r="B204" s="178" t="s">
        <v>187</v>
      </c>
      <c r="C204" s="144" t="s">
        <v>188</v>
      </c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>
        <f t="shared" si="70"/>
        <v>0</v>
      </c>
      <c r="S204" s="46">
        <f t="shared" si="71"/>
        <v>0</v>
      </c>
      <c r="T204" s="46">
        <f t="shared" si="72"/>
        <v>0</v>
      </c>
      <c r="U204" s="46">
        <f t="shared" si="73"/>
        <v>0</v>
      </c>
      <c r="V204" s="46">
        <f t="shared" si="74"/>
        <v>0</v>
      </c>
      <c r="W204" s="46">
        <f t="shared" si="75"/>
        <v>0</v>
      </c>
      <c r="X204" s="46">
        <f t="shared" si="76"/>
        <v>0</v>
      </c>
      <c r="Y204" s="46">
        <f t="shared" si="77"/>
        <v>0</v>
      </c>
      <c r="Z204" s="90">
        <f t="shared" si="69"/>
        <v>0</v>
      </c>
      <c r="AA204" s="95"/>
      <c r="AB204" s="95">
        <f>'LPLPO PROGRAM'!H35</f>
        <v>0</v>
      </c>
      <c r="AC204" s="91"/>
      <c r="AD204" s="91"/>
      <c r="AE204" s="91"/>
      <c r="AF204" s="91"/>
      <c r="AG204" s="92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93">
        <f t="shared" si="78"/>
        <v>0</v>
      </c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  <c r="CK204" s="46"/>
      <c r="CL204" s="46"/>
      <c r="CM204" s="46"/>
      <c r="CN204" s="46"/>
      <c r="CO204" s="46"/>
      <c r="CP204" s="46"/>
      <c r="CQ204" s="46"/>
      <c r="CR204" s="46"/>
      <c r="CS204" s="46"/>
      <c r="CT204" s="93">
        <f t="shared" si="64"/>
        <v>0</v>
      </c>
      <c r="CV204" s="46"/>
      <c r="CW204" s="46"/>
      <c r="CX204" s="46"/>
      <c r="CY204" s="46"/>
      <c r="CZ204" s="46"/>
      <c r="DA204" s="46"/>
      <c r="DB204" s="46"/>
      <c r="DC204" s="46"/>
      <c r="DD204" s="46"/>
      <c r="DE204" s="46"/>
      <c r="DF204" s="46"/>
      <c r="DG204" s="46"/>
      <c r="DH204" s="46"/>
      <c r="DI204" s="46"/>
      <c r="DJ204" s="46"/>
      <c r="DK204" s="46"/>
      <c r="DL204" s="46"/>
      <c r="DM204" s="46"/>
      <c r="DN204" s="46"/>
      <c r="DO204" s="46"/>
      <c r="DP204" s="46"/>
      <c r="DQ204" s="46"/>
      <c r="DR204" s="46"/>
      <c r="DS204" s="46"/>
      <c r="DT204" s="46"/>
      <c r="DU204" s="46"/>
      <c r="DV204" s="46"/>
      <c r="DW204" s="46"/>
      <c r="DX204" s="46"/>
      <c r="DY204" s="46"/>
      <c r="DZ204" s="46"/>
      <c r="EA204" s="93">
        <f t="shared" si="79"/>
        <v>0</v>
      </c>
      <c r="EC204" s="46"/>
      <c r="ED204" s="46"/>
      <c r="EE204" s="46"/>
      <c r="EF204" s="46"/>
      <c r="EG204" s="46"/>
      <c r="EH204" s="46"/>
      <c r="EI204" s="46"/>
      <c r="EJ204" s="46"/>
      <c r="EK204" s="46"/>
      <c r="EL204" s="46"/>
      <c r="EM204" s="46"/>
      <c r="EN204" s="46"/>
      <c r="EO204" s="46"/>
      <c r="EP204" s="46"/>
      <c r="EQ204" s="46"/>
      <c r="ER204" s="46"/>
      <c r="ES204" s="46"/>
      <c r="ET204" s="46"/>
      <c r="EU204" s="46"/>
      <c r="EV204" s="46"/>
      <c r="EW204" s="46"/>
      <c r="EX204" s="46"/>
      <c r="EY204" s="46"/>
      <c r="EZ204" s="46"/>
      <c r="FA204" s="46"/>
      <c r="FB204" s="46"/>
      <c r="FC204" s="46"/>
      <c r="FD204" s="46"/>
      <c r="FE204" s="46"/>
      <c r="FF204" s="46"/>
      <c r="FG204" s="46"/>
      <c r="FH204" s="93">
        <f t="shared" si="80"/>
        <v>0</v>
      </c>
      <c r="FJ204" s="46"/>
      <c r="FK204" s="46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93">
        <f t="shared" si="65"/>
        <v>0</v>
      </c>
      <c r="GQ204" s="46"/>
      <c r="GR204" s="46"/>
      <c r="GS204" s="46"/>
      <c r="GT204" s="46"/>
      <c r="GU204" s="46"/>
      <c r="GV204" s="46"/>
      <c r="GW204" s="46"/>
      <c r="GX204" s="46"/>
      <c r="GY204" s="46"/>
      <c r="GZ204" s="46"/>
      <c r="HA204" s="46"/>
      <c r="HB204" s="46"/>
      <c r="HC204" s="46"/>
      <c r="HD204" s="46"/>
      <c r="HE204" s="46"/>
      <c r="HF204" s="46"/>
      <c r="HG204" s="46"/>
      <c r="HH204" s="46"/>
      <c r="HI204" s="46"/>
      <c r="HJ204" s="46"/>
      <c r="HK204" s="46"/>
      <c r="HL204" s="46"/>
      <c r="HM204" s="46"/>
      <c r="HN204" s="46"/>
      <c r="HO204" s="46"/>
      <c r="HP204" s="46"/>
      <c r="HQ204" s="46"/>
      <c r="HR204" s="46"/>
      <c r="HS204" s="46"/>
      <c r="HT204" s="46"/>
      <c r="HU204" s="46"/>
      <c r="HV204" s="93">
        <f t="shared" si="66"/>
        <v>0</v>
      </c>
      <c r="HX204" s="46"/>
      <c r="HY204" s="46"/>
      <c r="HZ204" s="46"/>
      <c r="IA204" s="46"/>
      <c r="IB204" s="46"/>
      <c r="IC204" s="46"/>
      <c r="ID204" s="46"/>
      <c r="IE204" s="46"/>
      <c r="IF204" s="46"/>
      <c r="IG204" s="46"/>
      <c r="IH204" s="46"/>
      <c r="II204" s="46"/>
      <c r="IJ204" s="46"/>
      <c r="IK204" s="46"/>
      <c r="IL204" s="46"/>
      <c r="IM204" s="46"/>
      <c r="IN204" s="46"/>
      <c r="IO204" s="46"/>
      <c r="IP204" s="46"/>
      <c r="IQ204" s="46"/>
      <c r="IR204" s="46"/>
      <c r="IS204" s="46"/>
      <c r="IT204" s="46"/>
      <c r="IU204" s="46"/>
      <c r="IV204" s="46"/>
      <c r="IW204" s="46"/>
      <c r="IX204" s="46"/>
      <c r="IY204" s="46"/>
      <c r="IZ204" s="46"/>
      <c r="JA204" s="46"/>
      <c r="JB204" s="46"/>
      <c r="JC204" s="93">
        <f t="shared" si="67"/>
        <v>0</v>
      </c>
      <c r="JE204" s="46"/>
      <c r="JF204" s="46"/>
      <c r="JG204" s="46"/>
      <c r="JH204" s="46"/>
      <c r="JI204" s="46"/>
      <c r="JJ204" s="46"/>
      <c r="JK204" s="46"/>
      <c r="JL204" s="46"/>
      <c r="JM204" s="46"/>
      <c r="JN204" s="46"/>
      <c r="JO204" s="46"/>
      <c r="JP204" s="46"/>
      <c r="JQ204" s="46"/>
      <c r="JR204" s="46"/>
      <c r="JS204" s="46"/>
      <c r="JT204" s="46"/>
      <c r="JU204" s="46"/>
      <c r="JV204" s="46"/>
      <c r="JW204" s="46"/>
      <c r="JX204" s="46"/>
      <c r="JY204" s="46"/>
      <c r="JZ204" s="46"/>
      <c r="KA204" s="46"/>
      <c r="KB204" s="46"/>
      <c r="KC204" s="46"/>
      <c r="KD204" s="46"/>
      <c r="KE204" s="46"/>
      <c r="KF204" s="46"/>
      <c r="KG204" s="46"/>
      <c r="KH204" s="46"/>
      <c r="KI204" s="46"/>
      <c r="KJ204" s="93">
        <f t="shared" si="68"/>
        <v>0</v>
      </c>
    </row>
    <row r="205" spans="1:296" ht="20.149999999999999" customHeight="1" x14ac:dyDescent="0.5">
      <c r="A205" s="11">
        <v>23</v>
      </c>
      <c r="B205" s="178" t="s">
        <v>393</v>
      </c>
      <c r="C205" s="144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>
        <f t="shared" si="70"/>
        <v>0</v>
      </c>
      <c r="S205" s="46">
        <f t="shared" si="71"/>
        <v>0</v>
      </c>
      <c r="T205" s="46">
        <f t="shared" si="72"/>
        <v>0</v>
      </c>
      <c r="U205" s="46">
        <f t="shared" si="73"/>
        <v>0</v>
      </c>
      <c r="V205" s="46">
        <f t="shared" si="74"/>
        <v>0</v>
      </c>
      <c r="W205" s="46">
        <f t="shared" si="75"/>
        <v>0</v>
      </c>
      <c r="X205" s="46">
        <f t="shared" si="76"/>
        <v>0</v>
      </c>
      <c r="Y205" s="46">
        <f t="shared" si="77"/>
        <v>0</v>
      </c>
      <c r="Z205" s="90">
        <f t="shared" si="69"/>
        <v>0</v>
      </c>
      <c r="AA205" s="95"/>
      <c r="AB205" s="95">
        <f>'LPLPO PROGRAM'!H36</f>
        <v>0</v>
      </c>
      <c r="AC205" s="91"/>
      <c r="AD205" s="91"/>
      <c r="AE205" s="91"/>
      <c r="AF205" s="91"/>
      <c r="AG205" s="92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93">
        <f t="shared" si="78"/>
        <v>0</v>
      </c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  <c r="CK205" s="46"/>
      <c r="CL205" s="46"/>
      <c r="CM205" s="46"/>
      <c r="CN205" s="46"/>
      <c r="CO205" s="46"/>
      <c r="CP205" s="46"/>
      <c r="CQ205" s="46"/>
      <c r="CR205" s="46"/>
      <c r="CS205" s="46"/>
      <c r="CT205" s="93">
        <f t="shared" si="64"/>
        <v>0</v>
      </c>
      <c r="CV205" s="46"/>
      <c r="CW205" s="46"/>
      <c r="CX205" s="46"/>
      <c r="CY205" s="46"/>
      <c r="CZ205" s="46"/>
      <c r="DA205" s="46"/>
      <c r="DB205" s="46"/>
      <c r="DC205" s="46"/>
      <c r="DD205" s="46"/>
      <c r="DE205" s="46"/>
      <c r="DF205" s="46"/>
      <c r="DG205" s="46"/>
      <c r="DH205" s="46"/>
      <c r="DI205" s="46"/>
      <c r="DJ205" s="46"/>
      <c r="DK205" s="46"/>
      <c r="DL205" s="46"/>
      <c r="DM205" s="46"/>
      <c r="DN205" s="46"/>
      <c r="DO205" s="46"/>
      <c r="DP205" s="46"/>
      <c r="DQ205" s="46"/>
      <c r="DR205" s="46"/>
      <c r="DS205" s="46"/>
      <c r="DT205" s="46"/>
      <c r="DU205" s="46"/>
      <c r="DV205" s="46"/>
      <c r="DW205" s="46"/>
      <c r="DX205" s="46"/>
      <c r="DY205" s="46"/>
      <c r="DZ205" s="46"/>
      <c r="EA205" s="93">
        <f t="shared" si="79"/>
        <v>0</v>
      </c>
      <c r="EC205" s="46"/>
      <c r="ED205" s="46"/>
      <c r="EE205" s="46"/>
      <c r="EF205" s="46"/>
      <c r="EG205" s="46"/>
      <c r="EH205" s="46"/>
      <c r="EI205" s="46"/>
      <c r="EJ205" s="46"/>
      <c r="EK205" s="46"/>
      <c r="EL205" s="46"/>
      <c r="EM205" s="46"/>
      <c r="EN205" s="46"/>
      <c r="EO205" s="46"/>
      <c r="EP205" s="46"/>
      <c r="EQ205" s="46"/>
      <c r="ER205" s="46"/>
      <c r="ES205" s="46"/>
      <c r="ET205" s="46"/>
      <c r="EU205" s="46"/>
      <c r="EV205" s="46"/>
      <c r="EW205" s="46"/>
      <c r="EX205" s="46"/>
      <c r="EY205" s="46"/>
      <c r="EZ205" s="46"/>
      <c r="FA205" s="46"/>
      <c r="FB205" s="46"/>
      <c r="FC205" s="46"/>
      <c r="FD205" s="46"/>
      <c r="FE205" s="46"/>
      <c r="FF205" s="46"/>
      <c r="FG205" s="46"/>
      <c r="FH205" s="93">
        <f t="shared" si="80"/>
        <v>0</v>
      </c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93">
        <f t="shared" si="65"/>
        <v>0</v>
      </c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93">
        <f t="shared" si="66"/>
        <v>0</v>
      </c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  <c r="IT205" s="46"/>
      <c r="IU205" s="46"/>
      <c r="IV205" s="46"/>
      <c r="IW205" s="46"/>
      <c r="IX205" s="46"/>
      <c r="IY205" s="46"/>
      <c r="IZ205" s="46"/>
      <c r="JA205" s="46"/>
      <c r="JB205" s="46"/>
      <c r="JC205" s="93">
        <f t="shared" si="67"/>
        <v>0</v>
      </c>
      <c r="JE205" s="46"/>
      <c r="JF205" s="46"/>
      <c r="JG205" s="46"/>
      <c r="JH205" s="46"/>
      <c r="JI205" s="46"/>
      <c r="JJ205" s="46"/>
      <c r="JK205" s="46"/>
      <c r="JL205" s="46"/>
      <c r="JM205" s="46"/>
      <c r="JN205" s="46"/>
      <c r="JO205" s="46"/>
      <c r="JP205" s="46"/>
      <c r="JQ205" s="46"/>
      <c r="JR205" s="46"/>
      <c r="JS205" s="46"/>
      <c r="JT205" s="46"/>
      <c r="JU205" s="46"/>
      <c r="JV205" s="46"/>
      <c r="JW205" s="46"/>
      <c r="JX205" s="46"/>
      <c r="JY205" s="46"/>
      <c r="JZ205" s="46"/>
      <c r="KA205" s="46"/>
      <c r="KB205" s="46"/>
      <c r="KC205" s="46"/>
      <c r="KD205" s="46"/>
      <c r="KE205" s="46"/>
      <c r="KF205" s="46"/>
      <c r="KG205" s="46"/>
      <c r="KH205" s="46"/>
      <c r="KI205" s="46"/>
      <c r="KJ205" s="93">
        <f t="shared" si="68"/>
        <v>0</v>
      </c>
    </row>
    <row r="206" spans="1:296" ht="20.149999999999999" customHeight="1" x14ac:dyDescent="0.5">
      <c r="A206" s="11">
        <v>24</v>
      </c>
      <c r="B206" s="183" t="s">
        <v>428</v>
      </c>
      <c r="C206" s="144" t="s">
        <v>6</v>
      </c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>
        <f t="shared" si="70"/>
        <v>0</v>
      </c>
      <c r="S206" s="46">
        <f t="shared" si="71"/>
        <v>0</v>
      </c>
      <c r="T206" s="46">
        <f t="shared" si="72"/>
        <v>0</v>
      </c>
      <c r="U206" s="46">
        <f t="shared" si="73"/>
        <v>0</v>
      </c>
      <c r="V206" s="46">
        <f t="shared" si="74"/>
        <v>0</v>
      </c>
      <c r="W206" s="46">
        <f t="shared" si="75"/>
        <v>0</v>
      </c>
      <c r="X206" s="46">
        <f t="shared" si="76"/>
        <v>0</v>
      </c>
      <c r="Y206" s="46">
        <f t="shared" si="77"/>
        <v>0</v>
      </c>
      <c r="Z206" s="90">
        <f t="shared" si="69"/>
        <v>0</v>
      </c>
      <c r="AA206" s="95"/>
      <c r="AB206" s="95">
        <f>'LPLPO PROGRAM'!H37</f>
        <v>0</v>
      </c>
      <c r="AC206" s="91"/>
      <c r="AD206" s="91"/>
      <c r="AE206" s="91"/>
      <c r="AF206" s="91"/>
      <c r="AG206" s="92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93">
        <f t="shared" si="78"/>
        <v>0</v>
      </c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/>
      <c r="CP206" s="46"/>
      <c r="CQ206" s="46"/>
      <c r="CR206" s="46"/>
      <c r="CS206" s="46"/>
      <c r="CT206" s="93">
        <f t="shared" si="64"/>
        <v>0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/>
      <c r="DF206" s="46"/>
      <c r="DG206" s="46"/>
      <c r="DH206" s="46"/>
      <c r="DI206" s="46"/>
      <c r="DJ206" s="46"/>
      <c r="DK206" s="46"/>
      <c r="DL206" s="46"/>
      <c r="DM206" s="46"/>
      <c r="DN206" s="46"/>
      <c r="DO206" s="46"/>
      <c r="DP206" s="46"/>
      <c r="DQ206" s="46"/>
      <c r="DR206" s="46"/>
      <c r="DS206" s="46"/>
      <c r="DT206" s="46"/>
      <c r="DU206" s="46"/>
      <c r="DV206" s="46"/>
      <c r="DW206" s="46"/>
      <c r="DX206" s="46"/>
      <c r="DY206" s="46"/>
      <c r="DZ206" s="46"/>
      <c r="EA206" s="93">
        <f t="shared" si="79"/>
        <v>0</v>
      </c>
      <c r="EC206" s="46"/>
      <c r="ED206" s="46"/>
      <c r="EE206" s="46"/>
      <c r="EF206" s="46"/>
      <c r="EG206" s="46"/>
      <c r="EH206" s="46"/>
      <c r="EI206" s="46"/>
      <c r="EJ206" s="46"/>
      <c r="EK206" s="46"/>
      <c r="EL206" s="46"/>
      <c r="EM206" s="46"/>
      <c r="EN206" s="46"/>
      <c r="EO206" s="46"/>
      <c r="EP206" s="46"/>
      <c r="EQ206" s="46"/>
      <c r="ER206" s="46"/>
      <c r="ES206" s="46"/>
      <c r="ET206" s="46"/>
      <c r="EU206" s="46"/>
      <c r="EV206" s="46"/>
      <c r="EW206" s="46"/>
      <c r="EX206" s="46"/>
      <c r="EY206" s="46"/>
      <c r="EZ206" s="46"/>
      <c r="FA206" s="46"/>
      <c r="FB206" s="46"/>
      <c r="FC206" s="46"/>
      <c r="FD206" s="46"/>
      <c r="FE206" s="46"/>
      <c r="FF206" s="46"/>
      <c r="FG206" s="46"/>
      <c r="FH206" s="93">
        <f t="shared" si="80"/>
        <v>0</v>
      </c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93">
        <f t="shared" si="65"/>
        <v>0</v>
      </c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93">
        <f t="shared" si="66"/>
        <v>0</v>
      </c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  <c r="IT206" s="46"/>
      <c r="IU206" s="46"/>
      <c r="IV206" s="46"/>
      <c r="IW206" s="46"/>
      <c r="IX206" s="46"/>
      <c r="IY206" s="46"/>
      <c r="IZ206" s="46"/>
      <c r="JA206" s="46"/>
      <c r="JB206" s="46"/>
      <c r="JC206" s="93">
        <f t="shared" si="67"/>
        <v>0</v>
      </c>
      <c r="JE206" s="46"/>
      <c r="JF206" s="46"/>
      <c r="JG206" s="46"/>
      <c r="JH206" s="46"/>
      <c r="JI206" s="46"/>
      <c r="JJ206" s="46"/>
      <c r="JK206" s="46"/>
      <c r="JL206" s="46"/>
      <c r="JM206" s="46"/>
      <c r="JN206" s="46"/>
      <c r="JO206" s="46"/>
      <c r="JP206" s="46"/>
      <c r="JQ206" s="46"/>
      <c r="JR206" s="46"/>
      <c r="JS206" s="46"/>
      <c r="JT206" s="46"/>
      <c r="JU206" s="46"/>
      <c r="JV206" s="46"/>
      <c r="JW206" s="46"/>
      <c r="JX206" s="46"/>
      <c r="JY206" s="46"/>
      <c r="JZ206" s="46"/>
      <c r="KA206" s="46"/>
      <c r="KB206" s="46"/>
      <c r="KC206" s="46"/>
      <c r="KD206" s="46"/>
      <c r="KE206" s="46"/>
      <c r="KF206" s="46"/>
      <c r="KG206" s="46"/>
      <c r="KH206" s="46"/>
      <c r="KI206" s="46"/>
      <c r="KJ206" s="93">
        <f t="shared" si="68"/>
        <v>0</v>
      </c>
    </row>
    <row r="207" spans="1:296" ht="20.149999999999999" customHeight="1" x14ac:dyDescent="0.5">
      <c r="A207" s="11">
        <v>25</v>
      </c>
      <c r="B207" s="183" t="s">
        <v>429</v>
      </c>
      <c r="C207" s="144" t="s">
        <v>48</v>
      </c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>
        <f t="shared" si="70"/>
        <v>47</v>
      </c>
      <c r="S207" s="46">
        <f t="shared" si="71"/>
        <v>0</v>
      </c>
      <c r="T207" s="46">
        <f t="shared" si="72"/>
        <v>0</v>
      </c>
      <c r="U207" s="46">
        <f t="shared" si="73"/>
        <v>0</v>
      </c>
      <c r="V207" s="46">
        <f t="shared" si="74"/>
        <v>0</v>
      </c>
      <c r="W207" s="46">
        <f t="shared" si="75"/>
        <v>0</v>
      </c>
      <c r="X207" s="46">
        <f t="shared" si="76"/>
        <v>0</v>
      </c>
      <c r="Y207" s="46">
        <f t="shared" si="77"/>
        <v>0</v>
      </c>
      <c r="Z207" s="90">
        <f t="shared" si="69"/>
        <v>47</v>
      </c>
      <c r="AA207" s="95"/>
      <c r="AB207" s="95">
        <f>'LPLPO PROGRAM'!H38</f>
        <v>362</v>
      </c>
      <c r="AC207" s="91"/>
      <c r="AD207" s="91"/>
      <c r="AE207" s="91"/>
      <c r="AF207" s="91"/>
      <c r="AG207" s="92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>
        <v>47</v>
      </c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93">
        <f t="shared" si="78"/>
        <v>47</v>
      </c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93">
        <f t="shared" si="64"/>
        <v>0</v>
      </c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  <c r="DK207" s="46"/>
      <c r="DL207" s="46"/>
      <c r="DM207" s="46"/>
      <c r="DN207" s="46"/>
      <c r="DO207" s="46"/>
      <c r="DP207" s="46"/>
      <c r="DQ207" s="46"/>
      <c r="DR207" s="46"/>
      <c r="DS207" s="46"/>
      <c r="DT207" s="46"/>
      <c r="DU207" s="46"/>
      <c r="DV207" s="46"/>
      <c r="DW207" s="46"/>
      <c r="DX207" s="46"/>
      <c r="DY207" s="46"/>
      <c r="DZ207" s="46"/>
      <c r="EA207" s="93">
        <f t="shared" si="79"/>
        <v>0</v>
      </c>
      <c r="EC207" s="46"/>
      <c r="ED207" s="46"/>
      <c r="EE207" s="46"/>
      <c r="EF207" s="46"/>
      <c r="EG207" s="46"/>
      <c r="EH207" s="46"/>
      <c r="EI207" s="46"/>
      <c r="EJ207" s="46"/>
      <c r="EK207" s="46"/>
      <c r="EL207" s="46"/>
      <c r="EM207" s="46"/>
      <c r="EN207" s="46"/>
      <c r="EO207" s="46"/>
      <c r="EP207" s="46"/>
      <c r="EQ207" s="46"/>
      <c r="ER207" s="46"/>
      <c r="ES207" s="46"/>
      <c r="ET207" s="46"/>
      <c r="EU207" s="46"/>
      <c r="EV207" s="46"/>
      <c r="EW207" s="46"/>
      <c r="EX207" s="46"/>
      <c r="EY207" s="46"/>
      <c r="EZ207" s="46"/>
      <c r="FA207" s="46"/>
      <c r="FB207" s="46"/>
      <c r="FC207" s="46"/>
      <c r="FD207" s="46"/>
      <c r="FE207" s="46"/>
      <c r="FF207" s="46"/>
      <c r="FG207" s="46"/>
      <c r="FH207" s="93">
        <f t="shared" si="80"/>
        <v>0</v>
      </c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93">
        <f t="shared" si="65"/>
        <v>0</v>
      </c>
      <c r="GQ207" s="46"/>
      <c r="GR207" s="46"/>
      <c r="GS207" s="46"/>
      <c r="GT207" s="46"/>
      <c r="GU207" s="46"/>
      <c r="GV207" s="46"/>
      <c r="GW207" s="46"/>
      <c r="GX207" s="46"/>
      <c r="GY207" s="46"/>
      <c r="GZ207" s="46"/>
      <c r="HA207" s="46"/>
      <c r="HB207" s="46"/>
      <c r="HC207" s="46"/>
      <c r="HD207" s="46"/>
      <c r="HE207" s="46"/>
      <c r="HF207" s="46"/>
      <c r="HG207" s="46"/>
      <c r="HH207" s="46"/>
      <c r="HI207" s="46"/>
      <c r="HJ207" s="46"/>
      <c r="HK207" s="46"/>
      <c r="HL207" s="46"/>
      <c r="HM207" s="46"/>
      <c r="HN207" s="46"/>
      <c r="HO207" s="46"/>
      <c r="HP207" s="46"/>
      <c r="HQ207" s="46"/>
      <c r="HR207" s="46"/>
      <c r="HS207" s="46"/>
      <c r="HT207" s="46"/>
      <c r="HU207" s="46"/>
      <c r="HV207" s="93">
        <f t="shared" si="66"/>
        <v>0</v>
      </c>
      <c r="HX207" s="46"/>
      <c r="HY207" s="46"/>
      <c r="HZ207" s="46"/>
      <c r="IA207" s="46"/>
      <c r="IB207" s="46"/>
      <c r="IC207" s="46"/>
      <c r="ID207" s="46"/>
      <c r="IE207" s="46"/>
      <c r="IF207" s="46"/>
      <c r="IG207" s="46"/>
      <c r="IH207" s="46"/>
      <c r="II207" s="46"/>
      <c r="IJ207" s="46"/>
      <c r="IK207" s="46"/>
      <c r="IL207" s="46"/>
      <c r="IM207" s="46"/>
      <c r="IN207" s="46"/>
      <c r="IO207" s="46"/>
      <c r="IP207" s="46"/>
      <c r="IQ207" s="46"/>
      <c r="IR207" s="46"/>
      <c r="IS207" s="46"/>
      <c r="IT207" s="46"/>
      <c r="IU207" s="46"/>
      <c r="IV207" s="46"/>
      <c r="IW207" s="46"/>
      <c r="IX207" s="46"/>
      <c r="IY207" s="46"/>
      <c r="IZ207" s="46"/>
      <c r="JA207" s="46"/>
      <c r="JB207" s="46"/>
      <c r="JC207" s="93">
        <f t="shared" si="67"/>
        <v>0</v>
      </c>
      <c r="JE207" s="46"/>
      <c r="JF207" s="46"/>
      <c r="JG207" s="46"/>
      <c r="JH207" s="46"/>
      <c r="JI207" s="46"/>
      <c r="JJ207" s="46"/>
      <c r="JK207" s="46"/>
      <c r="JL207" s="46"/>
      <c r="JM207" s="46"/>
      <c r="JN207" s="46"/>
      <c r="JO207" s="46"/>
      <c r="JP207" s="46"/>
      <c r="JQ207" s="46"/>
      <c r="JR207" s="46"/>
      <c r="JS207" s="46"/>
      <c r="JT207" s="46"/>
      <c r="JU207" s="46"/>
      <c r="JV207" s="46"/>
      <c r="JW207" s="46"/>
      <c r="JX207" s="46"/>
      <c r="JY207" s="46"/>
      <c r="JZ207" s="46"/>
      <c r="KA207" s="46"/>
      <c r="KB207" s="46"/>
      <c r="KC207" s="46"/>
      <c r="KD207" s="46"/>
      <c r="KE207" s="46"/>
      <c r="KF207" s="46"/>
      <c r="KG207" s="46"/>
      <c r="KH207" s="46"/>
      <c r="KI207" s="46"/>
      <c r="KJ207" s="93">
        <f t="shared" si="68"/>
        <v>0</v>
      </c>
    </row>
    <row r="208" spans="1:296" ht="20.149999999999999" customHeight="1" x14ac:dyDescent="0.5">
      <c r="A208" s="11">
        <v>26</v>
      </c>
      <c r="B208" s="178" t="s">
        <v>430</v>
      </c>
      <c r="C208" s="144" t="s">
        <v>188</v>
      </c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>
        <f t="shared" si="70"/>
        <v>0</v>
      </c>
      <c r="S208" s="46">
        <f t="shared" si="71"/>
        <v>0</v>
      </c>
      <c r="T208" s="46">
        <f t="shared" si="72"/>
        <v>0</v>
      </c>
      <c r="U208" s="46">
        <f t="shared" si="73"/>
        <v>0</v>
      </c>
      <c r="V208" s="46">
        <f t="shared" si="74"/>
        <v>0</v>
      </c>
      <c r="W208" s="46">
        <f t="shared" si="75"/>
        <v>0</v>
      </c>
      <c r="X208" s="46">
        <f t="shared" si="76"/>
        <v>0</v>
      </c>
      <c r="Y208" s="46">
        <f t="shared" si="77"/>
        <v>0</v>
      </c>
      <c r="Z208" s="90">
        <f t="shared" si="69"/>
        <v>0</v>
      </c>
      <c r="AA208" s="95"/>
      <c r="AB208" s="95">
        <f>'LPLPO PROGRAM'!H39</f>
        <v>0</v>
      </c>
      <c r="AC208" s="91"/>
      <c r="AD208" s="91"/>
      <c r="AE208" s="91"/>
      <c r="AF208" s="91"/>
      <c r="AG208" s="92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93">
        <f t="shared" si="78"/>
        <v>0</v>
      </c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  <c r="CK208" s="46"/>
      <c r="CL208" s="46"/>
      <c r="CM208" s="46"/>
      <c r="CN208" s="46"/>
      <c r="CO208" s="46"/>
      <c r="CP208" s="46"/>
      <c r="CQ208" s="46"/>
      <c r="CR208" s="46"/>
      <c r="CS208" s="46"/>
      <c r="CT208" s="93">
        <f t="shared" si="64"/>
        <v>0</v>
      </c>
      <c r="CV208" s="46"/>
      <c r="CW208" s="46"/>
      <c r="CX208" s="46"/>
      <c r="CY208" s="46"/>
      <c r="CZ208" s="46"/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  <c r="DK208" s="46"/>
      <c r="DL208" s="46"/>
      <c r="DM208" s="46"/>
      <c r="DN208" s="46"/>
      <c r="DO208" s="46"/>
      <c r="DP208" s="46"/>
      <c r="DQ208" s="46"/>
      <c r="DR208" s="46"/>
      <c r="DS208" s="46"/>
      <c r="DT208" s="46"/>
      <c r="DU208" s="46"/>
      <c r="DV208" s="46"/>
      <c r="DW208" s="46"/>
      <c r="DX208" s="46"/>
      <c r="DY208" s="46"/>
      <c r="DZ208" s="46"/>
      <c r="EA208" s="93">
        <f t="shared" si="79"/>
        <v>0</v>
      </c>
      <c r="EC208" s="46"/>
      <c r="ED208" s="46"/>
      <c r="EE208" s="46"/>
      <c r="EF208" s="46"/>
      <c r="EG208" s="46"/>
      <c r="EH208" s="46"/>
      <c r="EI208" s="46"/>
      <c r="EJ208" s="46"/>
      <c r="EK208" s="46"/>
      <c r="EL208" s="46"/>
      <c r="EM208" s="46"/>
      <c r="EN208" s="46"/>
      <c r="EO208" s="46"/>
      <c r="EP208" s="46"/>
      <c r="EQ208" s="46"/>
      <c r="ER208" s="46"/>
      <c r="ES208" s="46"/>
      <c r="ET208" s="46"/>
      <c r="EU208" s="46"/>
      <c r="EV208" s="46"/>
      <c r="EW208" s="46"/>
      <c r="EX208" s="46"/>
      <c r="EY208" s="46"/>
      <c r="EZ208" s="46"/>
      <c r="FA208" s="46"/>
      <c r="FB208" s="46"/>
      <c r="FC208" s="46"/>
      <c r="FD208" s="46"/>
      <c r="FE208" s="46"/>
      <c r="FF208" s="46"/>
      <c r="FG208" s="46"/>
      <c r="FH208" s="93">
        <f t="shared" si="80"/>
        <v>0</v>
      </c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93">
        <f t="shared" si="65"/>
        <v>0</v>
      </c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93">
        <f t="shared" si="66"/>
        <v>0</v>
      </c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  <c r="IT208" s="46"/>
      <c r="IU208" s="46"/>
      <c r="IV208" s="46"/>
      <c r="IW208" s="46"/>
      <c r="IX208" s="46"/>
      <c r="IY208" s="46"/>
      <c r="IZ208" s="46"/>
      <c r="JA208" s="46"/>
      <c r="JB208" s="46"/>
      <c r="JC208" s="93">
        <f t="shared" si="67"/>
        <v>0</v>
      </c>
      <c r="JE208" s="46"/>
      <c r="JF208" s="46"/>
      <c r="JG208" s="46"/>
      <c r="JH208" s="46"/>
      <c r="JI208" s="46"/>
      <c r="JJ208" s="46"/>
      <c r="JK208" s="46"/>
      <c r="JL208" s="46"/>
      <c r="JM208" s="46"/>
      <c r="JN208" s="46"/>
      <c r="JO208" s="46"/>
      <c r="JP208" s="46"/>
      <c r="JQ208" s="46"/>
      <c r="JR208" s="46"/>
      <c r="JS208" s="46"/>
      <c r="JT208" s="46"/>
      <c r="JU208" s="46"/>
      <c r="JV208" s="46"/>
      <c r="JW208" s="46"/>
      <c r="JX208" s="46"/>
      <c r="JY208" s="46"/>
      <c r="JZ208" s="46"/>
      <c r="KA208" s="46"/>
      <c r="KB208" s="46"/>
      <c r="KC208" s="46"/>
      <c r="KD208" s="46"/>
      <c r="KE208" s="46"/>
      <c r="KF208" s="46"/>
      <c r="KG208" s="46"/>
      <c r="KH208" s="46"/>
      <c r="KI208" s="46"/>
      <c r="KJ208" s="93">
        <f t="shared" si="68"/>
        <v>0</v>
      </c>
    </row>
    <row r="209" spans="1:296" ht="20.149999999999999" customHeight="1" x14ac:dyDescent="0.5">
      <c r="A209" s="11">
        <v>27</v>
      </c>
      <c r="B209" s="184"/>
      <c r="C209" s="144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>
        <f t="shared" si="70"/>
        <v>0</v>
      </c>
      <c r="S209" s="46">
        <f t="shared" si="71"/>
        <v>0</v>
      </c>
      <c r="T209" s="46">
        <f t="shared" si="72"/>
        <v>0</v>
      </c>
      <c r="U209" s="46">
        <f t="shared" si="73"/>
        <v>0</v>
      </c>
      <c r="V209" s="46">
        <f t="shared" si="74"/>
        <v>0</v>
      </c>
      <c r="W209" s="46">
        <f t="shared" si="75"/>
        <v>0</v>
      </c>
      <c r="X209" s="46">
        <f t="shared" si="76"/>
        <v>0</v>
      </c>
      <c r="Y209" s="46">
        <f t="shared" si="77"/>
        <v>0</v>
      </c>
      <c r="Z209" s="90">
        <f t="shared" si="69"/>
        <v>0</v>
      </c>
      <c r="AA209" s="95"/>
      <c r="AB209" s="95">
        <f>'LPLPO PROGRAM'!H40</f>
        <v>0</v>
      </c>
      <c r="AC209" s="91"/>
      <c r="AD209" s="91"/>
      <c r="AE209" s="91"/>
      <c r="AF209" s="91"/>
      <c r="AG209" s="92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93">
        <f t="shared" si="78"/>
        <v>0</v>
      </c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93">
        <f t="shared" si="64"/>
        <v>0</v>
      </c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  <c r="DK209" s="46"/>
      <c r="DL209" s="46"/>
      <c r="DM209" s="46"/>
      <c r="DN209" s="46"/>
      <c r="DO209" s="46"/>
      <c r="DP209" s="46"/>
      <c r="DQ209" s="46"/>
      <c r="DR209" s="46"/>
      <c r="DS209" s="46"/>
      <c r="DT209" s="46"/>
      <c r="DU209" s="46"/>
      <c r="DV209" s="46"/>
      <c r="DW209" s="46"/>
      <c r="DX209" s="46"/>
      <c r="DY209" s="46"/>
      <c r="DZ209" s="46"/>
      <c r="EA209" s="93">
        <f t="shared" si="79"/>
        <v>0</v>
      </c>
      <c r="EC209" s="46"/>
      <c r="ED209" s="46"/>
      <c r="EE209" s="46"/>
      <c r="EF209" s="46"/>
      <c r="EG209" s="46"/>
      <c r="EH209" s="46"/>
      <c r="EI209" s="46"/>
      <c r="EJ209" s="46"/>
      <c r="EK209" s="46"/>
      <c r="EL209" s="46"/>
      <c r="EM209" s="46"/>
      <c r="EN209" s="46"/>
      <c r="EO209" s="46"/>
      <c r="EP209" s="46"/>
      <c r="EQ209" s="46"/>
      <c r="ER209" s="46"/>
      <c r="ES209" s="46"/>
      <c r="ET209" s="46"/>
      <c r="EU209" s="46"/>
      <c r="EV209" s="46"/>
      <c r="EW209" s="46"/>
      <c r="EX209" s="46"/>
      <c r="EY209" s="46"/>
      <c r="EZ209" s="46"/>
      <c r="FA209" s="46"/>
      <c r="FB209" s="46"/>
      <c r="FC209" s="46"/>
      <c r="FD209" s="46"/>
      <c r="FE209" s="46"/>
      <c r="FF209" s="46"/>
      <c r="FG209" s="46"/>
      <c r="FH209" s="93">
        <f t="shared" si="80"/>
        <v>0</v>
      </c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93">
        <f t="shared" si="65"/>
        <v>0</v>
      </c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93">
        <f t="shared" si="66"/>
        <v>0</v>
      </c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  <c r="IT209" s="46"/>
      <c r="IU209" s="46"/>
      <c r="IV209" s="46"/>
      <c r="IW209" s="46"/>
      <c r="IX209" s="46"/>
      <c r="IY209" s="46"/>
      <c r="IZ209" s="46"/>
      <c r="JA209" s="46"/>
      <c r="JB209" s="46"/>
      <c r="JC209" s="93">
        <f t="shared" si="67"/>
        <v>0</v>
      </c>
      <c r="JE209" s="46"/>
      <c r="JF209" s="46"/>
      <c r="JG209" s="46"/>
      <c r="JH209" s="46"/>
      <c r="JI209" s="46"/>
      <c r="JJ209" s="46"/>
      <c r="JK209" s="46"/>
      <c r="JL209" s="46"/>
      <c r="JM209" s="46"/>
      <c r="JN209" s="46"/>
      <c r="JO209" s="46"/>
      <c r="JP209" s="46"/>
      <c r="JQ209" s="46"/>
      <c r="JR209" s="46"/>
      <c r="JS209" s="46"/>
      <c r="JT209" s="46"/>
      <c r="JU209" s="46"/>
      <c r="JV209" s="46"/>
      <c r="JW209" s="46"/>
      <c r="JX209" s="46"/>
      <c r="JY209" s="46"/>
      <c r="JZ209" s="46"/>
      <c r="KA209" s="46"/>
      <c r="KB209" s="46"/>
      <c r="KC209" s="46"/>
      <c r="KD209" s="46"/>
      <c r="KE209" s="46"/>
      <c r="KF209" s="46"/>
      <c r="KG209" s="46"/>
      <c r="KH209" s="46"/>
      <c r="KI209" s="46"/>
      <c r="KJ209" s="93">
        <f t="shared" si="68"/>
        <v>0</v>
      </c>
    </row>
    <row r="210" spans="1:296" ht="20.149999999999999" customHeight="1" x14ac:dyDescent="0.5">
      <c r="A210" s="187">
        <v>28</v>
      </c>
      <c r="B210" s="189" t="s">
        <v>189</v>
      </c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46">
        <f t="shared" si="70"/>
        <v>0</v>
      </c>
      <c r="S210" s="46">
        <f t="shared" si="71"/>
        <v>0</v>
      </c>
      <c r="T210" s="46">
        <f t="shared" si="72"/>
        <v>0</v>
      </c>
      <c r="U210" s="46">
        <f t="shared" si="73"/>
        <v>0</v>
      </c>
      <c r="V210" s="46">
        <f t="shared" si="74"/>
        <v>0</v>
      </c>
      <c r="W210" s="46">
        <f t="shared" si="75"/>
        <v>0</v>
      </c>
      <c r="X210" s="46">
        <f t="shared" si="76"/>
        <v>0</v>
      </c>
      <c r="Y210" s="46">
        <f t="shared" si="77"/>
        <v>0</v>
      </c>
      <c r="Z210" s="146"/>
      <c r="AA210" s="95"/>
      <c r="AB210" s="95">
        <f>'LPLPO PROGRAM'!H41</f>
        <v>0</v>
      </c>
      <c r="AC210" s="91"/>
      <c r="AD210" s="91"/>
      <c r="AE210" s="91"/>
      <c r="AF210" s="91"/>
      <c r="AG210" s="92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93">
        <f t="shared" si="78"/>
        <v>0</v>
      </c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93">
        <f t="shared" si="64"/>
        <v>0</v>
      </c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  <c r="DK210" s="46"/>
      <c r="DL210" s="46"/>
      <c r="DM210" s="46"/>
      <c r="DN210" s="46"/>
      <c r="DO210" s="46"/>
      <c r="DP210" s="46"/>
      <c r="DQ210" s="46"/>
      <c r="DR210" s="46"/>
      <c r="DS210" s="46"/>
      <c r="DT210" s="46"/>
      <c r="DU210" s="46"/>
      <c r="DV210" s="46"/>
      <c r="DW210" s="46"/>
      <c r="DX210" s="46"/>
      <c r="DY210" s="46"/>
      <c r="DZ210" s="46"/>
      <c r="EA210" s="93">
        <f t="shared" si="79"/>
        <v>0</v>
      </c>
      <c r="EC210" s="46"/>
      <c r="ED210" s="46"/>
      <c r="EE210" s="46"/>
      <c r="EF210" s="46"/>
      <c r="EG210" s="46"/>
      <c r="EH210" s="46"/>
      <c r="EI210" s="46"/>
      <c r="EJ210" s="46"/>
      <c r="EK210" s="46"/>
      <c r="EL210" s="46"/>
      <c r="EM210" s="46"/>
      <c r="EN210" s="46"/>
      <c r="EO210" s="46"/>
      <c r="EP210" s="46"/>
      <c r="EQ210" s="46"/>
      <c r="ER210" s="46"/>
      <c r="ES210" s="46"/>
      <c r="ET210" s="46"/>
      <c r="EU210" s="46"/>
      <c r="EV210" s="46"/>
      <c r="EW210" s="46"/>
      <c r="EX210" s="46"/>
      <c r="EY210" s="46"/>
      <c r="EZ210" s="46"/>
      <c r="FA210" s="46"/>
      <c r="FB210" s="46"/>
      <c r="FC210" s="46"/>
      <c r="FD210" s="46"/>
      <c r="FE210" s="46"/>
      <c r="FF210" s="46"/>
      <c r="FG210" s="46"/>
      <c r="FH210" s="93">
        <f t="shared" si="80"/>
        <v>0</v>
      </c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93">
        <f t="shared" si="65"/>
        <v>0</v>
      </c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93">
        <f t="shared" si="66"/>
        <v>0</v>
      </c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  <c r="IT210" s="46"/>
      <c r="IU210" s="46"/>
      <c r="IV210" s="46"/>
      <c r="IW210" s="46"/>
      <c r="IX210" s="46"/>
      <c r="IY210" s="46"/>
      <c r="IZ210" s="46"/>
      <c r="JA210" s="46"/>
      <c r="JB210" s="46"/>
      <c r="JC210" s="93">
        <f t="shared" si="67"/>
        <v>0</v>
      </c>
      <c r="JE210" s="46"/>
      <c r="JF210" s="46"/>
      <c r="JG210" s="46"/>
      <c r="JH210" s="46"/>
      <c r="JI210" s="46"/>
      <c r="JJ210" s="46"/>
      <c r="JK210" s="46"/>
      <c r="JL210" s="46"/>
      <c r="JM210" s="46"/>
      <c r="JN210" s="46"/>
      <c r="JO210" s="46"/>
      <c r="JP210" s="46"/>
      <c r="JQ210" s="46"/>
      <c r="JR210" s="46"/>
      <c r="JS210" s="46"/>
      <c r="JT210" s="46"/>
      <c r="JU210" s="46"/>
      <c r="JV210" s="46"/>
      <c r="JW210" s="46"/>
      <c r="JX210" s="46"/>
      <c r="JY210" s="46"/>
      <c r="JZ210" s="46"/>
      <c r="KA210" s="46"/>
      <c r="KB210" s="46"/>
      <c r="KC210" s="46"/>
      <c r="KD210" s="46"/>
      <c r="KE210" s="46"/>
      <c r="KF210" s="46"/>
      <c r="KG210" s="46"/>
      <c r="KH210" s="46"/>
      <c r="KI210" s="46"/>
      <c r="KJ210" s="93">
        <f t="shared" si="68"/>
        <v>0</v>
      </c>
    </row>
    <row r="211" spans="1:296" ht="20.149999999999999" customHeight="1" x14ac:dyDescent="0.5">
      <c r="A211" s="11">
        <v>29</v>
      </c>
      <c r="B211" s="183" t="s">
        <v>268</v>
      </c>
      <c r="C211" s="144" t="s">
        <v>6</v>
      </c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>
        <f t="shared" si="70"/>
        <v>0</v>
      </c>
      <c r="S211" s="46">
        <f t="shared" si="71"/>
        <v>0</v>
      </c>
      <c r="T211" s="46">
        <f t="shared" si="72"/>
        <v>0</v>
      </c>
      <c r="U211" s="46">
        <f t="shared" si="73"/>
        <v>0</v>
      </c>
      <c r="V211" s="46">
        <f t="shared" si="74"/>
        <v>0</v>
      </c>
      <c r="W211" s="46">
        <f t="shared" si="75"/>
        <v>0</v>
      </c>
      <c r="X211" s="46">
        <f t="shared" si="76"/>
        <v>0</v>
      </c>
      <c r="Y211" s="46">
        <f t="shared" si="77"/>
        <v>0</v>
      </c>
      <c r="Z211" s="90">
        <f t="shared" ref="Z211:Z242" si="81">SUM(D211:Y211)</f>
        <v>0</v>
      </c>
      <c r="AA211" s="95"/>
      <c r="AB211" s="95">
        <f>'LPLPO PROGRAM'!H42</f>
        <v>0</v>
      </c>
      <c r="AC211" s="91"/>
      <c r="AD211" s="91"/>
      <c r="AE211" s="91"/>
      <c r="AF211" s="91"/>
      <c r="AG211" s="92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93">
        <f t="shared" si="78"/>
        <v>0</v>
      </c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93">
        <f t="shared" si="64"/>
        <v>0</v>
      </c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  <c r="DK211" s="46"/>
      <c r="DL211" s="46"/>
      <c r="DM211" s="46"/>
      <c r="DN211" s="46"/>
      <c r="DO211" s="46"/>
      <c r="DP211" s="46"/>
      <c r="DQ211" s="46"/>
      <c r="DR211" s="46"/>
      <c r="DS211" s="46"/>
      <c r="DT211" s="46"/>
      <c r="DU211" s="46"/>
      <c r="DV211" s="46"/>
      <c r="DW211" s="46"/>
      <c r="DX211" s="46"/>
      <c r="DY211" s="46"/>
      <c r="DZ211" s="46"/>
      <c r="EA211" s="93">
        <f t="shared" si="79"/>
        <v>0</v>
      </c>
      <c r="EC211" s="46"/>
      <c r="ED211" s="46"/>
      <c r="EE211" s="46"/>
      <c r="EF211" s="46"/>
      <c r="EG211" s="46"/>
      <c r="EH211" s="46"/>
      <c r="EI211" s="46"/>
      <c r="EJ211" s="46"/>
      <c r="EK211" s="46"/>
      <c r="EL211" s="46"/>
      <c r="EM211" s="46"/>
      <c r="EN211" s="46"/>
      <c r="EO211" s="46"/>
      <c r="EP211" s="46"/>
      <c r="EQ211" s="46"/>
      <c r="ER211" s="46"/>
      <c r="ES211" s="46"/>
      <c r="ET211" s="46"/>
      <c r="EU211" s="46"/>
      <c r="EV211" s="46"/>
      <c r="EW211" s="46"/>
      <c r="EX211" s="46"/>
      <c r="EY211" s="46"/>
      <c r="EZ211" s="46"/>
      <c r="FA211" s="46"/>
      <c r="FB211" s="46"/>
      <c r="FC211" s="46"/>
      <c r="FD211" s="46"/>
      <c r="FE211" s="46"/>
      <c r="FF211" s="46"/>
      <c r="FG211" s="46"/>
      <c r="FH211" s="93">
        <f t="shared" si="80"/>
        <v>0</v>
      </c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6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46"/>
      <c r="GF211" s="46"/>
      <c r="GG211" s="46"/>
      <c r="GH211" s="46"/>
      <c r="GI211" s="46"/>
      <c r="GJ211" s="46"/>
      <c r="GK211" s="46"/>
      <c r="GL211" s="46"/>
      <c r="GM211" s="46"/>
      <c r="GN211" s="46"/>
      <c r="GO211" s="93">
        <f t="shared" si="65"/>
        <v>0</v>
      </c>
      <c r="GQ211" s="46"/>
      <c r="GR211" s="46"/>
      <c r="GS211" s="46"/>
      <c r="GT211" s="46"/>
      <c r="GU211" s="46"/>
      <c r="GV211" s="46"/>
      <c r="GW211" s="46"/>
      <c r="GX211" s="46"/>
      <c r="GY211" s="46"/>
      <c r="GZ211" s="46"/>
      <c r="HA211" s="46"/>
      <c r="HB211" s="46"/>
      <c r="HC211" s="46"/>
      <c r="HD211" s="46"/>
      <c r="HE211" s="46"/>
      <c r="HF211" s="46"/>
      <c r="HG211" s="46"/>
      <c r="HH211" s="46"/>
      <c r="HI211" s="46"/>
      <c r="HJ211" s="46"/>
      <c r="HK211" s="46"/>
      <c r="HL211" s="46"/>
      <c r="HM211" s="46"/>
      <c r="HN211" s="46"/>
      <c r="HO211" s="46"/>
      <c r="HP211" s="46"/>
      <c r="HQ211" s="46"/>
      <c r="HR211" s="46"/>
      <c r="HS211" s="46"/>
      <c r="HT211" s="46"/>
      <c r="HU211" s="46"/>
      <c r="HV211" s="93">
        <f t="shared" si="66"/>
        <v>0</v>
      </c>
      <c r="HX211" s="46"/>
      <c r="HY211" s="46"/>
      <c r="HZ211" s="46"/>
      <c r="IA211" s="46"/>
      <c r="IB211" s="46"/>
      <c r="IC211" s="46"/>
      <c r="ID211" s="46"/>
      <c r="IE211" s="46"/>
      <c r="IF211" s="46"/>
      <c r="IG211" s="46"/>
      <c r="IH211" s="46"/>
      <c r="II211" s="46"/>
      <c r="IJ211" s="46"/>
      <c r="IK211" s="46"/>
      <c r="IL211" s="46"/>
      <c r="IM211" s="46"/>
      <c r="IN211" s="46"/>
      <c r="IO211" s="46"/>
      <c r="IP211" s="46"/>
      <c r="IQ211" s="46"/>
      <c r="IR211" s="46"/>
      <c r="IS211" s="46"/>
      <c r="IT211" s="46"/>
      <c r="IU211" s="46"/>
      <c r="IV211" s="46"/>
      <c r="IW211" s="46"/>
      <c r="IX211" s="46"/>
      <c r="IY211" s="46"/>
      <c r="IZ211" s="46"/>
      <c r="JA211" s="46"/>
      <c r="JB211" s="46"/>
      <c r="JC211" s="93">
        <f t="shared" si="67"/>
        <v>0</v>
      </c>
      <c r="JE211" s="46"/>
      <c r="JF211" s="46"/>
      <c r="JG211" s="46"/>
      <c r="JH211" s="46"/>
      <c r="JI211" s="46"/>
      <c r="JJ211" s="46"/>
      <c r="JK211" s="46"/>
      <c r="JL211" s="46"/>
      <c r="JM211" s="46"/>
      <c r="JN211" s="46"/>
      <c r="JO211" s="46"/>
      <c r="JP211" s="46"/>
      <c r="JQ211" s="46"/>
      <c r="JR211" s="46"/>
      <c r="JS211" s="46"/>
      <c r="JT211" s="46"/>
      <c r="JU211" s="46"/>
      <c r="JV211" s="46"/>
      <c r="JW211" s="46"/>
      <c r="JX211" s="46"/>
      <c r="JY211" s="46"/>
      <c r="JZ211" s="46"/>
      <c r="KA211" s="46"/>
      <c r="KB211" s="46"/>
      <c r="KC211" s="46"/>
      <c r="KD211" s="46"/>
      <c r="KE211" s="46"/>
      <c r="KF211" s="46"/>
      <c r="KG211" s="46"/>
      <c r="KH211" s="46"/>
      <c r="KI211" s="46"/>
      <c r="KJ211" s="93">
        <f t="shared" si="68"/>
        <v>0</v>
      </c>
    </row>
    <row r="212" spans="1:296" ht="20.149999999999999" customHeight="1" x14ac:dyDescent="0.5">
      <c r="A212" s="11">
        <v>30</v>
      </c>
      <c r="B212" s="178" t="s">
        <v>269</v>
      </c>
      <c r="C212" s="144" t="s">
        <v>182</v>
      </c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>
        <f t="shared" si="70"/>
        <v>0</v>
      </c>
      <c r="S212" s="46">
        <f t="shared" si="71"/>
        <v>0</v>
      </c>
      <c r="T212" s="46">
        <f t="shared" si="72"/>
        <v>0</v>
      </c>
      <c r="U212" s="46">
        <f t="shared" si="73"/>
        <v>0</v>
      </c>
      <c r="V212" s="46">
        <f t="shared" si="74"/>
        <v>0</v>
      </c>
      <c r="W212" s="46">
        <f t="shared" si="75"/>
        <v>0</v>
      </c>
      <c r="X212" s="46">
        <f t="shared" si="76"/>
        <v>0</v>
      </c>
      <c r="Y212" s="46">
        <f t="shared" si="77"/>
        <v>0</v>
      </c>
      <c r="Z212" s="90">
        <f t="shared" si="81"/>
        <v>0</v>
      </c>
      <c r="AA212" s="95"/>
      <c r="AB212" s="95">
        <f>'LPLPO PROGRAM'!H43</f>
        <v>0</v>
      </c>
      <c r="AC212" s="91"/>
      <c r="AD212" s="91"/>
      <c r="AE212" s="91"/>
      <c r="AF212" s="91"/>
      <c r="AG212" s="92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93">
        <f t="shared" si="78"/>
        <v>0</v>
      </c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93">
        <f t="shared" si="64"/>
        <v>0</v>
      </c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  <c r="DK212" s="46"/>
      <c r="DL212" s="46"/>
      <c r="DM212" s="46"/>
      <c r="DN212" s="46"/>
      <c r="DO212" s="46"/>
      <c r="DP212" s="46"/>
      <c r="DQ212" s="46"/>
      <c r="DR212" s="46"/>
      <c r="DS212" s="46"/>
      <c r="DT212" s="46"/>
      <c r="DU212" s="46"/>
      <c r="DV212" s="46"/>
      <c r="DW212" s="46"/>
      <c r="DX212" s="46"/>
      <c r="DY212" s="46"/>
      <c r="DZ212" s="46"/>
      <c r="EA212" s="93">
        <f t="shared" si="79"/>
        <v>0</v>
      </c>
      <c r="EC212" s="46"/>
      <c r="ED212" s="46"/>
      <c r="EE212" s="46"/>
      <c r="EF212" s="46"/>
      <c r="EG212" s="46"/>
      <c r="EH212" s="46"/>
      <c r="EI212" s="46"/>
      <c r="EJ212" s="46"/>
      <c r="EK212" s="46"/>
      <c r="EL212" s="46"/>
      <c r="EM212" s="46"/>
      <c r="EN212" s="46"/>
      <c r="EO212" s="46"/>
      <c r="EP212" s="46"/>
      <c r="EQ212" s="46"/>
      <c r="ER212" s="46"/>
      <c r="ES212" s="46"/>
      <c r="ET212" s="46"/>
      <c r="EU212" s="46"/>
      <c r="EV212" s="46"/>
      <c r="EW212" s="46"/>
      <c r="EX212" s="46"/>
      <c r="EY212" s="46"/>
      <c r="EZ212" s="46"/>
      <c r="FA212" s="46"/>
      <c r="FB212" s="46"/>
      <c r="FC212" s="46"/>
      <c r="FD212" s="46"/>
      <c r="FE212" s="46"/>
      <c r="FF212" s="46"/>
      <c r="FG212" s="46"/>
      <c r="FH212" s="93">
        <f t="shared" si="80"/>
        <v>0</v>
      </c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93">
        <f t="shared" si="65"/>
        <v>0</v>
      </c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93">
        <f t="shared" si="66"/>
        <v>0</v>
      </c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  <c r="IT212" s="46"/>
      <c r="IU212" s="46"/>
      <c r="IV212" s="46"/>
      <c r="IW212" s="46"/>
      <c r="IX212" s="46"/>
      <c r="IY212" s="46"/>
      <c r="IZ212" s="46"/>
      <c r="JA212" s="46"/>
      <c r="JB212" s="46"/>
      <c r="JC212" s="93">
        <f t="shared" si="67"/>
        <v>0</v>
      </c>
      <c r="JE212" s="46"/>
      <c r="JF212" s="46"/>
      <c r="JG212" s="46"/>
      <c r="JH212" s="46"/>
      <c r="JI212" s="46"/>
      <c r="JJ212" s="46"/>
      <c r="JK212" s="46"/>
      <c r="JL212" s="46"/>
      <c r="JM212" s="46"/>
      <c r="JN212" s="46"/>
      <c r="JO212" s="46"/>
      <c r="JP212" s="46"/>
      <c r="JQ212" s="46"/>
      <c r="JR212" s="46"/>
      <c r="JS212" s="46"/>
      <c r="JT212" s="46"/>
      <c r="JU212" s="46"/>
      <c r="JV212" s="46"/>
      <c r="JW212" s="46"/>
      <c r="JX212" s="46"/>
      <c r="JY212" s="46"/>
      <c r="JZ212" s="46"/>
      <c r="KA212" s="46"/>
      <c r="KB212" s="46"/>
      <c r="KC212" s="46"/>
      <c r="KD212" s="46"/>
      <c r="KE212" s="46"/>
      <c r="KF212" s="46"/>
      <c r="KG212" s="46"/>
      <c r="KH212" s="46"/>
      <c r="KI212" s="46"/>
      <c r="KJ212" s="93">
        <f t="shared" si="68"/>
        <v>0</v>
      </c>
    </row>
    <row r="213" spans="1:296" ht="20.149999999999999" customHeight="1" x14ac:dyDescent="0.5">
      <c r="A213" s="11">
        <v>31</v>
      </c>
      <c r="B213" s="178" t="s">
        <v>284</v>
      </c>
      <c r="C213" s="144" t="s">
        <v>48</v>
      </c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>
        <f t="shared" si="70"/>
        <v>0</v>
      </c>
      <c r="S213" s="46">
        <f t="shared" si="71"/>
        <v>0</v>
      </c>
      <c r="T213" s="46">
        <f t="shared" si="72"/>
        <v>0</v>
      </c>
      <c r="U213" s="46">
        <f t="shared" si="73"/>
        <v>0</v>
      </c>
      <c r="V213" s="46">
        <f t="shared" si="74"/>
        <v>0</v>
      </c>
      <c r="W213" s="46">
        <f t="shared" si="75"/>
        <v>0</v>
      </c>
      <c r="X213" s="46">
        <f t="shared" si="76"/>
        <v>0</v>
      </c>
      <c r="Y213" s="46">
        <f t="shared" si="77"/>
        <v>0</v>
      </c>
      <c r="Z213" s="90">
        <f t="shared" si="81"/>
        <v>0</v>
      </c>
      <c r="AA213" s="95"/>
      <c r="AB213" s="95">
        <f>'LPLPO PROGRAM'!H44</f>
        <v>0</v>
      </c>
      <c r="AC213" s="91"/>
      <c r="AD213" s="91"/>
      <c r="AE213" s="91"/>
      <c r="AF213" s="91"/>
      <c r="AG213" s="92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93">
        <f t="shared" si="78"/>
        <v>0</v>
      </c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93">
        <f t="shared" si="64"/>
        <v>0</v>
      </c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  <c r="DK213" s="46"/>
      <c r="DL213" s="46"/>
      <c r="DM213" s="46"/>
      <c r="DN213" s="46"/>
      <c r="DO213" s="46"/>
      <c r="DP213" s="46"/>
      <c r="DQ213" s="46"/>
      <c r="DR213" s="46"/>
      <c r="DS213" s="46"/>
      <c r="DT213" s="46"/>
      <c r="DU213" s="46"/>
      <c r="DV213" s="46"/>
      <c r="DW213" s="46"/>
      <c r="DX213" s="46"/>
      <c r="DY213" s="46"/>
      <c r="DZ213" s="46"/>
      <c r="EA213" s="93">
        <f t="shared" si="79"/>
        <v>0</v>
      </c>
      <c r="EC213" s="46"/>
      <c r="ED213" s="46"/>
      <c r="EE213" s="46"/>
      <c r="EF213" s="46"/>
      <c r="EG213" s="46"/>
      <c r="EH213" s="46"/>
      <c r="EI213" s="46"/>
      <c r="EJ213" s="46"/>
      <c r="EK213" s="46"/>
      <c r="EL213" s="46"/>
      <c r="EM213" s="46"/>
      <c r="EN213" s="46"/>
      <c r="EO213" s="46"/>
      <c r="EP213" s="46"/>
      <c r="EQ213" s="46"/>
      <c r="ER213" s="46"/>
      <c r="ES213" s="46"/>
      <c r="ET213" s="46"/>
      <c r="EU213" s="46"/>
      <c r="EV213" s="46"/>
      <c r="EW213" s="46"/>
      <c r="EX213" s="46"/>
      <c r="EY213" s="46"/>
      <c r="EZ213" s="46"/>
      <c r="FA213" s="46"/>
      <c r="FB213" s="46"/>
      <c r="FC213" s="46"/>
      <c r="FD213" s="46"/>
      <c r="FE213" s="46"/>
      <c r="FF213" s="46"/>
      <c r="FG213" s="46"/>
      <c r="FH213" s="93">
        <f t="shared" si="80"/>
        <v>0</v>
      </c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93">
        <f t="shared" si="65"/>
        <v>0</v>
      </c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93">
        <f t="shared" si="66"/>
        <v>0</v>
      </c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  <c r="IT213" s="46"/>
      <c r="IU213" s="46"/>
      <c r="IV213" s="46"/>
      <c r="IW213" s="46"/>
      <c r="IX213" s="46"/>
      <c r="IY213" s="46"/>
      <c r="IZ213" s="46"/>
      <c r="JA213" s="46"/>
      <c r="JB213" s="46"/>
      <c r="JC213" s="93">
        <f t="shared" si="67"/>
        <v>0</v>
      </c>
      <c r="JE213" s="46"/>
      <c r="JF213" s="46"/>
      <c r="JG213" s="46"/>
      <c r="JH213" s="46"/>
      <c r="JI213" s="46"/>
      <c r="JJ213" s="46"/>
      <c r="JK213" s="46"/>
      <c r="JL213" s="46"/>
      <c r="JM213" s="46"/>
      <c r="JN213" s="46"/>
      <c r="JO213" s="46"/>
      <c r="JP213" s="46"/>
      <c r="JQ213" s="46"/>
      <c r="JR213" s="46"/>
      <c r="JS213" s="46"/>
      <c r="JT213" s="46"/>
      <c r="JU213" s="46"/>
      <c r="JV213" s="46"/>
      <c r="JW213" s="46"/>
      <c r="JX213" s="46"/>
      <c r="JY213" s="46"/>
      <c r="JZ213" s="46"/>
      <c r="KA213" s="46"/>
      <c r="KB213" s="46"/>
      <c r="KC213" s="46"/>
      <c r="KD213" s="46"/>
      <c r="KE213" s="46"/>
      <c r="KF213" s="46"/>
      <c r="KG213" s="46"/>
      <c r="KH213" s="46"/>
      <c r="KI213" s="46"/>
      <c r="KJ213" s="93">
        <f t="shared" si="68"/>
        <v>0</v>
      </c>
    </row>
    <row r="214" spans="1:296" ht="20.149999999999999" customHeight="1" x14ac:dyDescent="0.5">
      <c r="A214" s="11">
        <v>32</v>
      </c>
      <c r="B214" s="178" t="s">
        <v>190</v>
      </c>
      <c r="C214" s="144" t="s">
        <v>6</v>
      </c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>
        <f t="shared" si="70"/>
        <v>0</v>
      </c>
      <c r="S214" s="46">
        <f t="shared" si="71"/>
        <v>0</v>
      </c>
      <c r="T214" s="46">
        <f t="shared" si="72"/>
        <v>0</v>
      </c>
      <c r="U214" s="46">
        <f t="shared" si="73"/>
        <v>0</v>
      </c>
      <c r="V214" s="46">
        <f t="shared" si="74"/>
        <v>0</v>
      </c>
      <c r="W214" s="46">
        <f t="shared" si="75"/>
        <v>0</v>
      </c>
      <c r="X214" s="46">
        <f t="shared" si="76"/>
        <v>0</v>
      </c>
      <c r="Y214" s="46">
        <f t="shared" si="77"/>
        <v>0</v>
      </c>
      <c r="Z214" s="90">
        <f t="shared" si="81"/>
        <v>0</v>
      </c>
      <c r="AA214" s="95"/>
      <c r="AB214" s="95">
        <f>'LPLPO PROGRAM'!H45</f>
        <v>0</v>
      </c>
      <c r="AC214" s="91"/>
      <c r="AD214" s="91"/>
      <c r="AE214" s="91"/>
      <c r="AF214" s="91"/>
      <c r="AG214" s="92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93">
        <f t="shared" si="78"/>
        <v>0</v>
      </c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93">
        <f t="shared" si="64"/>
        <v>0</v>
      </c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  <c r="DK214" s="46"/>
      <c r="DL214" s="46"/>
      <c r="DM214" s="46"/>
      <c r="DN214" s="46"/>
      <c r="DO214" s="46"/>
      <c r="DP214" s="46"/>
      <c r="DQ214" s="46"/>
      <c r="DR214" s="46"/>
      <c r="DS214" s="46"/>
      <c r="DT214" s="46"/>
      <c r="DU214" s="46"/>
      <c r="DV214" s="46"/>
      <c r="DW214" s="46"/>
      <c r="DX214" s="46"/>
      <c r="DY214" s="46"/>
      <c r="DZ214" s="46"/>
      <c r="EA214" s="93">
        <f t="shared" si="79"/>
        <v>0</v>
      </c>
      <c r="EC214" s="46"/>
      <c r="ED214" s="46"/>
      <c r="EE214" s="46"/>
      <c r="EF214" s="46"/>
      <c r="EG214" s="46"/>
      <c r="EH214" s="46"/>
      <c r="EI214" s="46"/>
      <c r="EJ214" s="46"/>
      <c r="EK214" s="46"/>
      <c r="EL214" s="46"/>
      <c r="EM214" s="46"/>
      <c r="EN214" s="46"/>
      <c r="EO214" s="46"/>
      <c r="EP214" s="46"/>
      <c r="EQ214" s="46"/>
      <c r="ER214" s="46"/>
      <c r="ES214" s="46"/>
      <c r="ET214" s="46"/>
      <c r="EU214" s="46"/>
      <c r="EV214" s="46"/>
      <c r="EW214" s="46"/>
      <c r="EX214" s="46"/>
      <c r="EY214" s="46"/>
      <c r="EZ214" s="46"/>
      <c r="FA214" s="46"/>
      <c r="FB214" s="46"/>
      <c r="FC214" s="46"/>
      <c r="FD214" s="46"/>
      <c r="FE214" s="46"/>
      <c r="FF214" s="46"/>
      <c r="FG214" s="46"/>
      <c r="FH214" s="93">
        <f t="shared" si="80"/>
        <v>0</v>
      </c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46"/>
      <c r="GF214" s="46"/>
      <c r="GG214" s="46"/>
      <c r="GH214" s="46"/>
      <c r="GI214" s="46"/>
      <c r="GJ214" s="46"/>
      <c r="GK214" s="46"/>
      <c r="GL214" s="46"/>
      <c r="GM214" s="46"/>
      <c r="GN214" s="46"/>
      <c r="GO214" s="93">
        <f t="shared" si="65"/>
        <v>0</v>
      </c>
      <c r="GQ214" s="46"/>
      <c r="GR214" s="46"/>
      <c r="GS214" s="46"/>
      <c r="GT214" s="46"/>
      <c r="GU214" s="46"/>
      <c r="GV214" s="46"/>
      <c r="GW214" s="46"/>
      <c r="GX214" s="46"/>
      <c r="GY214" s="46"/>
      <c r="GZ214" s="46"/>
      <c r="HA214" s="46"/>
      <c r="HB214" s="46"/>
      <c r="HC214" s="46"/>
      <c r="HD214" s="46"/>
      <c r="HE214" s="46"/>
      <c r="HF214" s="46"/>
      <c r="HG214" s="46"/>
      <c r="HH214" s="46"/>
      <c r="HI214" s="46"/>
      <c r="HJ214" s="46"/>
      <c r="HK214" s="46"/>
      <c r="HL214" s="46"/>
      <c r="HM214" s="46"/>
      <c r="HN214" s="46"/>
      <c r="HO214" s="46"/>
      <c r="HP214" s="46"/>
      <c r="HQ214" s="46"/>
      <c r="HR214" s="46"/>
      <c r="HS214" s="46"/>
      <c r="HT214" s="46"/>
      <c r="HU214" s="46"/>
      <c r="HV214" s="93">
        <f t="shared" si="66"/>
        <v>0</v>
      </c>
      <c r="HX214" s="46"/>
      <c r="HY214" s="46"/>
      <c r="HZ214" s="46"/>
      <c r="IA214" s="46"/>
      <c r="IB214" s="46"/>
      <c r="IC214" s="46"/>
      <c r="ID214" s="46"/>
      <c r="IE214" s="46"/>
      <c r="IF214" s="46"/>
      <c r="IG214" s="46"/>
      <c r="IH214" s="46"/>
      <c r="II214" s="46"/>
      <c r="IJ214" s="46"/>
      <c r="IK214" s="46"/>
      <c r="IL214" s="46"/>
      <c r="IM214" s="46"/>
      <c r="IN214" s="46"/>
      <c r="IO214" s="46"/>
      <c r="IP214" s="46"/>
      <c r="IQ214" s="46"/>
      <c r="IR214" s="46"/>
      <c r="IS214" s="46"/>
      <c r="IT214" s="46"/>
      <c r="IU214" s="46"/>
      <c r="IV214" s="46"/>
      <c r="IW214" s="46"/>
      <c r="IX214" s="46"/>
      <c r="IY214" s="46"/>
      <c r="IZ214" s="46"/>
      <c r="JA214" s="46"/>
      <c r="JB214" s="46"/>
      <c r="JC214" s="93">
        <f t="shared" si="67"/>
        <v>0</v>
      </c>
      <c r="JE214" s="46"/>
      <c r="JF214" s="46"/>
      <c r="JG214" s="46"/>
      <c r="JH214" s="46"/>
      <c r="JI214" s="46"/>
      <c r="JJ214" s="46"/>
      <c r="JK214" s="46"/>
      <c r="JL214" s="46"/>
      <c r="JM214" s="46"/>
      <c r="JN214" s="46"/>
      <c r="JO214" s="46"/>
      <c r="JP214" s="46"/>
      <c r="JQ214" s="46"/>
      <c r="JR214" s="46"/>
      <c r="JS214" s="46"/>
      <c r="JT214" s="46"/>
      <c r="JU214" s="46"/>
      <c r="JV214" s="46"/>
      <c r="JW214" s="46"/>
      <c r="JX214" s="46"/>
      <c r="JY214" s="46"/>
      <c r="JZ214" s="46"/>
      <c r="KA214" s="46"/>
      <c r="KB214" s="46"/>
      <c r="KC214" s="46"/>
      <c r="KD214" s="46"/>
      <c r="KE214" s="46"/>
      <c r="KF214" s="46"/>
      <c r="KG214" s="46"/>
      <c r="KH214" s="46"/>
      <c r="KI214" s="46"/>
      <c r="KJ214" s="93">
        <f t="shared" si="68"/>
        <v>0</v>
      </c>
    </row>
    <row r="215" spans="1:296" ht="20.149999999999999" customHeight="1" x14ac:dyDescent="0.5">
      <c r="A215" s="11">
        <v>33</v>
      </c>
      <c r="B215" s="178" t="s">
        <v>357</v>
      </c>
      <c r="C215" s="144" t="s">
        <v>108</v>
      </c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>
        <f t="shared" si="70"/>
        <v>0</v>
      </c>
      <c r="S215" s="46">
        <f t="shared" si="71"/>
        <v>0</v>
      </c>
      <c r="T215" s="46">
        <f t="shared" si="72"/>
        <v>0</v>
      </c>
      <c r="U215" s="46">
        <f t="shared" si="73"/>
        <v>0</v>
      </c>
      <c r="V215" s="46">
        <f t="shared" si="74"/>
        <v>0</v>
      </c>
      <c r="W215" s="46">
        <f t="shared" si="75"/>
        <v>0</v>
      </c>
      <c r="X215" s="46">
        <f t="shared" si="76"/>
        <v>0</v>
      </c>
      <c r="Y215" s="46">
        <f t="shared" si="77"/>
        <v>0</v>
      </c>
      <c r="Z215" s="90">
        <f t="shared" si="81"/>
        <v>0</v>
      </c>
      <c r="AA215" s="95"/>
      <c r="AB215" s="95">
        <f>'LPLPO PROGRAM'!H46</f>
        <v>0</v>
      </c>
      <c r="AC215" s="91"/>
      <c r="AD215" s="91"/>
      <c r="AE215" s="91"/>
      <c r="AF215" s="91"/>
      <c r="AG215" s="92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93">
        <f t="shared" si="78"/>
        <v>0</v>
      </c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93">
        <f t="shared" si="64"/>
        <v>0</v>
      </c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  <c r="DK215" s="46"/>
      <c r="DL215" s="46"/>
      <c r="DM215" s="46"/>
      <c r="DN215" s="46"/>
      <c r="DO215" s="46"/>
      <c r="DP215" s="46"/>
      <c r="DQ215" s="46"/>
      <c r="DR215" s="46"/>
      <c r="DS215" s="46"/>
      <c r="DT215" s="46"/>
      <c r="DU215" s="46"/>
      <c r="DV215" s="46"/>
      <c r="DW215" s="46"/>
      <c r="DX215" s="46"/>
      <c r="DY215" s="46"/>
      <c r="DZ215" s="46"/>
      <c r="EA215" s="93">
        <f t="shared" si="79"/>
        <v>0</v>
      </c>
      <c r="EC215" s="46"/>
      <c r="ED215" s="46"/>
      <c r="EE215" s="46"/>
      <c r="EF215" s="46"/>
      <c r="EG215" s="46"/>
      <c r="EH215" s="46"/>
      <c r="EI215" s="46"/>
      <c r="EJ215" s="46"/>
      <c r="EK215" s="46"/>
      <c r="EL215" s="46"/>
      <c r="EM215" s="46"/>
      <c r="EN215" s="46"/>
      <c r="EO215" s="46"/>
      <c r="EP215" s="46"/>
      <c r="EQ215" s="46"/>
      <c r="ER215" s="46"/>
      <c r="ES215" s="46"/>
      <c r="ET215" s="46"/>
      <c r="EU215" s="46"/>
      <c r="EV215" s="46"/>
      <c r="EW215" s="46"/>
      <c r="EX215" s="46"/>
      <c r="EY215" s="46"/>
      <c r="EZ215" s="46"/>
      <c r="FA215" s="46"/>
      <c r="FB215" s="46"/>
      <c r="FC215" s="46"/>
      <c r="FD215" s="46"/>
      <c r="FE215" s="46"/>
      <c r="FF215" s="46"/>
      <c r="FG215" s="46"/>
      <c r="FH215" s="93">
        <f t="shared" si="80"/>
        <v>0</v>
      </c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46"/>
      <c r="GC215" s="46"/>
      <c r="GD215" s="46"/>
      <c r="GE215" s="46"/>
      <c r="GF215" s="46"/>
      <c r="GG215" s="46"/>
      <c r="GH215" s="46"/>
      <c r="GI215" s="46"/>
      <c r="GJ215" s="46"/>
      <c r="GK215" s="46"/>
      <c r="GL215" s="46"/>
      <c r="GM215" s="46"/>
      <c r="GN215" s="46"/>
      <c r="GO215" s="93">
        <f t="shared" si="65"/>
        <v>0</v>
      </c>
      <c r="GQ215" s="46"/>
      <c r="GR215" s="46"/>
      <c r="GS215" s="46"/>
      <c r="GT215" s="46"/>
      <c r="GU215" s="46"/>
      <c r="GV215" s="46"/>
      <c r="GW215" s="46"/>
      <c r="GX215" s="46"/>
      <c r="GY215" s="46"/>
      <c r="GZ215" s="46"/>
      <c r="HA215" s="46"/>
      <c r="HB215" s="46"/>
      <c r="HC215" s="46"/>
      <c r="HD215" s="46"/>
      <c r="HE215" s="46"/>
      <c r="HF215" s="46"/>
      <c r="HG215" s="46"/>
      <c r="HH215" s="46"/>
      <c r="HI215" s="46"/>
      <c r="HJ215" s="46"/>
      <c r="HK215" s="46"/>
      <c r="HL215" s="46"/>
      <c r="HM215" s="46"/>
      <c r="HN215" s="46"/>
      <c r="HO215" s="46"/>
      <c r="HP215" s="46"/>
      <c r="HQ215" s="46"/>
      <c r="HR215" s="46"/>
      <c r="HS215" s="46"/>
      <c r="HT215" s="46"/>
      <c r="HU215" s="46"/>
      <c r="HV215" s="93">
        <f t="shared" si="66"/>
        <v>0</v>
      </c>
      <c r="HX215" s="46"/>
      <c r="HY215" s="46"/>
      <c r="HZ215" s="46"/>
      <c r="IA215" s="46"/>
      <c r="IB215" s="46"/>
      <c r="IC215" s="46"/>
      <c r="ID215" s="46"/>
      <c r="IE215" s="46"/>
      <c r="IF215" s="46"/>
      <c r="IG215" s="46"/>
      <c r="IH215" s="46"/>
      <c r="II215" s="46"/>
      <c r="IJ215" s="46"/>
      <c r="IK215" s="46"/>
      <c r="IL215" s="46"/>
      <c r="IM215" s="46"/>
      <c r="IN215" s="46"/>
      <c r="IO215" s="46"/>
      <c r="IP215" s="46"/>
      <c r="IQ215" s="46"/>
      <c r="IR215" s="46"/>
      <c r="IS215" s="46"/>
      <c r="IT215" s="46"/>
      <c r="IU215" s="46"/>
      <c r="IV215" s="46"/>
      <c r="IW215" s="46"/>
      <c r="IX215" s="46"/>
      <c r="IY215" s="46"/>
      <c r="IZ215" s="46"/>
      <c r="JA215" s="46"/>
      <c r="JB215" s="46"/>
      <c r="JC215" s="93">
        <f t="shared" si="67"/>
        <v>0</v>
      </c>
      <c r="JE215" s="46"/>
      <c r="JF215" s="46"/>
      <c r="JG215" s="46"/>
      <c r="JH215" s="46"/>
      <c r="JI215" s="46"/>
      <c r="JJ215" s="46"/>
      <c r="JK215" s="46"/>
      <c r="JL215" s="46"/>
      <c r="JM215" s="46"/>
      <c r="JN215" s="46"/>
      <c r="JO215" s="46"/>
      <c r="JP215" s="46"/>
      <c r="JQ215" s="46"/>
      <c r="JR215" s="46"/>
      <c r="JS215" s="46"/>
      <c r="JT215" s="46"/>
      <c r="JU215" s="46"/>
      <c r="JV215" s="46"/>
      <c r="JW215" s="46"/>
      <c r="JX215" s="46"/>
      <c r="JY215" s="46"/>
      <c r="JZ215" s="46"/>
      <c r="KA215" s="46"/>
      <c r="KB215" s="46"/>
      <c r="KC215" s="46"/>
      <c r="KD215" s="46"/>
      <c r="KE215" s="46"/>
      <c r="KF215" s="46"/>
      <c r="KG215" s="46"/>
      <c r="KH215" s="46"/>
      <c r="KI215" s="46"/>
      <c r="KJ215" s="93">
        <f t="shared" si="68"/>
        <v>0</v>
      </c>
    </row>
    <row r="216" spans="1:296" ht="20.149999999999999" customHeight="1" x14ac:dyDescent="0.5">
      <c r="A216" s="11">
        <v>34</v>
      </c>
      <c r="B216" s="178" t="s">
        <v>358</v>
      </c>
      <c r="C216" s="144" t="s">
        <v>108</v>
      </c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>
        <f t="shared" si="70"/>
        <v>0</v>
      </c>
      <c r="S216" s="46">
        <f t="shared" si="71"/>
        <v>0</v>
      </c>
      <c r="T216" s="46">
        <f t="shared" si="72"/>
        <v>0</v>
      </c>
      <c r="U216" s="46">
        <f t="shared" si="73"/>
        <v>0</v>
      </c>
      <c r="V216" s="46">
        <f t="shared" si="74"/>
        <v>0</v>
      </c>
      <c r="W216" s="46">
        <f t="shared" si="75"/>
        <v>0</v>
      </c>
      <c r="X216" s="46">
        <f t="shared" si="76"/>
        <v>0</v>
      </c>
      <c r="Y216" s="46">
        <f t="shared" si="77"/>
        <v>0</v>
      </c>
      <c r="Z216" s="90">
        <f t="shared" si="81"/>
        <v>0</v>
      </c>
      <c r="AA216" s="95"/>
      <c r="AB216" s="95">
        <f>'LPLPO PROGRAM'!H47</f>
        <v>0</v>
      </c>
      <c r="AC216" s="91"/>
      <c r="AD216" s="91"/>
      <c r="AE216" s="91"/>
      <c r="AF216" s="91"/>
      <c r="AG216" s="92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93">
        <f t="shared" si="78"/>
        <v>0</v>
      </c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93">
        <f t="shared" si="64"/>
        <v>0</v>
      </c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  <c r="DK216" s="46"/>
      <c r="DL216" s="46"/>
      <c r="DM216" s="46"/>
      <c r="DN216" s="46"/>
      <c r="DO216" s="46"/>
      <c r="DP216" s="46"/>
      <c r="DQ216" s="46"/>
      <c r="DR216" s="46"/>
      <c r="DS216" s="46"/>
      <c r="DT216" s="46"/>
      <c r="DU216" s="46"/>
      <c r="DV216" s="46"/>
      <c r="DW216" s="46"/>
      <c r="DX216" s="46"/>
      <c r="DY216" s="46"/>
      <c r="DZ216" s="46"/>
      <c r="EA216" s="93">
        <f t="shared" si="79"/>
        <v>0</v>
      </c>
      <c r="EC216" s="46"/>
      <c r="ED216" s="46"/>
      <c r="EE216" s="46"/>
      <c r="EF216" s="46"/>
      <c r="EG216" s="46"/>
      <c r="EH216" s="46"/>
      <c r="EI216" s="46"/>
      <c r="EJ216" s="46"/>
      <c r="EK216" s="46"/>
      <c r="EL216" s="46"/>
      <c r="EM216" s="46"/>
      <c r="EN216" s="46"/>
      <c r="EO216" s="46"/>
      <c r="EP216" s="46"/>
      <c r="EQ216" s="46"/>
      <c r="ER216" s="46"/>
      <c r="ES216" s="46"/>
      <c r="ET216" s="46"/>
      <c r="EU216" s="46"/>
      <c r="EV216" s="46"/>
      <c r="EW216" s="46"/>
      <c r="EX216" s="46"/>
      <c r="EY216" s="46"/>
      <c r="EZ216" s="46"/>
      <c r="FA216" s="46"/>
      <c r="FB216" s="46"/>
      <c r="FC216" s="46"/>
      <c r="FD216" s="46"/>
      <c r="FE216" s="46"/>
      <c r="FF216" s="46"/>
      <c r="FG216" s="46"/>
      <c r="FH216" s="93">
        <f t="shared" si="80"/>
        <v>0</v>
      </c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6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46"/>
      <c r="GF216" s="46"/>
      <c r="GG216" s="46"/>
      <c r="GH216" s="46"/>
      <c r="GI216" s="46"/>
      <c r="GJ216" s="46"/>
      <c r="GK216" s="46"/>
      <c r="GL216" s="46"/>
      <c r="GM216" s="46"/>
      <c r="GN216" s="46"/>
      <c r="GO216" s="93">
        <f t="shared" si="65"/>
        <v>0</v>
      </c>
      <c r="GQ216" s="46"/>
      <c r="GR216" s="46"/>
      <c r="GS216" s="46"/>
      <c r="GT216" s="46"/>
      <c r="GU216" s="46"/>
      <c r="GV216" s="46"/>
      <c r="GW216" s="46"/>
      <c r="GX216" s="46"/>
      <c r="GY216" s="46"/>
      <c r="GZ216" s="46"/>
      <c r="HA216" s="46"/>
      <c r="HB216" s="46"/>
      <c r="HC216" s="46"/>
      <c r="HD216" s="46"/>
      <c r="HE216" s="46"/>
      <c r="HF216" s="46"/>
      <c r="HG216" s="46"/>
      <c r="HH216" s="46"/>
      <c r="HI216" s="46"/>
      <c r="HJ216" s="46"/>
      <c r="HK216" s="46"/>
      <c r="HL216" s="46"/>
      <c r="HM216" s="46"/>
      <c r="HN216" s="46"/>
      <c r="HO216" s="46"/>
      <c r="HP216" s="46"/>
      <c r="HQ216" s="46"/>
      <c r="HR216" s="46"/>
      <c r="HS216" s="46"/>
      <c r="HT216" s="46"/>
      <c r="HU216" s="46"/>
      <c r="HV216" s="93">
        <f t="shared" si="66"/>
        <v>0</v>
      </c>
      <c r="HX216" s="46"/>
      <c r="HY216" s="46"/>
      <c r="HZ216" s="46"/>
      <c r="IA216" s="46"/>
      <c r="IB216" s="46"/>
      <c r="IC216" s="46"/>
      <c r="ID216" s="46"/>
      <c r="IE216" s="46"/>
      <c r="IF216" s="46"/>
      <c r="IG216" s="46"/>
      <c r="IH216" s="46"/>
      <c r="II216" s="46"/>
      <c r="IJ216" s="46"/>
      <c r="IK216" s="46"/>
      <c r="IL216" s="46"/>
      <c r="IM216" s="46"/>
      <c r="IN216" s="46"/>
      <c r="IO216" s="46"/>
      <c r="IP216" s="46"/>
      <c r="IQ216" s="46"/>
      <c r="IR216" s="46"/>
      <c r="IS216" s="46"/>
      <c r="IT216" s="46"/>
      <c r="IU216" s="46"/>
      <c r="IV216" s="46"/>
      <c r="IW216" s="46"/>
      <c r="IX216" s="46"/>
      <c r="IY216" s="46"/>
      <c r="IZ216" s="46"/>
      <c r="JA216" s="46"/>
      <c r="JB216" s="46"/>
      <c r="JC216" s="93">
        <f t="shared" si="67"/>
        <v>0</v>
      </c>
      <c r="JE216" s="46"/>
      <c r="JF216" s="46"/>
      <c r="JG216" s="46"/>
      <c r="JH216" s="46"/>
      <c r="JI216" s="46"/>
      <c r="JJ216" s="46"/>
      <c r="JK216" s="46"/>
      <c r="JL216" s="46"/>
      <c r="JM216" s="46"/>
      <c r="JN216" s="46"/>
      <c r="JO216" s="46"/>
      <c r="JP216" s="46"/>
      <c r="JQ216" s="46"/>
      <c r="JR216" s="46"/>
      <c r="JS216" s="46"/>
      <c r="JT216" s="46"/>
      <c r="JU216" s="46"/>
      <c r="JV216" s="46"/>
      <c r="JW216" s="46"/>
      <c r="JX216" s="46"/>
      <c r="JY216" s="46"/>
      <c r="JZ216" s="46"/>
      <c r="KA216" s="46"/>
      <c r="KB216" s="46"/>
      <c r="KC216" s="46"/>
      <c r="KD216" s="46"/>
      <c r="KE216" s="46"/>
      <c r="KF216" s="46"/>
      <c r="KG216" s="46"/>
      <c r="KH216" s="46"/>
      <c r="KI216" s="46"/>
      <c r="KJ216" s="93">
        <f t="shared" si="68"/>
        <v>0</v>
      </c>
    </row>
    <row r="217" spans="1:296" ht="20.149999999999999" customHeight="1" x14ac:dyDescent="0.5">
      <c r="A217" s="11">
        <v>35</v>
      </c>
      <c r="B217" s="178" t="s">
        <v>356</v>
      </c>
      <c r="C217" s="144" t="s">
        <v>108</v>
      </c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>
        <f t="shared" si="70"/>
        <v>0</v>
      </c>
      <c r="S217" s="46">
        <f t="shared" si="71"/>
        <v>0</v>
      </c>
      <c r="T217" s="46">
        <f t="shared" si="72"/>
        <v>0</v>
      </c>
      <c r="U217" s="46">
        <f t="shared" si="73"/>
        <v>0</v>
      </c>
      <c r="V217" s="46">
        <f t="shared" si="74"/>
        <v>0</v>
      </c>
      <c r="W217" s="46">
        <f t="shared" si="75"/>
        <v>0</v>
      </c>
      <c r="X217" s="46">
        <f t="shared" si="76"/>
        <v>0</v>
      </c>
      <c r="Y217" s="46">
        <f t="shared" si="77"/>
        <v>0</v>
      </c>
      <c r="Z217" s="90">
        <f t="shared" si="81"/>
        <v>0</v>
      </c>
      <c r="AA217" s="95"/>
      <c r="AB217" s="95">
        <f>'LPLPO PROGRAM'!H48</f>
        <v>0</v>
      </c>
      <c r="AC217" s="91"/>
      <c r="AD217" s="91"/>
      <c r="AE217" s="91"/>
      <c r="AF217" s="91"/>
      <c r="AG217" s="92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93">
        <f t="shared" si="78"/>
        <v>0</v>
      </c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93">
        <f t="shared" si="64"/>
        <v>0</v>
      </c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  <c r="DK217" s="46"/>
      <c r="DL217" s="46"/>
      <c r="DM217" s="46"/>
      <c r="DN217" s="46"/>
      <c r="DO217" s="46"/>
      <c r="DP217" s="46"/>
      <c r="DQ217" s="46"/>
      <c r="DR217" s="46"/>
      <c r="DS217" s="46"/>
      <c r="DT217" s="46"/>
      <c r="DU217" s="46"/>
      <c r="DV217" s="46"/>
      <c r="DW217" s="46"/>
      <c r="DX217" s="46"/>
      <c r="DY217" s="46"/>
      <c r="DZ217" s="46"/>
      <c r="EA217" s="93">
        <f t="shared" si="79"/>
        <v>0</v>
      </c>
      <c r="EC217" s="46"/>
      <c r="ED217" s="46"/>
      <c r="EE217" s="46"/>
      <c r="EF217" s="46"/>
      <c r="EG217" s="46"/>
      <c r="EH217" s="46"/>
      <c r="EI217" s="46"/>
      <c r="EJ217" s="46"/>
      <c r="EK217" s="46"/>
      <c r="EL217" s="46"/>
      <c r="EM217" s="46"/>
      <c r="EN217" s="46"/>
      <c r="EO217" s="46"/>
      <c r="EP217" s="46"/>
      <c r="EQ217" s="46"/>
      <c r="ER217" s="46"/>
      <c r="ES217" s="46"/>
      <c r="ET217" s="46"/>
      <c r="EU217" s="46"/>
      <c r="EV217" s="46"/>
      <c r="EW217" s="46"/>
      <c r="EX217" s="46"/>
      <c r="EY217" s="46"/>
      <c r="EZ217" s="46"/>
      <c r="FA217" s="46"/>
      <c r="FB217" s="46"/>
      <c r="FC217" s="46"/>
      <c r="FD217" s="46"/>
      <c r="FE217" s="46"/>
      <c r="FF217" s="46"/>
      <c r="FG217" s="46"/>
      <c r="FH217" s="93">
        <f t="shared" si="80"/>
        <v>0</v>
      </c>
      <c r="FJ217" s="46"/>
      <c r="FK217" s="46"/>
      <c r="FL217" s="46"/>
      <c r="FM217" s="46"/>
      <c r="FN217" s="46"/>
      <c r="FO217" s="46"/>
      <c r="FP217" s="46"/>
      <c r="FQ217" s="46"/>
      <c r="FR217" s="46"/>
      <c r="FS217" s="46"/>
      <c r="FT217" s="46"/>
      <c r="FU217" s="46"/>
      <c r="FV217" s="46"/>
      <c r="FW217" s="46"/>
      <c r="FX217" s="46"/>
      <c r="FY217" s="46"/>
      <c r="FZ217" s="46"/>
      <c r="GA217" s="46"/>
      <c r="GB217" s="46"/>
      <c r="GC217" s="46"/>
      <c r="GD217" s="46"/>
      <c r="GE217" s="46"/>
      <c r="GF217" s="46"/>
      <c r="GG217" s="46"/>
      <c r="GH217" s="46"/>
      <c r="GI217" s="46"/>
      <c r="GJ217" s="46"/>
      <c r="GK217" s="46"/>
      <c r="GL217" s="46"/>
      <c r="GM217" s="46"/>
      <c r="GN217" s="46"/>
      <c r="GO217" s="93">
        <f t="shared" si="65"/>
        <v>0</v>
      </c>
      <c r="GQ217" s="46"/>
      <c r="GR217" s="46"/>
      <c r="GS217" s="46"/>
      <c r="GT217" s="46"/>
      <c r="GU217" s="46"/>
      <c r="GV217" s="46"/>
      <c r="GW217" s="46"/>
      <c r="GX217" s="46"/>
      <c r="GY217" s="46"/>
      <c r="GZ217" s="46"/>
      <c r="HA217" s="46"/>
      <c r="HB217" s="46"/>
      <c r="HC217" s="46"/>
      <c r="HD217" s="46"/>
      <c r="HE217" s="46"/>
      <c r="HF217" s="46"/>
      <c r="HG217" s="46"/>
      <c r="HH217" s="46"/>
      <c r="HI217" s="46"/>
      <c r="HJ217" s="46"/>
      <c r="HK217" s="46"/>
      <c r="HL217" s="46"/>
      <c r="HM217" s="46"/>
      <c r="HN217" s="46"/>
      <c r="HO217" s="46"/>
      <c r="HP217" s="46"/>
      <c r="HQ217" s="46"/>
      <c r="HR217" s="46"/>
      <c r="HS217" s="46"/>
      <c r="HT217" s="46"/>
      <c r="HU217" s="46"/>
      <c r="HV217" s="93">
        <f t="shared" si="66"/>
        <v>0</v>
      </c>
      <c r="HX217" s="46"/>
      <c r="HY217" s="46"/>
      <c r="HZ217" s="46"/>
      <c r="IA217" s="46"/>
      <c r="IB217" s="46"/>
      <c r="IC217" s="46"/>
      <c r="ID217" s="46"/>
      <c r="IE217" s="46"/>
      <c r="IF217" s="46"/>
      <c r="IG217" s="46"/>
      <c r="IH217" s="46"/>
      <c r="II217" s="46"/>
      <c r="IJ217" s="46"/>
      <c r="IK217" s="46"/>
      <c r="IL217" s="46"/>
      <c r="IM217" s="46"/>
      <c r="IN217" s="46"/>
      <c r="IO217" s="46"/>
      <c r="IP217" s="46"/>
      <c r="IQ217" s="46"/>
      <c r="IR217" s="46"/>
      <c r="IS217" s="46"/>
      <c r="IT217" s="46"/>
      <c r="IU217" s="46"/>
      <c r="IV217" s="46"/>
      <c r="IW217" s="46"/>
      <c r="IX217" s="46"/>
      <c r="IY217" s="46"/>
      <c r="IZ217" s="46"/>
      <c r="JA217" s="46"/>
      <c r="JB217" s="46"/>
      <c r="JC217" s="93">
        <f t="shared" si="67"/>
        <v>0</v>
      </c>
      <c r="JE217" s="46"/>
      <c r="JF217" s="46"/>
      <c r="JG217" s="46"/>
      <c r="JH217" s="46"/>
      <c r="JI217" s="46"/>
      <c r="JJ217" s="46"/>
      <c r="JK217" s="46"/>
      <c r="JL217" s="46"/>
      <c r="JM217" s="46"/>
      <c r="JN217" s="46"/>
      <c r="JO217" s="46"/>
      <c r="JP217" s="46"/>
      <c r="JQ217" s="46"/>
      <c r="JR217" s="46"/>
      <c r="JS217" s="46"/>
      <c r="JT217" s="46"/>
      <c r="JU217" s="46"/>
      <c r="JV217" s="46"/>
      <c r="JW217" s="46"/>
      <c r="JX217" s="46"/>
      <c r="JY217" s="46"/>
      <c r="JZ217" s="46"/>
      <c r="KA217" s="46"/>
      <c r="KB217" s="46"/>
      <c r="KC217" s="46"/>
      <c r="KD217" s="46"/>
      <c r="KE217" s="46"/>
      <c r="KF217" s="46"/>
      <c r="KG217" s="46"/>
      <c r="KH217" s="46"/>
      <c r="KI217" s="46"/>
      <c r="KJ217" s="93">
        <f t="shared" si="68"/>
        <v>0</v>
      </c>
    </row>
    <row r="218" spans="1:296" ht="20.149999999999999" customHeight="1" x14ac:dyDescent="0.5">
      <c r="A218" s="11">
        <v>36</v>
      </c>
      <c r="B218" s="178" t="s">
        <v>354</v>
      </c>
      <c r="C218" s="144" t="s">
        <v>355</v>
      </c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>
        <f t="shared" si="70"/>
        <v>0</v>
      </c>
      <c r="S218" s="46">
        <f t="shared" si="71"/>
        <v>0</v>
      </c>
      <c r="T218" s="46">
        <f t="shared" si="72"/>
        <v>0</v>
      </c>
      <c r="U218" s="46">
        <f t="shared" si="73"/>
        <v>0</v>
      </c>
      <c r="V218" s="46">
        <f t="shared" si="74"/>
        <v>0</v>
      </c>
      <c r="W218" s="46">
        <f t="shared" si="75"/>
        <v>0</v>
      </c>
      <c r="X218" s="46">
        <f t="shared" si="76"/>
        <v>0</v>
      </c>
      <c r="Y218" s="46">
        <f t="shared" si="77"/>
        <v>0</v>
      </c>
      <c r="Z218" s="90">
        <f t="shared" si="81"/>
        <v>0</v>
      </c>
      <c r="AA218" s="95"/>
      <c r="AB218" s="95">
        <f>'LPLPO PROGRAM'!H49</f>
        <v>0</v>
      </c>
      <c r="AC218" s="91"/>
      <c r="AD218" s="91"/>
      <c r="AE218" s="91"/>
      <c r="AF218" s="91"/>
      <c r="AG218" s="92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93">
        <f t="shared" si="78"/>
        <v>0</v>
      </c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93">
        <f t="shared" si="64"/>
        <v>0</v>
      </c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  <c r="DK218" s="46"/>
      <c r="DL218" s="46"/>
      <c r="DM218" s="46"/>
      <c r="DN218" s="46"/>
      <c r="DO218" s="46"/>
      <c r="DP218" s="46"/>
      <c r="DQ218" s="46"/>
      <c r="DR218" s="46"/>
      <c r="DS218" s="46"/>
      <c r="DT218" s="46"/>
      <c r="DU218" s="46"/>
      <c r="DV218" s="46"/>
      <c r="DW218" s="46"/>
      <c r="DX218" s="46"/>
      <c r="DY218" s="46"/>
      <c r="DZ218" s="46"/>
      <c r="EA218" s="93">
        <f t="shared" si="79"/>
        <v>0</v>
      </c>
      <c r="EC218" s="46"/>
      <c r="ED218" s="46"/>
      <c r="EE218" s="46"/>
      <c r="EF218" s="46"/>
      <c r="EG218" s="46"/>
      <c r="EH218" s="46"/>
      <c r="EI218" s="46"/>
      <c r="EJ218" s="46"/>
      <c r="EK218" s="46"/>
      <c r="EL218" s="46"/>
      <c r="EM218" s="46"/>
      <c r="EN218" s="46"/>
      <c r="EO218" s="46"/>
      <c r="EP218" s="46"/>
      <c r="EQ218" s="46"/>
      <c r="ER218" s="46"/>
      <c r="ES218" s="46"/>
      <c r="ET218" s="46"/>
      <c r="EU218" s="46"/>
      <c r="EV218" s="46"/>
      <c r="EW218" s="46"/>
      <c r="EX218" s="46"/>
      <c r="EY218" s="46"/>
      <c r="EZ218" s="46"/>
      <c r="FA218" s="46"/>
      <c r="FB218" s="46"/>
      <c r="FC218" s="46"/>
      <c r="FD218" s="46"/>
      <c r="FE218" s="46"/>
      <c r="FF218" s="46"/>
      <c r="FG218" s="46"/>
      <c r="FH218" s="93">
        <f t="shared" si="80"/>
        <v>0</v>
      </c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46"/>
      <c r="GF218" s="46"/>
      <c r="GG218" s="46"/>
      <c r="GH218" s="46"/>
      <c r="GI218" s="46"/>
      <c r="GJ218" s="46"/>
      <c r="GK218" s="46"/>
      <c r="GL218" s="46"/>
      <c r="GM218" s="46"/>
      <c r="GN218" s="46"/>
      <c r="GO218" s="93">
        <f t="shared" si="65"/>
        <v>0</v>
      </c>
      <c r="GQ218" s="46"/>
      <c r="GR218" s="46"/>
      <c r="GS218" s="46"/>
      <c r="GT218" s="46"/>
      <c r="GU218" s="46"/>
      <c r="GV218" s="46"/>
      <c r="GW218" s="46"/>
      <c r="GX218" s="46"/>
      <c r="GY218" s="46"/>
      <c r="GZ218" s="46"/>
      <c r="HA218" s="46"/>
      <c r="HB218" s="46"/>
      <c r="HC218" s="46"/>
      <c r="HD218" s="46"/>
      <c r="HE218" s="46"/>
      <c r="HF218" s="46"/>
      <c r="HG218" s="46"/>
      <c r="HH218" s="46"/>
      <c r="HI218" s="46"/>
      <c r="HJ218" s="46"/>
      <c r="HK218" s="46"/>
      <c r="HL218" s="46"/>
      <c r="HM218" s="46"/>
      <c r="HN218" s="46"/>
      <c r="HO218" s="46"/>
      <c r="HP218" s="46"/>
      <c r="HQ218" s="46"/>
      <c r="HR218" s="46"/>
      <c r="HS218" s="46"/>
      <c r="HT218" s="46"/>
      <c r="HU218" s="46"/>
      <c r="HV218" s="93">
        <f t="shared" si="66"/>
        <v>0</v>
      </c>
      <c r="HX218" s="46"/>
      <c r="HY218" s="46"/>
      <c r="HZ218" s="46"/>
      <c r="IA218" s="46"/>
      <c r="IB218" s="46"/>
      <c r="IC218" s="46"/>
      <c r="ID218" s="46"/>
      <c r="IE218" s="46"/>
      <c r="IF218" s="46"/>
      <c r="IG218" s="46"/>
      <c r="IH218" s="46"/>
      <c r="II218" s="46"/>
      <c r="IJ218" s="46"/>
      <c r="IK218" s="46"/>
      <c r="IL218" s="46"/>
      <c r="IM218" s="46"/>
      <c r="IN218" s="46"/>
      <c r="IO218" s="46"/>
      <c r="IP218" s="46"/>
      <c r="IQ218" s="46"/>
      <c r="IR218" s="46"/>
      <c r="IS218" s="46"/>
      <c r="IT218" s="46"/>
      <c r="IU218" s="46"/>
      <c r="IV218" s="46"/>
      <c r="IW218" s="46"/>
      <c r="IX218" s="46"/>
      <c r="IY218" s="46"/>
      <c r="IZ218" s="46"/>
      <c r="JA218" s="46"/>
      <c r="JB218" s="46"/>
      <c r="JC218" s="93">
        <f t="shared" si="67"/>
        <v>0</v>
      </c>
      <c r="JE218" s="46"/>
      <c r="JF218" s="46"/>
      <c r="JG218" s="46"/>
      <c r="JH218" s="46"/>
      <c r="JI218" s="46"/>
      <c r="JJ218" s="46"/>
      <c r="JK218" s="46"/>
      <c r="JL218" s="46"/>
      <c r="JM218" s="46"/>
      <c r="JN218" s="46"/>
      <c r="JO218" s="46"/>
      <c r="JP218" s="46"/>
      <c r="JQ218" s="46"/>
      <c r="JR218" s="46"/>
      <c r="JS218" s="46"/>
      <c r="JT218" s="46"/>
      <c r="JU218" s="46"/>
      <c r="JV218" s="46"/>
      <c r="JW218" s="46"/>
      <c r="JX218" s="46"/>
      <c r="JY218" s="46"/>
      <c r="JZ218" s="46"/>
      <c r="KA218" s="46"/>
      <c r="KB218" s="46"/>
      <c r="KC218" s="46"/>
      <c r="KD218" s="46"/>
      <c r="KE218" s="46"/>
      <c r="KF218" s="46"/>
      <c r="KG218" s="46"/>
      <c r="KH218" s="46"/>
      <c r="KI218" s="46"/>
      <c r="KJ218" s="93">
        <f t="shared" si="68"/>
        <v>0</v>
      </c>
    </row>
    <row r="219" spans="1:296" ht="20.149999999999999" customHeight="1" x14ac:dyDescent="0.5">
      <c r="A219" s="11">
        <v>37</v>
      </c>
      <c r="B219" s="178" t="s">
        <v>394</v>
      </c>
      <c r="C219" s="144" t="s">
        <v>395</v>
      </c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>
        <f t="shared" si="70"/>
        <v>0</v>
      </c>
      <c r="S219" s="46">
        <f t="shared" si="71"/>
        <v>0</v>
      </c>
      <c r="T219" s="46">
        <f t="shared" si="72"/>
        <v>0</v>
      </c>
      <c r="U219" s="46">
        <f t="shared" si="73"/>
        <v>0</v>
      </c>
      <c r="V219" s="46">
        <f t="shared" si="74"/>
        <v>0</v>
      </c>
      <c r="W219" s="46">
        <f t="shared" si="75"/>
        <v>0</v>
      </c>
      <c r="X219" s="46">
        <f t="shared" si="76"/>
        <v>0</v>
      </c>
      <c r="Y219" s="46">
        <f t="shared" si="77"/>
        <v>0</v>
      </c>
      <c r="Z219" s="90">
        <f t="shared" si="81"/>
        <v>0</v>
      </c>
      <c r="AA219" s="95"/>
      <c r="AB219" s="95">
        <f>'LPLPO PROGRAM'!H50</f>
        <v>0</v>
      </c>
      <c r="AC219" s="91"/>
      <c r="AD219" s="91"/>
      <c r="AE219" s="91"/>
      <c r="AF219" s="91"/>
      <c r="AG219" s="92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93">
        <f t="shared" si="78"/>
        <v>0</v>
      </c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93">
        <f t="shared" si="64"/>
        <v>0</v>
      </c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  <c r="DK219" s="46"/>
      <c r="DL219" s="46"/>
      <c r="DM219" s="46"/>
      <c r="DN219" s="46"/>
      <c r="DO219" s="46"/>
      <c r="DP219" s="46"/>
      <c r="DQ219" s="46"/>
      <c r="DR219" s="46"/>
      <c r="DS219" s="46"/>
      <c r="DT219" s="46"/>
      <c r="DU219" s="46"/>
      <c r="DV219" s="46"/>
      <c r="DW219" s="46"/>
      <c r="DX219" s="46"/>
      <c r="DY219" s="46"/>
      <c r="DZ219" s="46"/>
      <c r="EA219" s="93">
        <f t="shared" si="79"/>
        <v>0</v>
      </c>
      <c r="EC219" s="46"/>
      <c r="ED219" s="46"/>
      <c r="EE219" s="46"/>
      <c r="EF219" s="46"/>
      <c r="EG219" s="46"/>
      <c r="EH219" s="46"/>
      <c r="EI219" s="46"/>
      <c r="EJ219" s="46"/>
      <c r="EK219" s="46"/>
      <c r="EL219" s="46"/>
      <c r="EM219" s="46"/>
      <c r="EN219" s="46"/>
      <c r="EO219" s="46"/>
      <c r="EP219" s="46"/>
      <c r="EQ219" s="46"/>
      <c r="ER219" s="46"/>
      <c r="ES219" s="46"/>
      <c r="ET219" s="46"/>
      <c r="EU219" s="46"/>
      <c r="EV219" s="46"/>
      <c r="EW219" s="46"/>
      <c r="EX219" s="46"/>
      <c r="EY219" s="46"/>
      <c r="EZ219" s="46"/>
      <c r="FA219" s="46"/>
      <c r="FB219" s="46"/>
      <c r="FC219" s="46"/>
      <c r="FD219" s="46"/>
      <c r="FE219" s="46"/>
      <c r="FF219" s="46"/>
      <c r="FG219" s="46"/>
      <c r="FH219" s="93">
        <f t="shared" si="80"/>
        <v>0</v>
      </c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6"/>
      <c r="FU219" s="46"/>
      <c r="FV219" s="46"/>
      <c r="FW219" s="46"/>
      <c r="FX219" s="46"/>
      <c r="FY219" s="46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  <c r="GL219" s="46"/>
      <c r="GM219" s="46"/>
      <c r="GN219" s="46"/>
      <c r="GO219" s="93">
        <f t="shared" si="65"/>
        <v>0</v>
      </c>
      <c r="GQ219" s="46"/>
      <c r="GR219" s="46"/>
      <c r="GS219" s="46"/>
      <c r="GT219" s="46"/>
      <c r="GU219" s="46"/>
      <c r="GV219" s="46"/>
      <c r="GW219" s="46"/>
      <c r="GX219" s="46"/>
      <c r="GY219" s="46"/>
      <c r="GZ219" s="46"/>
      <c r="HA219" s="46"/>
      <c r="HB219" s="46"/>
      <c r="HC219" s="46"/>
      <c r="HD219" s="46"/>
      <c r="HE219" s="46"/>
      <c r="HF219" s="46"/>
      <c r="HG219" s="46"/>
      <c r="HH219" s="46"/>
      <c r="HI219" s="46"/>
      <c r="HJ219" s="46"/>
      <c r="HK219" s="46"/>
      <c r="HL219" s="46"/>
      <c r="HM219" s="46"/>
      <c r="HN219" s="46"/>
      <c r="HO219" s="46"/>
      <c r="HP219" s="46"/>
      <c r="HQ219" s="46"/>
      <c r="HR219" s="46"/>
      <c r="HS219" s="46"/>
      <c r="HT219" s="46"/>
      <c r="HU219" s="46"/>
      <c r="HV219" s="93">
        <f t="shared" si="66"/>
        <v>0</v>
      </c>
      <c r="HX219" s="46"/>
      <c r="HY219" s="46"/>
      <c r="HZ219" s="46"/>
      <c r="IA219" s="46"/>
      <c r="IB219" s="46"/>
      <c r="IC219" s="46"/>
      <c r="ID219" s="46"/>
      <c r="IE219" s="46"/>
      <c r="IF219" s="46"/>
      <c r="IG219" s="46"/>
      <c r="IH219" s="46"/>
      <c r="II219" s="46"/>
      <c r="IJ219" s="46"/>
      <c r="IK219" s="46"/>
      <c r="IL219" s="46"/>
      <c r="IM219" s="46"/>
      <c r="IN219" s="46"/>
      <c r="IO219" s="46"/>
      <c r="IP219" s="46"/>
      <c r="IQ219" s="46"/>
      <c r="IR219" s="46"/>
      <c r="IS219" s="46"/>
      <c r="IT219" s="46"/>
      <c r="IU219" s="46"/>
      <c r="IV219" s="46"/>
      <c r="IW219" s="46"/>
      <c r="IX219" s="46"/>
      <c r="IY219" s="46"/>
      <c r="IZ219" s="46"/>
      <c r="JA219" s="46"/>
      <c r="JB219" s="46"/>
      <c r="JC219" s="93">
        <f t="shared" si="67"/>
        <v>0</v>
      </c>
      <c r="JE219" s="46"/>
      <c r="JF219" s="46"/>
      <c r="JG219" s="46"/>
      <c r="JH219" s="46"/>
      <c r="JI219" s="46"/>
      <c r="JJ219" s="46"/>
      <c r="JK219" s="46"/>
      <c r="JL219" s="46"/>
      <c r="JM219" s="46"/>
      <c r="JN219" s="46"/>
      <c r="JO219" s="46"/>
      <c r="JP219" s="46"/>
      <c r="JQ219" s="46"/>
      <c r="JR219" s="46"/>
      <c r="JS219" s="46"/>
      <c r="JT219" s="46"/>
      <c r="JU219" s="46"/>
      <c r="JV219" s="46"/>
      <c r="JW219" s="46"/>
      <c r="JX219" s="46"/>
      <c r="JY219" s="46"/>
      <c r="JZ219" s="46"/>
      <c r="KA219" s="46"/>
      <c r="KB219" s="46"/>
      <c r="KC219" s="46"/>
      <c r="KD219" s="46"/>
      <c r="KE219" s="46"/>
      <c r="KF219" s="46"/>
      <c r="KG219" s="46"/>
      <c r="KH219" s="46"/>
      <c r="KI219" s="46"/>
      <c r="KJ219" s="93">
        <f t="shared" si="68"/>
        <v>0</v>
      </c>
    </row>
    <row r="220" spans="1:296" ht="20.149999999999999" customHeight="1" x14ac:dyDescent="0.5">
      <c r="A220" s="11">
        <v>38</v>
      </c>
      <c r="B220" s="183" t="s">
        <v>431</v>
      </c>
      <c r="C220" s="144" t="s">
        <v>48</v>
      </c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>
        <f t="shared" si="70"/>
        <v>0</v>
      </c>
      <c r="S220" s="46">
        <f t="shared" si="71"/>
        <v>0</v>
      </c>
      <c r="T220" s="46">
        <f t="shared" si="72"/>
        <v>0</v>
      </c>
      <c r="U220" s="46">
        <f t="shared" si="73"/>
        <v>0</v>
      </c>
      <c r="V220" s="46">
        <f t="shared" si="74"/>
        <v>0</v>
      </c>
      <c r="W220" s="46">
        <f t="shared" si="75"/>
        <v>0</v>
      </c>
      <c r="X220" s="46">
        <f t="shared" si="76"/>
        <v>0</v>
      </c>
      <c r="Y220" s="46">
        <f t="shared" si="77"/>
        <v>0</v>
      </c>
      <c r="Z220" s="90">
        <f t="shared" si="81"/>
        <v>0</v>
      </c>
      <c r="AA220" s="95"/>
      <c r="AB220" s="95">
        <f>'LPLPO PROGRAM'!H51</f>
        <v>0</v>
      </c>
      <c r="AC220" s="91"/>
      <c r="AD220" s="91"/>
      <c r="AE220" s="91"/>
      <c r="AF220" s="91"/>
      <c r="AG220" s="92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93">
        <f t="shared" si="78"/>
        <v>0</v>
      </c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  <c r="CM220" s="46"/>
      <c r="CN220" s="46"/>
      <c r="CO220" s="46"/>
      <c r="CP220" s="46"/>
      <c r="CQ220" s="46"/>
      <c r="CR220" s="46"/>
      <c r="CS220" s="46"/>
      <c r="CT220" s="93">
        <f t="shared" si="64"/>
        <v>0</v>
      </c>
      <c r="CV220" s="46"/>
      <c r="CW220" s="46"/>
      <c r="CX220" s="46"/>
      <c r="CY220" s="46"/>
      <c r="CZ220" s="46"/>
      <c r="DA220" s="46"/>
      <c r="DB220" s="46"/>
      <c r="DC220" s="46"/>
      <c r="DD220" s="46"/>
      <c r="DE220" s="46"/>
      <c r="DF220" s="46"/>
      <c r="DG220" s="46"/>
      <c r="DH220" s="46"/>
      <c r="DI220" s="46"/>
      <c r="DJ220" s="46"/>
      <c r="DK220" s="46"/>
      <c r="DL220" s="46"/>
      <c r="DM220" s="46"/>
      <c r="DN220" s="46"/>
      <c r="DO220" s="46"/>
      <c r="DP220" s="46"/>
      <c r="DQ220" s="46"/>
      <c r="DR220" s="46"/>
      <c r="DS220" s="46"/>
      <c r="DT220" s="46"/>
      <c r="DU220" s="46"/>
      <c r="DV220" s="46"/>
      <c r="DW220" s="46"/>
      <c r="DX220" s="46"/>
      <c r="DY220" s="46"/>
      <c r="DZ220" s="46"/>
      <c r="EA220" s="93">
        <f t="shared" si="79"/>
        <v>0</v>
      </c>
      <c r="EC220" s="46"/>
      <c r="ED220" s="46"/>
      <c r="EE220" s="46"/>
      <c r="EF220" s="46"/>
      <c r="EG220" s="46"/>
      <c r="EH220" s="46"/>
      <c r="EI220" s="46"/>
      <c r="EJ220" s="46"/>
      <c r="EK220" s="46"/>
      <c r="EL220" s="46"/>
      <c r="EM220" s="46"/>
      <c r="EN220" s="46"/>
      <c r="EO220" s="46"/>
      <c r="EP220" s="46"/>
      <c r="EQ220" s="46"/>
      <c r="ER220" s="46"/>
      <c r="ES220" s="46"/>
      <c r="ET220" s="46"/>
      <c r="EU220" s="46"/>
      <c r="EV220" s="46"/>
      <c r="EW220" s="46"/>
      <c r="EX220" s="46"/>
      <c r="EY220" s="46"/>
      <c r="EZ220" s="46"/>
      <c r="FA220" s="46"/>
      <c r="FB220" s="46"/>
      <c r="FC220" s="46"/>
      <c r="FD220" s="46"/>
      <c r="FE220" s="46"/>
      <c r="FF220" s="46"/>
      <c r="FG220" s="46"/>
      <c r="FH220" s="93">
        <f t="shared" si="80"/>
        <v>0</v>
      </c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93">
        <f t="shared" si="65"/>
        <v>0</v>
      </c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93">
        <f t="shared" si="66"/>
        <v>0</v>
      </c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  <c r="IT220" s="46"/>
      <c r="IU220" s="46"/>
      <c r="IV220" s="46"/>
      <c r="IW220" s="46"/>
      <c r="IX220" s="46"/>
      <c r="IY220" s="46"/>
      <c r="IZ220" s="46"/>
      <c r="JA220" s="46"/>
      <c r="JB220" s="46"/>
      <c r="JC220" s="93">
        <f t="shared" si="67"/>
        <v>0</v>
      </c>
      <c r="JE220" s="46"/>
      <c r="JF220" s="46"/>
      <c r="JG220" s="46"/>
      <c r="JH220" s="46"/>
      <c r="JI220" s="46"/>
      <c r="JJ220" s="46"/>
      <c r="JK220" s="46"/>
      <c r="JL220" s="46"/>
      <c r="JM220" s="46"/>
      <c r="JN220" s="46"/>
      <c r="JO220" s="46"/>
      <c r="JP220" s="46"/>
      <c r="JQ220" s="46"/>
      <c r="JR220" s="46"/>
      <c r="JS220" s="46"/>
      <c r="JT220" s="46"/>
      <c r="JU220" s="46"/>
      <c r="JV220" s="46"/>
      <c r="JW220" s="46"/>
      <c r="JX220" s="46"/>
      <c r="JY220" s="46"/>
      <c r="JZ220" s="46"/>
      <c r="KA220" s="46"/>
      <c r="KB220" s="46"/>
      <c r="KC220" s="46"/>
      <c r="KD220" s="46"/>
      <c r="KE220" s="46"/>
      <c r="KF220" s="46"/>
      <c r="KG220" s="46"/>
      <c r="KH220" s="46"/>
      <c r="KI220" s="46"/>
      <c r="KJ220" s="93">
        <f t="shared" si="68"/>
        <v>0</v>
      </c>
    </row>
    <row r="221" spans="1:296" ht="20.149999999999999" customHeight="1" x14ac:dyDescent="0.5">
      <c r="A221" s="11">
        <v>39</v>
      </c>
      <c r="B221" s="178"/>
      <c r="C221" s="144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>
        <f t="shared" si="70"/>
        <v>0</v>
      </c>
      <c r="S221" s="46">
        <f t="shared" si="71"/>
        <v>0</v>
      </c>
      <c r="T221" s="46">
        <f t="shared" si="72"/>
        <v>0</v>
      </c>
      <c r="U221" s="46">
        <f t="shared" si="73"/>
        <v>0</v>
      </c>
      <c r="V221" s="46">
        <f t="shared" si="74"/>
        <v>0</v>
      </c>
      <c r="W221" s="46">
        <f t="shared" si="75"/>
        <v>0</v>
      </c>
      <c r="X221" s="46">
        <f t="shared" si="76"/>
        <v>0</v>
      </c>
      <c r="Y221" s="46">
        <f t="shared" si="77"/>
        <v>0</v>
      </c>
      <c r="Z221" s="90">
        <f t="shared" si="81"/>
        <v>0</v>
      </c>
      <c r="AA221" s="95"/>
      <c r="AB221" s="95">
        <f>'LPLPO PROGRAM'!H52</f>
        <v>0</v>
      </c>
      <c r="AC221" s="91"/>
      <c r="AD221" s="91"/>
      <c r="AE221" s="91"/>
      <c r="AF221" s="91"/>
      <c r="AG221" s="92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93">
        <f t="shared" si="78"/>
        <v>0</v>
      </c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  <c r="CK221" s="46"/>
      <c r="CL221" s="46"/>
      <c r="CM221" s="46"/>
      <c r="CN221" s="46"/>
      <c r="CO221" s="46"/>
      <c r="CP221" s="46"/>
      <c r="CQ221" s="46"/>
      <c r="CR221" s="46"/>
      <c r="CS221" s="46"/>
      <c r="CT221" s="93">
        <f t="shared" si="64"/>
        <v>0</v>
      </c>
      <c r="CV221" s="46"/>
      <c r="CW221" s="46"/>
      <c r="CX221" s="46"/>
      <c r="CY221" s="46"/>
      <c r="CZ221" s="46"/>
      <c r="DA221" s="46"/>
      <c r="DB221" s="46"/>
      <c r="DC221" s="46"/>
      <c r="DD221" s="46"/>
      <c r="DE221" s="46"/>
      <c r="DF221" s="46"/>
      <c r="DG221" s="46"/>
      <c r="DH221" s="46"/>
      <c r="DI221" s="46"/>
      <c r="DJ221" s="46"/>
      <c r="DK221" s="46"/>
      <c r="DL221" s="46"/>
      <c r="DM221" s="46"/>
      <c r="DN221" s="46"/>
      <c r="DO221" s="46"/>
      <c r="DP221" s="46"/>
      <c r="DQ221" s="46"/>
      <c r="DR221" s="46"/>
      <c r="DS221" s="46"/>
      <c r="DT221" s="46"/>
      <c r="DU221" s="46"/>
      <c r="DV221" s="46"/>
      <c r="DW221" s="46"/>
      <c r="DX221" s="46"/>
      <c r="DY221" s="46"/>
      <c r="DZ221" s="46"/>
      <c r="EA221" s="93">
        <f t="shared" si="79"/>
        <v>0</v>
      </c>
      <c r="EC221" s="46"/>
      <c r="ED221" s="46"/>
      <c r="EE221" s="46"/>
      <c r="EF221" s="46"/>
      <c r="EG221" s="46"/>
      <c r="EH221" s="46"/>
      <c r="EI221" s="46"/>
      <c r="EJ221" s="46"/>
      <c r="EK221" s="46"/>
      <c r="EL221" s="46"/>
      <c r="EM221" s="46"/>
      <c r="EN221" s="46"/>
      <c r="EO221" s="46"/>
      <c r="EP221" s="46"/>
      <c r="EQ221" s="46"/>
      <c r="ER221" s="46"/>
      <c r="ES221" s="46"/>
      <c r="ET221" s="46"/>
      <c r="EU221" s="46"/>
      <c r="EV221" s="46"/>
      <c r="EW221" s="46"/>
      <c r="EX221" s="46"/>
      <c r="EY221" s="46"/>
      <c r="EZ221" s="46"/>
      <c r="FA221" s="46"/>
      <c r="FB221" s="46"/>
      <c r="FC221" s="46"/>
      <c r="FD221" s="46"/>
      <c r="FE221" s="46"/>
      <c r="FF221" s="46"/>
      <c r="FG221" s="46"/>
      <c r="FH221" s="93">
        <f t="shared" si="80"/>
        <v>0</v>
      </c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93">
        <f t="shared" si="65"/>
        <v>0</v>
      </c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93">
        <f t="shared" si="66"/>
        <v>0</v>
      </c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  <c r="IT221" s="46"/>
      <c r="IU221" s="46"/>
      <c r="IV221" s="46"/>
      <c r="IW221" s="46"/>
      <c r="IX221" s="46"/>
      <c r="IY221" s="46"/>
      <c r="IZ221" s="46"/>
      <c r="JA221" s="46"/>
      <c r="JB221" s="46"/>
      <c r="JC221" s="93">
        <f t="shared" si="67"/>
        <v>0</v>
      </c>
      <c r="JE221" s="46"/>
      <c r="JF221" s="46"/>
      <c r="JG221" s="46"/>
      <c r="JH221" s="46"/>
      <c r="JI221" s="46"/>
      <c r="JJ221" s="46"/>
      <c r="JK221" s="46"/>
      <c r="JL221" s="46"/>
      <c r="JM221" s="46"/>
      <c r="JN221" s="46"/>
      <c r="JO221" s="46"/>
      <c r="JP221" s="46"/>
      <c r="JQ221" s="46"/>
      <c r="JR221" s="46"/>
      <c r="JS221" s="46"/>
      <c r="JT221" s="46"/>
      <c r="JU221" s="46"/>
      <c r="JV221" s="46"/>
      <c r="JW221" s="46"/>
      <c r="JX221" s="46"/>
      <c r="JY221" s="46"/>
      <c r="JZ221" s="46"/>
      <c r="KA221" s="46"/>
      <c r="KB221" s="46"/>
      <c r="KC221" s="46"/>
      <c r="KD221" s="46"/>
      <c r="KE221" s="46"/>
      <c r="KF221" s="46"/>
      <c r="KG221" s="46"/>
      <c r="KH221" s="46"/>
      <c r="KI221" s="46"/>
      <c r="KJ221" s="93">
        <f t="shared" si="68"/>
        <v>0</v>
      </c>
    </row>
    <row r="222" spans="1:296" ht="20.149999999999999" customHeight="1" x14ac:dyDescent="0.5">
      <c r="A222" s="11">
        <v>40</v>
      </c>
      <c r="B222" s="178"/>
      <c r="C222" s="144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>
        <f t="shared" si="70"/>
        <v>0</v>
      </c>
      <c r="S222" s="46">
        <f t="shared" si="71"/>
        <v>0</v>
      </c>
      <c r="T222" s="46">
        <f t="shared" si="72"/>
        <v>0</v>
      </c>
      <c r="U222" s="46">
        <f t="shared" si="73"/>
        <v>0</v>
      </c>
      <c r="V222" s="46">
        <f t="shared" si="74"/>
        <v>0</v>
      </c>
      <c r="W222" s="46">
        <f t="shared" si="75"/>
        <v>0</v>
      </c>
      <c r="X222" s="46">
        <f t="shared" si="76"/>
        <v>0</v>
      </c>
      <c r="Y222" s="46">
        <f t="shared" si="77"/>
        <v>0</v>
      </c>
      <c r="Z222" s="90">
        <f t="shared" si="81"/>
        <v>0</v>
      </c>
      <c r="AA222" s="95"/>
      <c r="AB222" s="95">
        <f>'LPLPO PROGRAM'!H53</f>
        <v>0</v>
      </c>
      <c r="AC222" s="91"/>
      <c r="AD222" s="91"/>
      <c r="AE222" s="91"/>
      <c r="AF222" s="91"/>
      <c r="AG222" s="92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93">
        <f t="shared" si="78"/>
        <v>0</v>
      </c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93">
        <f t="shared" si="64"/>
        <v>0</v>
      </c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6"/>
      <c r="DQ222" s="46"/>
      <c r="DR222" s="46"/>
      <c r="DS222" s="46"/>
      <c r="DT222" s="46"/>
      <c r="DU222" s="46"/>
      <c r="DV222" s="46"/>
      <c r="DW222" s="46"/>
      <c r="DX222" s="46"/>
      <c r="DY222" s="46"/>
      <c r="DZ222" s="46"/>
      <c r="EA222" s="93">
        <f t="shared" si="79"/>
        <v>0</v>
      </c>
      <c r="EC222" s="46"/>
      <c r="ED222" s="46"/>
      <c r="EE222" s="46"/>
      <c r="EF222" s="46"/>
      <c r="EG222" s="46"/>
      <c r="EH222" s="46"/>
      <c r="EI222" s="46"/>
      <c r="EJ222" s="46"/>
      <c r="EK222" s="46"/>
      <c r="EL222" s="46"/>
      <c r="EM222" s="46"/>
      <c r="EN222" s="46"/>
      <c r="EO222" s="46"/>
      <c r="EP222" s="46"/>
      <c r="EQ222" s="46"/>
      <c r="ER222" s="46"/>
      <c r="ES222" s="46"/>
      <c r="ET222" s="46"/>
      <c r="EU222" s="46"/>
      <c r="EV222" s="46"/>
      <c r="EW222" s="46"/>
      <c r="EX222" s="46"/>
      <c r="EY222" s="46"/>
      <c r="EZ222" s="46"/>
      <c r="FA222" s="46"/>
      <c r="FB222" s="46"/>
      <c r="FC222" s="46"/>
      <c r="FD222" s="46"/>
      <c r="FE222" s="46"/>
      <c r="FF222" s="46"/>
      <c r="FG222" s="46"/>
      <c r="FH222" s="93">
        <f t="shared" si="80"/>
        <v>0</v>
      </c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93">
        <f t="shared" si="65"/>
        <v>0</v>
      </c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93">
        <f t="shared" si="66"/>
        <v>0</v>
      </c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  <c r="IT222" s="46"/>
      <c r="IU222" s="46"/>
      <c r="IV222" s="46"/>
      <c r="IW222" s="46"/>
      <c r="IX222" s="46"/>
      <c r="IY222" s="46"/>
      <c r="IZ222" s="46"/>
      <c r="JA222" s="46"/>
      <c r="JB222" s="46"/>
      <c r="JC222" s="93">
        <f t="shared" si="67"/>
        <v>0</v>
      </c>
      <c r="JE222" s="46"/>
      <c r="JF222" s="46"/>
      <c r="JG222" s="46"/>
      <c r="JH222" s="46"/>
      <c r="JI222" s="46"/>
      <c r="JJ222" s="46"/>
      <c r="JK222" s="46"/>
      <c r="JL222" s="46"/>
      <c r="JM222" s="46"/>
      <c r="JN222" s="46"/>
      <c r="JO222" s="46"/>
      <c r="JP222" s="46"/>
      <c r="JQ222" s="46"/>
      <c r="JR222" s="46"/>
      <c r="JS222" s="46"/>
      <c r="JT222" s="46"/>
      <c r="JU222" s="46"/>
      <c r="JV222" s="46"/>
      <c r="JW222" s="46"/>
      <c r="JX222" s="46"/>
      <c r="JY222" s="46"/>
      <c r="JZ222" s="46"/>
      <c r="KA222" s="46"/>
      <c r="KB222" s="46"/>
      <c r="KC222" s="46"/>
      <c r="KD222" s="46"/>
      <c r="KE222" s="46"/>
      <c r="KF222" s="46"/>
      <c r="KG222" s="46"/>
      <c r="KH222" s="46"/>
      <c r="KI222" s="46"/>
      <c r="KJ222" s="93">
        <f t="shared" si="68"/>
        <v>0</v>
      </c>
    </row>
    <row r="223" spans="1:296" ht="20.149999999999999" customHeight="1" x14ac:dyDescent="0.5">
      <c r="A223" s="187">
        <v>41</v>
      </c>
      <c r="B223" s="188" t="s">
        <v>191</v>
      </c>
      <c r="C223" s="1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>
        <f t="shared" si="70"/>
        <v>0</v>
      </c>
      <c r="S223" s="46">
        <f t="shared" si="71"/>
        <v>0</v>
      </c>
      <c r="T223" s="46">
        <f t="shared" si="72"/>
        <v>0</v>
      </c>
      <c r="U223" s="46">
        <f t="shared" si="73"/>
        <v>0</v>
      </c>
      <c r="V223" s="46">
        <f t="shared" si="74"/>
        <v>0</v>
      </c>
      <c r="W223" s="46">
        <f t="shared" si="75"/>
        <v>0</v>
      </c>
      <c r="X223" s="46">
        <f t="shared" si="76"/>
        <v>0</v>
      </c>
      <c r="Y223" s="46">
        <f t="shared" si="77"/>
        <v>0</v>
      </c>
      <c r="Z223" s="90">
        <f t="shared" si="81"/>
        <v>0</v>
      </c>
      <c r="AA223" s="95"/>
      <c r="AB223" s="95">
        <f>'LPLPO PROGRAM'!H54</f>
        <v>0</v>
      </c>
      <c r="AC223" s="91"/>
      <c r="AD223" s="91"/>
      <c r="AE223" s="91"/>
      <c r="AF223" s="91"/>
      <c r="AG223" s="92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93">
        <f t="shared" si="78"/>
        <v>0</v>
      </c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  <c r="CK223" s="46"/>
      <c r="CL223" s="46"/>
      <c r="CM223" s="46"/>
      <c r="CN223" s="46"/>
      <c r="CO223" s="46"/>
      <c r="CP223" s="46"/>
      <c r="CQ223" s="46"/>
      <c r="CR223" s="46"/>
      <c r="CS223" s="46"/>
      <c r="CT223" s="93">
        <f t="shared" si="64"/>
        <v>0</v>
      </c>
      <c r="CV223" s="46"/>
      <c r="CW223" s="46"/>
      <c r="CX223" s="46"/>
      <c r="CY223" s="46"/>
      <c r="CZ223" s="46"/>
      <c r="DA223" s="46"/>
      <c r="DB223" s="46"/>
      <c r="DC223" s="46"/>
      <c r="DD223" s="46"/>
      <c r="DE223" s="46"/>
      <c r="DF223" s="46"/>
      <c r="DG223" s="46"/>
      <c r="DH223" s="46"/>
      <c r="DI223" s="46"/>
      <c r="DJ223" s="46"/>
      <c r="DK223" s="46"/>
      <c r="DL223" s="46"/>
      <c r="DM223" s="46"/>
      <c r="DN223" s="46"/>
      <c r="DO223" s="46"/>
      <c r="DP223" s="46"/>
      <c r="DQ223" s="46"/>
      <c r="DR223" s="46"/>
      <c r="DS223" s="46"/>
      <c r="DT223" s="46"/>
      <c r="DU223" s="46"/>
      <c r="DV223" s="46"/>
      <c r="DW223" s="46"/>
      <c r="DX223" s="46"/>
      <c r="DY223" s="46"/>
      <c r="DZ223" s="46"/>
      <c r="EA223" s="93">
        <f t="shared" si="79"/>
        <v>0</v>
      </c>
      <c r="EC223" s="46"/>
      <c r="ED223" s="46"/>
      <c r="EE223" s="46"/>
      <c r="EF223" s="46"/>
      <c r="EG223" s="46"/>
      <c r="EH223" s="46"/>
      <c r="EI223" s="46"/>
      <c r="EJ223" s="46"/>
      <c r="EK223" s="46"/>
      <c r="EL223" s="46"/>
      <c r="EM223" s="46"/>
      <c r="EN223" s="46"/>
      <c r="EO223" s="46"/>
      <c r="EP223" s="46"/>
      <c r="EQ223" s="46"/>
      <c r="ER223" s="46"/>
      <c r="ES223" s="46"/>
      <c r="ET223" s="46"/>
      <c r="EU223" s="46"/>
      <c r="EV223" s="46"/>
      <c r="EW223" s="46"/>
      <c r="EX223" s="46"/>
      <c r="EY223" s="46"/>
      <c r="EZ223" s="46"/>
      <c r="FA223" s="46"/>
      <c r="FB223" s="46"/>
      <c r="FC223" s="46"/>
      <c r="FD223" s="46"/>
      <c r="FE223" s="46"/>
      <c r="FF223" s="46"/>
      <c r="FG223" s="46"/>
      <c r="FH223" s="93">
        <f t="shared" si="80"/>
        <v>0</v>
      </c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93">
        <f t="shared" si="65"/>
        <v>0</v>
      </c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93">
        <f t="shared" si="66"/>
        <v>0</v>
      </c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  <c r="IT223" s="46"/>
      <c r="IU223" s="46"/>
      <c r="IV223" s="46"/>
      <c r="IW223" s="46"/>
      <c r="IX223" s="46"/>
      <c r="IY223" s="46"/>
      <c r="IZ223" s="46"/>
      <c r="JA223" s="46"/>
      <c r="JB223" s="46"/>
      <c r="JC223" s="93">
        <f t="shared" si="67"/>
        <v>0</v>
      </c>
      <c r="JE223" s="46"/>
      <c r="JF223" s="46"/>
      <c r="JG223" s="46"/>
      <c r="JH223" s="46"/>
      <c r="JI223" s="46"/>
      <c r="JJ223" s="46"/>
      <c r="JK223" s="46"/>
      <c r="JL223" s="46"/>
      <c r="JM223" s="46"/>
      <c r="JN223" s="46"/>
      <c r="JO223" s="46"/>
      <c r="JP223" s="46"/>
      <c r="JQ223" s="46"/>
      <c r="JR223" s="46"/>
      <c r="JS223" s="46"/>
      <c r="JT223" s="46"/>
      <c r="JU223" s="46"/>
      <c r="JV223" s="46"/>
      <c r="JW223" s="46"/>
      <c r="JX223" s="46"/>
      <c r="JY223" s="46"/>
      <c r="JZ223" s="46"/>
      <c r="KA223" s="46"/>
      <c r="KB223" s="46"/>
      <c r="KC223" s="46"/>
      <c r="KD223" s="46"/>
      <c r="KE223" s="46"/>
      <c r="KF223" s="46"/>
      <c r="KG223" s="46"/>
      <c r="KH223" s="46"/>
      <c r="KI223" s="46"/>
      <c r="KJ223" s="93">
        <f t="shared" si="68"/>
        <v>0</v>
      </c>
    </row>
    <row r="224" spans="1:296" ht="20.149999999999999" customHeight="1" x14ac:dyDescent="0.5">
      <c r="A224" s="11">
        <v>42</v>
      </c>
      <c r="B224" s="178" t="s">
        <v>192</v>
      </c>
      <c r="C224" s="144" t="s">
        <v>6</v>
      </c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>
        <f t="shared" si="70"/>
        <v>0</v>
      </c>
      <c r="S224" s="46">
        <f t="shared" si="71"/>
        <v>0</v>
      </c>
      <c r="T224" s="46">
        <f t="shared" si="72"/>
        <v>0</v>
      </c>
      <c r="U224" s="46">
        <f t="shared" si="73"/>
        <v>0</v>
      </c>
      <c r="V224" s="46">
        <f t="shared" si="74"/>
        <v>0</v>
      </c>
      <c r="W224" s="46">
        <f t="shared" si="75"/>
        <v>0</v>
      </c>
      <c r="X224" s="46">
        <f t="shared" si="76"/>
        <v>0</v>
      </c>
      <c r="Y224" s="46">
        <f t="shared" si="77"/>
        <v>0</v>
      </c>
      <c r="Z224" s="90">
        <f t="shared" si="81"/>
        <v>0</v>
      </c>
      <c r="AA224" s="95"/>
      <c r="AB224" s="95">
        <f>'LPLPO PROGRAM'!H55</f>
        <v>0</v>
      </c>
      <c r="AC224" s="91" t="s">
        <v>420</v>
      </c>
      <c r="AD224" s="91"/>
      <c r="AE224" s="91"/>
      <c r="AF224" s="91"/>
      <c r="AG224" s="92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93">
        <f t="shared" si="78"/>
        <v>0</v>
      </c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  <c r="CK224" s="46"/>
      <c r="CL224" s="46"/>
      <c r="CM224" s="46"/>
      <c r="CN224" s="46"/>
      <c r="CO224" s="46"/>
      <c r="CP224" s="46"/>
      <c r="CQ224" s="46"/>
      <c r="CR224" s="46"/>
      <c r="CS224" s="46"/>
      <c r="CT224" s="93">
        <f t="shared" si="64"/>
        <v>0</v>
      </c>
      <c r="CV224" s="46"/>
      <c r="CW224" s="46"/>
      <c r="CX224" s="46"/>
      <c r="CY224" s="46"/>
      <c r="CZ224" s="46"/>
      <c r="DA224" s="46"/>
      <c r="DB224" s="46"/>
      <c r="DC224" s="46"/>
      <c r="DD224" s="46"/>
      <c r="DE224" s="46"/>
      <c r="DF224" s="46"/>
      <c r="DG224" s="46"/>
      <c r="DH224" s="46"/>
      <c r="DI224" s="46"/>
      <c r="DJ224" s="46"/>
      <c r="DK224" s="46"/>
      <c r="DL224" s="46"/>
      <c r="DM224" s="46"/>
      <c r="DN224" s="46"/>
      <c r="DO224" s="46"/>
      <c r="DP224" s="46"/>
      <c r="DQ224" s="46"/>
      <c r="DR224" s="46"/>
      <c r="DS224" s="46"/>
      <c r="DT224" s="46"/>
      <c r="DU224" s="46"/>
      <c r="DV224" s="46"/>
      <c r="DW224" s="46"/>
      <c r="DX224" s="46"/>
      <c r="DY224" s="46"/>
      <c r="DZ224" s="46"/>
      <c r="EA224" s="93">
        <f t="shared" si="79"/>
        <v>0</v>
      </c>
      <c r="EC224" s="46"/>
      <c r="ED224" s="46"/>
      <c r="EE224" s="46"/>
      <c r="EF224" s="46"/>
      <c r="EG224" s="46"/>
      <c r="EH224" s="46"/>
      <c r="EI224" s="46"/>
      <c r="EJ224" s="46"/>
      <c r="EK224" s="46"/>
      <c r="EL224" s="46"/>
      <c r="EM224" s="46"/>
      <c r="EN224" s="46"/>
      <c r="EO224" s="46"/>
      <c r="EP224" s="46"/>
      <c r="EQ224" s="46"/>
      <c r="ER224" s="46"/>
      <c r="ES224" s="46"/>
      <c r="ET224" s="46"/>
      <c r="EU224" s="46"/>
      <c r="EV224" s="46"/>
      <c r="EW224" s="46"/>
      <c r="EX224" s="46"/>
      <c r="EY224" s="46"/>
      <c r="EZ224" s="46"/>
      <c r="FA224" s="46"/>
      <c r="FB224" s="46"/>
      <c r="FC224" s="46"/>
      <c r="FD224" s="46"/>
      <c r="FE224" s="46"/>
      <c r="FF224" s="46"/>
      <c r="FG224" s="46"/>
      <c r="FH224" s="93">
        <f t="shared" si="80"/>
        <v>0</v>
      </c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93">
        <f t="shared" si="65"/>
        <v>0</v>
      </c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93">
        <f t="shared" si="66"/>
        <v>0</v>
      </c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  <c r="IT224" s="46"/>
      <c r="IU224" s="46"/>
      <c r="IV224" s="46"/>
      <c r="IW224" s="46"/>
      <c r="IX224" s="46"/>
      <c r="IY224" s="46"/>
      <c r="IZ224" s="46"/>
      <c r="JA224" s="46"/>
      <c r="JB224" s="46"/>
      <c r="JC224" s="93">
        <f t="shared" si="67"/>
        <v>0</v>
      </c>
      <c r="JE224" s="46"/>
      <c r="JF224" s="46"/>
      <c r="JG224" s="46"/>
      <c r="JH224" s="46"/>
      <c r="JI224" s="46"/>
      <c r="JJ224" s="46"/>
      <c r="JK224" s="46"/>
      <c r="JL224" s="46"/>
      <c r="JM224" s="46"/>
      <c r="JN224" s="46"/>
      <c r="JO224" s="46"/>
      <c r="JP224" s="46"/>
      <c r="JQ224" s="46"/>
      <c r="JR224" s="46"/>
      <c r="JS224" s="46"/>
      <c r="JT224" s="46"/>
      <c r="JU224" s="46"/>
      <c r="JV224" s="46"/>
      <c r="JW224" s="46"/>
      <c r="JX224" s="46"/>
      <c r="JY224" s="46"/>
      <c r="JZ224" s="46"/>
      <c r="KA224" s="46"/>
      <c r="KB224" s="46"/>
      <c r="KC224" s="46"/>
      <c r="KD224" s="46"/>
      <c r="KE224" s="46"/>
      <c r="KF224" s="46"/>
      <c r="KG224" s="46"/>
      <c r="KH224" s="46"/>
      <c r="KI224" s="46"/>
      <c r="KJ224" s="93">
        <f t="shared" si="68"/>
        <v>0</v>
      </c>
    </row>
    <row r="225" spans="1:296" ht="20.149999999999999" customHeight="1" x14ac:dyDescent="0.5">
      <c r="A225" s="11">
        <v>43</v>
      </c>
      <c r="B225" s="178" t="s">
        <v>285</v>
      </c>
      <c r="C225" s="144" t="s">
        <v>48</v>
      </c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>
        <f t="shared" si="70"/>
        <v>0</v>
      </c>
      <c r="S225" s="46">
        <f t="shared" si="71"/>
        <v>0</v>
      </c>
      <c r="T225" s="46">
        <f t="shared" si="72"/>
        <v>0</v>
      </c>
      <c r="U225" s="46">
        <f t="shared" si="73"/>
        <v>0</v>
      </c>
      <c r="V225" s="46">
        <f t="shared" si="74"/>
        <v>0</v>
      </c>
      <c r="W225" s="46">
        <f t="shared" si="75"/>
        <v>0</v>
      </c>
      <c r="X225" s="46">
        <f t="shared" si="76"/>
        <v>0</v>
      </c>
      <c r="Y225" s="46">
        <f t="shared" si="77"/>
        <v>0</v>
      </c>
      <c r="Z225" s="90">
        <f t="shared" si="81"/>
        <v>0</v>
      </c>
      <c r="AA225" s="95"/>
      <c r="AB225" s="95">
        <f>'LPLPO PROGRAM'!H56</f>
        <v>0</v>
      </c>
      <c r="AC225" s="91"/>
      <c r="AD225" s="91"/>
      <c r="AE225" s="91"/>
      <c r="AF225" s="91"/>
      <c r="AG225" s="92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93">
        <f t="shared" si="78"/>
        <v>0</v>
      </c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  <c r="CK225" s="46"/>
      <c r="CL225" s="46"/>
      <c r="CM225" s="46"/>
      <c r="CN225" s="46"/>
      <c r="CO225" s="46"/>
      <c r="CP225" s="46"/>
      <c r="CQ225" s="46"/>
      <c r="CR225" s="46"/>
      <c r="CS225" s="46"/>
      <c r="CT225" s="93">
        <f t="shared" si="64"/>
        <v>0</v>
      </c>
      <c r="CV225" s="46"/>
      <c r="CW225" s="46"/>
      <c r="CX225" s="46"/>
      <c r="CY225" s="46"/>
      <c r="CZ225" s="46"/>
      <c r="DA225" s="46"/>
      <c r="DB225" s="46"/>
      <c r="DC225" s="46"/>
      <c r="DD225" s="46"/>
      <c r="DE225" s="46"/>
      <c r="DF225" s="46"/>
      <c r="DG225" s="46"/>
      <c r="DH225" s="46"/>
      <c r="DI225" s="46"/>
      <c r="DJ225" s="46"/>
      <c r="DK225" s="46"/>
      <c r="DL225" s="46"/>
      <c r="DM225" s="46"/>
      <c r="DN225" s="46"/>
      <c r="DO225" s="46"/>
      <c r="DP225" s="46"/>
      <c r="DQ225" s="46"/>
      <c r="DR225" s="46"/>
      <c r="DS225" s="46"/>
      <c r="DT225" s="46"/>
      <c r="DU225" s="46"/>
      <c r="DV225" s="46"/>
      <c r="DW225" s="46"/>
      <c r="DX225" s="46"/>
      <c r="DY225" s="46"/>
      <c r="DZ225" s="46"/>
      <c r="EA225" s="93">
        <f t="shared" si="79"/>
        <v>0</v>
      </c>
      <c r="EC225" s="46"/>
      <c r="ED225" s="46"/>
      <c r="EE225" s="46"/>
      <c r="EF225" s="46"/>
      <c r="EG225" s="46"/>
      <c r="EH225" s="46"/>
      <c r="EI225" s="46"/>
      <c r="EJ225" s="46"/>
      <c r="EK225" s="46"/>
      <c r="EL225" s="46"/>
      <c r="EM225" s="46"/>
      <c r="EN225" s="46"/>
      <c r="EO225" s="46"/>
      <c r="EP225" s="46"/>
      <c r="EQ225" s="46"/>
      <c r="ER225" s="46"/>
      <c r="ES225" s="46"/>
      <c r="ET225" s="46"/>
      <c r="EU225" s="46"/>
      <c r="EV225" s="46"/>
      <c r="EW225" s="46"/>
      <c r="EX225" s="46"/>
      <c r="EY225" s="46"/>
      <c r="EZ225" s="46"/>
      <c r="FA225" s="46"/>
      <c r="FB225" s="46"/>
      <c r="FC225" s="46"/>
      <c r="FD225" s="46"/>
      <c r="FE225" s="46"/>
      <c r="FF225" s="46"/>
      <c r="FG225" s="46"/>
      <c r="FH225" s="93">
        <f t="shared" si="80"/>
        <v>0</v>
      </c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93">
        <f t="shared" si="65"/>
        <v>0</v>
      </c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93">
        <f t="shared" si="66"/>
        <v>0</v>
      </c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  <c r="IT225" s="46"/>
      <c r="IU225" s="46"/>
      <c r="IV225" s="46"/>
      <c r="IW225" s="46"/>
      <c r="IX225" s="46"/>
      <c r="IY225" s="46"/>
      <c r="IZ225" s="46"/>
      <c r="JA225" s="46"/>
      <c r="JB225" s="46"/>
      <c r="JC225" s="93">
        <f t="shared" si="67"/>
        <v>0</v>
      </c>
      <c r="JE225" s="46"/>
      <c r="JF225" s="46"/>
      <c r="JG225" s="46"/>
      <c r="JH225" s="46"/>
      <c r="JI225" s="46"/>
      <c r="JJ225" s="46"/>
      <c r="JK225" s="46"/>
      <c r="JL225" s="46"/>
      <c r="JM225" s="46"/>
      <c r="JN225" s="46"/>
      <c r="JO225" s="46"/>
      <c r="JP225" s="46"/>
      <c r="JQ225" s="46"/>
      <c r="JR225" s="46"/>
      <c r="JS225" s="46"/>
      <c r="JT225" s="46"/>
      <c r="JU225" s="46"/>
      <c r="JV225" s="46"/>
      <c r="JW225" s="46"/>
      <c r="JX225" s="46"/>
      <c r="JY225" s="46"/>
      <c r="JZ225" s="46"/>
      <c r="KA225" s="46"/>
      <c r="KB225" s="46"/>
      <c r="KC225" s="46"/>
      <c r="KD225" s="46"/>
      <c r="KE225" s="46"/>
      <c r="KF225" s="46"/>
      <c r="KG225" s="46"/>
      <c r="KH225" s="46"/>
      <c r="KI225" s="46"/>
      <c r="KJ225" s="93">
        <f t="shared" si="68"/>
        <v>0</v>
      </c>
    </row>
    <row r="226" spans="1:296" ht="20.149999999999999" customHeight="1" x14ac:dyDescent="0.5">
      <c r="A226" s="11">
        <v>44</v>
      </c>
      <c r="B226" s="178" t="s">
        <v>359</v>
      </c>
      <c r="C226" s="144" t="s">
        <v>48</v>
      </c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>
        <f t="shared" si="70"/>
        <v>0</v>
      </c>
      <c r="S226" s="46">
        <f t="shared" si="71"/>
        <v>0</v>
      </c>
      <c r="T226" s="46">
        <f t="shared" si="72"/>
        <v>0</v>
      </c>
      <c r="U226" s="46">
        <f t="shared" si="73"/>
        <v>0</v>
      </c>
      <c r="V226" s="46">
        <f t="shared" si="74"/>
        <v>0</v>
      </c>
      <c r="W226" s="46">
        <f t="shared" si="75"/>
        <v>0</v>
      </c>
      <c r="X226" s="46">
        <f t="shared" si="76"/>
        <v>0</v>
      </c>
      <c r="Y226" s="46">
        <f t="shared" si="77"/>
        <v>0</v>
      </c>
      <c r="Z226" s="90">
        <f t="shared" si="81"/>
        <v>0</v>
      </c>
      <c r="AA226" s="95"/>
      <c r="AB226" s="95">
        <f>'LPLPO PROGRAM'!H57</f>
        <v>0</v>
      </c>
      <c r="AC226" s="91"/>
      <c r="AD226" s="91"/>
      <c r="AE226" s="91"/>
      <c r="AF226" s="91"/>
      <c r="AG226" s="92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93">
        <f t="shared" si="78"/>
        <v>0</v>
      </c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  <c r="CK226" s="46"/>
      <c r="CL226" s="46"/>
      <c r="CM226" s="46"/>
      <c r="CN226" s="46"/>
      <c r="CO226" s="46"/>
      <c r="CP226" s="46"/>
      <c r="CQ226" s="46"/>
      <c r="CR226" s="46"/>
      <c r="CS226" s="46"/>
      <c r="CT226" s="93">
        <f t="shared" si="64"/>
        <v>0</v>
      </c>
      <c r="CV226" s="46"/>
      <c r="CW226" s="46"/>
      <c r="CX226" s="46"/>
      <c r="CY226" s="46"/>
      <c r="CZ226" s="46"/>
      <c r="DA226" s="46"/>
      <c r="DB226" s="46"/>
      <c r="DC226" s="46"/>
      <c r="DD226" s="46"/>
      <c r="DE226" s="46"/>
      <c r="DF226" s="46"/>
      <c r="DG226" s="46"/>
      <c r="DH226" s="46"/>
      <c r="DI226" s="46"/>
      <c r="DJ226" s="46"/>
      <c r="DK226" s="46"/>
      <c r="DL226" s="46"/>
      <c r="DM226" s="46"/>
      <c r="DN226" s="46"/>
      <c r="DO226" s="46"/>
      <c r="DP226" s="46"/>
      <c r="DQ226" s="46"/>
      <c r="DR226" s="46"/>
      <c r="DS226" s="46"/>
      <c r="DT226" s="46"/>
      <c r="DU226" s="46"/>
      <c r="DV226" s="46"/>
      <c r="DW226" s="46"/>
      <c r="DX226" s="46"/>
      <c r="DY226" s="46"/>
      <c r="DZ226" s="46"/>
      <c r="EA226" s="93">
        <f t="shared" si="79"/>
        <v>0</v>
      </c>
      <c r="EC226" s="46"/>
      <c r="ED226" s="46"/>
      <c r="EE226" s="46"/>
      <c r="EF226" s="46"/>
      <c r="EG226" s="46"/>
      <c r="EH226" s="46"/>
      <c r="EI226" s="46"/>
      <c r="EJ226" s="46"/>
      <c r="EK226" s="46"/>
      <c r="EL226" s="46"/>
      <c r="EM226" s="46"/>
      <c r="EN226" s="46"/>
      <c r="EO226" s="46"/>
      <c r="EP226" s="46"/>
      <c r="EQ226" s="46"/>
      <c r="ER226" s="46"/>
      <c r="ES226" s="46"/>
      <c r="ET226" s="46"/>
      <c r="EU226" s="46"/>
      <c r="EV226" s="46"/>
      <c r="EW226" s="46"/>
      <c r="EX226" s="46"/>
      <c r="EY226" s="46"/>
      <c r="EZ226" s="46"/>
      <c r="FA226" s="46"/>
      <c r="FB226" s="46"/>
      <c r="FC226" s="46"/>
      <c r="FD226" s="46"/>
      <c r="FE226" s="46"/>
      <c r="FF226" s="46"/>
      <c r="FG226" s="46"/>
      <c r="FH226" s="93">
        <f t="shared" si="80"/>
        <v>0</v>
      </c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6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46"/>
      <c r="GF226" s="46"/>
      <c r="GG226" s="46"/>
      <c r="GH226" s="46"/>
      <c r="GI226" s="46"/>
      <c r="GJ226" s="46"/>
      <c r="GK226" s="46"/>
      <c r="GL226" s="46"/>
      <c r="GM226" s="46"/>
      <c r="GN226" s="46"/>
      <c r="GO226" s="93">
        <f t="shared" si="65"/>
        <v>0</v>
      </c>
      <c r="GQ226" s="46"/>
      <c r="GR226" s="46"/>
      <c r="GS226" s="46"/>
      <c r="GT226" s="46"/>
      <c r="GU226" s="46"/>
      <c r="GV226" s="46"/>
      <c r="GW226" s="46"/>
      <c r="GX226" s="46"/>
      <c r="GY226" s="46"/>
      <c r="GZ226" s="46"/>
      <c r="HA226" s="46"/>
      <c r="HB226" s="46"/>
      <c r="HC226" s="46"/>
      <c r="HD226" s="46"/>
      <c r="HE226" s="46"/>
      <c r="HF226" s="46"/>
      <c r="HG226" s="46"/>
      <c r="HH226" s="46"/>
      <c r="HI226" s="46"/>
      <c r="HJ226" s="46"/>
      <c r="HK226" s="46"/>
      <c r="HL226" s="46"/>
      <c r="HM226" s="46"/>
      <c r="HN226" s="46"/>
      <c r="HO226" s="46"/>
      <c r="HP226" s="46"/>
      <c r="HQ226" s="46"/>
      <c r="HR226" s="46"/>
      <c r="HS226" s="46"/>
      <c r="HT226" s="46"/>
      <c r="HU226" s="46"/>
      <c r="HV226" s="93">
        <f t="shared" si="66"/>
        <v>0</v>
      </c>
      <c r="HX226" s="46"/>
      <c r="HY226" s="46"/>
      <c r="HZ226" s="46"/>
      <c r="IA226" s="46"/>
      <c r="IB226" s="46"/>
      <c r="IC226" s="46"/>
      <c r="ID226" s="46"/>
      <c r="IE226" s="46"/>
      <c r="IF226" s="46"/>
      <c r="IG226" s="46"/>
      <c r="IH226" s="46"/>
      <c r="II226" s="46"/>
      <c r="IJ226" s="46"/>
      <c r="IK226" s="46"/>
      <c r="IL226" s="46"/>
      <c r="IM226" s="46"/>
      <c r="IN226" s="46"/>
      <c r="IO226" s="46"/>
      <c r="IP226" s="46"/>
      <c r="IQ226" s="46"/>
      <c r="IR226" s="46"/>
      <c r="IS226" s="46"/>
      <c r="IT226" s="46"/>
      <c r="IU226" s="46"/>
      <c r="IV226" s="46"/>
      <c r="IW226" s="46"/>
      <c r="IX226" s="46"/>
      <c r="IY226" s="46"/>
      <c r="IZ226" s="46"/>
      <c r="JA226" s="46"/>
      <c r="JB226" s="46"/>
      <c r="JC226" s="93">
        <f t="shared" si="67"/>
        <v>0</v>
      </c>
      <c r="JE226" s="46"/>
      <c r="JF226" s="46"/>
      <c r="JG226" s="46"/>
      <c r="JH226" s="46"/>
      <c r="JI226" s="46"/>
      <c r="JJ226" s="46"/>
      <c r="JK226" s="46"/>
      <c r="JL226" s="46"/>
      <c r="JM226" s="46"/>
      <c r="JN226" s="46"/>
      <c r="JO226" s="46"/>
      <c r="JP226" s="46"/>
      <c r="JQ226" s="46"/>
      <c r="JR226" s="46"/>
      <c r="JS226" s="46"/>
      <c r="JT226" s="46"/>
      <c r="JU226" s="46"/>
      <c r="JV226" s="46"/>
      <c r="JW226" s="46"/>
      <c r="JX226" s="46"/>
      <c r="JY226" s="46"/>
      <c r="JZ226" s="46"/>
      <c r="KA226" s="46"/>
      <c r="KB226" s="46"/>
      <c r="KC226" s="46"/>
      <c r="KD226" s="46"/>
      <c r="KE226" s="46"/>
      <c r="KF226" s="46"/>
      <c r="KG226" s="46"/>
      <c r="KH226" s="46"/>
      <c r="KI226" s="46"/>
      <c r="KJ226" s="93">
        <f t="shared" si="68"/>
        <v>0</v>
      </c>
    </row>
    <row r="227" spans="1:296" ht="20.149999999999999" customHeight="1" x14ac:dyDescent="0.5">
      <c r="A227" s="11">
        <v>45</v>
      </c>
      <c r="B227" s="178"/>
      <c r="C227" s="144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>
        <f t="shared" si="70"/>
        <v>0</v>
      </c>
      <c r="S227" s="46">
        <f t="shared" si="71"/>
        <v>0</v>
      </c>
      <c r="T227" s="46">
        <f t="shared" si="72"/>
        <v>0</v>
      </c>
      <c r="U227" s="46">
        <f t="shared" si="73"/>
        <v>0</v>
      </c>
      <c r="V227" s="46">
        <f t="shared" si="74"/>
        <v>0</v>
      </c>
      <c r="W227" s="46">
        <f t="shared" si="75"/>
        <v>0</v>
      </c>
      <c r="X227" s="46">
        <f t="shared" si="76"/>
        <v>0</v>
      </c>
      <c r="Y227" s="46">
        <f t="shared" si="77"/>
        <v>0</v>
      </c>
      <c r="Z227" s="90">
        <f t="shared" si="81"/>
        <v>0</v>
      </c>
      <c r="AA227" s="95"/>
      <c r="AB227" s="95">
        <f>'LPLPO PROGRAM'!H58</f>
        <v>0</v>
      </c>
      <c r="AC227" s="91"/>
      <c r="AD227" s="91"/>
      <c r="AE227" s="91"/>
      <c r="AF227" s="91"/>
      <c r="AG227" s="92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93">
        <f t="shared" si="78"/>
        <v>0</v>
      </c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  <c r="CK227" s="46"/>
      <c r="CL227" s="46"/>
      <c r="CM227" s="46"/>
      <c r="CN227" s="46"/>
      <c r="CO227" s="46"/>
      <c r="CP227" s="46"/>
      <c r="CQ227" s="46"/>
      <c r="CR227" s="46"/>
      <c r="CS227" s="46"/>
      <c r="CT227" s="93">
        <f t="shared" si="64"/>
        <v>0</v>
      </c>
      <c r="CV227" s="46"/>
      <c r="CW227" s="46"/>
      <c r="CX227" s="46"/>
      <c r="CY227" s="46"/>
      <c r="CZ227" s="46"/>
      <c r="DA227" s="46"/>
      <c r="DB227" s="46"/>
      <c r="DC227" s="46"/>
      <c r="DD227" s="46"/>
      <c r="DE227" s="46"/>
      <c r="DF227" s="46"/>
      <c r="DG227" s="46"/>
      <c r="DH227" s="46"/>
      <c r="DI227" s="46"/>
      <c r="DJ227" s="46"/>
      <c r="DK227" s="46"/>
      <c r="DL227" s="46"/>
      <c r="DM227" s="46"/>
      <c r="DN227" s="46"/>
      <c r="DO227" s="46"/>
      <c r="DP227" s="46"/>
      <c r="DQ227" s="46"/>
      <c r="DR227" s="46"/>
      <c r="DS227" s="46"/>
      <c r="DT227" s="46"/>
      <c r="DU227" s="46"/>
      <c r="DV227" s="46"/>
      <c r="DW227" s="46"/>
      <c r="DX227" s="46"/>
      <c r="DY227" s="46"/>
      <c r="DZ227" s="46"/>
      <c r="EA227" s="93">
        <f t="shared" si="79"/>
        <v>0</v>
      </c>
      <c r="EC227" s="46"/>
      <c r="ED227" s="46"/>
      <c r="EE227" s="46"/>
      <c r="EF227" s="46"/>
      <c r="EG227" s="46"/>
      <c r="EH227" s="46"/>
      <c r="EI227" s="46"/>
      <c r="EJ227" s="46"/>
      <c r="EK227" s="46"/>
      <c r="EL227" s="46"/>
      <c r="EM227" s="46"/>
      <c r="EN227" s="46"/>
      <c r="EO227" s="46"/>
      <c r="EP227" s="46"/>
      <c r="EQ227" s="46"/>
      <c r="ER227" s="46"/>
      <c r="ES227" s="46"/>
      <c r="ET227" s="46"/>
      <c r="EU227" s="46"/>
      <c r="EV227" s="46"/>
      <c r="EW227" s="46"/>
      <c r="EX227" s="46"/>
      <c r="EY227" s="46"/>
      <c r="EZ227" s="46"/>
      <c r="FA227" s="46"/>
      <c r="FB227" s="46"/>
      <c r="FC227" s="46"/>
      <c r="FD227" s="46"/>
      <c r="FE227" s="46"/>
      <c r="FF227" s="46"/>
      <c r="FG227" s="46"/>
      <c r="FH227" s="93">
        <f t="shared" si="80"/>
        <v>0</v>
      </c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6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46"/>
      <c r="GF227" s="46"/>
      <c r="GG227" s="46"/>
      <c r="GH227" s="46"/>
      <c r="GI227" s="46"/>
      <c r="GJ227" s="46"/>
      <c r="GK227" s="46"/>
      <c r="GL227" s="46"/>
      <c r="GM227" s="46"/>
      <c r="GN227" s="46"/>
      <c r="GO227" s="93">
        <f t="shared" si="65"/>
        <v>0</v>
      </c>
      <c r="GQ227" s="46"/>
      <c r="GR227" s="46"/>
      <c r="GS227" s="46"/>
      <c r="GT227" s="46"/>
      <c r="GU227" s="46"/>
      <c r="GV227" s="46"/>
      <c r="GW227" s="46"/>
      <c r="GX227" s="46"/>
      <c r="GY227" s="46"/>
      <c r="GZ227" s="46"/>
      <c r="HA227" s="46"/>
      <c r="HB227" s="46"/>
      <c r="HC227" s="46"/>
      <c r="HD227" s="46"/>
      <c r="HE227" s="46"/>
      <c r="HF227" s="46"/>
      <c r="HG227" s="46"/>
      <c r="HH227" s="46"/>
      <c r="HI227" s="46"/>
      <c r="HJ227" s="46"/>
      <c r="HK227" s="46"/>
      <c r="HL227" s="46"/>
      <c r="HM227" s="46"/>
      <c r="HN227" s="46"/>
      <c r="HO227" s="46"/>
      <c r="HP227" s="46"/>
      <c r="HQ227" s="46"/>
      <c r="HR227" s="46"/>
      <c r="HS227" s="46"/>
      <c r="HT227" s="46"/>
      <c r="HU227" s="46"/>
      <c r="HV227" s="93">
        <f t="shared" si="66"/>
        <v>0</v>
      </c>
      <c r="HX227" s="46"/>
      <c r="HY227" s="46"/>
      <c r="HZ227" s="46"/>
      <c r="IA227" s="46"/>
      <c r="IB227" s="46"/>
      <c r="IC227" s="46"/>
      <c r="ID227" s="46"/>
      <c r="IE227" s="46"/>
      <c r="IF227" s="46"/>
      <c r="IG227" s="46"/>
      <c r="IH227" s="46"/>
      <c r="II227" s="46"/>
      <c r="IJ227" s="46"/>
      <c r="IK227" s="46"/>
      <c r="IL227" s="46"/>
      <c r="IM227" s="46"/>
      <c r="IN227" s="46"/>
      <c r="IO227" s="46"/>
      <c r="IP227" s="46"/>
      <c r="IQ227" s="46"/>
      <c r="IR227" s="46"/>
      <c r="IS227" s="46"/>
      <c r="IT227" s="46"/>
      <c r="IU227" s="46"/>
      <c r="IV227" s="46"/>
      <c r="IW227" s="46"/>
      <c r="IX227" s="46"/>
      <c r="IY227" s="46"/>
      <c r="IZ227" s="46"/>
      <c r="JA227" s="46"/>
      <c r="JB227" s="46"/>
      <c r="JC227" s="93">
        <f t="shared" si="67"/>
        <v>0</v>
      </c>
      <c r="JE227" s="46"/>
      <c r="JF227" s="46"/>
      <c r="JG227" s="46"/>
      <c r="JH227" s="46"/>
      <c r="JI227" s="46"/>
      <c r="JJ227" s="46"/>
      <c r="JK227" s="46"/>
      <c r="JL227" s="46"/>
      <c r="JM227" s="46"/>
      <c r="JN227" s="46"/>
      <c r="JO227" s="46"/>
      <c r="JP227" s="46"/>
      <c r="JQ227" s="46"/>
      <c r="JR227" s="46"/>
      <c r="JS227" s="46"/>
      <c r="JT227" s="46"/>
      <c r="JU227" s="46"/>
      <c r="JV227" s="46"/>
      <c r="JW227" s="46"/>
      <c r="JX227" s="46"/>
      <c r="JY227" s="46"/>
      <c r="JZ227" s="46"/>
      <c r="KA227" s="46"/>
      <c r="KB227" s="46"/>
      <c r="KC227" s="46"/>
      <c r="KD227" s="46"/>
      <c r="KE227" s="46"/>
      <c r="KF227" s="46"/>
      <c r="KG227" s="46"/>
      <c r="KH227" s="46"/>
      <c r="KI227" s="46"/>
      <c r="KJ227" s="93">
        <f t="shared" si="68"/>
        <v>0</v>
      </c>
    </row>
    <row r="228" spans="1:296" ht="20.149999999999999" customHeight="1" x14ac:dyDescent="0.5">
      <c r="A228" s="11">
        <v>46</v>
      </c>
      <c r="B228" s="178"/>
      <c r="C228" s="144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>
        <f t="shared" si="70"/>
        <v>0</v>
      </c>
      <c r="S228" s="46">
        <f t="shared" si="71"/>
        <v>0</v>
      </c>
      <c r="T228" s="46">
        <f t="shared" si="72"/>
        <v>0</v>
      </c>
      <c r="U228" s="46">
        <f t="shared" si="73"/>
        <v>0</v>
      </c>
      <c r="V228" s="46">
        <f t="shared" si="74"/>
        <v>0</v>
      </c>
      <c r="W228" s="46">
        <f t="shared" si="75"/>
        <v>0</v>
      </c>
      <c r="X228" s="46">
        <f t="shared" si="76"/>
        <v>0</v>
      </c>
      <c r="Y228" s="46">
        <f t="shared" si="77"/>
        <v>0</v>
      </c>
      <c r="Z228" s="90">
        <f t="shared" si="81"/>
        <v>0</v>
      </c>
      <c r="AA228" s="95"/>
      <c r="AB228" s="95">
        <f>'LPLPO PROGRAM'!H59</f>
        <v>0</v>
      </c>
      <c r="AC228" s="91"/>
      <c r="AD228" s="91"/>
      <c r="AE228" s="91"/>
      <c r="AF228" s="91"/>
      <c r="AG228" s="92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93">
        <f t="shared" si="78"/>
        <v>0</v>
      </c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  <c r="CK228" s="46"/>
      <c r="CL228" s="46"/>
      <c r="CM228" s="46"/>
      <c r="CN228" s="46"/>
      <c r="CO228" s="46"/>
      <c r="CP228" s="46"/>
      <c r="CQ228" s="46"/>
      <c r="CR228" s="46"/>
      <c r="CS228" s="46"/>
      <c r="CT228" s="93">
        <f t="shared" si="64"/>
        <v>0</v>
      </c>
      <c r="CV228" s="46"/>
      <c r="CW228" s="46"/>
      <c r="CX228" s="46"/>
      <c r="CY228" s="46"/>
      <c r="CZ228" s="46"/>
      <c r="DA228" s="46"/>
      <c r="DB228" s="46"/>
      <c r="DC228" s="46"/>
      <c r="DD228" s="46"/>
      <c r="DE228" s="46"/>
      <c r="DF228" s="46"/>
      <c r="DG228" s="46"/>
      <c r="DH228" s="46"/>
      <c r="DI228" s="46"/>
      <c r="DJ228" s="46"/>
      <c r="DK228" s="46"/>
      <c r="DL228" s="46"/>
      <c r="DM228" s="46"/>
      <c r="DN228" s="46"/>
      <c r="DO228" s="46"/>
      <c r="DP228" s="46"/>
      <c r="DQ228" s="46"/>
      <c r="DR228" s="46"/>
      <c r="DS228" s="46"/>
      <c r="DT228" s="46"/>
      <c r="DU228" s="46"/>
      <c r="DV228" s="46"/>
      <c r="DW228" s="46"/>
      <c r="DX228" s="46"/>
      <c r="DY228" s="46"/>
      <c r="DZ228" s="46"/>
      <c r="EA228" s="93">
        <f t="shared" si="79"/>
        <v>0</v>
      </c>
      <c r="EC228" s="46"/>
      <c r="ED228" s="46"/>
      <c r="EE228" s="46"/>
      <c r="EF228" s="46"/>
      <c r="EG228" s="46"/>
      <c r="EH228" s="46"/>
      <c r="EI228" s="46"/>
      <c r="EJ228" s="46"/>
      <c r="EK228" s="46"/>
      <c r="EL228" s="46"/>
      <c r="EM228" s="46"/>
      <c r="EN228" s="46"/>
      <c r="EO228" s="46"/>
      <c r="EP228" s="46"/>
      <c r="EQ228" s="46"/>
      <c r="ER228" s="46"/>
      <c r="ES228" s="46"/>
      <c r="ET228" s="46"/>
      <c r="EU228" s="46"/>
      <c r="EV228" s="46"/>
      <c r="EW228" s="46"/>
      <c r="EX228" s="46"/>
      <c r="EY228" s="46"/>
      <c r="EZ228" s="46"/>
      <c r="FA228" s="46"/>
      <c r="FB228" s="46"/>
      <c r="FC228" s="46"/>
      <c r="FD228" s="46"/>
      <c r="FE228" s="46"/>
      <c r="FF228" s="46"/>
      <c r="FG228" s="46"/>
      <c r="FH228" s="93">
        <f t="shared" si="80"/>
        <v>0</v>
      </c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6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46"/>
      <c r="GF228" s="46"/>
      <c r="GG228" s="46"/>
      <c r="GH228" s="46"/>
      <c r="GI228" s="46"/>
      <c r="GJ228" s="46"/>
      <c r="GK228" s="46"/>
      <c r="GL228" s="46"/>
      <c r="GM228" s="46"/>
      <c r="GN228" s="46"/>
      <c r="GO228" s="93">
        <f t="shared" si="65"/>
        <v>0</v>
      </c>
      <c r="GQ228" s="46"/>
      <c r="GR228" s="46"/>
      <c r="GS228" s="46"/>
      <c r="GT228" s="46"/>
      <c r="GU228" s="46"/>
      <c r="GV228" s="46"/>
      <c r="GW228" s="46"/>
      <c r="GX228" s="46"/>
      <c r="GY228" s="46"/>
      <c r="GZ228" s="46"/>
      <c r="HA228" s="46"/>
      <c r="HB228" s="46"/>
      <c r="HC228" s="46"/>
      <c r="HD228" s="46"/>
      <c r="HE228" s="46"/>
      <c r="HF228" s="46"/>
      <c r="HG228" s="46"/>
      <c r="HH228" s="46"/>
      <c r="HI228" s="46"/>
      <c r="HJ228" s="46"/>
      <c r="HK228" s="46"/>
      <c r="HL228" s="46"/>
      <c r="HM228" s="46"/>
      <c r="HN228" s="46"/>
      <c r="HO228" s="46"/>
      <c r="HP228" s="46"/>
      <c r="HQ228" s="46"/>
      <c r="HR228" s="46"/>
      <c r="HS228" s="46"/>
      <c r="HT228" s="46"/>
      <c r="HU228" s="46"/>
      <c r="HV228" s="93">
        <f t="shared" si="66"/>
        <v>0</v>
      </c>
      <c r="HX228" s="46"/>
      <c r="HY228" s="46"/>
      <c r="HZ228" s="46"/>
      <c r="IA228" s="46"/>
      <c r="IB228" s="46"/>
      <c r="IC228" s="46"/>
      <c r="ID228" s="46"/>
      <c r="IE228" s="46"/>
      <c r="IF228" s="46"/>
      <c r="IG228" s="46"/>
      <c r="IH228" s="46"/>
      <c r="II228" s="46"/>
      <c r="IJ228" s="46"/>
      <c r="IK228" s="46"/>
      <c r="IL228" s="46"/>
      <c r="IM228" s="46"/>
      <c r="IN228" s="46"/>
      <c r="IO228" s="46"/>
      <c r="IP228" s="46"/>
      <c r="IQ228" s="46"/>
      <c r="IR228" s="46"/>
      <c r="IS228" s="46"/>
      <c r="IT228" s="46"/>
      <c r="IU228" s="46"/>
      <c r="IV228" s="46"/>
      <c r="IW228" s="46"/>
      <c r="IX228" s="46"/>
      <c r="IY228" s="46"/>
      <c r="IZ228" s="46"/>
      <c r="JA228" s="46"/>
      <c r="JB228" s="46"/>
      <c r="JC228" s="93">
        <f t="shared" si="67"/>
        <v>0</v>
      </c>
      <c r="JE228" s="46"/>
      <c r="JF228" s="46"/>
      <c r="JG228" s="46"/>
      <c r="JH228" s="46"/>
      <c r="JI228" s="46"/>
      <c r="JJ228" s="46"/>
      <c r="JK228" s="46"/>
      <c r="JL228" s="46"/>
      <c r="JM228" s="46"/>
      <c r="JN228" s="46"/>
      <c r="JO228" s="46"/>
      <c r="JP228" s="46"/>
      <c r="JQ228" s="46"/>
      <c r="JR228" s="46"/>
      <c r="JS228" s="46"/>
      <c r="JT228" s="46"/>
      <c r="JU228" s="46"/>
      <c r="JV228" s="46"/>
      <c r="JW228" s="46"/>
      <c r="JX228" s="46"/>
      <c r="JY228" s="46"/>
      <c r="JZ228" s="46"/>
      <c r="KA228" s="46"/>
      <c r="KB228" s="46"/>
      <c r="KC228" s="46"/>
      <c r="KD228" s="46"/>
      <c r="KE228" s="46"/>
      <c r="KF228" s="46"/>
      <c r="KG228" s="46"/>
      <c r="KH228" s="46"/>
      <c r="KI228" s="46"/>
      <c r="KJ228" s="93">
        <f t="shared" si="68"/>
        <v>0</v>
      </c>
    </row>
    <row r="229" spans="1:296" ht="20.149999999999999" customHeight="1" x14ac:dyDescent="0.5">
      <c r="A229" s="11">
        <v>47</v>
      </c>
      <c r="B229" s="178"/>
      <c r="C229" s="144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>
        <f t="shared" si="70"/>
        <v>0</v>
      </c>
      <c r="S229" s="46">
        <f t="shared" si="71"/>
        <v>0</v>
      </c>
      <c r="T229" s="46">
        <f t="shared" si="72"/>
        <v>0</v>
      </c>
      <c r="U229" s="46">
        <f t="shared" si="73"/>
        <v>0</v>
      </c>
      <c r="V229" s="46">
        <f t="shared" si="74"/>
        <v>0</v>
      </c>
      <c r="W229" s="46">
        <f t="shared" si="75"/>
        <v>0</v>
      </c>
      <c r="X229" s="46">
        <f t="shared" si="76"/>
        <v>0</v>
      </c>
      <c r="Y229" s="46">
        <f t="shared" si="77"/>
        <v>0</v>
      </c>
      <c r="Z229" s="90">
        <f t="shared" si="81"/>
        <v>0</v>
      </c>
      <c r="AA229" s="95"/>
      <c r="AB229" s="95">
        <f>'LPLPO PROGRAM'!H60</f>
        <v>0</v>
      </c>
      <c r="AC229" s="91"/>
      <c r="AD229" s="91"/>
      <c r="AE229" s="91"/>
      <c r="AF229" s="91"/>
      <c r="AG229" s="92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93">
        <f t="shared" si="78"/>
        <v>0</v>
      </c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  <c r="CK229" s="46"/>
      <c r="CL229" s="46"/>
      <c r="CM229" s="46"/>
      <c r="CN229" s="46"/>
      <c r="CO229" s="46"/>
      <c r="CP229" s="46"/>
      <c r="CQ229" s="46"/>
      <c r="CR229" s="46"/>
      <c r="CS229" s="46"/>
      <c r="CT229" s="93">
        <f t="shared" si="64"/>
        <v>0</v>
      </c>
      <c r="CV229" s="46"/>
      <c r="CW229" s="46"/>
      <c r="CX229" s="46"/>
      <c r="CY229" s="46"/>
      <c r="CZ229" s="46"/>
      <c r="DA229" s="46"/>
      <c r="DB229" s="46"/>
      <c r="DC229" s="46"/>
      <c r="DD229" s="46"/>
      <c r="DE229" s="46"/>
      <c r="DF229" s="46"/>
      <c r="DG229" s="46"/>
      <c r="DH229" s="46"/>
      <c r="DI229" s="46"/>
      <c r="DJ229" s="46"/>
      <c r="DK229" s="46"/>
      <c r="DL229" s="46"/>
      <c r="DM229" s="46"/>
      <c r="DN229" s="46"/>
      <c r="DO229" s="46"/>
      <c r="DP229" s="46"/>
      <c r="DQ229" s="46"/>
      <c r="DR229" s="46"/>
      <c r="DS229" s="46"/>
      <c r="DT229" s="46"/>
      <c r="DU229" s="46"/>
      <c r="DV229" s="46"/>
      <c r="DW229" s="46"/>
      <c r="DX229" s="46"/>
      <c r="DY229" s="46"/>
      <c r="DZ229" s="46"/>
      <c r="EA229" s="93">
        <f t="shared" si="79"/>
        <v>0</v>
      </c>
      <c r="EC229" s="46"/>
      <c r="ED229" s="46"/>
      <c r="EE229" s="46"/>
      <c r="EF229" s="46"/>
      <c r="EG229" s="46"/>
      <c r="EH229" s="46"/>
      <c r="EI229" s="46"/>
      <c r="EJ229" s="46"/>
      <c r="EK229" s="46"/>
      <c r="EL229" s="46"/>
      <c r="EM229" s="46"/>
      <c r="EN229" s="46"/>
      <c r="EO229" s="46"/>
      <c r="EP229" s="46"/>
      <c r="EQ229" s="46"/>
      <c r="ER229" s="46"/>
      <c r="ES229" s="46"/>
      <c r="ET229" s="46"/>
      <c r="EU229" s="46"/>
      <c r="EV229" s="46"/>
      <c r="EW229" s="46"/>
      <c r="EX229" s="46"/>
      <c r="EY229" s="46"/>
      <c r="EZ229" s="46"/>
      <c r="FA229" s="46"/>
      <c r="FB229" s="46"/>
      <c r="FC229" s="46"/>
      <c r="FD229" s="46"/>
      <c r="FE229" s="46"/>
      <c r="FF229" s="46"/>
      <c r="FG229" s="46"/>
      <c r="FH229" s="93">
        <f t="shared" si="80"/>
        <v>0</v>
      </c>
      <c r="FJ229" s="46"/>
      <c r="FK229" s="46"/>
      <c r="FL229" s="46"/>
      <c r="FM229" s="46"/>
      <c r="FN229" s="46"/>
      <c r="FO229" s="46"/>
      <c r="FP229" s="46"/>
      <c r="FQ229" s="46"/>
      <c r="FR229" s="46"/>
      <c r="FS229" s="46"/>
      <c r="FT229" s="46"/>
      <c r="FU229" s="46"/>
      <c r="FV229" s="46"/>
      <c r="FW229" s="46"/>
      <c r="FX229" s="46"/>
      <c r="FY229" s="46"/>
      <c r="FZ229" s="46"/>
      <c r="GA229" s="46"/>
      <c r="GB229" s="46"/>
      <c r="GC229" s="46"/>
      <c r="GD229" s="46"/>
      <c r="GE229" s="46"/>
      <c r="GF229" s="46"/>
      <c r="GG229" s="46"/>
      <c r="GH229" s="46"/>
      <c r="GI229" s="46"/>
      <c r="GJ229" s="46"/>
      <c r="GK229" s="46"/>
      <c r="GL229" s="46"/>
      <c r="GM229" s="46"/>
      <c r="GN229" s="46"/>
      <c r="GO229" s="93">
        <f t="shared" si="65"/>
        <v>0</v>
      </c>
      <c r="GQ229" s="46"/>
      <c r="GR229" s="46"/>
      <c r="GS229" s="46"/>
      <c r="GT229" s="46"/>
      <c r="GU229" s="46"/>
      <c r="GV229" s="46"/>
      <c r="GW229" s="46"/>
      <c r="GX229" s="46"/>
      <c r="GY229" s="46"/>
      <c r="GZ229" s="46"/>
      <c r="HA229" s="46"/>
      <c r="HB229" s="46"/>
      <c r="HC229" s="46"/>
      <c r="HD229" s="46"/>
      <c r="HE229" s="46"/>
      <c r="HF229" s="46"/>
      <c r="HG229" s="46"/>
      <c r="HH229" s="46"/>
      <c r="HI229" s="46"/>
      <c r="HJ229" s="46"/>
      <c r="HK229" s="46"/>
      <c r="HL229" s="46"/>
      <c r="HM229" s="46"/>
      <c r="HN229" s="46"/>
      <c r="HO229" s="46"/>
      <c r="HP229" s="46"/>
      <c r="HQ229" s="46"/>
      <c r="HR229" s="46"/>
      <c r="HS229" s="46"/>
      <c r="HT229" s="46"/>
      <c r="HU229" s="46"/>
      <c r="HV229" s="93">
        <f t="shared" si="66"/>
        <v>0</v>
      </c>
      <c r="HX229" s="46"/>
      <c r="HY229" s="46"/>
      <c r="HZ229" s="46"/>
      <c r="IA229" s="46"/>
      <c r="IB229" s="46"/>
      <c r="IC229" s="46"/>
      <c r="ID229" s="46"/>
      <c r="IE229" s="46"/>
      <c r="IF229" s="46"/>
      <c r="IG229" s="46"/>
      <c r="IH229" s="46"/>
      <c r="II229" s="46"/>
      <c r="IJ229" s="46"/>
      <c r="IK229" s="46"/>
      <c r="IL229" s="46"/>
      <c r="IM229" s="46"/>
      <c r="IN229" s="46"/>
      <c r="IO229" s="46"/>
      <c r="IP229" s="46"/>
      <c r="IQ229" s="46"/>
      <c r="IR229" s="46"/>
      <c r="IS229" s="46"/>
      <c r="IT229" s="46"/>
      <c r="IU229" s="46"/>
      <c r="IV229" s="46"/>
      <c r="IW229" s="46"/>
      <c r="IX229" s="46"/>
      <c r="IY229" s="46"/>
      <c r="IZ229" s="46"/>
      <c r="JA229" s="46"/>
      <c r="JB229" s="46"/>
      <c r="JC229" s="93">
        <f t="shared" si="67"/>
        <v>0</v>
      </c>
      <c r="JE229" s="46"/>
      <c r="JF229" s="46"/>
      <c r="JG229" s="46"/>
      <c r="JH229" s="46"/>
      <c r="JI229" s="46"/>
      <c r="JJ229" s="46"/>
      <c r="JK229" s="46"/>
      <c r="JL229" s="46"/>
      <c r="JM229" s="46"/>
      <c r="JN229" s="46"/>
      <c r="JO229" s="46"/>
      <c r="JP229" s="46"/>
      <c r="JQ229" s="46"/>
      <c r="JR229" s="46"/>
      <c r="JS229" s="46"/>
      <c r="JT229" s="46"/>
      <c r="JU229" s="46"/>
      <c r="JV229" s="46"/>
      <c r="JW229" s="46"/>
      <c r="JX229" s="46"/>
      <c r="JY229" s="46"/>
      <c r="JZ229" s="46"/>
      <c r="KA229" s="46"/>
      <c r="KB229" s="46"/>
      <c r="KC229" s="46"/>
      <c r="KD229" s="46"/>
      <c r="KE229" s="46"/>
      <c r="KF229" s="46"/>
      <c r="KG229" s="46"/>
      <c r="KH229" s="46"/>
      <c r="KI229" s="46"/>
      <c r="KJ229" s="93">
        <f t="shared" si="68"/>
        <v>0</v>
      </c>
    </row>
    <row r="230" spans="1:296" ht="20.149999999999999" customHeight="1" x14ac:dyDescent="0.5">
      <c r="A230" s="187">
        <v>48</v>
      </c>
      <c r="B230" s="188" t="s">
        <v>193</v>
      </c>
      <c r="C230" s="1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>
        <f t="shared" si="70"/>
        <v>0</v>
      </c>
      <c r="S230" s="46">
        <f t="shared" si="71"/>
        <v>0</v>
      </c>
      <c r="T230" s="46">
        <f t="shared" si="72"/>
        <v>0</v>
      </c>
      <c r="U230" s="46">
        <f t="shared" si="73"/>
        <v>0</v>
      </c>
      <c r="V230" s="46">
        <f t="shared" si="74"/>
        <v>0</v>
      </c>
      <c r="W230" s="46">
        <f t="shared" si="75"/>
        <v>0</v>
      </c>
      <c r="X230" s="46">
        <f t="shared" si="76"/>
        <v>0</v>
      </c>
      <c r="Y230" s="46">
        <f t="shared" si="77"/>
        <v>0</v>
      </c>
      <c r="Z230" s="90">
        <f t="shared" si="81"/>
        <v>0</v>
      </c>
      <c r="AA230" s="95"/>
      <c r="AB230" s="95">
        <f>'LPLPO PROGRAM'!H61</f>
        <v>0</v>
      </c>
      <c r="AC230" s="91"/>
      <c r="AD230" s="91"/>
      <c r="AE230" s="91"/>
      <c r="AF230" s="91"/>
      <c r="AG230" s="92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93">
        <f t="shared" si="78"/>
        <v>0</v>
      </c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  <c r="CK230" s="46"/>
      <c r="CL230" s="46"/>
      <c r="CM230" s="46"/>
      <c r="CN230" s="46"/>
      <c r="CO230" s="46"/>
      <c r="CP230" s="46"/>
      <c r="CQ230" s="46"/>
      <c r="CR230" s="46"/>
      <c r="CS230" s="46"/>
      <c r="CT230" s="93">
        <f t="shared" si="64"/>
        <v>0</v>
      </c>
      <c r="CV230" s="46"/>
      <c r="CW230" s="46"/>
      <c r="CX230" s="46"/>
      <c r="CY230" s="46"/>
      <c r="CZ230" s="46"/>
      <c r="DA230" s="46"/>
      <c r="DB230" s="46"/>
      <c r="DC230" s="46"/>
      <c r="DD230" s="46"/>
      <c r="DE230" s="46"/>
      <c r="DF230" s="46"/>
      <c r="DG230" s="46"/>
      <c r="DH230" s="46"/>
      <c r="DI230" s="46"/>
      <c r="DJ230" s="46"/>
      <c r="DK230" s="46"/>
      <c r="DL230" s="46"/>
      <c r="DM230" s="46"/>
      <c r="DN230" s="46"/>
      <c r="DO230" s="46"/>
      <c r="DP230" s="46"/>
      <c r="DQ230" s="46"/>
      <c r="DR230" s="46"/>
      <c r="DS230" s="46"/>
      <c r="DT230" s="46"/>
      <c r="DU230" s="46"/>
      <c r="DV230" s="46"/>
      <c r="DW230" s="46"/>
      <c r="DX230" s="46"/>
      <c r="DY230" s="46"/>
      <c r="DZ230" s="46"/>
      <c r="EA230" s="93">
        <f t="shared" si="79"/>
        <v>0</v>
      </c>
      <c r="EC230" s="46"/>
      <c r="ED230" s="46"/>
      <c r="EE230" s="46"/>
      <c r="EF230" s="46"/>
      <c r="EG230" s="46"/>
      <c r="EH230" s="46"/>
      <c r="EI230" s="46"/>
      <c r="EJ230" s="46"/>
      <c r="EK230" s="46"/>
      <c r="EL230" s="46"/>
      <c r="EM230" s="46"/>
      <c r="EN230" s="46"/>
      <c r="EO230" s="46"/>
      <c r="EP230" s="46"/>
      <c r="EQ230" s="46"/>
      <c r="ER230" s="46"/>
      <c r="ES230" s="46"/>
      <c r="ET230" s="46"/>
      <c r="EU230" s="46"/>
      <c r="EV230" s="46"/>
      <c r="EW230" s="46"/>
      <c r="EX230" s="46"/>
      <c r="EY230" s="46"/>
      <c r="EZ230" s="46"/>
      <c r="FA230" s="46"/>
      <c r="FB230" s="46"/>
      <c r="FC230" s="46"/>
      <c r="FD230" s="46"/>
      <c r="FE230" s="46"/>
      <c r="FF230" s="46"/>
      <c r="FG230" s="46"/>
      <c r="FH230" s="93">
        <f t="shared" si="80"/>
        <v>0</v>
      </c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6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46"/>
      <c r="GF230" s="46"/>
      <c r="GG230" s="46"/>
      <c r="GH230" s="46"/>
      <c r="GI230" s="46"/>
      <c r="GJ230" s="46"/>
      <c r="GK230" s="46"/>
      <c r="GL230" s="46"/>
      <c r="GM230" s="46"/>
      <c r="GN230" s="46"/>
      <c r="GO230" s="93">
        <f t="shared" si="65"/>
        <v>0</v>
      </c>
      <c r="GQ230" s="46"/>
      <c r="GR230" s="46"/>
      <c r="GS230" s="46"/>
      <c r="GT230" s="46"/>
      <c r="GU230" s="46"/>
      <c r="GV230" s="46"/>
      <c r="GW230" s="46"/>
      <c r="GX230" s="46"/>
      <c r="GY230" s="46"/>
      <c r="GZ230" s="46"/>
      <c r="HA230" s="46"/>
      <c r="HB230" s="46"/>
      <c r="HC230" s="46"/>
      <c r="HD230" s="46"/>
      <c r="HE230" s="46"/>
      <c r="HF230" s="46"/>
      <c r="HG230" s="46"/>
      <c r="HH230" s="46"/>
      <c r="HI230" s="46"/>
      <c r="HJ230" s="46"/>
      <c r="HK230" s="46"/>
      <c r="HL230" s="46"/>
      <c r="HM230" s="46"/>
      <c r="HN230" s="46"/>
      <c r="HO230" s="46"/>
      <c r="HP230" s="46"/>
      <c r="HQ230" s="46"/>
      <c r="HR230" s="46"/>
      <c r="HS230" s="46"/>
      <c r="HT230" s="46"/>
      <c r="HU230" s="46"/>
      <c r="HV230" s="93">
        <f t="shared" si="66"/>
        <v>0</v>
      </c>
      <c r="HX230" s="46"/>
      <c r="HY230" s="46"/>
      <c r="HZ230" s="46"/>
      <c r="IA230" s="46"/>
      <c r="IB230" s="46"/>
      <c r="IC230" s="46"/>
      <c r="ID230" s="46"/>
      <c r="IE230" s="46"/>
      <c r="IF230" s="46"/>
      <c r="IG230" s="46"/>
      <c r="IH230" s="46"/>
      <c r="II230" s="46"/>
      <c r="IJ230" s="46"/>
      <c r="IK230" s="46"/>
      <c r="IL230" s="46"/>
      <c r="IM230" s="46"/>
      <c r="IN230" s="46"/>
      <c r="IO230" s="46"/>
      <c r="IP230" s="46"/>
      <c r="IQ230" s="46"/>
      <c r="IR230" s="46"/>
      <c r="IS230" s="46"/>
      <c r="IT230" s="46"/>
      <c r="IU230" s="46"/>
      <c r="IV230" s="46"/>
      <c r="IW230" s="46"/>
      <c r="IX230" s="46"/>
      <c r="IY230" s="46"/>
      <c r="IZ230" s="46"/>
      <c r="JA230" s="46"/>
      <c r="JB230" s="46"/>
      <c r="JC230" s="93">
        <f t="shared" si="67"/>
        <v>0</v>
      </c>
      <c r="JE230" s="46"/>
      <c r="JF230" s="46"/>
      <c r="JG230" s="46"/>
      <c r="JH230" s="46"/>
      <c r="JI230" s="46"/>
      <c r="JJ230" s="46"/>
      <c r="JK230" s="46"/>
      <c r="JL230" s="46"/>
      <c r="JM230" s="46"/>
      <c r="JN230" s="46"/>
      <c r="JO230" s="46"/>
      <c r="JP230" s="46"/>
      <c r="JQ230" s="46"/>
      <c r="JR230" s="46"/>
      <c r="JS230" s="46"/>
      <c r="JT230" s="46"/>
      <c r="JU230" s="46"/>
      <c r="JV230" s="46"/>
      <c r="JW230" s="46"/>
      <c r="JX230" s="46"/>
      <c r="JY230" s="46"/>
      <c r="JZ230" s="46"/>
      <c r="KA230" s="46"/>
      <c r="KB230" s="46"/>
      <c r="KC230" s="46"/>
      <c r="KD230" s="46"/>
      <c r="KE230" s="46"/>
      <c r="KF230" s="46"/>
      <c r="KG230" s="46"/>
      <c r="KH230" s="46"/>
      <c r="KI230" s="46"/>
      <c r="KJ230" s="93">
        <f t="shared" si="68"/>
        <v>0</v>
      </c>
    </row>
    <row r="231" spans="1:296" ht="20.149999999999999" customHeight="1" x14ac:dyDescent="0.5">
      <c r="A231" s="11">
        <v>49</v>
      </c>
      <c r="B231" s="178" t="s">
        <v>194</v>
      </c>
      <c r="C231" s="144" t="s">
        <v>6</v>
      </c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>
        <f t="shared" si="70"/>
        <v>0</v>
      </c>
      <c r="S231" s="46">
        <f t="shared" si="71"/>
        <v>0</v>
      </c>
      <c r="T231" s="46">
        <f t="shared" si="72"/>
        <v>0</v>
      </c>
      <c r="U231" s="46">
        <f t="shared" si="73"/>
        <v>0</v>
      </c>
      <c r="V231" s="46">
        <f t="shared" si="74"/>
        <v>0</v>
      </c>
      <c r="W231" s="46">
        <f t="shared" si="75"/>
        <v>0</v>
      </c>
      <c r="X231" s="46">
        <f t="shared" si="76"/>
        <v>0</v>
      </c>
      <c r="Y231" s="46">
        <f t="shared" si="77"/>
        <v>0</v>
      </c>
      <c r="Z231" s="90">
        <f t="shared" si="81"/>
        <v>0</v>
      </c>
      <c r="AA231" s="95"/>
      <c r="AB231" s="95">
        <f>'LPLPO PROGRAM'!H62</f>
        <v>200</v>
      </c>
      <c r="AC231" s="91"/>
      <c r="AD231" s="91"/>
      <c r="AE231" s="91"/>
      <c r="AF231" s="91"/>
      <c r="AG231" s="92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93">
        <f t="shared" si="78"/>
        <v>0</v>
      </c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  <c r="CK231" s="46"/>
      <c r="CL231" s="46"/>
      <c r="CM231" s="46"/>
      <c r="CN231" s="46"/>
      <c r="CO231" s="46"/>
      <c r="CP231" s="46"/>
      <c r="CQ231" s="46"/>
      <c r="CR231" s="46"/>
      <c r="CS231" s="46"/>
      <c r="CT231" s="93">
        <f t="shared" si="64"/>
        <v>0</v>
      </c>
      <c r="CV231" s="46"/>
      <c r="CW231" s="46"/>
      <c r="CX231" s="46"/>
      <c r="CY231" s="46"/>
      <c r="CZ231" s="46"/>
      <c r="DA231" s="46"/>
      <c r="DB231" s="46"/>
      <c r="DC231" s="46"/>
      <c r="DD231" s="46"/>
      <c r="DE231" s="46"/>
      <c r="DF231" s="46"/>
      <c r="DG231" s="46"/>
      <c r="DH231" s="46"/>
      <c r="DI231" s="46"/>
      <c r="DJ231" s="46"/>
      <c r="DK231" s="46"/>
      <c r="DL231" s="46"/>
      <c r="DM231" s="46"/>
      <c r="DN231" s="46"/>
      <c r="DO231" s="46"/>
      <c r="DP231" s="46"/>
      <c r="DQ231" s="46"/>
      <c r="DR231" s="46"/>
      <c r="DS231" s="46"/>
      <c r="DT231" s="46"/>
      <c r="DU231" s="46"/>
      <c r="DV231" s="46"/>
      <c r="DW231" s="46"/>
      <c r="DX231" s="46"/>
      <c r="DY231" s="46"/>
      <c r="DZ231" s="46"/>
      <c r="EA231" s="93">
        <f t="shared" si="79"/>
        <v>0</v>
      </c>
      <c r="EC231" s="46"/>
      <c r="ED231" s="46"/>
      <c r="EE231" s="46"/>
      <c r="EF231" s="46"/>
      <c r="EG231" s="46"/>
      <c r="EH231" s="46"/>
      <c r="EI231" s="46"/>
      <c r="EJ231" s="46"/>
      <c r="EK231" s="46"/>
      <c r="EL231" s="46"/>
      <c r="EM231" s="46"/>
      <c r="EN231" s="46"/>
      <c r="EO231" s="46"/>
      <c r="EP231" s="46"/>
      <c r="EQ231" s="46"/>
      <c r="ER231" s="46"/>
      <c r="ES231" s="46"/>
      <c r="ET231" s="46"/>
      <c r="EU231" s="46"/>
      <c r="EV231" s="46"/>
      <c r="EW231" s="46"/>
      <c r="EX231" s="46"/>
      <c r="EY231" s="46"/>
      <c r="EZ231" s="46"/>
      <c r="FA231" s="46"/>
      <c r="FB231" s="46"/>
      <c r="FC231" s="46"/>
      <c r="FD231" s="46"/>
      <c r="FE231" s="46"/>
      <c r="FF231" s="46"/>
      <c r="FG231" s="46"/>
      <c r="FH231" s="93">
        <f t="shared" si="80"/>
        <v>0</v>
      </c>
      <c r="FJ231" s="46"/>
      <c r="FK231" s="46"/>
      <c r="FL231" s="46"/>
      <c r="FM231" s="46"/>
      <c r="FN231" s="46"/>
      <c r="FO231" s="46"/>
      <c r="FP231" s="46"/>
      <c r="FQ231" s="46"/>
      <c r="FR231" s="46"/>
      <c r="FS231" s="46"/>
      <c r="FT231" s="46"/>
      <c r="FU231" s="46"/>
      <c r="FV231" s="46"/>
      <c r="FW231" s="46"/>
      <c r="FX231" s="46"/>
      <c r="FY231" s="46"/>
      <c r="FZ231" s="46"/>
      <c r="GA231" s="46"/>
      <c r="GB231" s="46"/>
      <c r="GC231" s="46"/>
      <c r="GD231" s="46"/>
      <c r="GE231" s="46"/>
      <c r="GF231" s="46"/>
      <c r="GG231" s="46"/>
      <c r="GH231" s="46"/>
      <c r="GI231" s="46"/>
      <c r="GJ231" s="46"/>
      <c r="GK231" s="46"/>
      <c r="GL231" s="46"/>
      <c r="GM231" s="46"/>
      <c r="GN231" s="46"/>
      <c r="GO231" s="93">
        <f t="shared" si="65"/>
        <v>0</v>
      </c>
      <c r="GQ231" s="46"/>
      <c r="GR231" s="46"/>
      <c r="GS231" s="46"/>
      <c r="GT231" s="46"/>
      <c r="GU231" s="46"/>
      <c r="GV231" s="46"/>
      <c r="GW231" s="46"/>
      <c r="GX231" s="46"/>
      <c r="GY231" s="46"/>
      <c r="GZ231" s="46"/>
      <c r="HA231" s="46"/>
      <c r="HB231" s="46"/>
      <c r="HC231" s="46"/>
      <c r="HD231" s="46"/>
      <c r="HE231" s="46"/>
      <c r="HF231" s="46"/>
      <c r="HG231" s="46"/>
      <c r="HH231" s="46"/>
      <c r="HI231" s="46"/>
      <c r="HJ231" s="46"/>
      <c r="HK231" s="46"/>
      <c r="HL231" s="46"/>
      <c r="HM231" s="46"/>
      <c r="HN231" s="46"/>
      <c r="HO231" s="46"/>
      <c r="HP231" s="46"/>
      <c r="HQ231" s="46"/>
      <c r="HR231" s="46"/>
      <c r="HS231" s="46"/>
      <c r="HT231" s="46"/>
      <c r="HU231" s="46"/>
      <c r="HV231" s="93">
        <f t="shared" si="66"/>
        <v>0</v>
      </c>
      <c r="HX231" s="46"/>
      <c r="HY231" s="46"/>
      <c r="HZ231" s="46"/>
      <c r="IA231" s="46"/>
      <c r="IB231" s="46"/>
      <c r="IC231" s="46"/>
      <c r="ID231" s="46"/>
      <c r="IE231" s="46"/>
      <c r="IF231" s="46"/>
      <c r="IG231" s="46"/>
      <c r="IH231" s="46"/>
      <c r="II231" s="46"/>
      <c r="IJ231" s="46"/>
      <c r="IK231" s="46"/>
      <c r="IL231" s="46"/>
      <c r="IM231" s="46"/>
      <c r="IN231" s="46"/>
      <c r="IO231" s="46"/>
      <c r="IP231" s="46"/>
      <c r="IQ231" s="46"/>
      <c r="IR231" s="46"/>
      <c r="IS231" s="46"/>
      <c r="IT231" s="46"/>
      <c r="IU231" s="46"/>
      <c r="IV231" s="46"/>
      <c r="IW231" s="46"/>
      <c r="IX231" s="46"/>
      <c r="IY231" s="46"/>
      <c r="IZ231" s="46"/>
      <c r="JA231" s="46"/>
      <c r="JB231" s="46"/>
      <c r="JC231" s="93">
        <f t="shared" si="67"/>
        <v>0</v>
      </c>
      <c r="JE231" s="46"/>
      <c r="JF231" s="46"/>
      <c r="JG231" s="46"/>
      <c r="JH231" s="46"/>
      <c r="JI231" s="46"/>
      <c r="JJ231" s="46"/>
      <c r="JK231" s="46"/>
      <c r="JL231" s="46"/>
      <c r="JM231" s="46"/>
      <c r="JN231" s="46"/>
      <c r="JO231" s="46"/>
      <c r="JP231" s="46"/>
      <c r="JQ231" s="46"/>
      <c r="JR231" s="46"/>
      <c r="JS231" s="46"/>
      <c r="JT231" s="46"/>
      <c r="JU231" s="46"/>
      <c r="JV231" s="46"/>
      <c r="JW231" s="46"/>
      <c r="JX231" s="46"/>
      <c r="JY231" s="46"/>
      <c r="JZ231" s="46"/>
      <c r="KA231" s="46"/>
      <c r="KB231" s="46"/>
      <c r="KC231" s="46"/>
      <c r="KD231" s="46"/>
      <c r="KE231" s="46"/>
      <c r="KF231" s="46"/>
      <c r="KG231" s="46"/>
      <c r="KH231" s="46"/>
      <c r="KI231" s="46"/>
      <c r="KJ231" s="93">
        <f t="shared" si="68"/>
        <v>0</v>
      </c>
    </row>
    <row r="232" spans="1:296" ht="20.149999999999999" customHeight="1" x14ac:dyDescent="0.5">
      <c r="A232" s="11">
        <v>50</v>
      </c>
      <c r="B232" s="178" t="s">
        <v>195</v>
      </c>
      <c r="C232" s="144" t="s">
        <v>6</v>
      </c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>
        <f t="shared" si="70"/>
        <v>0</v>
      </c>
      <c r="S232" s="46">
        <f t="shared" si="71"/>
        <v>0</v>
      </c>
      <c r="T232" s="46">
        <f t="shared" si="72"/>
        <v>0</v>
      </c>
      <c r="U232" s="46">
        <f t="shared" si="73"/>
        <v>0</v>
      </c>
      <c r="V232" s="46">
        <f t="shared" si="74"/>
        <v>0</v>
      </c>
      <c r="W232" s="46">
        <f t="shared" si="75"/>
        <v>0</v>
      </c>
      <c r="X232" s="46">
        <f t="shared" si="76"/>
        <v>0</v>
      </c>
      <c r="Y232" s="46">
        <f t="shared" si="77"/>
        <v>0</v>
      </c>
      <c r="Z232" s="90">
        <f t="shared" si="81"/>
        <v>0</v>
      </c>
      <c r="AA232" s="95"/>
      <c r="AB232" s="95">
        <f>'LPLPO PROGRAM'!H63</f>
        <v>0</v>
      </c>
      <c r="AC232" s="91"/>
      <c r="AD232" s="91"/>
      <c r="AE232" s="91"/>
      <c r="AF232" s="91"/>
      <c r="AG232" s="92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93">
        <f t="shared" si="78"/>
        <v>0</v>
      </c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  <c r="CK232" s="46"/>
      <c r="CL232" s="46"/>
      <c r="CM232" s="46"/>
      <c r="CN232" s="46"/>
      <c r="CO232" s="46"/>
      <c r="CP232" s="46"/>
      <c r="CQ232" s="46"/>
      <c r="CR232" s="46"/>
      <c r="CS232" s="46"/>
      <c r="CT232" s="93">
        <f t="shared" si="64"/>
        <v>0</v>
      </c>
      <c r="CV232" s="46"/>
      <c r="CW232" s="46"/>
      <c r="CX232" s="46"/>
      <c r="CY232" s="46"/>
      <c r="CZ232" s="46"/>
      <c r="DA232" s="46"/>
      <c r="DB232" s="46"/>
      <c r="DC232" s="46"/>
      <c r="DD232" s="46"/>
      <c r="DE232" s="46"/>
      <c r="DF232" s="46"/>
      <c r="DG232" s="46"/>
      <c r="DH232" s="46"/>
      <c r="DI232" s="46"/>
      <c r="DJ232" s="46"/>
      <c r="DK232" s="46"/>
      <c r="DL232" s="46"/>
      <c r="DM232" s="46"/>
      <c r="DN232" s="46"/>
      <c r="DO232" s="46"/>
      <c r="DP232" s="46"/>
      <c r="DQ232" s="46"/>
      <c r="DR232" s="46"/>
      <c r="DS232" s="46"/>
      <c r="DT232" s="46"/>
      <c r="DU232" s="46"/>
      <c r="DV232" s="46"/>
      <c r="DW232" s="46"/>
      <c r="DX232" s="46"/>
      <c r="DY232" s="46"/>
      <c r="DZ232" s="46"/>
      <c r="EA232" s="93">
        <f t="shared" si="79"/>
        <v>0</v>
      </c>
      <c r="EC232" s="46"/>
      <c r="ED232" s="46"/>
      <c r="EE232" s="46"/>
      <c r="EF232" s="46"/>
      <c r="EG232" s="46"/>
      <c r="EH232" s="46"/>
      <c r="EI232" s="46"/>
      <c r="EJ232" s="46"/>
      <c r="EK232" s="46"/>
      <c r="EL232" s="46"/>
      <c r="EM232" s="46"/>
      <c r="EN232" s="46"/>
      <c r="EO232" s="46"/>
      <c r="EP232" s="46"/>
      <c r="EQ232" s="46"/>
      <c r="ER232" s="46"/>
      <c r="ES232" s="46"/>
      <c r="ET232" s="46"/>
      <c r="EU232" s="46"/>
      <c r="EV232" s="46"/>
      <c r="EW232" s="46"/>
      <c r="EX232" s="46"/>
      <c r="EY232" s="46"/>
      <c r="EZ232" s="46"/>
      <c r="FA232" s="46"/>
      <c r="FB232" s="46"/>
      <c r="FC232" s="46"/>
      <c r="FD232" s="46"/>
      <c r="FE232" s="46"/>
      <c r="FF232" s="46"/>
      <c r="FG232" s="46"/>
      <c r="FH232" s="93">
        <f t="shared" si="80"/>
        <v>0</v>
      </c>
      <c r="FJ232" s="46"/>
      <c r="FK232" s="46"/>
      <c r="FL232" s="46"/>
      <c r="FM232" s="46"/>
      <c r="FN232" s="46"/>
      <c r="FO232" s="46"/>
      <c r="FP232" s="46"/>
      <c r="FQ232" s="46"/>
      <c r="FR232" s="46"/>
      <c r="FS232" s="46"/>
      <c r="FT232" s="46"/>
      <c r="FU232" s="46"/>
      <c r="FV232" s="46"/>
      <c r="FW232" s="46"/>
      <c r="FX232" s="46"/>
      <c r="FY232" s="46"/>
      <c r="FZ232" s="46"/>
      <c r="GA232" s="46"/>
      <c r="GB232" s="46"/>
      <c r="GC232" s="46"/>
      <c r="GD232" s="46"/>
      <c r="GE232" s="46"/>
      <c r="GF232" s="46"/>
      <c r="GG232" s="46"/>
      <c r="GH232" s="46"/>
      <c r="GI232" s="46"/>
      <c r="GJ232" s="46"/>
      <c r="GK232" s="46"/>
      <c r="GL232" s="46"/>
      <c r="GM232" s="46"/>
      <c r="GN232" s="46"/>
      <c r="GO232" s="93">
        <f t="shared" si="65"/>
        <v>0</v>
      </c>
      <c r="GQ232" s="46"/>
      <c r="GR232" s="46"/>
      <c r="GS232" s="46"/>
      <c r="GT232" s="46"/>
      <c r="GU232" s="46"/>
      <c r="GV232" s="46"/>
      <c r="GW232" s="46"/>
      <c r="GX232" s="46"/>
      <c r="GY232" s="46"/>
      <c r="GZ232" s="46"/>
      <c r="HA232" s="46"/>
      <c r="HB232" s="46"/>
      <c r="HC232" s="46"/>
      <c r="HD232" s="46"/>
      <c r="HE232" s="46"/>
      <c r="HF232" s="46"/>
      <c r="HG232" s="46"/>
      <c r="HH232" s="46"/>
      <c r="HI232" s="46"/>
      <c r="HJ232" s="46"/>
      <c r="HK232" s="46"/>
      <c r="HL232" s="46"/>
      <c r="HM232" s="46"/>
      <c r="HN232" s="46"/>
      <c r="HO232" s="46"/>
      <c r="HP232" s="46"/>
      <c r="HQ232" s="46"/>
      <c r="HR232" s="46"/>
      <c r="HS232" s="46"/>
      <c r="HT232" s="46"/>
      <c r="HU232" s="46"/>
      <c r="HV232" s="93">
        <f t="shared" si="66"/>
        <v>0</v>
      </c>
      <c r="HX232" s="46"/>
      <c r="HY232" s="46"/>
      <c r="HZ232" s="46"/>
      <c r="IA232" s="46"/>
      <c r="IB232" s="46"/>
      <c r="IC232" s="46"/>
      <c r="ID232" s="46"/>
      <c r="IE232" s="46"/>
      <c r="IF232" s="46"/>
      <c r="IG232" s="46"/>
      <c r="IH232" s="46"/>
      <c r="II232" s="46"/>
      <c r="IJ232" s="46"/>
      <c r="IK232" s="46"/>
      <c r="IL232" s="46"/>
      <c r="IM232" s="46"/>
      <c r="IN232" s="46"/>
      <c r="IO232" s="46"/>
      <c r="IP232" s="46"/>
      <c r="IQ232" s="46"/>
      <c r="IR232" s="46"/>
      <c r="IS232" s="46"/>
      <c r="IT232" s="46"/>
      <c r="IU232" s="46"/>
      <c r="IV232" s="46"/>
      <c r="IW232" s="46"/>
      <c r="IX232" s="46"/>
      <c r="IY232" s="46"/>
      <c r="IZ232" s="46"/>
      <c r="JA232" s="46"/>
      <c r="JB232" s="46"/>
      <c r="JC232" s="93">
        <f t="shared" si="67"/>
        <v>0</v>
      </c>
      <c r="JE232" s="46"/>
      <c r="JF232" s="46"/>
      <c r="JG232" s="46"/>
      <c r="JH232" s="46"/>
      <c r="JI232" s="46"/>
      <c r="JJ232" s="46"/>
      <c r="JK232" s="46"/>
      <c r="JL232" s="46"/>
      <c r="JM232" s="46"/>
      <c r="JN232" s="46"/>
      <c r="JO232" s="46"/>
      <c r="JP232" s="46"/>
      <c r="JQ232" s="46"/>
      <c r="JR232" s="46"/>
      <c r="JS232" s="46"/>
      <c r="JT232" s="46"/>
      <c r="JU232" s="46"/>
      <c r="JV232" s="46"/>
      <c r="JW232" s="46"/>
      <c r="JX232" s="46"/>
      <c r="JY232" s="46"/>
      <c r="JZ232" s="46"/>
      <c r="KA232" s="46"/>
      <c r="KB232" s="46"/>
      <c r="KC232" s="46"/>
      <c r="KD232" s="46"/>
      <c r="KE232" s="46"/>
      <c r="KF232" s="46"/>
      <c r="KG232" s="46"/>
      <c r="KH232" s="46"/>
      <c r="KI232" s="46"/>
      <c r="KJ232" s="93">
        <f t="shared" si="68"/>
        <v>0</v>
      </c>
    </row>
    <row r="233" spans="1:296" ht="20.149999999999999" customHeight="1" x14ac:dyDescent="0.5">
      <c r="A233" s="11">
        <v>51</v>
      </c>
      <c r="B233" s="178" t="s">
        <v>196</v>
      </c>
      <c r="C233" s="144" t="s">
        <v>6</v>
      </c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>
        <f t="shared" si="70"/>
        <v>0</v>
      </c>
      <c r="S233" s="46">
        <f t="shared" si="71"/>
        <v>0</v>
      </c>
      <c r="T233" s="46">
        <f t="shared" si="72"/>
        <v>0</v>
      </c>
      <c r="U233" s="46">
        <f t="shared" si="73"/>
        <v>0</v>
      </c>
      <c r="V233" s="46">
        <f t="shared" si="74"/>
        <v>0</v>
      </c>
      <c r="W233" s="46">
        <f t="shared" si="75"/>
        <v>0</v>
      </c>
      <c r="X233" s="46">
        <f t="shared" si="76"/>
        <v>0</v>
      </c>
      <c r="Y233" s="46">
        <f t="shared" si="77"/>
        <v>0</v>
      </c>
      <c r="Z233" s="90">
        <f t="shared" si="81"/>
        <v>0</v>
      </c>
      <c r="AA233" s="95"/>
      <c r="AB233" s="95">
        <f>'LPLPO PROGRAM'!H64</f>
        <v>0</v>
      </c>
      <c r="AC233" s="91"/>
      <c r="AD233" s="91"/>
      <c r="AE233" s="91"/>
      <c r="AF233" s="91"/>
      <c r="AG233" s="92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93">
        <f t="shared" si="78"/>
        <v>0</v>
      </c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  <c r="CK233" s="46"/>
      <c r="CL233" s="46"/>
      <c r="CM233" s="46"/>
      <c r="CN233" s="46"/>
      <c r="CO233" s="46"/>
      <c r="CP233" s="46"/>
      <c r="CQ233" s="46"/>
      <c r="CR233" s="46"/>
      <c r="CS233" s="46"/>
      <c r="CT233" s="93">
        <f t="shared" si="64"/>
        <v>0</v>
      </c>
      <c r="CV233" s="46"/>
      <c r="CW233" s="46"/>
      <c r="CX233" s="46"/>
      <c r="CY233" s="46"/>
      <c r="CZ233" s="46"/>
      <c r="DA233" s="46"/>
      <c r="DB233" s="46"/>
      <c r="DC233" s="46"/>
      <c r="DD233" s="46"/>
      <c r="DE233" s="46"/>
      <c r="DF233" s="46"/>
      <c r="DG233" s="46"/>
      <c r="DH233" s="46"/>
      <c r="DI233" s="46"/>
      <c r="DJ233" s="46"/>
      <c r="DK233" s="46"/>
      <c r="DL233" s="46"/>
      <c r="DM233" s="46"/>
      <c r="DN233" s="46"/>
      <c r="DO233" s="46"/>
      <c r="DP233" s="46"/>
      <c r="DQ233" s="46"/>
      <c r="DR233" s="46"/>
      <c r="DS233" s="46"/>
      <c r="DT233" s="46"/>
      <c r="DU233" s="46"/>
      <c r="DV233" s="46"/>
      <c r="DW233" s="46"/>
      <c r="DX233" s="46"/>
      <c r="DY233" s="46"/>
      <c r="DZ233" s="46"/>
      <c r="EA233" s="93">
        <f t="shared" si="79"/>
        <v>0</v>
      </c>
      <c r="EC233" s="46"/>
      <c r="ED233" s="46"/>
      <c r="EE233" s="46"/>
      <c r="EF233" s="46"/>
      <c r="EG233" s="46"/>
      <c r="EH233" s="46"/>
      <c r="EI233" s="46"/>
      <c r="EJ233" s="46"/>
      <c r="EK233" s="46"/>
      <c r="EL233" s="46"/>
      <c r="EM233" s="46"/>
      <c r="EN233" s="46"/>
      <c r="EO233" s="46"/>
      <c r="EP233" s="46"/>
      <c r="EQ233" s="46"/>
      <c r="ER233" s="46"/>
      <c r="ES233" s="46"/>
      <c r="ET233" s="46"/>
      <c r="EU233" s="46"/>
      <c r="EV233" s="46"/>
      <c r="EW233" s="46"/>
      <c r="EX233" s="46"/>
      <c r="EY233" s="46"/>
      <c r="EZ233" s="46"/>
      <c r="FA233" s="46"/>
      <c r="FB233" s="46"/>
      <c r="FC233" s="46"/>
      <c r="FD233" s="46"/>
      <c r="FE233" s="46"/>
      <c r="FF233" s="46"/>
      <c r="FG233" s="46"/>
      <c r="FH233" s="93">
        <f t="shared" si="80"/>
        <v>0</v>
      </c>
      <c r="FJ233" s="46"/>
      <c r="FK233" s="46"/>
      <c r="FL233" s="46"/>
      <c r="FM233" s="46"/>
      <c r="FN233" s="46"/>
      <c r="FO233" s="46"/>
      <c r="FP233" s="46"/>
      <c r="FQ233" s="46"/>
      <c r="FR233" s="46"/>
      <c r="FS233" s="46"/>
      <c r="FT233" s="46"/>
      <c r="FU233" s="46"/>
      <c r="FV233" s="46"/>
      <c r="FW233" s="46"/>
      <c r="FX233" s="46"/>
      <c r="FY233" s="46"/>
      <c r="FZ233" s="46"/>
      <c r="GA233" s="46"/>
      <c r="GB233" s="46"/>
      <c r="GC233" s="46"/>
      <c r="GD233" s="46"/>
      <c r="GE233" s="46"/>
      <c r="GF233" s="46"/>
      <c r="GG233" s="46"/>
      <c r="GH233" s="46"/>
      <c r="GI233" s="46"/>
      <c r="GJ233" s="46"/>
      <c r="GK233" s="46"/>
      <c r="GL233" s="46"/>
      <c r="GM233" s="46"/>
      <c r="GN233" s="46"/>
      <c r="GO233" s="93">
        <f t="shared" si="65"/>
        <v>0</v>
      </c>
      <c r="GQ233" s="46"/>
      <c r="GR233" s="46"/>
      <c r="GS233" s="46"/>
      <c r="GT233" s="46"/>
      <c r="GU233" s="46"/>
      <c r="GV233" s="46"/>
      <c r="GW233" s="46"/>
      <c r="GX233" s="46"/>
      <c r="GY233" s="46"/>
      <c r="GZ233" s="46"/>
      <c r="HA233" s="46"/>
      <c r="HB233" s="46"/>
      <c r="HC233" s="46"/>
      <c r="HD233" s="46"/>
      <c r="HE233" s="46"/>
      <c r="HF233" s="46"/>
      <c r="HG233" s="46"/>
      <c r="HH233" s="46"/>
      <c r="HI233" s="46"/>
      <c r="HJ233" s="46"/>
      <c r="HK233" s="46"/>
      <c r="HL233" s="46"/>
      <c r="HM233" s="46"/>
      <c r="HN233" s="46"/>
      <c r="HO233" s="46"/>
      <c r="HP233" s="46"/>
      <c r="HQ233" s="46"/>
      <c r="HR233" s="46"/>
      <c r="HS233" s="46"/>
      <c r="HT233" s="46"/>
      <c r="HU233" s="46"/>
      <c r="HV233" s="93">
        <f t="shared" si="66"/>
        <v>0</v>
      </c>
      <c r="HX233" s="46"/>
      <c r="HY233" s="46"/>
      <c r="HZ233" s="46"/>
      <c r="IA233" s="46"/>
      <c r="IB233" s="46"/>
      <c r="IC233" s="46"/>
      <c r="ID233" s="46"/>
      <c r="IE233" s="46"/>
      <c r="IF233" s="46"/>
      <c r="IG233" s="46"/>
      <c r="IH233" s="46"/>
      <c r="II233" s="46"/>
      <c r="IJ233" s="46"/>
      <c r="IK233" s="46"/>
      <c r="IL233" s="46"/>
      <c r="IM233" s="46"/>
      <c r="IN233" s="46"/>
      <c r="IO233" s="46"/>
      <c r="IP233" s="46"/>
      <c r="IQ233" s="46"/>
      <c r="IR233" s="46"/>
      <c r="IS233" s="46"/>
      <c r="IT233" s="46"/>
      <c r="IU233" s="46"/>
      <c r="IV233" s="46"/>
      <c r="IW233" s="46"/>
      <c r="IX233" s="46"/>
      <c r="IY233" s="46"/>
      <c r="IZ233" s="46"/>
      <c r="JA233" s="46"/>
      <c r="JB233" s="46"/>
      <c r="JC233" s="93">
        <f t="shared" si="67"/>
        <v>0</v>
      </c>
      <c r="JE233" s="46"/>
      <c r="JF233" s="46"/>
      <c r="JG233" s="46"/>
      <c r="JH233" s="46"/>
      <c r="JI233" s="46"/>
      <c r="JJ233" s="46"/>
      <c r="JK233" s="46"/>
      <c r="JL233" s="46"/>
      <c r="JM233" s="46"/>
      <c r="JN233" s="46"/>
      <c r="JO233" s="46"/>
      <c r="JP233" s="46"/>
      <c r="JQ233" s="46"/>
      <c r="JR233" s="46"/>
      <c r="JS233" s="46"/>
      <c r="JT233" s="46"/>
      <c r="JU233" s="46"/>
      <c r="JV233" s="46"/>
      <c r="JW233" s="46"/>
      <c r="JX233" s="46"/>
      <c r="JY233" s="46"/>
      <c r="JZ233" s="46"/>
      <c r="KA233" s="46"/>
      <c r="KB233" s="46"/>
      <c r="KC233" s="46"/>
      <c r="KD233" s="46"/>
      <c r="KE233" s="46"/>
      <c r="KF233" s="46"/>
      <c r="KG233" s="46"/>
      <c r="KH233" s="46"/>
      <c r="KI233" s="46"/>
      <c r="KJ233" s="93">
        <f t="shared" si="68"/>
        <v>0</v>
      </c>
    </row>
    <row r="234" spans="1:296" ht="20.149999999999999" customHeight="1" x14ac:dyDescent="0.5">
      <c r="A234" s="11">
        <v>52</v>
      </c>
      <c r="B234" s="184" t="s">
        <v>361</v>
      </c>
      <c r="C234" s="144" t="s">
        <v>6</v>
      </c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>
        <f t="shared" si="70"/>
        <v>0</v>
      </c>
      <c r="S234" s="46">
        <f t="shared" si="71"/>
        <v>0</v>
      </c>
      <c r="T234" s="46">
        <f t="shared" si="72"/>
        <v>0</v>
      </c>
      <c r="U234" s="46">
        <f t="shared" si="73"/>
        <v>0</v>
      </c>
      <c r="V234" s="46">
        <f t="shared" si="74"/>
        <v>0</v>
      </c>
      <c r="W234" s="46">
        <f t="shared" si="75"/>
        <v>0</v>
      </c>
      <c r="X234" s="46">
        <f t="shared" si="76"/>
        <v>0</v>
      </c>
      <c r="Y234" s="46">
        <f t="shared" si="77"/>
        <v>0</v>
      </c>
      <c r="Z234" s="90">
        <f t="shared" si="81"/>
        <v>0</v>
      </c>
      <c r="AA234" s="95"/>
      <c r="AB234" s="95">
        <f>'LPLPO PROGRAM'!H65</f>
        <v>0</v>
      </c>
      <c r="AC234" s="91"/>
      <c r="AD234" s="91"/>
      <c r="AE234" s="91"/>
      <c r="AF234" s="91"/>
      <c r="AG234" s="92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93">
        <f t="shared" si="78"/>
        <v>0</v>
      </c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  <c r="CK234" s="46"/>
      <c r="CL234" s="46"/>
      <c r="CM234" s="46"/>
      <c r="CN234" s="46"/>
      <c r="CO234" s="46"/>
      <c r="CP234" s="46"/>
      <c r="CQ234" s="46"/>
      <c r="CR234" s="46"/>
      <c r="CS234" s="46"/>
      <c r="CT234" s="93">
        <f t="shared" si="64"/>
        <v>0</v>
      </c>
      <c r="CV234" s="46"/>
      <c r="CW234" s="46"/>
      <c r="CX234" s="46"/>
      <c r="CY234" s="46"/>
      <c r="CZ234" s="46"/>
      <c r="DA234" s="46"/>
      <c r="DB234" s="46"/>
      <c r="DC234" s="46"/>
      <c r="DD234" s="46"/>
      <c r="DE234" s="46"/>
      <c r="DF234" s="46"/>
      <c r="DG234" s="46"/>
      <c r="DH234" s="46"/>
      <c r="DI234" s="46"/>
      <c r="DJ234" s="46"/>
      <c r="DK234" s="46"/>
      <c r="DL234" s="46"/>
      <c r="DM234" s="46"/>
      <c r="DN234" s="46"/>
      <c r="DO234" s="46"/>
      <c r="DP234" s="46"/>
      <c r="DQ234" s="46"/>
      <c r="DR234" s="46"/>
      <c r="DS234" s="46"/>
      <c r="DT234" s="46"/>
      <c r="DU234" s="46"/>
      <c r="DV234" s="46"/>
      <c r="DW234" s="46"/>
      <c r="DX234" s="46"/>
      <c r="DY234" s="46"/>
      <c r="DZ234" s="46"/>
      <c r="EA234" s="93">
        <f t="shared" si="79"/>
        <v>0</v>
      </c>
      <c r="EC234" s="46"/>
      <c r="ED234" s="46"/>
      <c r="EE234" s="46"/>
      <c r="EF234" s="46"/>
      <c r="EG234" s="46"/>
      <c r="EH234" s="46"/>
      <c r="EI234" s="46"/>
      <c r="EJ234" s="46"/>
      <c r="EK234" s="46"/>
      <c r="EL234" s="46"/>
      <c r="EM234" s="46"/>
      <c r="EN234" s="46"/>
      <c r="EO234" s="46"/>
      <c r="EP234" s="46"/>
      <c r="EQ234" s="46"/>
      <c r="ER234" s="46"/>
      <c r="ES234" s="46"/>
      <c r="ET234" s="46"/>
      <c r="EU234" s="46"/>
      <c r="EV234" s="46"/>
      <c r="EW234" s="46"/>
      <c r="EX234" s="46"/>
      <c r="EY234" s="46"/>
      <c r="EZ234" s="46"/>
      <c r="FA234" s="46"/>
      <c r="FB234" s="46"/>
      <c r="FC234" s="46"/>
      <c r="FD234" s="46"/>
      <c r="FE234" s="46"/>
      <c r="FF234" s="46"/>
      <c r="FG234" s="46"/>
      <c r="FH234" s="93">
        <f t="shared" si="80"/>
        <v>0</v>
      </c>
      <c r="FJ234" s="46"/>
      <c r="FK234" s="46"/>
      <c r="FL234" s="46"/>
      <c r="FM234" s="46"/>
      <c r="FN234" s="46"/>
      <c r="FO234" s="46"/>
      <c r="FP234" s="46"/>
      <c r="FQ234" s="46"/>
      <c r="FR234" s="46"/>
      <c r="FS234" s="46"/>
      <c r="FT234" s="46"/>
      <c r="FU234" s="46"/>
      <c r="FV234" s="46"/>
      <c r="FW234" s="46"/>
      <c r="FX234" s="46"/>
      <c r="FY234" s="46"/>
      <c r="FZ234" s="46"/>
      <c r="GA234" s="46"/>
      <c r="GB234" s="46"/>
      <c r="GC234" s="46"/>
      <c r="GD234" s="46"/>
      <c r="GE234" s="46"/>
      <c r="GF234" s="46"/>
      <c r="GG234" s="46"/>
      <c r="GH234" s="46"/>
      <c r="GI234" s="46"/>
      <c r="GJ234" s="46"/>
      <c r="GK234" s="46"/>
      <c r="GL234" s="46"/>
      <c r="GM234" s="46"/>
      <c r="GN234" s="46"/>
      <c r="GO234" s="93">
        <f t="shared" si="65"/>
        <v>0</v>
      </c>
      <c r="GQ234" s="46"/>
      <c r="GR234" s="46"/>
      <c r="GS234" s="46"/>
      <c r="GT234" s="46"/>
      <c r="GU234" s="46"/>
      <c r="GV234" s="46"/>
      <c r="GW234" s="46"/>
      <c r="GX234" s="46"/>
      <c r="GY234" s="46"/>
      <c r="GZ234" s="46"/>
      <c r="HA234" s="46"/>
      <c r="HB234" s="46"/>
      <c r="HC234" s="46"/>
      <c r="HD234" s="46"/>
      <c r="HE234" s="46"/>
      <c r="HF234" s="46"/>
      <c r="HG234" s="46"/>
      <c r="HH234" s="46"/>
      <c r="HI234" s="46"/>
      <c r="HJ234" s="46"/>
      <c r="HK234" s="46"/>
      <c r="HL234" s="46"/>
      <c r="HM234" s="46"/>
      <c r="HN234" s="46"/>
      <c r="HO234" s="46"/>
      <c r="HP234" s="46"/>
      <c r="HQ234" s="46"/>
      <c r="HR234" s="46"/>
      <c r="HS234" s="46"/>
      <c r="HT234" s="46"/>
      <c r="HU234" s="46"/>
      <c r="HV234" s="93">
        <f t="shared" si="66"/>
        <v>0</v>
      </c>
      <c r="HX234" s="46"/>
      <c r="HY234" s="46"/>
      <c r="HZ234" s="46"/>
      <c r="IA234" s="46"/>
      <c r="IB234" s="46"/>
      <c r="IC234" s="46"/>
      <c r="ID234" s="46"/>
      <c r="IE234" s="46"/>
      <c r="IF234" s="46"/>
      <c r="IG234" s="46"/>
      <c r="IH234" s="46"/>
      <c r="II234" s="46"/>
      <c r="IJ234" s="46"/>
      <c r="IK234" s="46"/>
      <c r="IL234" s="46"/>
      <c r="IM234" s="46"/>
      <c r="IN234" s="46"/>
      <c r="IO234" s="46"/>
      <c r="IP234" s="46"/>
      <c r="IQ234" s="46"/>
      <c r="IR234" s="46"/>
      <c r="IS234" s="46"/>
      <c r="IT234" s="46"/>
      <c r="IU234" s="46"/>
      <c r="IV234" s="46"/>
      <c r="IW234" s="46"/>
      <c r="IX234" s="46"/>
      <c r="IY234" s="46"/>
      <c r="IZ234" s="46"/>
      <c r="JA234" s="46"/>
      <c r="JB234" s="46"/>
      <c r="JC234" s="93">
        <f t="shared" si="67"/>
        <v>0</v>
      </c>
      <c r="JE234" s="46"/>
      <c r="JF234" s="46"/>
      <c r="JG234" s="46"/>
      <c r="JH234" s="46"/>
      <c r="JI234" s="46"/>
      <c r="JJ234" s="46"/>
      <c r="JK234" s="46"/>
      <c r="JL234" s="46"/>
      <c r="JM234" s="46"/>
      <c r="JN234" s="46"/>
      <c r="JO234" s="46"/>
      <c r="JP234" s="46"/>
      <c r="JQ234" s="46"/>
      <c r="JR234" s="46"/>
      <c r="JS234" s="46"/>
      <c r="JT234" s="46"/>
      <c r="JU234" s="46"/>
      <c r="JV234" s="46"/>
      <c r="JW234" s="46"/>
      <c r="JX234" s="46"/>
      <c r="JY234" s="46"/>
      <c r="JZ234" s="46"/>
      <c r="KA234" s="46"/>
      <c r="KB234" s="46"/>
      <c r="KC234" s="46"/>
      <c r="KD234" s="46"/>
      <c r="KE234" s="46"/>
      <c r="KF234" s="46"/>
      <c r="KG234" s="46"/>
      <c r="KH234" s="46"/>
      <c r="KI234" s="46"/>
      <c r="KJ234" s="93">
        <f t="shared" si="68"/>
        <v>0</v>
      </c>
    </row>
    <row r="235" spans="1:296" ht="20.149999999999999" customHeight="1" x14ac:dyDescent="0.5">
      <c r="A235" s="11">
        <v>53</v>
      </c>
      <c r="B235" s="184" t="s">
        <v>270</v>
      </c>
      <c r="C235" s="144" t="s">
        <v>198</v>
      </c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>
        <f t="shared" si="70"/>
        <v>0</v>
      </c>
      <c r="S235" s="46">
        <f t="shared" si="71"/>
        <v>0</v>
      </c>
      <c r="T235" s="46">
        <f t="shared" si="72"/>
        <v>0</v>
      </c>
      <c r="U235" s="46">
        <f t="shared" si="73"/>
        <v>0</v>
      </c>
      <c r="V235" s="46">
        <f t="shared" si="74"/>
        <v>0</v>
      </c>
      <c r="W235" s="46">
        <f t="shared" si="75"/>
        <v>0</v>
      </c>
      <c r="X235" s="46">
        <f t="shared" si="76"/>
        <v>0</v>
      </c>
      <c r="Y235" s="46">
        <f t="shared" si="77"/>
        <v>0</v>
      </c>
      <c r="Z235" s="90">
        <f t="shared" si="81"/>
        <v>0</v>
      </c>
      <c r="AA235" s="95"/>
      <c r="AB235" s="95">
        <f>'LPLPO PROGRAM'!H66</f>
        <v>0</v>
      </c>
      <c r="AC235" s="91"/>
      <c r="AD235" s="91"/>
      <c r="AE235" s="91"/>
      <c r="AF235" s="91"/>
      <c r="AG235" s="92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93">
        <f t="shared" si="78"/>
        <v>0</v>
      </c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  <c r="CK235" s="46"/>
      <c r="CL235" s="46"/>
      <c r="CM235" s="46"/>
      <c r="CN235" s="46"/>
      <c r="CO235" s="46"/>
      <c r="CP235" s="46"/>
      <c r="CQ235" s="46"/>
      <c r="CR235" s="46"/>
      <c r="CS235" s="46"/>
      <c r="CT235" s="93">
        <f t="shared" si="64"/>
        <v>0</v>
      </c>
      <c r="CV235" s="46"/>
      <c r="CW235" s="46"/>
      <c r="CX235" s="46"/>
      <c r="CY235" s="46"/>
      <c r="CZ235" s="46"/>
      <c r="DA235" s="46"/>
      <c r="DB235" s="46"/>
      <c r="DC235" s="46"/>
      <c r="DD235" s="46"/>
      <c r="DE235" s="46"/>
      <c r="DF235" s="46"/>
      <c r="DG235" s="46"/>
      <c r="DH235" s="46"/>
      <c r="DI235" s="46"/>
      <c r="DJ235" s="46"/>
      <c r="DK235" s="46"/>
      <c r="DL235" s="46"/>
      <c r="DM235" s="46"/>
      <c r="DN235" s="46"/>
      <c r="DO235" s="46"/>
      <c r="DP235" s="46"/>
      <c r="DQ235" s="46"/>
      <c r="DR235" s="46"/>
      <c r="DS235" s="46"/>
      <c r="DT235" s="46"/>
      <c r="DU235" s="46"/>
      <c r="DV235" s="46"/>
      <c r="DW235" s="46"/>
      <c r="DX235" s="46"/>
      <c r="DY235" s="46"/>
      <c r="DZ235" s="46"/>
      <c r="EA235" s="93">
        <f t="shared" si="79"/>
        <v>0</v>
      </c>
      <c r="EC235" s="46"/>
      <c r="ED235" s="46"/>
      <c r="EE235" s="46"/>
      <c r="EF235" s="46"/>
      <c r="EG235" s="46"/>
      <c r="EH235" s="46"/>
      <c r="EI235" s="46"/>
      <c r="EJ235" s="46"/>
      <c r="EK235" s="46"/>
      <c r="EL235" s="46"/>
      <c r="EM235" s="46"/>
      <c r="EN235" s="46"/>
      <c r="EO235" s="46"/>
      <c r="EP235" s="46"/>
      <c r="EQ235" s="46"/>
      <c r="ER235" s="46"/>
      <c r="ES235" s="46"/>
      <c r="ET235" s="46"/>
      <c r="EU235" s="46"/>
      <c r="EV235" s="46"/>
      <c r="EW235" s="46"/>
      <c r="EX235" s="46"/>
      <c r="EY235" s="46"/>
      <c r="EZ235" s="46"/>
      <c r="FA235" s="46"/>
      <c r="FB235" s="46"/>
      <c r="FC235" s="46"/>
      <c r="FD235" s="46"/>
      <c r="FE235" s="46"/>
      <c r="FF235" s="46"/>
      <c r="FG235" s="46"/>
      <c r="FH235" s="93">
        <f t="shared" si="80"/>
        <v>0</v>
      </c>
      <c r="FJ235" s="46"/>
      <c r="FK235" s="46"/>
      <c r="FL235" s="46"/>
      <c r="FM235" s="46"/>
      <c r="FN235" s="46"/>
      <c r="FO235" s="46"/>
      <c r="FP235" s="46"/>
      <c r="FQ235" s="46"/>
      <c r="FR235" s="46"/>
      <c r="FS235" s="46"/>
      <c r="FT235" s="46"/>
      <c r="FU235" s="46"/>
      <c r="FV235" s="46"/>
      <c r="FW235" s="46"/>
      <c r="FX235" s="46"/>
      <c r="FY235" s="46"/>
      <c r="FZ235" s="46"/>
      <c r="GA235" s="46"/>
      <c r="GB235" s="46"/>
      <c r="GC235" s="46"/>
      <c r="GD235" s="46"/>
      <c r="GE235" s="46"/>
      <c r="GF235" s="46"/>
      <c r="GG235" s="46"/>
      <c r="GH235" s="46"/>
      <c r="GI235" s="46"/>
      <c r="GJ235" s="46"/>
      <c r="GK235" s="46"/>
      <c r="GL235" s="46"/>
      <c r="GM235" s="46"/>
      <c r="GN235" s="46"/>
      <c r="GO235" s="93">
        <f t="shared" si="65"/>
        <v>0</v>
      </c>
      <c r="GQ235" s="46"/>
      <c r="GR235" s="46"/>
      <c r="GS235" s="46"/>
      <c r="GT235" s="46"/>
      <c r="GU235" s="46"/>
      <c r="GV235" s="46"/>
      <c r="GW235" s="46"/>
      <c r="GX235" s="46"/>
      <c r="GY235" s="46"/>
      <c r="GZ235" s="46"/>
      <c r="HA235" s="46"/>
      <c r="HB235" s="46"/>
      <c r="HC235" s="46"/>
      <c r="HD235" s="46"/>
      <c r="HE235" s="46"/>
      <c r="HF235" s="46"/>
      <c r="HG235" s="46"/>
      <c r="HH235" s="46"/>
      <c r="HI235" s="46"/>
      <c r="HJ235" s="46"/>
      <c r="HK235" s="46"/>
      <c r="HL235" s="46"/>
      <c r="HM235" s="46"/>
      <c r="HN235" s="46"/>
      <c r="HO235" s="46"/>
      <c r="HP235" s="46"/>
      <c r="HQ235" s="46"/>
      <c r="HR235" s="46"/>
      <c r="HS235" s="46"/>
      <c r="HT235" s="46"/>
      <c r="HU235" s="46"/>
      <c r="HV235" s="93">
        <f t="shared" si="66"/>
        <v>0</v>
      </c>
      <c r="HX235" s="46"/>
      <c r="HY235" s="46"/>
      <c r="HZ235" s="46"/>
      <c r="IA235" s="46"/>
      <c r="IB235" s="46"/>
      <c r="IC235" s="46"/>
      <c r="ID235" s="46"/>
      <c r="IE235" s="46"/>
      <c r="IF235" s="46"/>
      <c r="IG235" s="46"/>
      <c r="IH235" s="46"/>
      <c r="II235" s="46"/>
      <c r="IJ235" s="46"/>
      <c r="IK235" s="46"/>
      <c r="IL235" s="46"/>
      <c r="IM235" s="46"/>
      <c r="IN235" s="46"/>
      <c r="IO235" s="46"/>
      <c r="IP235" s="46"/>
      <c r="IQ235" s="46"/>
      <c r="IR235" s="46"/>
      <c r="IS235" s="46"/>
      <c r="IT235" s="46"/>
      <c r="IU235" s="46"/>
      <c r="IV235" s="46"/>
      <c r="IW235" s="46"/>
      <c r="IX235" s="46"/>
      <c r="IY235" s="46"/>
      <c r="IZ235" s="46"/>
      <c r="JA235" s="46"/>
      <c r="JB235" s="46"/>
      <c r="JC235" s="93">
        <f t="shared" si="67"/>
        <v>0</v>
      </c>
      <c r="JE235" s="46"/>
      <c r="JF235" s="46"/>
      <c r="JG235" s="46"/>
      <c r="JH235" s="46"/>
      <c r="JI235" s="46"/>
      <c r="JJ235" s="46"/>
      <c r="JK235" s="46"/>
      <c r="JL235" s="46"/>
      <c r="JM235" s="46"/>
      <c r="JN235" s="46"/>
      <c r="JO235" s="46"/>
      <c r="JP235" s="46"/>
      <c r="JQ235" s="46"/>
      <c r="JR235" s="46"/>
      <c r="JS235" s="46"/>
      <c r="JT235" s="46"/>
      <c r="JU235" s="46"/>
      <c r="JV235" s="46"/>
      <c r="JW235" s="46"/>
      <c r="JX235" s="46"/>
      <c r="JY235" s="46"/>
      <c r="JZ235" s="46"/>
      <c r="KA235" s="46"/>
      <c r="KB235" s="46"/>
      <c r="KC235" s="46"/>
      <c r="KD235" s="46"/>
      <c r="KE235" s="46"/>
      <c r="KF235" s="46"/>
      <c r="KG235" s="46"/>
      <c r="KH235" s="46"/>
      <c r="KI235" s="46"/>
      <c r="KJ235" s="93">
        <f t="shared" si="68"/>
        <v>0</v>
      </c>
    </row>
    <row r="236" spans="1:296" ht="20.149999999999999" customHeight="1" x14ac:dyDescent="0.5">
      <c r="A236" s="11">
        <v>54</v>
      </c>
      <c r="B236" s="184" t="s">
        <v>360</v>
      </c>
      <c r="C236" s="144" t="s">
        <v>6</v>
      </c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>
        <f t="shared" si="70"/>
        <v>0</v>
      </c>
      <c r="S236" s="46">
        <f t="shared" si="71"/>
        <v>0</v>
      </c>
      <c r="T236" s="46">
        <f t="shared" si="72"/>
        <v>0</v>
      </c>
      <c r="U236" s="46">
        <f t="shared" si="73"/>
        <v>0</v>
      </c>
      <c r="V236" s="46">
        <f t="shared" si="74"/>
        <v>0</v>
      </c>
      <c r="W236" s="46">
        <f t="shared" si="75"/>
        <v>0</v>
      </c>
      <c r="X236" s="46">
        <f t="shared" si="76"/>
        <v>0</v>
      </c>
      <c r="Y236" s="46">
        <f t="shared" si="77"/>
        <v>0</v>
      </c>
      <c r="Z236" s="90">
        <f t="shared" si="81"/>
        <v>0</v>
      </c>
      <c r="AA236" s="95"/>
      <c r="AB236" s="95">
        <f>'LPLPO PROGRAM'!H67</f>
        <v>0</v>
      </c>
      <c r="AC236" s="91"/>
      <c r="AD236" s="91"/>
      <c r="AE236" s="91"/>
      <c r="AF236" s="91"/>
      <c r="AG236" s="92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93">
        <f t="shared" si="78"/>
        <v>0</v>
      </c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  <c r="CK236" s="46"/>
      <c r="CL236" s="46"/>
      <c r="CM236" s="46"/>
      <c r="CN236" s="46"/>
      <c r="CO236" s="46"/>
      <c r="CP236" s="46"/>
      <c r="CQ236" s="46"/>
      <c r="CR236" s="46"/>
      <c r="CS236" s="46"/>
      <c r="CT236" s="93">
        <f t="shared" si="64"/>
        <v>0</v>
      </c>
      <c r="CV236" s="46"/>
      <c r="CW236" s="46"/>
      <c r="CX236" s="46"/>
      <c r="CY236" s="46"/>
      <c r="CZ236" s="46"/>
      <c r="DA236" s="46"/>
      <c r="DB236" s="46"/>
      <c r="DC236" s="46"/>
      <c r="DD236" s="46"/>
      <c r="DE236" s="46"/>
      <c r="DF236" s="46"/>
      <c r="DG236" s="46"/>
      <c r="DH236" s="46"/>
      <c r="DI236" s="46"/>
      <c r="DJ236" s="46"/>
      <c r="DK236" s="46"/>
      <c r="DL236" s="46"/>
      <c r="DM236" s="46"/>
      <c r="DN236" s="46"/>
      <c r="DO236" s="46"/>
      <c r="DP236" s="46"/>
      <c r="DQ236" s="46"/>
      <c r="DR236" s="46"/>
      <c r="DS236" s="46"/>
      <c r="DT236" s="46"/>
      <c r="DU236" s="46"/>
      <c r="DV236" s="46"/>
      <c r="DW236" s="46"/>
      <c r="DX236" s="46"/>
      <c r="DY236" s="46"/>
      <c r="DZ236" s="46"/>
      <c r="EA236" s="93">
        <f t="shared" si="79"/>
        <v>0</v>
      </c>
      <c r="EC236" s="46"/>
      <c r="ED236" s="46"/>
      <c r="EE236" s="46"/>
      <c r="EF236" s="46"/>
      <c r="EG236" s="46"/>
      <c r="EH236" s="46"/>
      <c r="EI236" s="46"/>
      <c r="EJ236" s="46"/>
      <c r="EK236" s="46"/>
      <c r="EL236" s="46"/>
      <c r="EM236" s="46"/>
      <c r="EN236" s="46"/>
      <c r="EO236" s="46"/>
      <c r="EP236" s="46"/>
      <c r="EQ236" s="46"/>
      <c r="ER236" s="46"/>
      <c r="ES236" s="46"/>
      <c r="ET236" s="46"/>
      <c r="EU236" s="46"/>
      <c r="EV236" s="46"/>
      <c r="EW236" s="46"/>
      <c r="EX236" s="46"/>
      <c r="EY236" s="46"/>
      <c r="EZ236" s="46"/>
      <c r="FA236" s="46"/>
      <c r="FB236" s="46"/>
      <c r="FC236" s="46"/>
      <c r="FD236" s="46"/>
      <c r="FE236" s="46"/>
      <c r="FF236" s="46"/>
      <c r="FG236" s="46"/>
      <c r="FH236" s="93">
        <f t="shared" si="80"/>
        <v>0</v>
      </c>
      <c r="FJ236" s="46"/>
      <c r="FK236" s="46"/>
      <c r="FL236" s="46"/>
      <c r="FM236" s="46"/>
      <c r="FN236" s="46"/>
      <c r="FO236" s="46"/>
      <c r="FP236" s="46"/>
      <c r="FQ236" s="46"/>
      <c r="FR236" s="46"/>
      <c r="FS236" s="46"/>
      <c r="FT236" s="46"/>
      <c r="FU236" s="46"/>
      <c r="FV236" s="46"/>
      <c r="FW236" s="46"/>
      <c r="FX236" s="46"/>
      <c r="FY236" s="46"/>
      <c r="FZ236" s="46"/>
      <c r="GA236" s="46"/>
      <c r="GB236" s="46"/>
      <c r="GC236" s="46"/>
      <c r="GD236" s="46"/>
      <c r="GE236" s="46"/>
      <c r="GF236" s="46"/>
      <c r="GG236" s="46"/>
      <c r="GH236" s="46"/>
      <c r="GI236" s="46"/>
      <c r="GJ236" s="46"/>
      <c r="GK236" s="46"/>
      <c r="GL236" s="46"/>
      <c r="GM236" s="46"/>
      <c r="GN236" s="46"/>
      <c r="GO236" s="93">
        <f t="shared" si="65"/>
        <v>0</v>
      </c>
      <c r="GQ236" s="46"/>
      <c r="GR236" s="46"/>
      <c r="GS236" s="46"/>
      <c r="GT236" s="46"/>
      <c r="GU236" s="46"/>
      <c r="GV236" s="46"/>
      <c r="GW236" s="46"/>
      <c r="GX236" s="46"/>
      <c r="GY236" s="46"/>
      <c r="GZ236" s="46"/>
      <c r="HA236" s="46"/>
      <c r="HB236" s="46"/>
      <c r="HC236" s="46"/>
      <c r="HD236" s="46"/>
      <c r="HE236" s="46"/>
      <c r="HF236" s="46"/>
      <c r="HG236" s="46"/>
      <c r="HH236" s="46"/>
      <c r="HI236" s="46"/>
      <c r="HJ236" s="46"/>
      <c r="HK236" s="46"/>
      <c r="HL236" s="46"/>
      <c r="HM236" s="46"/>
      <c r="HN236" s="46"/>
      <c r="HO236" s="46"/>
      <c r="HP236" s="46"/>
      <c r="HQ236" s="46"/>
      <c r="HR236" s="46"/>
      <c r="HS236" s="46"/>
      <c r="HT236" s="46"/>
      <c r="HU236" s="46"/>
      <c r="HV236" s="93">
        <f t="shared" si="66"/>
        <v>0</v>
      </c>
      <c r="HX236" s="46"/>
      <c r="HY236" s="46"/>
      <c r="HZ236" s="46"/>
      <c r="IA236" s="46"/>
      <c r="IB236" s="46"/>
      <c r="IC236" s="46"/>
      <c r="ID236" s="46"/>
      <c r="IE236" s="46"/>
      <c r="IF236" s="46"/>
      <c r="IG236" s="46"/>
      <c r="IH236" s="46"/>
      <c r="II236" s="46"/>
      <c r="IJ236" s="46"/>
      <c r="IK236" s="46"/>
      <c r="IL236" s="46"/>
      <c r="IM236" s="46"/>
      <c r="IN236" s="46"/>
      <c r="IO236" s="46"/>
      <c r="IP236" s="46"/>
      <c r="IQ236" s="46"/>
      <c r="IR236" s="46"/>
      <c r="IS236" s="46"/>
      <c r="IT236" s="46"/>
      <c r="IU236" s="46"/>
      <c r="IV236" s="46"/>
      <c r="IW236" s="46"/>
      <c r="IX236" s="46"/>
      <c r="IY236" s="46"/>
      <c r="IZ236" s="46"/>
      <c r="JA236" s="46"/>
      <c r="JB236" s="46"/>
      <c r="JC236" s="93">
        <f t="shared" si="67"/>
        <v>0</v>
      </c>
      <c r="JE236" s="46"/>
      <c r="JF236" s="46"/>
      <c r="JG236" s="46"/>
      <c r="JH236" s="46"/>
      <c r="JI236" s="46"/>
      <c r="JJ236" s="46"/>
      <c r="JK236" s="46"/>
      <c r="JL236" s="46"/>
      <c r="JM236" s="46"/>
      <c r="JN236" s="46"/>
      <c r="JO236" s="46"/>
      <c r="JP236" s="46"/>
      <c r="JQ236" s="46"/>
      <c r="JR236" s="46"/>
      <c r="JS236" s="46"/>
      <c r="JT236" s="46"/>
      <c r="JU236" s="46"/>
      <c r="JV236" s="46"/>
      <c r="JW236" s="46"/>
      <c r="JX236" s="46"/>
      <c r="JY236" s="46"/>
      <c r="JZ236" s="46"/>
      <c r="KA236" s="46"/>
      <c r="KB236" s="46"/>
      <c r="KC236" s="46"/>
      <c r="KD236" s="46"/>
      <c r="KE236" s="46"/>
      <c r="KF236" s="46"/>
      <c r="KG236" s="46"/>
      <c r="KH236" s="46"/>
      <c r="KI236" s="46"/>
      <c r="KJ236" s="93">
        <f t="shared" si="68"/>
        <v>0</v>
      </c>
    </row>
    <row r="237" spans="1:296" ht="20.149999999999999" customHeight="1" x14ac:dyDescent="0.5">
      <c r="A237" s="11">
        <v>55</v>
      </c>
      <c r="B237" s="184" t="s">
        <v>197</v>
      </c>
      <c r="C237" s="144" t="s">
        <v>6</v>
      </c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>
        <f t="shared" si="70"/>
        <v>0</v>
      </c>
      <c r="S237" s="46">
        <f t="shared" si="71"/>
        <v>0</v>
      </c>
      <c r="T237" s="46">
        <f t="shared" si="72"/>
        <v>0</v>
      </c>
      <c r="U237" s="46">
        <f t="shared" si="73"/>
        <v>0</v>
      </c>
      <c r="V237" s="46">
        <f t="shared" si="74"/>
        <v>0</v>
      </c>
      <c r="W237" s="46">
        <f t="shared" si="75"/>
        <v>0</v>
      </c>
      <c r="X237" s="46">
        <f t="shared" si="76"/>
        <v>0</v>
      </c>
      <c r="Y237" s="46">
        <f t="shared" si="77"/>
        <v>0</v>
      </c>
      <c r="Z237" s="90">
        <f t="shared" si="81"/>
        <v>0</v>
      </c>
      <c r="AA237" s="95"/>
      <c r="AB237" s="95">
        <f>'LPLPO PROGRAM'!H68</f>
        <v>0</v>
      </c>
      <c r="AC237" s="91"/>
      <c r="AD237" s="91"/>
      <c r="AE237" s="91"/>
      <c r="AF237" s="91"/>
      <c r="AG237" s="92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93">
        <f t="shared" si="78"/>
        <v>0</v>
      </c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  <c r="CK237" s="46"/>
      <c r="CL237" s="46"/>
      <c r="CM237" s="46"/>
      <c r="CN237" s="46"/>
      <c r="CO237" s="46"/>
      <c r="CP237" s="46"/>
      <c r="CQ237" s="46"/>
      <c r="CR237" s="46"/>
      <c r="CS237" s="46"/>
      <c r="CT237" s="93">
        <f t="shared" si="64"/>
        <v>0</v>
      </c>
      <c r="CV237" s="46"/>
      <c r="CW237" s="46"/>
      <c r="CX237" s="46"/>
      <c r="CY237" s="46"/>
      <c r="CZ237" s="46"/>
      <c r="DA237" s="46"/>
      <c r="DB237" s="46"/>
      <c r="DC237" s="46"/>
      <c r="DD237" s="46"/>
      <c r="DE237" s="46"/>
      <c r="DF237" s="46"/>
      <c r="DG237" s="46"/>
      <c r="DH237" s="46"/>
      <c r="DI237" s="46"/>
      <c r="DJ237" s="46"/>
      <c r="DK237" s="46"/>
      <c r="DL237" s="46"/>
      <c r="DM237" s="46"/>
      <c r="DN237" s="46"/>
      <c r="DO237" s="46"/>
      <c r="DP237" s="46"/>
      <c r="DQ237" s="46"/>
      <c r="DR237" s="46"/>
      <c r="DS237" s="46"/>
      <c r="DT237" s="46"/>
      <c r="DU237" s="46"/>
      <c r="DV237" s="46"/>
      <c r="DW237" s="46"/>
      <c r="DX237" s="46"/>
      <c r="DY237" s="46"/>
      <c r="DZ237" s="46"/>
      <c r="EA237" s="93">
        <f t="shared" si="79"/>
        <v>0</v>
      </c>
      <c r="EC237" s="46"/>
      <c r="ED237" s="46"/>
      <c r="EE237" s="46"/>
      <c r="EF237" s="46"/>
      <c r="EG237" s="46"/>
      <c r="EH237" s="46"/>
      <c r="EI237" s="46"/>
      <c r="EJ237" s="46"/>
      <c r="EK237" s="46"/>
      <c r="EL237" s="46"/>
      <c r="EM237" s="46"/>
      <c r="EN237" s="46"/>
      <c r="EO237" s="46"/>
      <c r="EP237" s="46"/>
      <c r="EQ237" s="46"/>
      <c r="ER237" s="46"/>
      <c r="ES237" s="46"/>
      <c r="ET237" s="46"/>
      <c r="EU237" s="46"/>
      <c r="EV237" s="46"/>
      <c r="EW237" s="46"/>
      <c r="EX237" s="46"/>
      <c r="EY237" s="46"/>
      <c r="EZ237" s="46"/>
      <c r="FA237" s="46"/>
      <c r="FB237" s="46"/>
      <c r="FC237" s="46"/>
      <c r="FD237" s="46"/>
      <c r="FE237" s="46"/>
      <c r="FF237" s="46"/>
      <c r="FG237" s="46"/>
      <c r="FH237" s="93">
        <f t="shared" si="80"/>
        <v>0</v>
      </c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6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46"/>
      <c r="GF237" s="46"/>
      <c r="GG237" s="46"/>
      <c r="GH237" s="46"/>
      <c r="GI237" s="46"/>
      <c r="GJ237" s="46"/>
      <c r="GK237" s="46"/>
      <c r="GL237" s="46"/>
      <c r="GM237" s="46"/>
      <c r="GN237" s="46"/>
      <c r="GO237" s="93">
        <f t="shared" si="65"/>
        <v>0</v>
      </c>
      <c r="GQ237" s="46"/>
      <c r="GR237" s="46"/>
      <c r="GS237" s="46"/>
      <c r="GT237" s="46"/>
      <c r="GU237" s="46"/>
      <c r="GV237" s="46"/>
      <c r="GW237" s="46"/>
      <c r="GX237" s="46"/>
      <c r="GY237" s="46"/>
      <c r="GZ237" s="46"/>
      <c r="HA237" s="46"/>
      <c r="HB237" s="46"/>
      <c r="HC237" s="46"/>
      <c r="HD237" s="46"/>
      <c r="HE237" s="46"/>
      <c r="HF237" s="46"/>
      <c r="HG237" s="46"/>
      <c r="HH237" s="46"/>
      <c r="HI237" s="46"/>
      <c r="HJ237" s="46"/>
      <c r="HK237" s="46"/>
      <c r="HL237" s="46"/>
      <c r="HM237" s="46"/>
      <c r="HN237" s="46"/>
      <c r="HO237" s="46"/>
      <c r="HP237" s="46"/>
      <c r="HQ237" s="46"/>
      <c r="HR237" s="46"/>
      <c r="HS237" s="46"/>
      <c r="HT237" s="46"/>
      <c r="HU237" s="46"/>
      <c r="HV237" s="93">
        <f t="shared" si="66"/>
        <v>0</v>
      </c>
      <c r="HX237" s="46"/>
      <c r="HY237" s="46"/>
      <c r="HZ237" s="46"/>
      <c r="IA237" s="46"/>
      <c r="IB237" s="46"/>
      <c r="IC237" s="46"/>
      <c r="ID237" s="46"/>
      <c r="IE237" s="46"/>
      <c r="IF237" s="46"/>
      <c r="IG237" s="46"/>
      <c r="IH237" s="46"/>
      <c r="II237" s="46"/>
      <c r="IJ237" s="46"/>
      <c r="IK237" s="46"/>
      <c r="IL237" s="46"/>
      <c r="IM237" s="46"/>
      <c r="IN237" s="46"/>
      <c r="IO237" s="46"/>
      <c r="IP237" s="46"/>
      <c r="IQ237" s="46"/>
      <c r="IR237" s="46"/>
      <c r="IS237" s="46"/>
      <c r="IT237" s="46"/>
      <c r="IU237" s="46"/>
      <c r="IV237" s="46"/>
      <c r="IW237" s="46"/>
      <c r="IX237" s="46"/>
      <c r="IY237" s="46"/>
      <c r="IZ237" s="46"/>
      <c r="JA237" s="46"/>
      <c r="JB237" s="46"/>
      <c r="JC237" s="93">
        <f t="shared" si="67"/>
        <v>0</v>
      </c>
      <c r="JE237" s="46"/>
      <c r="JF237" s="46"/>
      <c r="JG237" s="46"/>
      <c r="JH237" s="46"/>
      <c r="JI237" s="46"/>
      <c r="JJ237" s="46"/>
      <c r="JK237" s="46"/>
      <c r="JL237" s="46"/>
      <c r="JM237" s="46"/>
      <c r="JN237" s="46"/>
      <c r="JO237" s="46"/>
      <c r="JP237" s="46"/>
      <c r="JQ237" s="46"/>
      <c r="JR237" s="46"/>
      <c r="JS237" s="46"/>
      <c r="JT237" s="46"/>
      <c r="JU237" s="46"/>
      <c r="JV237" s="46"/>
      <c r="JW237" s="46"/>
      <c r="JX237" s="46"/>
      <c r="JY237" s="46"/>
      <c r="JZ237" s="46"/>
      <c r="KA237" s="46"/>
      <c r="KB237" s="46"/>
      <c r="KC237" s="46"/>
      <c r="KD237" s="46"/>
      <c r="KE237" s="46"/>
      <c r="KF237" s="46"/>
      <c r="KG237" s="46"/>
      <c r="KH237" s="46"/>
      <c r="KI237" s="46"/>
      <c r="KJ237" s="93">
        <f t="shared" si="68"/>
        <v>0</v>
      </c>
    </row>
    <row r="238" spans="1:296" ht="20.149999999999999" customHeight="1" x14ac:dyDescent="0.5">
      <c r="A238" s="11">
        <v>56</v>
      </c>
      <c r="B238" s="184"/>
      <c r="C238" s="144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>
        <f t="shared" si="70"/>
        <v>0</v>
      </c>
      <c r="S238" s="46">
        <f t="shared" si="71"/>
        <v>0</v>
      </c>
      <c r="T238" s="46">
        <f t="shared" si="72"/>
        <v>0</v>
      </c>
      <c r="U238" s="46">
        <f t="shared" si="73"/>
        <v>0</v>
      </c>
      <c r="V238" s="46">
        <f t="shared" si="74"/>
        <v>0</v>
      </c>
      <c r="W238" s="46">
        <f t="shared" si="75"/>
        <v>0</v>
      </c>
      <c r="X238" s="46">
        <f t="shared" si="76"/>
        <v>0</v>
      </c>
      <c r="Y238" s="46">
        <f t="shared" si="77"/>
        <v>0</v>
      </c>
      <c r="Z238" s="90">
        <f t="shared" si="81"/>
        <v>0</v>
      </c>
      <c r="AA238" s="95"/>
      <c r="AB238" s="95">
        <f>'LPLPO PROGRAM'!H69</f>
        <v>0</v>
      </c>
      <c r="AC238" s="91"/>
      <c r="AD238" s="91"/>
      <c r="AE238" s="91"/>
      <c r="AF238" s="91"/>
      <c r="AG238" s="92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93">
        <f t="shared" si="78"/>
        <v>0</v>
      </c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  <c r="CK238" s="46"/>
      <c r="CL238" s="46"/>
      <c r="CM238" s="46"/>
      <c r="CN238" s="46"/>
      <c r="CO238" s="46"/>
      <c r="CP238" s="46"/>
      <c r="CQ238" s="46"/>
      <c r="CR238" s="46"/>
      <c r="CS238" s="46"/>
      <c r="CT238" s="93">
        <f t="shared" si="64"/>
        <v>0</v>
      </c>
      <c r="CV238" s="46"/>
      <c r="CW238" s="46"/>
      <c r="CX238" s="46"/>
      <c r="CY238" s="46"/>
      <c r="CZ238" s="46"/>
      <c r="DA238" s="46"/>
      <c r="DB238" s="46"/>
      <c r="DC238" s="46"/>
      <c r="DD238" s="46"/>
      <c r="DE238" s="46"/>
      <c r="DF238" s="46"/>
      <c r="DG238" s="46"/>
      <c r="DH238" s="46"/>
      <c r="DI238" s="46"/>
      <c r="DJ238" s="46"/>
      <c r="DK238" s="46"/>
      <c r="DL238" s="46"/>
      <c r="DM238" s="46"/>
      <c r="DN238" s="46"/>
      <c r="DO238" s="46"/>
      <c r="DP238" s="46"/>
      <c r="DQ238" s="46"/>
      <c r="DR238" s="46"/>
      <c r="DS238" s="46"/>
      <c r="DT238" s="46"/>
      <c r="DU238" s="46"/>
      <c r="DV238" s="46"/>
      <c r="DW238" s="46"/>
      <c r="DX238" s="46"/>
      <c r="DY238" s="46"/>
      <c r="DZ238" s="46"/>
      <c r="EA238" s="93">
        <f t="shared" si="79"/>
        <v>0</v>
      </c>
      <c r="EC238" s="46"/>
      <c r="ED238" s="46"/>
      <c r="EE238" s="46"/>
      <c r="EF238" s="46"/>
      <c r="EG238" s="46"/>
      <c r="EH238" s="46"/>
      <c r="EI238" s="46"/>
      <c r="EJ238" s="46"/>
      <c r="EK238" s="46"/>
      <c r="EL238" s="46"/>
      <c r="EM238" s="46"/>
      <c r="EN238" s="46"/>
      <c r="EO238" s="46"/>
      <c r="EP238" s="46"/>
      <c r="EQ238" s="46"/>
      <c r="ER238" s="46"/>
      <c r="ES238" s="46"/>
      <c r="ET238" s="46"/>
      <c r="EU238" s="46"/>
      <c r="EV238" s="46"/>
      <c r="EW238" s="46"/>
      <c r="EX238" s="46"/>
      <c r="EY238" s="46"/>
      <c r="EZ238" s="46"/>
      <c r="FA238" s="46"/>
      <c r="FB238" s="46"/>
      <c r="FC238" s="46"/>
      <c r="FD238" s="46"/>
      <c r="FE238" s="46"/>
      <c r="FF238" s="46"/>
      <c r="FG238" s="46"/>
      <c r="FH238" s="93">
        <f t="shared" si="80"/>
        <v>0</v>
      </c>
      <c r="FJ238" s="46"/>
      <c r="FK238" s="46"/>
      <c r="FL238" s="46"/>
      <c r="FM238" s="46"/>
      <c r="FN238" s="46"/>
      <c r="FO238" s="46"/>
      <c r="FP238" s="46"/>
      <c r="FQ238" s="46"/>
      <c r="FR238" s="46"/>
      <c r="FS238" s="46"/>
      <c r="FT238" s="46"/>
      <c r="FU238" s="46"/>
      <c r="FV238" s="46"/>
      <c r="FW238" s="46"/>
      <c r="FX238" s="46"/>
      <c r="FY238" s="46"/>
      <c r="FZ238" s="46"/>
      <c r="GA238" s="46"/>
      <c r="GB238" s="46"/>
      <c r="GC238" s="46"/>
      <c r="GD238" s="46"/>
      <c r="GE238" s="46"/>
      <c r="GF238" s="46"/>
      <c r="GG238" s="46"/>
      <c r="GH238" s="46"/>
      <c r="GI238" s="46"/>
      <c r="GJ238" s="46"/>
      <c r="GK238" s="46"/>
      <c r="GL238" s="46"/>
      <c r="GM238" s="46"/>
      <c r="GN238" s="46"/>
      <c r="GO238" s="93">
        <f t="shared" si="65"/>
        <v>0</v>
      </c>
      <c r="GQ238" s="46"/>
      <c r="GR238" s="46"/>
      <c r="GS238" s="46"/>
      <c r="GT238" s="46"/>
      <c r="GU238" s="46"/>
      <c r="GV238" s="46"/>
      <c r="GW238" s="46"/>
      <c r="GX238" s="46"/>
      <c r="GY238" s="46"/>
      <c r="GZ238" s="46"/>
      <c r="HA238" s="46"/>
      <c r="HB238" s="46"/>
      <c r="HC238" s="46"/>
      <c r="HD238" s="46"/>
      <c r="HE238" s="46"/>
      <c r="HF238" s="46"/>
      <c r="HG238" s="46"/>
      <c r="HH238" s="46"/>
      <c r="HI238" s="46"/>
      <c r="HJ238" s="46"/>
      <c r="HK238" s="46"/>
      <c r="HL238" s="46"/>
      <c r="HM238" s="46"/>
      <c r="HN238" s="46"/>
      <c r="HO238" s="46"/>
      <c r="HP238" s="46"/>
      <c r="HQ238" s="46"/>
      <c r="HR238" s="46"/>
      <c r="HS238" s="46"/>
      <c r="HT238" s="46"/>
      <c r="HU238" s="46"/>
      <c r="HV238" s="93">
        <f t="shared" si="66"/>
        <v>0</v>
      </c>
      <c r="HX238" s="46"/>
      <c r="HY238" s="46"/>
      <c r="HZ238" s="46"/>
      <c r="IA238" s="46"/>
      <c r="IB238" s="46"/>
      <c r="IC238" s="46"/>
      <c r="ID238" s="46"/>
      <c r="IE238" s="46"/>
      <c r="IF238" s="46"/>
      <c r="IG238" s="46"/>
      <c r="IH238" s="46"/>
      <c r="II238" s="46"/>
      <c r="IJ238" s="46"/>
      <c r="IK238" s="46"/>
      <c r="IL238" s="46"/>
      <c r="IM238" s="46"/>
      <c r="IN238" s="46"/>
      <c r="IO238" s="46"/>
      <c r="IP238" s="46"/>
      <c r="IQ238" s="46"/>
      <c r="IR238" s="46"/>
      <c r="IS238" s="46"/>
      <c r="IT238" s="46"/>
      <c r="IU238" s="46"/>
      <c r="IV238" s="46"/>
      <c r="IW238" s="46"/>
      <c r="IX238" s="46"/>
      <c r="IY238" s="46"/>
      <c r="IZ238" s="46"/>
      <c r="JA238" s="46"/>
      <c r="JB238" s="46"/>
      <c r="JC238" s="93">
        <f t="shared" si="67"/>
        <v>0</v>
      </c>
      <c r="JE238" s="46"/>
      <c r="JF238" s="46"/>
      <c r="JG238" s="46"/>
      <c r="JH238" s="46"/>
      <c r="JI238" s="46"/>
      <c r="JJ238" s="46"/>
      <c r="JK238" s="46"/>
      <c r="JL238" s="46"/>
      <c r="JM238" s="46"/>
      <c r="JN238" s="46"/>
      <c r="JO238" s="46"/>
      <c r="JP238" s="46"/>
      <c r="JQ238" s="46"/>
      <c r="JR238" s="46"/>
      <c r="JS238" s="46"/>
      <c r="JT238" s="46"/>
      <c r="JU238" s="46"/>
      <c r="JV238" s="46"/>
      <c r="JW238" s="46"/>
      <c r="JX238" s="46"/>
      <c r="JY238" s="46"/>
      <c r="JZ238" s="46"/>
      <c r="KA238" s="46"/>
      <c r="KB238" s="46"/>
      <c r="KC238" s="46"/>
      <c r="KD238" s="46"/>
      <c r="KE238" s="46"/>
      <c r="KF238" s="46"/>
      <c r="KG238" s="46"/>
      <c r="KH238" s="46"/>
      <c r="KI238" s="46"/>
      <c r="KJ238" s="93">
        <f t="shared" si="68"/>
        <v>0</v>
      </c>
    </row>
    <row r="239" spans="1:296" ht="20.149999999999999" customHeight="1" x14ac:dyDescent="0.5">
      <c r="A239" s="11">
        <v>57</v>
      </c>
      <c r="B239" s="184"/>
      <c r="C239" s="144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>
        <f t="shared" si="70"/>
        <v>0</v>
      </c>
      <c r="S239" s="46">
        <f t="shared" si="71"/>
        <v>0</v>
      </c>
      <c r="T239" s="46">
        <f t="shared" si="72"/>
        <v>0</v>
      </c>
      <c r="U239" s="46">
        <f t="shared" si="73"/>
        <v>0</v>
      </c>
      <c r="V239" s="46">
        <f t="shared" si="74"/>
        <v>0</v>
      </c>
      <c r="W239" s="46">
        <f t="shared" si="75"/>
        <v>0</v>
      </c>
      <c r="X239" s="46">
        <f t="shared" si="76"/>
        <v>0</v>
      </c>
      <c r="Y239" s="46">
        <f t="shared" si="77"/>
        <v>0</v>
      </c>
      <c r="Z239" s="90">
        <f t="shared" si="81"/>
        <v>0</v>
      </c>
      <c r="AA239" s="95"/>
      <c r="AB239" s="95">
        <f>'LPLPO PROGRAM'!H70</f>
        <v>0</v>
      </c>
      <c r="AC239" s="91"/>
      <c r="AD239" s="91"/>
      <c r="AE239" s="91"/>
      <c r="AF239" s="91"/>
      <c r="AG239" s="92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93">
        <f t="shared" si="78"/>
        <v>0</v>
      </c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  <c r="CK239" s="46"/>
      <c r="CL239" s="46"/>
      <c r="CM239" s="46"/>
      <c r="CN239" s="46"/>
      <c r="CO239" s="46"/>
      <c r="CP239" s="46"/>
      <c r="CQ239" s="46"/>
      <c r="CR239" s="46"/>
      <c r="CS239" s="46"/>
      <c r="CT239" s="93">
        <f t="shared" si="64"/>
        <v>0</v>
      </c>
      <c r="CV239" s="46"/>
      <c r="CW239" s="46"/>
      <c r="CX239" s="46"/>
      <c r="CY239" s="46"/>
      <c r="CZ239" s="46"/>
      <c r="DA239" s="46"/>
      <c r="DB239" s="46"/>
      <c r="DC239" s="46"/>
      <c r="DD239" s="46"/>
      <c r="DE239" s="46"/>
      <c r="DF239" s="46"/>
      <c r="DG239" s="46"/>
      <c r="DH239" s="46"/>
      <c r="DI239" s="46"/>
      <c r="DJ239" s="46"/>
      <c r="DK239" s="46"/>
      <c r="DL239" s="46"/>
      <c r="DM239" s="46"/>
      <c r="DN239" s="46"/>
      <c r="DO239" s="46"/>
      <c r="DP239" s="46"/>
      <c r="DQ239" s="46"/>
      <c r="DR239" s="46"/>
      <c r="DS239" s="46"/>
      <c r="DT239" s="46"/>
      <c r="DU239" s="46"/>
      <c r="DV239" s="46"/>
      <c r="DW239" s="46"/>
      <c r="DX239" s="46"/>
      <c r="DY239" s="46"/>
      <c r="DZ239" s="46"/>
      <c r="EA239" s="93">
        <f t="shared" si="79"/>
        <v>0</v>
      </c>
      <c r="EC239" s="46"/>
      <c r="ED239" s="46"/>
      <c r="EE239" s="46"/>
      <c r="EF239" s="46"/>
      <c r="EG239" s="46"/>
      <c r="EH239" s="46"/>
      <c r="EI239" s="46"/>
      <c r="EJ239" s="46"/>
      <c r="EK239" s="46"/>
      <c r="EL239" s="46"/>
      <c r="EM239" s="46"/>
      <c r="EN239" s="46"/>
      <c r="EO239" s="46"/>
      <c r="EP239" s="46"/>
      <c r="EQ239" s="46"/>
      <c r="ER239" s="46"/>
      <c r="ES239" s="46"/>
      <c r="ET239" s="46"/>
      <c r="EU239" s="46"/>
      <c r="EV239" s="46"/>
      <c r="EW239" s="46"/>
      <c r="EX239" s="46"/>
      <c r="EY239" s="46"/>
      <c r="EZ239" s="46"/>
      <c r="FA239" s="46"/>
      <c r="FB239" s="46"/>
      <c r="FC239" s="46"/>
      <c r="FD239" s="46"/>
      <c r="FE239" s="46"/>
      <c r="FF239" s="46"/>
      <c r="FG239" s="46"/>
      <c r="FH239" s="93">
        <f t="shared" si="80"/>
        <v>0</v>
      </c>
      <c r="FJ239" s="46"/>
      <c r="FK239" s="46"/>
      <c r="FL239" s="46"/>
      <c r="FM239" s="46"/>
      <c r="FN239" s="46"/>
      <c r="FO239" s="46"/>
      <c r="FP239" s="46"/>
      <c r="FQ239" s="46"/>
      <c r="FR239" s="46"/>
      <c r="FS239" s="46"/>
      <c r="FT239" s="46"/>
      <c r="FU239" s="46"/>
      <c r="FV239" s="46"/>
      <c r="FW239" s="46"/>
      <c r="FX239" s="46"/>
      <c r="FY239" s="46"/>
      <c r="FZ239" s="46"/>
      <c r="GA239" s="46"/>
      <c r="GB239" s="46"/>
      <c r="GC239" s="46"/>
      <c r="GD239" s="46"/>
      <c r="GE239" s="46"/>
      <c r="GF239" s="46"/>
      <c r="GG239" s="46"/>
      <c r="GH239" s="46"/>
      <c r="GI239" s="46"/>
      <c r="GJ239" s="46"/>
      <c r="GK239" s="46"/>
      <c r="GL239" s="46"/>
      <c r="GM239" s="46"/>
      <c r="GN239" s="46"/>
      <c r="GO239" s="93">
        <f t="shared" si="65"/>
        <v>0</v>
      </c>
      <c r="GQ239" s="46"/>
      <c r="GR239" s="46"/>
      <c r="GS239" s="46"/>
      <c r="GT239" s="46"/>
      <c r="GU239" s="46"/>
      <c r="GV239" s="46"/>
      <c r="GW239" s="46"/>
      <c r="GX239" s="46"/>
      <c r="GY239" s="46"/>
      <c r="GZ239" s="46"/>
      <c r="HA239" s="46"/>
      <c r="HB239" s="46"/>
      <c r="HC239" s="46"/>
      <c r="HD239" s="46"/>
      <c r="HE239" s="46"/>
      <c r="HF239" s="46"/>
      <c r="HG239" s="46"/>
      <c r="HH239" s="46"/>
      <c r="HI239" s="46"/>
      <c r="HJ239" s="46"/>
      <c r="HK239" s="46"/>
      <c r="HL239" s="46"/>
      <c r="HM239" s="46"/>
      <c r="HN239" s="46"/>
      <c r="HO239" s="46"/>
      <c r="HP239" s="46"/>
      <c r="HQ239" s="46"/>
      <c r="HR239" s="46"/>
      <c r="HS239" s="46"/>
      <c r="HT239" s="46"/>
      <c r="HU239" s="46"/>
      <c r="HV239" s="93">
        <f t="shared" si="66"/>
        <v>0</v>
      </c>
      <c r="HX239" s="46"/>
      <c r="HY239" s="46"/>
      <c r="HZ239" s="46"/>
      <c r="IA239" s="46"/>
      <c r="IB239" s="46"/>
      <c r="IC239" s="46"/>
      <c r="ID239" s="46"/>
      <c r="IE239" s="46"/>
      <c r="IF239" s="46"/>
      <c r="IG239" s="46"/>
      <c r="IH239" s="46"/>
      <c r="II239" s="46"/>
      <c r="IJ239" s="46"/>
      <c r="IK239" s="46"/>
      <c r="IL239" s="46"/>
      <c r="IM239" s="46"/>
      <c r="IN239" s="46"/>
      <c r="IO239" s="46"/>
      <c r="IP239" s="46"/>
      <c r="IQ239" s="46"/>
      <c r="IR239" s="46"/>
      <c r="IS239" s="46"/>
      <c r="IT239" s="46"/>
      <c r="IU239" s="46"/>
      <c r="IV239" s="46"/>
      <c r="IW239" s="46"/>
      <c r="IX239" s="46"/>
      <c r="IY239" s="46"/>
      <c r="IZ239" s="46"/>
      <c r="JA239" s="46"/>
      <c r="JB239" s="46"/>
      <c r="JC239" s="93">
        <f t="shared" si="67"/>
        <v>0</v>
      </c>
      <c r="JE239" s="46"/>
      <c r="JF239" s="46"/>
      <c r="JG239" s="46"/>
      <c r="JH239" s="46"/>
      <c r="JI239" s="46"/>
      <c r="JJ239" s="46"/>
      <c r="JK239" s="46"/>
      <c r="JL239" s="46"/>
      <c r="JM239" s="46"/>
      <c r="JN239" s="46"/>
      <c r="JO239" s="46"/>
      <c r="JP239" s="46"/>
      <c r="JQ239" s="46"/>
      <c r="JR239" s="46"/>
      <c r="JS239" s="46"/>
      <c r="JT239" s="46"/>
      <c r="JU239" s="46"/>
      <c r="JV239" s="46"/>
      <c r="JW239" s="46"/>
      <c r="JX239" s="46"/>
      <c r="JY239" s="46"/>
      <c r="JZ239" s="46"/>
      <c r="KA239" s="46"/>
      <c r="KB239" s="46"/>
      <c r="KC239" s="46"/>
      <c r="KD239" s="46"/>
      <c r="KE239" s="46"/>
      <c r="KF239" s="46"/>
      <c r="KG239" s="46"/>
      <c r="KH239" s="46"/>
      <c r="KI239" s="46"/>
      <c r="KJ239" s="93">
        <f t="shared" si="68"/>
        <v>0</v>
      </c>
    </row>
    <row r="240" spans="1:296" ht="20.149999999999999" customHeight="1" x14ac:dyDescent="0.5">
      <c r="A240" s="11">
        <v>58</v>
      </c>
      <c r="B240" s="184"/>
      <c r="C240" s="144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>
        <f t="shared" si="70"/>
        <v>0</v>
      </c>
      <c r="S240" s="46">
        <f t="shared" si="71"/>
        <v>0</v>
      </c>
      <c r="T240" s="46">
        <f t="shared" si="72"/>
        <v>0</v>
      </c>
      <c r="U240" s="46">
        <f t="shared" si="73"/>
        <v>0</v>
      </c>
      <c r="V240" s="46">
        <f t="shared" si="74"/>
        <v>0</v>
      </c>
      <c r="W240" s="46">
        <f t="shared" si="75"/>
        <v>0</v>
      </c>
      <c r="X240" s="46">
        <f t="shared" si="76"/>
        <v>0</v>
      </c>
      <c r="Y240" s="46">
        <f t="shared" si="77"/>
        <v>0</v>
      </c>
      <c r="Z240" s="90">
        <f t="shared" si="81"/>
        <v>0</v>
      </c>
      <c r="AA240" s="95"/>
      <c r="AB240" s="95">
        <f>'LPLPO PROGRAM'!H71</f>
        <v>0</v>
      </c>
      <c r="AC240" s="91"/>
      <c r="AD240" s="91"/>
      <c r="AE240" s="91"/>
      <c r="AF240" s="91"/>
      <c r="AG240" s="92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93">
        <f t="shared" si="78"/>
        <v>0</v>
      </c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  <c r="CK240" s="46"/>
      <c r="CL240" s="46"/>
      <c r="CM240" s="46"/>
      <c r="CN240" s="46"/>
      <c r="CO240" s="46"/>
      <c r="CP240" s="46"/>
      <c r="CQ240" s="46"/>
      <c r="CR240" s="46"/>
      <c r="CS240" s="46"/>
      <c r="CT240" s="93">
        <f t="shared" si="64"/>
        <v>0</v>
      </c>
      <c r="CV240" s="46"/>
      <c r="CW240" s="46"/>
      <c r="CX240" s="46"/>
      <c r="CY240" s="46"/>
      <c r="CZ240" s="46"/>
      <c r="DA240" s="46"/>
      <c r="DB240" s="46"/>
      <c r="DC240" s="46"/>
      <c r="DD240" s="46"/>
      <c r="DE240" s="46"/>
      <c r="DF240" s="46"/>
      <c r="DG240" s="46"/>
      <c r="DH240" s="46"/>
      <c r="DI240" s="46"/>
      <c r="DJ240" s="46"/>
      <c r="DK240" s="46"/>
      <c r="DL240" s="46"/>
      <c r="DM240" s="46"/>
      <c r="DN240" s="46"/>
      <c r="DO240" s="46"/>
      <c r="DP240" s="46"/>
      <c r="DQ240" s="46"/>
      <c r="DR240" s="46"/>
      <c r="DS240" s="46"/>
      <c r="DT240" s="46"/>
      <c r="DU240" s="46"/>
      <c r="DV240" s="46"/>
      <c r="DW240" s="46"/>
      <c r="DX240" s="46"/>
      <c r="DY240" s="46"/>
      <c r="DZ240" s="46"/>
      <c r="EA240" s="93">
        <f t="shared" si="79"/>
        <v>0</v>
      </c>
      <c r="EC240" s="46"/>
      <c r="ED240" s="46"/>
      <c r="EE240" s="46"/>
      <c r="EF240" s="46"/>
      <c r="EG240" s="46"/>
      <c r="EH240" s="46"/>
      <c r="EI240" s="46"/>
      <c r="EJ240" s="46"/>
      <c r="EK240" s="46"/>
      <c r="EL240" s="46"/>
      <c r="EM240" s="46"/>
      <c r="EN240" s="46"/>
      <c r="EO240" s="46"/>
      <c r="EP240" s="46"/>
      <c r="EQ240" s="46"/>
      <c r="ER240" s="46"/>
      <c r="ES240" s="46"/>
      <c r="ET240" s="46"/>
      <c r="EU240" s="46"/>
      <c r="EV240" s="46"/>
      <c r="EW240" s="46"/>
      <c r="EX240" s="46"/>
      <c r="EY240" s="46"/>
      <c r="EZ240" s="46"/>
      <c r="FA240" s="46"/>
      <c r="FB240" s="46"/>
      <c r="FC240" s="46"/>
      <c r="FD240" s="46"/>
      <c r="FE240" s="46"/>
      <c r="FF240" s="46"/>
      <c r="FG240" s="46"/>
      <c r="FH240" s="93">
        <f t="shared" si="80"/>
        <v>0</v>
      </c>
      <c r="FJ240" s="46"/>
      <c r="FK240" s="46"/>
      <c r="FL240" s="46"/>
      <c r="FM240" s="46"/>
      <c r="FN240" s="46"/>
      <c r="FO240" s="46"/>
      <c r="FP240" s="46"/>
      <c r="FQ240" s="46"/>
      <c r="FR240" s="46"/>
      <c r="FS240" s="46"/>
      <c r="FT240" s="46"/>
      <c r="FU240" s="46"/>
      <c r="FV240" s="46"/>
      <c r="FW240" s="46"/>
      <c r="FX240" s="46"/>
      <c r="FY240" s="46"/>
      <c r="FZ240" s="46"/>
      <c r="GA240" s="46"/>
      <c r="GB240" s="46"/>
      <c r="GC240" s="46"/>
      <c r="GD240" s="46"/>
      <c r="GE240" s="46"/>
      <c r="GF240" s="46"/>
      <c r="GG240" s="46"/>
      <c r="GH240" s="46"/>
      <c r="GI240" s="46"/>
      <c r="GJ240" s="46"/>
      <c r="GK240" s="46"/>
      <c r="GL240" s="46"/>
      <c r="GM240" s="46"/>
      <c r="GN240" s="46"/>
      <c r="GO240" s="93">
        <f t="shared" si="65"/>
        <v>0</v>
      </c>
      <c r="GQ240" s="46"/>
      <c r="GR240" s="46"/>
      <c r="GS240" s="46"/>
      <c r="GT240" s="46"/>
      <c r="GU240" s="46"/>
      <c r="GV240" s="46"/>
      <c r="GW240" s="46"/>
      <c r="GX240" s="46"/>
      <c r="GY240" s="46"/>
      <c r="GZ240" s="46"/>
      <c r="HA240" s="46"/>
      <c r="HB240" s="46"/>
      <c r="HC240" s="46"/>
      <c r="HD240" s="46"/>
      <c r="HE240" s="46"/>
      <c r="HF240" s="46"/>
      <c r="HG240" s="46"/>
      <c r="HH240" s="46"/>
      <c r="HI240" s="46"/>
      <c r="HJ240" s="46"/>
      <c r="HK240" s="46"/>
      <c r="HL240" s="46"/>
      <c r="HM240" s="46"/>
      <c r="HN240" s="46"/>
      <c r="HO240" s="46"/>
      <c r="HP240" s="46"/>
      <c r="HQ240" s="46"/>
      <c r="HR240" s="46"/>
      <c r="HS240" s="46"/>
      <c r="HT240" s="46"/>
      <c r="HU240" s="46"/>
      <c r="HV240" s="93">
        <f t="shared" si="66"/>
        <v>0</v>
      </c>
      <c r="HX240" s="46"/>
      <c r="HY240" s="46"/>
      <c r="HZ240" s="46"/>
      <c r="IA240" s="46"/>
      <c r="IB240" s="46"/>
      <c r="IC240" s="46"/>
      <c r="ID240" s="46"/>
      <c r="IE240" s="46"/>
      <c r="IF240" s="46"/>
      <c r="IG240" s="46"/>
      <c r="IH240" s="46"/>
      <c r="II240" s="46"/>
      <c r="IJ240" s="46"/>
      <c r="IK240" s="46"/>
      <c r="IL240" s="46"/>
      <c r="IM240" s="46"/>
      <c r="IN240" s="46"/>
      <c r="IO240" s="46"/>
      <c r="IP240" s="46"/>
      <c r="IQ240" s="46"/>
      <c r="IR240" s="46"/>
      <c r="IS240" s="46"/>
      <c r="IT240" s="46"/>
      <c r="IU240" s="46"/>
      <c r="IV240" s="46"/>
      <c r="IW240" s="46"/>
      <c r="IX240" s="46"/>
      <c r="IY240" s="46"/>
      <c r="IZ240" s="46"/>
      <c r="JA240" s="46"/>
      <c r="JB240" s="46"/>
      <c r="JC240" s="93">
        <f t="shared" si="67"/>
        <v>0</v>
      </c>
      <c r="JE240" s="46"/>
      <c r="JF240" s="46"/>
      <c r="JG240" s="46"/>
      <c r="JH240" s="46"/>
      <c r="JI240" s="46"/>
      <c r="JJ240" s="46"/>
      <c r="JK240" s="46"/>
      <c r="JL240" s="46"/>
      <c r="JM240" s="46"/>
      <c r="JN240" s="46"/>
      <c r="JO240" s="46"/>
      <c r="JP240" s="46"/>
      <c r="JQ240" s="46"/>
      <c r="JR240" s="46"/>
      <c r="JS240" s="46"/>
      <c r="JT240" s="46"/>
      <c r="JU240" s="46"/>
      <c r="JV240" s="46"/>
      <c r="JW240" s="46"/>
      <c r="JX240" s="46"/>
      <c r="JY240" s="46"/>
      <c r="JZ240" s="46"/>
      <c r="KA240" s="46"/>
      <c r="KB240" s="46"/>
      <c r="KC240" s="46"/>
      <c r="KD240" s="46"/>
      <c r="KE240" s="46"/>
      <c r="KF240" s="46"/>
      <c r="KG240" s="46"/>
      <c r="KH240" s="46"/>
      <c r="KI240" s="46"/>
      <c r="KJ240" s="93">
        <f t="shared" si="68"/>
        <v>0</v>
      </c>
    </row>
    <row r="241" spans="1:296" ht="20.149999999999999" customHeight="1" x14ac:dyDescent="0.5">
      <c r="A241" s="187">
        <v>59</v>
      </c>
      <c r="B241" s="189" t="s">
        <v>199</v>
      </c>
      <c r="C241" s="1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>
        <f t="shared" si="70"/>
        <v>0</v>
      </c>
      <c r="S241" s="46">
        <f t="shared" si="71"/>
        <v>0</v>
      </c>
      <c r="T241" s="46">
        <f t="shared" si="72"/>
        <v>0</v>
      </c>
      <c r="U241" s="46">
        <f t="shared" si="73"/>
        <v>0</v>
      </c>
      <c r="V241" s="46">
        <f t="shared" si="74"/>
        <v>0</v>
      </c>
      <c r="W241" s="46">
        <f t="shared" si="75"/>
        <v>0</v>
      </c>
      <c r="X241" s="46">
        <f t="shared" si="76"/>
        <v>0</v>
      </c>
      <c r="Y241" s="46">
        <f t="shared" si="77"/>
        <v>0</v>
      </c>
      <c r="Z241" s="90">
        <f t="shared" si="81"/>
        <v>0</v>
      </c>
      <c r="AA241" s="95"/>
      <c r="AB241" s="95">
        <f>'LPLPO PROGRAM'!H72</f>
        <v>0</v>
      </c>
      <c r="AC241" s="91"/>
      <c r="AD241" s="91"/>
      <c r="AE241" s="91"/>
      <c r="AF241" s="91"/>
      <c r="AG241" s="92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93">
        <f t="shared" si="78"/>
        <v>0</v>
      </c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  <c r="CK241" s="46"/>
      <c r="CL241" s="46"/>
      <c r="CM241" s="46"/>
      <c r="CN241" s="46"/>
      <c r="CO241" s="46"/>
      <c r="CP241" s="46"/>
      <c r="CQ241" s="46"/>
      <c r="CR241" s="46"/>
      <c r="CS241" s="46"/>
      <c r="CT241" s="93">
        <f t="shared" si="64"/>
        <v>0</v>
      </c>
      <c r="CV241" s="46"/>
      <c r="CW241" s="46"/>
      <c r="CX241" s="46"/>
      <c r="CY241" s="46"/>
      <c r="CZ241" s="46"/>
      <c r="DA241" s="46"/>
      <c r="DB241" s="46"/>
      <c r="DC241" s="46"/>
      <c r="DD241" s="46"/>
      <c r="DE241" s="46"/>
      <c r="DF241" s="46"/>
      <c r="DG241" s="46"/>
      <c r="DH241" s="46"/>
      <c r="DI241" s="46"/>
      <c r="DJ241" s="46"/>
      <c r="DK241" s="46"/>
      <c r="DL241" s="46"/>
      <c r="DM241" s="46"/>
      <c r="DN241" s="46"/>
      <c r="DO241" s="46"/>
      <c r="DP241" s="46"/>
      <c r="DQ241" s="46"/>
      <c r="DR241" s="46"/>
      <c r="DS241" s="46"/>
      <c r="DT241" s="46"/>
      <c r="DU241" s="46"/>
      <c r="DV241" s="46"/>
      <c r="DW241" s="46"/>
      <c r="DX241" s="46"/>
      <c r="DY241" s="46"/>
      <c r="DZ241" s="46"/>
      <c r="EA241" s="93">
        <f t="shared" si="79"/>
        <v>0</v>
      </c>
      <c r="EC241" s="46"/>
      <c r="ED241" s="46"/>
      <c r="EE241" s="46"/>
      <c r="EF241" s="46"/>
      <c r="EG241" s="46"/>
      <c r="EH241" s="46"/>
      <c r="EI241" s="46"/>
      <c r="EJ241" s="46"/>
      <c r="EK241" s="46"/>
      <c r="EL241" s="46"/>
      <c r="EM241" s="46"/>
      <c r="EN241" s="46"/>
      <c r="EO241" s="46"/>
      <c r="EP241" s="46"/>
      <c r="EQ241" s="46"/>
      <c r="ER241" s="46"/>
      <c r="ES241" s="46"/>
      <c r="ET241" s="46"/>
      <c r="EU241" s="46"/>
      <c r="EV241" s="46"/>
      <c r="EW241" s="46"/>
      <c r="EX241" s="46"/>
      <c r="EY241" s="46"/>
      <c r="EZ241" s="46"/>
      <c r="FA241" s="46"/>
      <c r="FB241" s="46"/>
      <c r="FC241" s="46"/>
      <c r="FD241" s="46"/>
      <c r="FE241" s="46"/>
      <c r="FF241" s="46"/>
      <c r="FG241" s="46"/>
      <c r="FH241" s="93">
        <f t="shared" si="80"/>
        <v>0</v>
      </c>
      <c r="FJ241" s="46"/>
      <c r="FK241" s="46"/>
      <c r="FL241" s="46"/>
      <c r="FM241" s="46"/>
      <c r="FN241" s="46"/>
      <c r="FO241" s="46"/>
      <c r="FP241" s="46"/>
      <c r="FQ241" s="46"/>
      <c r="FR241" s="46"/>
      <c r="FS241" s="46"/>
      <c r="FT241" s="46"/>
      <c r="FU241" s="46"/>
      <c r="FV241" s="46"/>
      <c r="FW241" s="46"/>
      <c r="FX241" s="46"/>
      <c r="FY241" s="46"/>
      <c r="FZ241" s="46"/>
      <c r="GA241" s="46"/>
      <c r="GB241" s="46"/>
      <c r="GC241" s="46"/>
      <c r="GD241" s="46"/>
      <c r="GE241" s="46"/>
      <c r="GF241" s="46"/>
      <c r="GG241" s="46"/>
      <c r="GH241" s="46"/>
      <c r="GI241" s="46"/>
      <c r="GJ241" s="46"/>
      <c r="GK241" s="46"/>
      <c r="GL241" s="46"/>
      <c r="GM241" s="46"/>
      <c r="GN241" s="46"/>
      <c r="GO241" s="93">
        <f t="shared" si="65"/>
        <v>0</v>
      </c>
      <c r="GQ241" s="46"/>
      <c r="GR241" s="46"/>
      <c r="GS241" s="46"/>
      <c r="GT241" s="46"/>
      <c r="GU241" s="46"/>
      <c r="GV241" s="46"/>
      <c r="GW241" s="46"/>
      <c r="GX241" s="46"/>
      <c r="GY241" s="46"/>
      <c r="GZ241" s="46"/>
      <c r="HA241" s="46"/>
      <c r="HB241" s="46"/>
      <c r="HC241" s="46"/>
      <c r="HD241" s="46"/>
      <c r="HE241" s="46"/>
      <c r="HF241" s="46"/>
      <c r="HG241" s="46"/>
      <c r="HH241" s="46"/>
      <c r="HI241" s="46"/>
      <c r="HJ241" s="46"/>
      <c r="HK241" s="46"/>
      <c r="HL241" s="46"/>
      <c r="HM241" s="46"/>
      <c r="HN241" s="46"/>
      <c r="HO241" s="46"/>
      <c r="HP241" s="46"/>
      <c r="HQ241" s="46"/>
      <c r="HR241" s="46"/>
      <c r="HS241" s="46"/>
      <c r="HT241" s="46"/>
      <c r="HU241" s="46"/>
      <c r="HV241" s="93">
        <f t="shared" si="66"/>
        <v>0</v>
      </c>
      <c r="HX241" s="46"/>
      <c r="HY241" s="46"/>
      <c r="HZ241" s="46"/>
      <c r="IA241" s="46"/>
      <c r="IB241" s="46"/>
      <c r="IC241" s="46"/>
      <c r="ID241" s="46"/>
      <c r="IE241" s="46"/>
      <c r="IF241" s="46"/>
      <c r="IG241" s="46"/>
      <c r="IH241" s="46"/>
      <c r="II241" s="46"/>
      <c r="IJ241" s="46"/>
      <c r="IK241" s="46"/>
      <c r="IL241" s="46"/>
      <c r="IM241" s="46"/>
      <c r="IN241" s="46"/>
      <c r="IO241" s="46"/>
      <c r="IP241" s="46"/>
      <c r="IQ241" s="46"/>
      <c r="IR241" s="46"/>
      <c r="IS241" s="46"/>
      <c r="IT241" s="46"/>
      <c r="IU241" s="46"/>
      <c r="IV241" s="46"/>
      <c r="IW241" s="46"/>
      <c r="IX241" s="46"/>
      <c r="IY241" s="46"/>
      <c r="IZ241" s="46"/>
      <c r="JA241" s="46"/>
      <c r="JB241" s="46"/>
      <c r="JC241" s="93">
        <f t="shared" si="67"/>
        <v>0</v>
      </c>
      <c r="JE241" s="46"/>
      <c r="JF241" s="46"/>
      <c r="JG241" s="46"/>
      <c r="JH241" s="46"/>
      <c r="JI241" s="46"/>
      <c r="JJ241" s="46"/>
      <c r="JK241" s="46"/>
      <c r="JL241" s="46"/>
      <c r="JM241" s="46"/>
      <c r="JN241" s="46"/>
      <c r="JO241" s="46"/>
      <c r="JP241" s="46"/>
      <c r="JQ241" s="46"/>
      <c r="JR241" s="46"/>
      <c r="JS241" s="46"/>
      <c r="JT241" s="46"/>
      <c r="JU241" s="46"/>
      <c r="JV241" s="46"/>
      <c r="JW241" s="46"/>
      <c r="JX241" s="46"/>
      <c r="JY241" s="46"/>
      <c r="JZ241" s="46"/>
      <c r="KA241" s="46"/>
      <c r="KB241" s="46"/>
      <c r="KC241" s="46"/>
      <c r="KD241" s="46"/>
      <c r="KE241" s="46"/>
      <c r="KF241" s="46"/>
      <c r="KG241" s="46"/>
      <c r="KH241" s="46"/>
      <c r="KI241" s="46"/>
      <c r="KJ241" s="93">
        <f t="shared" si="68"/>
        <v>0</v>
      </c>
    </row>
    <row r="242" spans="1:296" ht="20.149999999999999" customHeight="1" x14ac:dyDescent="0.5">
      <c r="A242" s="11">
        <v>60</v>
      </c>
      <c r="B242" s="184" t="s">
        <v>367</v>
      </c>
      <c r="C242" s="144" t="s">
        <v>363</v>
      </c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>
        <f t="shared" si="70"/>
        <v>0</v>
      </c>
      <c r="S242" s="46">
        <f t="shared" si="71"/>
        <v>0</v>
      </c>
      <c r="T242" s="46">
        <f t="shared" si="72"/>
        <v>0</v>
      </c>
      <c r="U242" s="46">
        <f t="shared" si="73"/>
        <v>0</v>
      </c>
      <c r="V242" s="46">
        <f t="shared" si="74"/>
        <v>0</v>
      </c>
      <c r="W242" s="46">
        <f t="shared" si="75"/>
        <v>0</v>
      </c>
      <c r="X242" s="46">
        <f t="shared" si="76"/>
        <v>0</v>
      </c>
      <c r="Y242" s="46">
        <f t="shared" si="77"/>
        <v>0</v>
      </c>
      <c r="Z242" s="90">
        <f t="shared" si="81"/>
        <v>0</v>
      </c>
      <c r="AA242" s="95"/>
      <c r="AB242" s="95">
        <f>'LPLPO PROGRAM'!H73</f>
        <v>0</v>
      </c>
      <c r="AC242" s="91"/>
      <c r="AD242" s="91"/>
      <c r="AE242" s="91"/>
      <c r="AF242" s="91"/>
      <c r="AG242" s="92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93">
        <f t="shared" si="78"/>
        <v>0</v>
      </c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  <c r="CK242" s="46"/>
      <c r="CL242" s="46"/>
      <c r="CM242" s="46"/>
      <c r="CN242" s="46"/>
      <c r="CO242" s="46"/>
      <c r="CP242" s="46"/>
      <c r="CQ242" s="46"/>
      <c r="CR242" s="46"/>
      <c r="CS242" s="46"/>
      <c r="CT242" s="93">
        <f t="shared" si="64"/>
        <v>0</v>
      </c>
      <c r="CV242" s="46"/>
      <c r="CW242" s="46"/>
      <c r="CX242" s="46"/>
      <c r="CY242" s="46"/>
      <c r="CZ242" s="46"/>
      <c r="DA242" s="46"/>
      <c r="DB242" s="46"/>
      <c r="DC242" s="46"/>
      <c r="DD242" s="46"/>
      <c r="DE242" s="46"/>
      <c r="DF242" s="46"/>
      <c r="DG242" s="46"/>
      <c r="DH242" s="46"/>
      <c r="DI242" s="46"/>
      <c r="DJ242" s="46"/>
      <c r="DK242" s="46"/>
      <c r="DL242" s="46"/>
      <c r="DM242" s="46"/>
      <c r="DN242" s="46"/>
      <c r="DO242" s="46"/>
      <c r="DP242" s="46"/>
      <c r="DQ242" s="46"/>
      <c r="DR242" s="46"/>
      <c r="DS242" s="46"/>
      <c r="DT242" s="46"/>
      <c r="DU242" s="46"/>
      <c r="DV242" s="46"/>
      <c r="DW242" s="46"/>
      <c r="DX242" s="46"/>
      <c r="DY242" s="46"/>
      <c r="DZ242" s="46"/>
      <c r="EA242" s="93">
        <f t="shared" si="79"/>
        <v>0</v>
      </c>
      <c r="EC242" s="46"/>
      <c r="ED242" s="46"/>
      <c r="EE242" s="46"/>
      <c r="EF242" s="46"/>
      <c r="EG242" s="46"/>
      <c r="EH242" s="46"/>
      <c r="EI242" s="46"/>
      <c r="EJ242" s="46"/>
      <c r="EK242" s="46"/>
      <c r="EL242" s="46"/>
      <c r="EM242" s="46"/>
      <c r="EN242" s="46"/>
      <c r="EO242" s="46"/>
      <c r="EP242" s="46"/>
      <c r="EQ242" s="46"/>
      <c r="ER242" s="46"/>
      <c r="ES242" s="46"/>
      <c r="ET242" s="46"/>
      <c r="EU242" s="46"/>
      <c r="EV242" s="46"/>
      <c r="EW242" s="46"/>
      <c r="EX242" s="46"/>
      <c r="EY242" s="46"/>
      <c r="EZ242" s="46"/>
      <c r="FA242" s="46"/>
      <c r="FB242" s="46"/>
      <c r="FC242" s="46"/>
      <c r="FD242" s="46"/>
      <c r="FE242" s="46"/>
      <c r="FF242" s="46"/>
      <c r="FG242" s="46"/>
      <c r="FH242" s="93">
        <f t="shared" si="80"/>
        <v>0</v>
      </c>
      <c r="FJ242" s="46"/>
      <c r="FK242" s="46"/>
      <c r="FL242" s="46"/>
      <c r="FM242" s="46"/>
      <c r="FN242" s="46"/>
      <c r="FO242" s="46"/>
      <c r="FP242" s="46"/>
      <c r="FQ242" s="46"/>
      <c r="FR242" s="46"/>
      <c r="FS242" s="46"/>
      <c r="FT242" s="46"/>
      <c r="FU242" s="46"/>
      <c r="FV242" s="46"/>
      <c r="FW242" s="46"/>
      <c r="FX242" s="46"/>
      <c r="FY242" s="46"/>
      <c r="FZ242" s="46"/>
      <c r="GA242" s="46"/>
      <c r="GB242" s="46"/>
      <c r="GC242" s="46"/>
      <c r="GD242" s="46"/>
      <c r="GE242" s="46"/>
      <c r="GF242" s="46"/>
      <c r="GG242" s="46"/>
      <c r="GH242" s="46"/>
      <c r="GI242" s="46"/>
      <c r="GJ242" s="46"/>
      <c r="GK242" s="46"/>
      <c r="GL242" s="46"/>
      <c r="GM242" s="46"/>
      <c r="GN242" s="46"/>
      <c r="GO242" s="93">
        <f t="shared" si="65"/>
        <v>0</v>
      </c>
      <c r="GQ242" s="46"/>
      <c r="GR242" s="46"/>
      <c r="GS242" s="46"/>
      <c r="GT242" s="46"/>
      <c r="GU242" s="46"/>
      <c r="GV242" s="46"/>
      <c r="GW242" s="46"/>
      <c r="GX242" s="46"/>
      <c r="GY242" s="46"/>
      <c r="GZ242" s="46"/>
      <c r="HA242" s="46"/>
      <c r="HB242" s="46"/>
      <c r="HC242" s="46"/>
      <c r="HD242" s="46"/>
      <c r="HE242" s="46"/>
      <c r="HF242" s="46"/>
      <c r="HG242" s="46"/>
      <c r="HH242" s="46"/>
      <c r="HI242" s="46"/>
      <c r="HJ242" s="46"/>
      <c r="HK242" s="46"/>
      <c r="HL242" s="46"/>
      <c r="HM242" s="46"/>
      <c r="HN242" s="46"/>
      <c r="HO242" s="46"/>
      <c r="HP242" s="46"/>
      <c r="HQ242" s="46"/>
      <c r="HR242" s="46"/>
      <c r="HS242" s="46"/>
      <c r="HT242" s="46"/>
      <c r="HU242" s="46"/>
      <c r="HV242" s="93">
        <f t="shared" si="66"/>
        <v>0</v>
      </c>
      <c r="HX242" s="46"/>
      <c r="HY242" s="46"/>
      <c r="HZ242" s="46"/>
      <c r="IA242" s="46"/>
      <c r="IB242" s="46"/>
      <c r="IC242" s="46"/>
      <c r="ID242" s="46"/>
      <c r="IE242" s="46"/>
      <c r="IF242" s="46"/>
      <c r="IG242" s="46"/>
      <c r="IH242" s="46"/>
      <c r="II242" s="46"/>
      <c r="IJ242" s="46"/>
      <c r="IK242" s="46"/>
      <c r="IL242" s="46"/>
      <c r="IM242" s="46"/>
      <c r="IN242" s="46"/>
      <c r="IO242" s="46"/>
      <c r="IP242" s="46"/>
      <c r="IQ242" s="46"/>
      <c r="IR242" s="46"/>
      <c r="IS242" s="46"/>
      <c r="IT242" s="46"/>
      <c r="IU242" s="46"/>
      <c r="IV242" s="46"/>
      <c r="IW242" s="46"/>
      <c r="IX242" s="46"/>
      <c r="IY242" s="46"/>
      <c r="IZ242" s="46"/>
      <c r="JA242" s="46"/>
      <c r="JB242" s="46"/>
      <c r="JC242" s="93">
        <f t="shared" si="67"/>
        <v>0</v>
      </c>
      <c r="JE242" s="46"/>
      <c r="JF242" s="46"/>
      <c r="JG242" s="46"/>
      <c r="JH242" s="46"/>
      <c r="JI242" s="46"/>
      <c r="JJ242" s="46"/>
      <c r="JK242" s="46"/>
      <c r="JL242" s="46"/>
      <c r="JM242" s="46"/>
      <c r="JN242" s="46"/>
      <c r="JO242" s="46"/>
      <c r="JP242" s="46"/>
      <c r="JQ242" s="46"/>
      <c r="JR242" s="46"/>
      <c r="JS242" s="46"/>
      <c r="JT242" s="46"/>
      <c r="JU242" s="46"/>
      <c r="JV242" s="46"/>
      <c r="JW242" s="46"/>
      <c r="JX242" s="46"/>
      <c r="JY242" s="46"/>
      <c r="JZ242" s="46"/>
      <c r="KA242" s="46"/>
      <c r="KB242" s="46"/>
      <c r="KC242" s="46"/>
      <c r="KD242" s="46"/>
      <c r="KE242" s="46"/>
      <c r="KF242" s="46"/>
      <c r="KG242" s="46"/>
      <c r="KH242" s="46"/>
      <c r="KI242" s="46"/>
      <c r="KJ242" s="93">
        <f t="shared" si="68"/>
        <v>0</v>
      </c>
    </row>
    <row r="243" spans="1:296" ht="20.149999999999999" customHeight="1" x14ac:dyDescent="0.5">
      <c r="A243" s="11">
        <v>61</v>
      </c>
      <c r="B243" s="184" t="s">
        <v>302</v>
      </c>
      <c r="C243" s="144" t="s">
        <v>294</v>
      </c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>
        <f t="shared" si="70"/>
        <v>0</v>
      </c>
      <c r="S243" s="46">
        <f t="shared" si="71"/>
        <v>0</v>
      </c>
      <c r="T243" s="46">
        <f t="shared" si="72"/>
        <v>0</v>
      </c>
      <c r="U243" s="46">
        <f t="shared" si="73"/>
        <v>0</v>
      </c>
      <c r="V243" s="46">
        <f t="shared" si="74"/>
        <v>0</v>
      </c>
      <c r="W243" s="46">
        <f t="shared" si="75"/>
        <v>0</v>
      </c>
      <c r="X243" s="46">
        <f t="shared" si="76"/>
        <v>0</v>
      </c>
      <c r="Y243" s="46">
        <f t="shared" si="77"/>
        <v>0</v>
      </c>
      <c r="Z243" s="90">
        <f t="shared" ref="Z243:Z265" si="82">SUM(D243:Y243)</f>
        <v>0</v>
      </c>
      <c r="AA243" s="95"/>
      <c r="AB243" s="95">
        <f>'LPLPO PROGRAM'!H74</f>
        <v>0</v>
      </c>
      <c r="AC243" s="91"/>
      <c r="AD243" s="91"/>
      <c r="AE243" s="91"/>
      <c r="AF243" s="91"/>
      <c r="AG243" s="92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93">
        <f t="shared" si="78"/>
        <v>0</v>
      </c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  <c r="CK243" s="46"/>
      <c r="CL243" s="46"/>
      <c r="CM243" s="46"/>
      <c r="CN243" s="46"/>
      <c r="CO243" s="46"/>
      <c r="CP243" s="46"/>
      <c r="CQ243" s="46"/>
      <c r="CR243" s="46"/>
      <c r="CS243" s="46"/>
      <c r="CT243" s="93">
        <f t="shared" si="64"/>
        <v>0</v>
      </c>
      <c r="CV243" s="46"/>
      <c r="CW243" s="46"/>
      <c r="CX243" s="46"/>
      <c r="CY243" s="46"/>
      <c r="CZ243" s="46"/>
      <c r="DA243" s="46"/>
      <c r="DB243" s="46"/>
      <c r="DC243" s="46"/>
      <c r="DD243" s="46"/>
      <c r="DE243" s="46"/>
      <c r="DF243" s="46"/>
      <c r="DG243" s="46"/>
      <c r="DH243" s="46"/>
      <c r="DI243" s="46"/>
      <c r="DJ243" s="46"/>
      <c r="DK243" s="46"/>
      <c r="DL243" s="46"/>
      <c r="DM243" s="46"/>
      <c r="DN243" s="46"/>
      <c r="DO243" s="46"/>
      <c r="DP243" s="46"/>
      <c r="DQ243" s="46"/>
      <c r="DR243" s="46"/>
      <c r="DS243" s="46"/>
      <c r="DT243" s="46"/>
      <c r="DU243" s="46"/>
      <c r="DV243" s="46"/>
      <c r="DW243" s="46"/>
      <c r="DX243" s="46"/>
      <c r="DY243" s="46"/>
      <c r="DZ243" s="46"/>
      <c r="EA243" s="93">
        <f t="shared" si="79"/>
        <v>0</v>
      </c>
      <c r="EC243" s="46"/>
      <c r="ED243" s="46"/>
      <c r="EE243" s="46"/>
      <c r="EF243" s="46"/>
      <c r="EG243" s="46"/>
      <c r="EH243" s="46"/>
      <c r="EI243" s="46"/>
      <c r="EJ243" s="46"/>
      <c r="EK243" s="46"/>
      <c r="EL243" s="46"/>
      <c r="EM243" s="46"/>
      <c r="EN243" s="46"/>
      <c r="EO243" s="46"/>
      <c r="EP243" s="46"/>
      <c r="EQ243" s="46"/>
      <c r="ER243" s="46"/>
      <c r="ES243" s="46"/>
      <c r="ET243" s="46"/>
      <c r="EU243" s="46"/>
      <c r="EV243" s="46"/>
      <c r="EW243" s="46"/>
      <c r="EX243" s="46"/>
      <c r="EY243" s="46"/>
      <c r="EZ243" s="46"/>
      <c r="FA243" s="46"/>
      <c r="FB243" s="46"/>
      <c r="FC243" s="46"/>
      <c r="FD243" s="46"/>
      <c r="FE243" s="46"/>
      <c r="FF243" s="46"/>
      <c r="FG243" s="46"/>
      <c r="FH243" s="93">
        <f t="shared" si="80"/>
        <v>0</v>
      </c>
      <c r="FJ243" s="46"/>
      <c r="FK243" s="46"/>
      <c r="FL243" s="46"/>
      <c r="FM243" s="46"/>
      <c r="FN243" s="46"/>
      <c r="FO243" s="46"/>
      <c r="FP243" s="46"/>
      <c r="FQ243" s="46"/>
      <c r="FR243" s="46"/>
      <c r="FS243" s="46"/>
      <c r="FT243" s="46"/>
      <c r="FU243" s="46"/>
      <c r="FV243" s="46"/>
      <c r="FW243" s="46"/>
      <c r="FX243" s="46"/>
      <c r="FY243" s="46"/>
      <c r="FZ243" s="46"/>
      <c r="GA243" s="46"/>
      <c r="GB243" s="46"/>
      <c r="GC243" s="46"/>
      <c r="GD243" s="46"/>
      <c r="GE243" s="46"/>
      <c r="GF243" s="46"/>
      <c r="GG243" s="46"/>
      <c r="GH243" s="46"/>
      <c r="GI243" s="46"/>
      <c r="GJ243" s="46"/>
      <c r="GK243" s="46"/>
      <c r="GL243" s="46"/>
      <c r="GM243" s="46"/>
      <c r="GN243" s="46"/>
      <c r="GO243" s="93">
        <f t="shared" si="65"/>
        <v>0</v>
      </c>
      <c r="GQ243" s="46"/>
      <c r="GR243" s="46"/>
      <c r="GS243" s="46"/>
      <c r="GT243" s="46"/>
      <c r="GU243" s="46"/>
      <c r="GV243" s="46"/>
      <c r="GW243" s="46"/>
      <c r="GX243" s="46"/>
      <c r="GY243" s="46"/>
      <c r="GZ243" s="46"/>
      <c r="HA243" s="46"/>
      <c r="HB243" s="46"/>
      <c r="HC243" s="46"/>
      <c r="HD243" s="46"/>
      <c r="HE243" s="46"/>
      <c r="HF243" s="46"/>
      <c r="HG243" s="46"/>
      <c r="HH243" s="46"/>
      <c r="HI243" s="46"/>
      <c r="HJ243" s="46"/>
      <c r="HK243" s="46"/>
      <c r="HL243" s="46"/>
      <c r="HM243" s="46"/>
      <c r="HN243" s="46"/>
      <c r="HO243" s="46"/>
      <c r="HP243" s="46"/>
      <c r="HQ243" s="46"/>
      <c r="HR243" s="46"/>
      <c r="HS243" s="46"/>
      <c r="HT243" s="46"/>
      <c r="HU243" s="46"/>
      <c r="HV243" s="93">
        <f t="shared" si="66"/>
        <v>0</v>
      </c>
      <c r="HX243" s="46"/>
      <c r="HY243" s="46"/>
      <c r="HZ243" s="46"/>
      <c r="IA243" s="46"/>
      <c r="IB243" s="46"/>
      <c r="IC243" s="46"/>
      <c r="ID243" s="46"/>
      <c r="IE243" s="46"/>
      <c r="IF243" s="46"/>
      <c r="IG243" s="46"/>
      <c r="IH243" s="46"/>
      <c r="II243" s="46"/>
      <c r="IJ243" s="46"/>
      <c r="IK243" s="46"/>
      <c r="IL243" s="46"/>
      <c r="IM243" s="46"/>
      <c r="IN243" s="46"/>
      <c r="IO243" s="46"/>
      <c r="IP243" s="46"/>
      <c r="IQ243" s="46"/>
      <c r="IR243" s="46"/>
      <c r="IS243" s="46"/>
      <c r="IT243" s="46"/>
      <c r="IU243" s="46"/>
      <c r="IV243" s="46"/>
      <c r="IW243" s="46"/>
      <c r="IX243" s="46"/>
      <c r="IY243" s="46"/>
      <c r="IZ243" s="46"/>
      <c r="JA243" s="46"/>
      <c r="JB243" s="46"/>
      <c r="JC243" s="93">
        <f t="shared" si="67"/>
        <v>0</v>
      </c>
      <c r="JE243" s="46"/>
      <c r="JF243" s="46"/>
      <c r="JG243" s="46"/>
      <c r="JH243" s="46"/>
      <c r="JI243" s="46"/>
      <c r="JJ243" s="46"/>
      <c r="JK243" s="46"/>
      <c r="JL243" s="46"/>
      <c r="JM243" s="46"/>
      <c r="JN243" s="46"/>
      <c r="JO243" s="46"/>
      <c r="JP243" s="46"/>
      <c r="JQ243" s="46"/>
      <c r="JR243" s="46"/>
      <c r="JS243" s="46"/>
      <c r="JT243" s="46"/>
      <c r="JU243" s="46"/>
      <c r="JV243" s="46"/>
      <c r="JW243" s="46"/>
      <c r="JX243" s="46"/>
      <c r="JY243" s="46"/>
      <c r="JZ243" s="46"/>
      <c r="KA243" s="46"/>
      <c r="KB243" s="46"/>
      <c r="KC243" s="46"/>
      <c r="KD243" s="46"/>
      <c r="KE243" s="46"/>
      <c r="KF243" s="46"/>
      <c r="KG243" s="46"/>
      <c r="KH243" s="46"/>
      <c r="KI243" s="46"/>
      <c r="KJ243" s="93">
        <f t="shared" si="68"/>
        <v>0</v>
      </c>
    </row>
    <row r="244" spans="1:296" ht="20.149999999999999" customHeight="1" x14ac:dyDescent="0.5">
      <c r="A244" s="11">
        <v>62</v>
      </c>
      <c r="B244" s="184" t="s">
        <v>364</v>
      </c>
      <c r="C244" s="144" t="s">
        <v>6</v>
      </c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>
        <f t="shared" si="70"/>
        <v>0</v>
      </c>
      <c r="S244" s="46">
        <f t="shared" si="71"/>
        <v>0</v>
      </c>
      <c r="T244" s="46">
        <f t="shared" si="72"/>
        <v>0</v>
      </c>
      <c r="U244" s="46">
        <f t="shared" si="73"/>
        <v>0</v>
      </c>
      <c r="V244" s="46">
        <f t="shared" si="74"/>
        <v>0</v>
      </c>
      <c r="W244" s="46">
        <f t="shared" si="75"/>
        <v>0</v>
      </c>
      <c r="X244" s="46">
        <f t="shared" si="76"/>
        <v>0</v>
      </c>
      <c r="Y244" s="46">
        <f t="shared" si="77"/>
        <v>0</v>
      </c>
      <c r="Z244" s="90">
        <f t="shared" si="82"/>
        <v>0</v>
      </c>
      <c r="AA244" s="95"/>
      <c r="AB244" s="95">
        <f>'LPLPO PROGRAM'!H75</f>
        <v>0</v>
      </c>
      <c r="AC244" s="91"/>
      <c r="AD244" s="91"/>
      <c r="AE244" s="91"/>
      <c r="AF244" s="91"/>
      <c r="AG244" s="92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93">
        <f t="shared" si="78"/>
        <v>0</v>
      </c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  <c r="CK244" s="46"/>
      <c r="CL244" s="46"/>
      <c r="CM244" s="46"/>
      <c r="CN244" s="46"/>
      <c r="CO244" s="46"/>
      <c r="CP244" s="46"/>
      <c r="CQ244" s="46"/>
      <c r="CR244" s="46"/>
      <c r="CS244" s="46"/>
      <c r="CT244" s="93">
        <f t="shared" ref="CT244:CT307" si="83">SUM(BO244:CS244)</f>
        <v>0</v>
      </c>
      <c r="CV244" s="46"/>
      <c r="CW244" s="46"/>
      <c r="CX244" s="46"/>
      <c r="CY244" s="46"/>
      <c r="CZ244" s="46"/>
      <c r="DA244" s="46"/>
      <c r="DB244" s="46"/>
      <c r="DC244" s="46"/>
      <c r="DD244" s="46"/>
      <c r="DE244" s="46"/>
      <c r="DF244" s="46"/>
      <c r="DG244" s="46"/>
      <c r="DH244" s="46"/>
      <c r="DI244" s="46"/>
      <c r="DJ244" s="46"/>
      <c r="DK244" s="46"/>
      <c r="DL244" s="46"/>
      <c r="DM244" s="46"/>
      <c r="DN244" s="46"/>
      <c r="DO244" s="46"/>
      <c r="DP244" s="46"/>
      <c r="DQ244" s="46"/>
      <c r="DR244" s="46"/>
      <c r="DS244" s="46"/>
      <c r="DT244" s="46"/>
      <c r="DU244" s="46"/>
      <c r="DV244" s="46"/>
      <c r="DW244" s="46"/>
      <c r="DX244" s="46"/>
      <c r="DY244" s="46"/>
      <c r="DZ244" s="46"/>
      <c r="EA244" s="93">
        <f t="shared" si="79"/>
        <v>0</v>
      </c>
      <c r="EC244" s="46"/>
      <c r="ED244" s="46"/>
      <c r="EE244" s="46"/>
      <c r="EF244" s="46"/>
      <c r="EG244" s="46"/>
      <c r="EH244" s="46"/>
      <c r="EI244" s="46"/>
      <c r="EJ244" s="46"/>
      <c r="EK244" s="46"/>
      <c r="EL244" s="46"/>
      <c r="EM244" s="46"/>
      <c r="EN244" s="46"/>
      <c r="EO244" s="46"/>
      <c r="EP244" s="46"/>
      <c r="EQ244" s="46"/>
      <c r="ER244" s="46"/>
      <c r="ES244" s="46"/>
      <c r="ET244" s="46"/>
      <c r="EU244" s="46"/>
      <c r="EV244" s="46"/>
      <c r="EW244" s="46"/>
      <c r="EX244" s="46"/>
      <c r="EY244" s="46"/>
      <c r="EZ244" s="46"/>
      <c r="FA244" s="46"/>
      <c r="FB244" s="46"/>
      <c r="FC244" s="46"/>
      <c r="FD244" s="46"/>
      <c r="FE244" s="46"/>
      <c r="FF244" s="46"/>
      <c r="FG244" s="46"/>
      <c r="FH244" s="93">
        <f t="shared" si="80"/>
        <v>0</v>
      </c>
      <c r="FJ244" s="46"/>
      <c r="FK244" s="46"/>
      <c r="FL244" s="46"/>
      <c r="FM244" s="46"/>
      <c r="FN244" s="46"/>
      <c r="FO244" s="46"/>
      <c r="FP244" s="46"/>
      <c r="FQ244" s="46"/>
      <c r="FR244" s="46"/>
      <c r="FS244" s="46"/>
      <c r="FT244" s="46"/>
      <c r="FU244" s="46"/>
      <c r="FV244" s="46"/>
      <c r="FW244" s="46"/>
      <c r="FX244" s="46"/>
      <c r="FY244" s="46"/>
      <c r="FZ244" s="46"/>
      <c r="GA244" s="46"/>
      <c r="GB244" s="46"/>
      <c r="GC244" s="46"/>
      <c r="GD244" s="46"/>
      <c r="GE244" s="46"/>
      <c r="GF244" s="46"/>
      <c r="GG244" s="46"/>
      <c r="GH244" s="46"/>
      <c r="GI244" s="46"/>
      <c r="GJ244" s="46"/>
      <c r="GK244" s="46"/>
      <c r="GL244" s="46"/>
      <c r="GM244" s="46"/>
      <c r="GN244" s="46"/>
      <c r="GO244" s="93">
        <f t="shared" ref="GO244:GO307" si="84">SUM(FJ244:GN244)</f>
        <v>0</v>
      </c>
      <c r="GQ244" s="46"/>
      <c r="GR244" s="46"/>
      <c r="GS244" s="46"/>
      <c r="GT244" s="46"/>
      <c r="GU244" s="46"/>
      <c r="GV244" s="46"/>
      <c r="GW244" s="46"/>
      <c r="GX244" s="46"/>
      <c r="GY244" s="46"/>
      <c r="GZ244" s="46"/>
      <c r="HA244" s="46"/>
      <c r="HB244" s="46"/>
      <c r="HC244" s="46"/>
      <c r="HD244" s="46"/>
      <c r="HE244" s="46"/>
      <c r="HF244" s="46"/>
      <c r="HG244" s="46"/>
      <c r="HH244" s="46"/>
      <c r="HI244" s="46"/>
      <c r="HJ244" s="46"/>
      <c r="HK244" s="46"/>
      <c r="HL244" s="46"/>
      <c r="HM244" s="46"/>
      <c r="HN244" s="46"/>
      <c r="HO244" s="46"/>
      <c r="HP244" s="46"/>
      <c r="HQ244" s="46"/>
      <c r="HR244" s="46"/>
      <c r="HS244" s="46"/>
      <c r="HT244" s="46"/>
      <c r="HU244" s="46"/>
      <c r="HV244" s="93">
        <f t="shared" ref="HV244:HV307" si="85">SUM(GQ244:HU244)</f>
        <v>0</v>
      </c>
      <c r="HX244" s="46"/>
      <c r="HY244" s="46"/>
      <c r="HZ244" s="46"/>
      <c r="IA244" s="46"/>
      <c r="IB244" s="46"/>
      <c r="IC244" s="46"/>
      <c r="ID244" s="46"/>
      <c r="IE244" s="46"/>
      <c r="IF244" s="46"/>
      <c r="IG244" s="46"/>
      <c r="IH244" s="46"/>
      <c r="II244" s="46"/>
      <c r="IJ244" s="46"/>
      <c r="IK244" s="46"/>
      <c r="IL244" s="46"/>
      <c r="IM244" s="46"/>
      <c r="IN244" s="46"/>
      <c r="IO244" s="46"/>
      <c r="IP244" s="46"/>
      <c r="IQ244" s="46"/>
      <c r="IR244" s="46"/>
      <c r="IS244" s="46"/>
      <c r="IT244" s="46"/>
      <c r="IU244" s="46"/>
      <c r="IV244" s="46"/>
      <c r="IW244" s="46"/>
      <c r="IX244" s="46"/>
      <c r="IY244" s="46"/>
      <c r="IZ244" s="46"/>
      <c r="JA244" s="46"/>
      <c r="JB244" s="46"/>
      <c r="JC244" s="93">
        <f t="shared" ref="JC244:JC307" si="86">SUM(HX244:JB244)</f>
        <v>0</v>
      </c>
      <c r="JE244" s="46"/>
      <c r="JF244" s="46"/>
      <c r="JG244" s="46"/>
      <c r="JH244" s="46"/>
      <c r="JI244" s="46"/>
      <c r="JJ244" s="46"/>
      <c r="JK244" s="46"/>
      <c r="JL244" s="46"/>
      <c r="JM244" s="46"/>
      <c r="JN244" s="46"/>
      <c r="JO244" s="46"/>
      <c r="JP244" s="46"/>
      <c r="JQ244" s="46"/>
      <c r="JR244" s="46"/>
      <c r="JS244" s="46"/>
      <c r="JT244" s="46"/>
      <c r="JU244" s="46"/>
      <c r="JV244" s="46"/>
      <c r="JW244" s="46"/>
      <c r="JX244" s="46"/>
      <c r="JY244" s="46"/>
      <c r="JZ244" s="46"/>
      <c r="KA244" s="46"/>
      <c r="KB244" s="46"/>
      <c r="KC244" s="46"/>
      <c r="KD244" s="46"/>
      <c r="KE244" s="46"/>
      <c r="KF244" s="46"/>
      <c r="KG244" s="46"/>
      <c r="KH244" s="46"/>
      <c r="KI244" s="46"/>
      <c r="KJ244" s="93">
        <f t="shared" ref="KJ244:KJ307" si="87">SUM(JE244:KI244)</f>
        <v>0</v>
      </c>
    </row>
    <row r="245" spans="1:296" ht="20.149999999999999" customHeight="1" x14ac:dyDescent="0.5">
      <c r="A245" s="11">
        <v>63</v>
      </c>
      <c r="B245" s="184" t="s">
        <v>307</v>
      </c>
      <c r="C245" s="144" t="s">
        <v>6</v>
      </c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>
        <f t="shared" si="70"/>
        <v>0</v>
      </c>
      <c r="S245" s="46">
        <f t="shared" si="71"/>
        <v>0</v>
      </c>
      <c r="T245" s="46">
        <f t="shared" si="72"/>
        <v>0</v>
      </c>
      <c r="U245" s="46">
        <f t="shared" si="73"/>
        <v>0</v>
      </c>
      <c r="V245" s="46">
        <f t="shared" si="74"/>
        <v>0</v>
      </c>
      <c r="W245" s="46">
        <f t="shared" si="75"/>
        <v>0</v>
      </c>
      <c r="X245" s="46">
        <f t="shared" si="76"/>
        <v>0</v>
      </c>
      <c r="Y245" s="46">
        <f t="shared" si="77"/>
        <v>0</v>
      </c>
      <c r="Z245" s="90">
        <f t="shared" si="82"/>
        <v>0</v>
      </c>
      <c r="AA245" s="95"/>
      <c r="AB245" s="95">
        <f>'LPLPO PROGRAM'!H76</f>
        <v>0</v>
      </c>
      <c r="AC245" s="91"/>
      <c r="AD245" s="91"/>
      <c r="AE245" s="91"/>
      <c r="AF245" s="91"/>
      <c r="AG245" s="92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93">
        <f t="shared" si="78"/>
        <v>0</v>
      </c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  <c r="CK245" s="46"/>
      <c r="CL245" s="46"/>
      <c r="CM245" s="46"/>
      <c r="CN245" s="46"/>
      <c r="CO245" s="46"/>
      <c r="CP245" s="46"/>
      <c r="CQ245" s="46"/>
      <c r="CR245" s="46"/>
      <c r="CS245" s="46"/>
      <c r="CT245" s="93">
        <f t="shared" si="83"/>
        <v>0</v>
      </c>
      <c r="CV245" s="46"/>
      <c r="CW245" s="46"/>
      <c r="CX245" s="46"/>
      <c r="CY245" s="46"/>
      <c r="CZ245" s="46"/>
      <c r="DA245" s="46"/>
      <c r="DB245" s="46"/>
      <c r="DC245" s="46"/>
      <c r="DD245" s="46"/>
      <c r="DE245" s="46"/>
      <c r="DF245" s="46"/>
      <c r="DG245" s="46"/>
      <c r="DH245" s="46"/>
      <c r="DI245" s="46"/>
      <c r="DJ245" s="46"/>
      <c r="DK245" s="46"/>
      <c r="DL245" s="46"/>
      <c r="DM245" s="46"/>
      <c r="DN245" s="46"/>
      <c r="DO245" s="46"/>
      <c r="DP245" s="46"/>
      <c r="DQ245" s="46"/>
      <c r="DR245" s="46"/>
      <c r="DS245" s="46"/>
      <c r="DT245" s="46"/>
      <c r="DU245" s="46"/>
      <c r="DV245" s="46"/>
      <c r="DW245" s="46"/>
      <c r="DX245" s="46"/>
      <c r="DY245" s="46"/>
      <c r="DZ245" s="46"/>
      <c r="EA245" s="93">
        <f t="shared" si="79"/>
        <v>0</v>
      </c>
      <c r="EC245" s="46"/>
      <c r="ED245" s="46"/>
      <c r="EE245" s="46"/>
      <c r="EF245" s="46"/>
      <c r="EG245" s="46"/>
      <c r="EH245" s="46"/>
      <c r="EI245" s="46"/>
      <c r="EJ245" s="46"/>
      <c r="EK245" s="46"/>
      <c r="EL245" s="46"/>
      <c r="EM245" s="46"/>
      <c r="EN245" s="46"/>
      <c r="EO245" s="46"/>
      <c r="EP245" s="46"/>
      <c r="EQ245" s="46"/>
      <c r="ER245" s="46"/>
      <c r="ES245" s="46"/>
      <c r="ET245" s="46"/>
      <c r="EU245" s="46"/>
      <c r="EV245" s="46"/>
      <c r="EW245" s="46"/>
      <c r="EX245" s="46"/>
      <c r="EY245" s="46"/>
      <c r="EZ245" s="46"/>
      <c r="FA245" s="46"/>
      <c r="FB245" s="46"/>
      <c r="FC245" s="46"/>
      <c r="FD245" s="46"/>
      <c r="FE245" s="46"/>
      <c r="FF245" s="46"/>
      <c r="FG245" s="46"/>
      <c r="FH245" s="93">
        <f t="shared" si="80"/>
        <v>0</v>
      </c>
      <c r="FJ245" s="46"/>
      <c r="FK245" s="46"/>
      <c r="FL245" s="46"/>
      <c r="FM245" s="46"/>
      <c r="FN245" s="46"/>
      <c r="FO245" s="46"/>
      <c r="FP245" s="46"/>
      <c r="FQ245" s="46"/>
      <c r="FR245" s="46"/>
      <c r="FS245" s="46"/>
      <c r="FT245" s="46"/>
      <c r="FU245" s="46"/>
      <c r="FV245" s="46"/>
      <c r="FW245" s="46"/>
      <c r="FX245" s="46"/>
      <c r="FY245" s="46"/>
      <c r="FZ245" s="46"/>
      <c r="GA245" s="46"/>
      <c r="GB245" s="46"/>
      <c r="GC245" s="46"/>
      <c r="GD245" s="46"/>
      <c r="GE245" s="46"/>
      <c r="GF245" s="46"/>
      <c r="GG245" s="46"/>
      <c r="GH245" s="46"/>
      <c r="GI245" s="46"/>
      <c r="GJ245" s="46"/>
      <c r="GK245" s="46"/>
      <c r="GL245" s="46"/>
      <c r="GM245" s="46"/>
      <c r="GN245" s="46"/>
      <c r="GO245" s="93">
        <f t="shared" si="84"/>
        <v>0</v>
      </c>
      <c r="GQ245" s="46"/>
      <c r="GR245" s="46"/>
      <c r="GS245" s="46"/>
      <c r="GT245" s="46"/>
      <c r="GU245" s="46"/>
      <c r="GV245" s="46"/>
      <c r="GW245" s="46"/>
      <c r="GX245" s="46"/>
      <c r="GY245" s="46"/>
      <c r="GZ245" s="46"/>
      <c r="HA245" s="46"/>
      <c r="HB245" s="46"/>
      <c r="HC245" s="46"/>
      <c r="HD245" s="46"/>
      <c r="HE245" s="46"/>
      <c r="HF245" s="46"/>
      <c r="HG245" s="46"/>
      <c r="HH245" s="46"/>
      <c r="HI245" s="46"/>
      <c r="HJ245" s="46"/>
      <c r="HK245" s="46"/>
      <c r="HL245" s="46"/>
      <c r="HM245" s="46"/>
      <c r="HN245" s="46"/>
      <c r="HO245" s="46"/>
      <c r="HP245" s="46"/>
      <c r="HQ245" s="46"/>
      <c r="HR245" s="46"/>
      <c r="HS245" s="46"/>
      <c r="HT245" s="46"/>
      <c r="HU245" s="46"/>
      <c r="HV245" s="93">
        <f t="shared" si="85"/>
        <v>0</v>
      </c>
      <c r="HX245" s="46"/>
      <c r="HY245" s="46"/>
      <c r="HZ245" s="46"/>
      <c r="IA245" s="46"/>
      <c r="IB245" s="46"/>
      <c r="IC245" s="46"/>
      <c r="ID245" s="46"/>
      <c r="IE245" s="46"/>
      <c r="IF245" s="46"/>
      <c r="IG245" s="46"/>
      <c r="IH245" s="46"/>
      <c r="II245" s="46"/>
      <c r="IJ245" s="46"/>
      <c r="IK245" s="46"/>
      <c r="IL245" s="46"/>
      <c r="IM245" s="46"/>
      <c r="IN245" s="46"/>
      <c r="IO245" s="46"/>
      <c r="IP245" s="46"/>
      <c r="IQ245" s="46"/>
      <c r="IR245" s="46"/>
      <c r="IS245" s="46"/>
      <c r="IT245" s="46"/>
      <c r="IU245" s="46"/>
      <c r="IV245" s="46"/>
      <c r="IW245" s="46"/>
      <c r="IX245" s="46"/>
      <c r="IY245" s="46"/>
      <c r="IZ245" s="46"/>
      <c r="JA245" s="46"/>
      <c r="JB245" s="46"/>
      <c r="JC245" s="93">
        <f t="shared" si="86"/>
        <v>0</v>
      </c>
      <c r="JE245" s="46"/>
      <c r="JF245" s="46"/>
      <c r="JG245" s="46"/>
      <c r="JH245" s="46"/>
      <c r="JI245" s="46"/>
      <c r="JJ245" s="46"/>
      <c r="JK245" s="46"/>
      <c r="JL245" s="46"/>
      <c r="JM245" s="46"/>
      <c r="JN245" s="46"/>
      <c r="JO245" s="46"/>
      <c r="JP245" s="46"/>
      <c r="JQ245" s="46"/>
      <c r="JR245" s="46"/>
      <c r="JS245" s="46"/>
      <c r="JT245" s="46"/>
      <c r="JU245" s="46"/>
      <c r="JV245" s="46"/>
      <c r="JW245" s="46"/>
      <c r="JX245" s="46"/>
      <c r="JY245" s="46"/>
      <c r="JZ245" s="46"/>
      <c r="KA245" s="46"/>
      <c r="KB245" s="46"/>
      <c r="KC245" s="46"/>
      <c r="KD245" s="46"/>
      <c r="KE245" s="46"/>
      <c r="KF245" s="46"/>
      <c r="KG245" s="46"/>
      <c r="KH245" s="46"/>
      <c r="KI245" s="46"/>
      <c r="KJ245" s="93">
        <f t="shared" si="87"/>
        <v>0</v>
      </c>
    </row>
    <row r="246" spans="1:296" ht="20.149999999999999" customHeight="1" x14ac:dyDescent="0.5">
      <c r="A246" s="11">
        <v>64</v>
      </c>
      <c r="B246" s="184" t="s">
        <v>366</v>
      </c>
      <c r="C246" s="144" t="s">
        <v>6</v>
      </c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>
        <f t="shared" si="70"/>
        <v>0</v>
      </c>
      <c r="S246" s="46">
        <f t="shared" si="71"/>
        <v>0</v>
      </c>
      <c r="T246" s="46">
        <f t="shared" si="72"/>
        <v>0</v>
      </c>
      <c r="U246" s="46">
        <f t="shared" si="73"/>
        <v>0</v>
      </c>
      <c r="V246" s="46">
        <f t="shared" si="74"/>
        <v>0</v>
      </c>
      <c r="W246" s="46">
        <f t="shared" si="75"/>
        <v>0</v>
      </c>
      <c r="X246" s="46">
        <f t="shared" si="76"/>
        <v>0</v>
      </c>
      <c r="Y246" s="46">
        <f t="shared" si="77"/>
        <v>0</v>
      </c>
      <c r="Z246" s="90">
        <f t="shared" si="82"/>
        <v>0</v>
      </c>
      <c r="AA246" s="95"/>
      <c r="AB246" s="95">
        <f>'LPLPO PROGRAM'!H77</f>
        <v>0</v>
      </c>
      <c r="AC246" s="91"/>
      <c r="AD246" s="91"/>
      <c r="AE246" s="91"/>
      <c r="AF246" s="91"/>
      <c r="AG246" s="92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93">
        <f t="shared" si="78"/>
        <v>0</v>
      </c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/>
      <c r="CP246" s="46"/>
      <c r="CQ246" s="46"/>
      <c r="CR246" s="46"/>
      <c r="CS246" s="46"/>
      <c r="CT246" s="93">
        <f t="shared" si="83"/>
        <v>0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/>
      <c r="DF246" s="46"/>
      <c r="DG246" s="46"/>
      <c r="DH246" s="46"/>
      <c r="DI246" s="46"/>
      <c r="DJ246" s="46"/>
      <c r="DK246" s="46"/>
      <c r="DL246" s="46"/>
      <c r="DM246" s="46"/>
      <c r="DN246" s="46"/>
      <c r="DO246" s="46"/>
      <c r="DP246" s="46"/>
      <c r="DQ246" s="46"/>
      <c r="DR246" s="46"/>
      <c r="DS246" s="46"/>
      <c r="DT246" s="46"/>
      <c r="DU246" s="46"/>
      <c r="DV246" s="46"/>
      <c r="DW246" s="46"/>
      <c r="DX246" s="46"/>
      <c r="DY246" s="46"/>
      <c r="DZ246" s="46"/>
      <c r="EA246" s="93">
        <f t="shared" si="79"/>
        <v>0</v>
      </c>
      <c r="EC246" s="46"/>
      <c r="ED246" s="46"/>
      <c r="EE246" s="46"/>
      <c r="EF246" s="46"/>
      <c r="EG246" s="46"/>
      <c r="EH246" s="46"/>
      <c r="EI246" s="46"/>
      <c r="EJ246" s="46"/>
      <c r="EK246" s="46"/>
      <c r="EL246" s="46"/>
      <c r="EM246" s="46"/>
      <c r="EN246" s="46"/>
      <c r="EO246" s="46"/>
      <c r="EP246" s="46"/>
      <c r="EQ246" s="46"/>
      <c r="ER246" s="46"/>
      <c r="ES246" s="46"/>
      <c r="ET246" s="46"/>
      <c r="EU246" s="46"/>
      <c r="EV246" s="46"/>
      <c r="EW246" s="46"/>
      <c r="EX246" s="46"/>
      <c r="EY246" s="46"/>
      <c r="EZ246" s="46"/>
      <c r="FA246" s="46"/>
      <c r="FB246" s="46"/>
      <c r="FC246" s="46"/>
      <c r="FD246" s="46"/>
      <c r="FE246" s="46"/>
      <c r="FF246" s="46"/>
      <c r="FG246" s="46"/>
      <c r="FH246" s="93">
        <f t="shared" si="80"/>
        <v>0</v>
      </c>
      <c r="FJ246" s="46"/>
      <c r="FK246" s="46"/>
      <c r="FL246" s="46"/>
      <c r="FM246" s="46"/>
      <c r="FN246" s="46"/>
      <c r="FO246" s="46"/>
      <c r="FP246" s="46"/>
      <c r="FQ246" s="46"/>
      <c r="FR246" s="46"/>
      <c r="FS246" s="46"/>
      <c r="FT246" s="46"/>
      <c r="FU246" s="46"/>
      <c r="FV246" s="46"/>
      <c r="FW246" s="46"/>
      <c r="FX246" s="46"/>
      <c r="FY246" s="46"/>
      <c r="FZ246" s="46"/>
      <c r="GA246" s="46"/>
      <c r="GB246" s="46"/>
      <c r="GC246" s="46"/>
      <c r="GD246" s="46"/>
      <c r="GE246" s="46"/>
      <c r="GF246" s="46"/>
      <c r="GG246" s="46"/>
      <c r="GH246" s="46"/>
      <c r="GI246" s="46"/>
      <c r="GJ246" s="46"/>
      <c r="GK246" s="46"/>
      <c r="GL246" s="46"/>
      <c r="GM246" s="46"/>
      <c r="GN246" s="46"/>
      <c r="GO246" s="93">
        <f t="shared" si="84"/>
        <v>0</v>
      </c>
      <c r="GQ246" s="46"/>
      <c r="GR246" s="46"/>
      <c r="GS246" s="46"/>
      <c r="GT246" s="46"/>
      <c r="GU246" s="46"/>
      <c r="GV246" s="46"/>
      <c r="GW246" s="46"/>
      <c r="GX246" s="46"/>
      <c r="GY246" s="46"/>
      <c r="GZ246" s="46"/>
      <c r="HA246" s="46"/>
      <c r="HB246" s="46"/>
      <c r="HC246" s="46"/>
      <c r="HD246" s="46"/>
      <c r="HE246" s="46"/>
      <c r="HF246" s="46"/>
      <c r="HG246" s="46"/>
      <c r="HH246" s="46"/>
      <c r="HI246" s="46"/>
      <c r="HJ246" s="46"/>
      <c r="HK246" s="46"/>
      <c r="HL246" s="46"/>
      <c r="HM246" s="46"/>
      <c r="HN246" s="46"/>
      <c r="HO246" s="46"/>
      <c r="HP246" s="46"/>
      <c r="HQ246" s="46"/>
      <c r="HR246" s="46"/>
      <c r="HS246" s="46"/>
      <c r="HT246" s="46"/>
      <c r="HU246" s="46"/>
      <c r="HV246" s="93">
        <f t="shared" si="85"/>
        <v>0</v>
      </c>
      <c r="HX246" s="46"/>
      <c r="HY246" s="46"/>
      <c r="HZ246" s="46"/>
      <c r="IA246" s="46"/>
      <c r="IB246" s="46"/>
      <c r="IC246" s="46"/>
      <c r="ID246" s="46"/>
      <c r="IE246" s="46"/>
      <c r="IF246" s="46"/>
      <c r="IG246" s="46"/>
      <c r="IH246" s="46"/>
      <c r="II246" s="46"/>
      <c r="IJ246" s="46"/>
      <c r="IK246" s="46"/>
      <c r="IL246" s="46"/>
      <c r="IM246" s="46"/>
      <c r="IN246" s="46"/>
      <c r="IO246" s="46"/>
      <c r="IP246" s="46"/>
      <c r="IQ246" s="46"/>
      <c r="IR246" s="46"/>
      <c r="IS246" s="46"/>
      <c r="IT246" s="46"/>
      <c r="IU246" s="46"/>
      <c r="IV246" s="46"/>
      <c r="IW246" s="46"/>
      <c r="IX246" s="46"/>
      <c r="IY246" s="46"/>
      <c r="IZ246" s="46"/>
      <c r="JA246" s="46"/>
      <c r="JB246" s="46"/>
      <c r="JC246" s="93">
        <f t="shared" si="86"/>
        <v>0</v>
      </c>
      <c r="JE246" s="46"/>
      <c r="JF246" s="46"/>
      <c r="JG246" s="46"/>
      <c r="JH246" s="46"/>
      <c r="JI246" s="46"/>
      <c r="JJ246" s="46"/>
      <c r="JK246" s="46"/>
      <c r="JL246" s="46"/>
      <c r="JM246" s="46"/>
      <c r="JN246" s="46"/>
      <c r="JO246" s="46"/>
      <c r="JP246" s="46"/>
      <c r="JQ246" s="46"/>
      <c r="JR246" s="46"/>
      <c r="JS246" s="46"/>
      <c r="JT246" s="46"/>
      <c r="JU246" s="46"/>
      <c r="JV246" s="46"/>
      <c r="JW246" s="46"/>
      <c r="JX246" s="46"/>
      <c r="JY246" s="46"/>
      <c r="JZ246" s="46"/>
      <c r="KA246" s="46"/>
      <c r="KB246" s="46"/>
      <c r="KC246" s="46"/>
      <c r="KD246" s="46"/>
      <c r="KE246" s="46"/>
      <c r="KF246" s="46"/>
      <c r="KG246" s="46"/>
      <c r="KH246" s="46"/>
      <c r="KI246" s="46"/>
      <c r="KJ246" s="93">
        <f t="shared" si="87"/>
        <v>0</v>
      </c>
    </row>
    <row r="247" spans="1:296" ht="20.149999999999999" customHeight="1" x14ac:dyDescent="0.5">
      <c r="A247" s="11">
        <v>65</v>
      </c>
      <c r="B247" s="184" t="s">
        <v>362</v>
      </c>
      <c r="C247" s="144" t="s">
        <v>363</v>
      </c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>
        <f t="shared" si="70"/>
        <v>0</v>
      </c>
      <c r="S247" s="46">
        <f t="shared" si="71"/>
        <v>0</v>
      </c>
      <c r="T247" s="46">
        <f t="shared" si="72"/>
        <v>0</v>
      </c>
      <c r="U247" s="46">
        <f t="shared" si="73"/>
        <v>0</v>
      </c>
      <c r="V247" s="46">
        <f t="shared" si="74"/>
        <v>0</v>
      </c>
      <c r="W247" s="46">
        <f t="shared" si="75"/>
        <v>0</v>
      </c>
      <c r="X247" s="46">
        <f t="shared" si="76"/>
        <v>0</v>
      </c>
      <c r="Y247" s="46">
        <f t="shared" si="77"/>
        <v>0</v>
      </c>
      <c r="Z247" s="90">
        <f t="shared" si="82"/>
        <v>0</v>
      </c>
      <c r="AA247" s="95"/>
      <c r="AB247" s="95">
        <f>'LPLPO PROGRAM'!H78</f>
        <v>0</v>
      </c>
      <c r="AC247" s="91"/>
      <c r="AD247" s="91"/>
      <c r="AE247" s="91"/>
      <c r="AF247" s="91"/>
      <c r="AG247" s="92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93">
        <f t="shared" si="78"/>
        <v>0</v>
      </c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93">
        <f t="shared" si="83"/>
        <v>0</v>
      </c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  <c r="DK247" s="46"/>
      <c r="DL247" s="46"/>
      <c r="DM247" s="46"/>
      <c r="DN247" s="46"/>
      <c r="DO247" s="46"/>
      <c r="DP247" s="46"/>
      <c r="DQ247" s="46"/>
      <c r="DR247" s="46"/>
      <c r="DS247" s="46"/>
      <c r="DT247" s="46"/>
      <c r="DU247" s="46"/>
      <c r="DV247" s="46"/>
      <c r="DW247" s="46"/>
      <c r="DX247" s="46"/>
      <c r="DY247" s="46"/>
      <c r="DZ247" s="46"/>
      <c r="EA247" s="93">
        <f t="shared" si="79"/>
        <v>0</v>
      </c>
      <c r="EC247" s="46"/>
      <c r="ED247" s="46"/>
      <c r="EE247" s="46"/>
      <c r="EF247" s="46"/>
      <c r="EG247" s="46"/>
      <c r="EH247" s="46"/>
      <c r="EI247" s="46"/>
      <c r="EJ247" s="46"/>
      <c r="EK247" s="46"/>
      <c r="EL247" s="46"/>
      <c r="EM247" s="46"/>
      <c r="EN247" s="46"/>
      <c r="EO247" s="46"/>
      <c r="EP247" s="46"/>
      <c r="EQ247" s="46"/>
      <c r="ER247" s="46"/>
      <c r="ES247" s="46"/>
      <c r="ET247" s="46"/>
      <c r="EU247" s="46"/>
      <c r="EV247" s="46"/>
      <c r="EW247" s="46"/>
      <c r="EX247" s="46"/>
      <c r="EY247" s="46"/>
      <c r="EZ247" s="46"/>
      <c r="FA247" s="46"/>
      <c r="FB247" s="46"/>
      <c r="FC247" s="46"/>
      <c r="FD247" s="46"/>
      <c r="FE247" s="46"/>
      <c r="FF247" s="46"/>
      <c r="FG247" s="46"/>
      <c r="FH247" s="93">
        <f t="shared" si="80"/>
        <v>0</v>
      </c>
      <c r="FJ247" s="46"/>
      <c r="FK247" s="46"/>
      <c r="FL247" s="46"/>
      <c r="FM247" s="46"/>
      <c r="FN247" s="46"/>
      <c r="FO247" s="46"/>
      <c r="FP247" s="46"/>
      <c r="FQ247" s="46"/>
      <c r="FR247" s="46"/>
      <c r="FS247" s="46"/>
      <c r="FT247" s="46"/>
      <c r="FU247" s="46"/>
      <c r="FV247" s="46"/>
      <c r="FW247" s="46"/>
      <c r="FX247" s="46"/>
      <c r="FY247" s="46"/>
      <c r="FZ247" s="46"/>
      <c r="GA247" s="46"/>
      <c r="GB247" s="46"/>
      <c r="GC247" s="46"/>
      <c r="GD247" s="46"/>
      <c r="GE247" s="46"/>
      <c r="GF247" s="46"/>
      <c r="GG247" s="46"/>
      <c r="GH247" s="46"/>
      <c r="GI247" s="46"/>
      <c r="GJ247" s="46"/>
      <c r="GK247" s="46"/>
      <c r="GL247" s="46"/>
      <c r="GM247" s="46"/>
      <c r="GN247" s="46"/>
      <c r="GO247" s="93">
        <f t="shared" si="84"/>
        <v>0</v>
      </c>
      <c r="GQ247" s="46"/>
      <c r="GR247" s="46"/>
      <c r="GS247" s="46"/>
      <c r="GT247" s="46"/>
      <c r="GU247" s="46"/>
      <c r="GV247" s="46"/>
      <c r="GW247" s="46"/>
      <c r="GX247" s="46"/>
      <c r="GY247" s="46"/>
      <c r="GZ247" s="46"/>
      <c r="HA247" s="46"/>
      <c r="HB247" s="46"/>
      <c r="HC247" s="46"/>
      <c r="HD247" s="46"/>
      <c r="HE247" s="46"/>
      <c r="HF247" s="46"/>
      <c r="HG247" s="46"/>
      <c r="HH247" s="46"/>
      <c r="HI247" s="46"/>
      <c r="HJ247" s="46"/>
      <c r="HK247" s="46"/>
      <c r="HL247" s="46"/>
      <c r="HM247" s="46"/>
      <c r="HN247" s="46"/>
      <c r="HO247" s="46"/>
      <c r="HP247" s="46"/>
      <c r="HQ247" s="46"/>
      <c r="HR247" s="46"/>
      <c r="HS247" s="46"/>
      <c r="HT247" s="46"/>
      <c r="HU247" s="46"/>
      <c r="HV247" s="93">
        <f t="shared" si="85"/>
        <v>0</v>
      </c>
      <c r="HX247" s="46"/>
      <c r="HY247" s="46"/>
      <c r="HZ247" s="46"/>
      <c r="IA247" s="46"/>
      <c r="IB247" s="46"/>
      <c r="IC247" s="46"/>
      <c r="ID247" s="46"/>
      <c r="IE247" s="46"/>
      <c r="IF247" s="46"/>
      <c r="IG247" s="46"/>
      <c r="IH247" s="46"/>
      <c r="II247" s="46"/>
      <c r="IJ247" s="46"/>
      <c r="IK247" s="46"/>
      <c r="IL247" s="46"/>
      <c r="IM247" s="46"/>
      <c r="IN247" s="46"/>
      <c r="IO247" s="46"/>
      <c r="IP247" s="46"/>
      <c r="IQ247" s="46"/>
      <c r="IR247" s="46"/>
      <c r="IS247" s="46"/>
      <c r="IT247" s="46"/>
      <c r="IU247" s="46"/>
      <c r="IV247" s="46"/>
      <c r="IW247" s="46"/>
      <c r="IX247" s="46"/>
      <c r="IY247" s="46"/>
      <c r="IZ247" s="46"/>
      <c r="JA247" s="46"/>
      <c r="JB247" s="46"/>
      <c r="JC247" s="93">
        <f t="shared" si="86"/>
        <v>0</v>
      </c>
      <c r="JE247" s="46"/>
      <c r="JF247" s="46"/>
      <c r="JG247" s="46"/>
      <c r="JH247" s="46"/>
      <c r="JI247" s="46"/>
      <c r="JJ247" s="46"/>
      <c r="JK247" s="46"/>
      <c r="JL247" s="46"/>
      <c r="JM247" s="46"/>
      <c r="JN247" s="46"/>
      <c r="JO247" s="46"/>
      <c r="JP247" s="46"/>
      <c r="JQ247" s="46"/>
      <c r="JR247" s="46"/>
      <c r="JS247" s="46"/>
      <c r="JT247" s="46"/>
      <c r="JU247" s="46"/>
      <c r="JV247" s="46"/>
      <c r="JW247" s="46"/>
      <c r="JX247" s="46"/>
      <c r="JY247" s="46"/>
      <c r="JZ247" s="46"/>
      <c r="KA247" s="46"/>
      <c r="KB247" s="46"/>
      <c r="KC247" s="46"/>
      <c r="KD247" s="46"/>
      <c r="KE247" s="46"/>
      <c r="KF247" s="46"/>
      <c r="KG247" s="46"/>
      <c r="KH247" s="46"/>
      <c r="KI247" s="46"/>
      <c r="KJ247" s="93">
        <f t="shared" si="87"/>
        <v>0</v>
      </c>
    </row>
    <row r="248" spans="1:296" ht="20.149999999999999" customHeight="1" x14ac:dyDescent="0.5">
      <c r="A248" s="11">
        <v>66</v>
      </c>
      <c r="B248" s="184" t="s">
        <v>368</v>
      </c>
      <c r="C248" s="144" t="s">
        <v>363</v>
      </c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>
        <f t="shared" si="70"/>
        <v>0</v>
      </c>
      <c r="S248" s="46">
        <f t="shared" si="71"/>
        <v>0</v>
      </c>
      <c r="T248" s="46">
        <f t="shared" si="72"/>
        <v>0</v>
      </c>
      <c r="U248" s="46">
        <f t="shared" si="73"/>
        <v>0</v>
      </c>
      <c r="V248" s="46">
        <f t="shared" si="74"/>
        <v>0</v>
      </c>
      <c r="W248" s="46">
        <f t="shared" si="75"/>
        <v>0</v>
      </c>
      <c r="X248" s="46">
        <f t="shared" si="76"/>
        <v>0</v>
      </c>
      <c r="Y248" s="46">
        <f t="shared" si="77"/>
        <v>0</v>
      </c>
      <c r="Z248" s="90">
        <f t="shared" si="82"/>
        <v>0</v>
      </c>
      <c r="AA248" s="95"/>
      <c r="AB248" s="95">
        <f>'LPLPO PROGRAM'!H79</f>
        <v>0</v>
      </c>
      <c r="AC248" s="91"/>
      <c r="AD248" s="91"/>
      <c r="AE248" s="91"/>
      <c r="AF248" s="91"/>
      <c r="AG248" s="92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93">
        <f t="shared" si="78"/>
        <v>0</v>
      </c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  <c r="CK248" s="46"/>
      <c r="CL248" s="46"/>
      <c r="CM248" s="46"/>
      <c r="CN248" s="46"/>
      <c r="CO248" s="46"/>
      <c r="CP248" s="46"/>
      <c r="CQ248" s="46"/>
      <c r="CR248" s="46"/>
      <c r="CS248" s="46"/>
      <c r="CT248" s="93">
        <f t="shared" si="83"/>
        <v>0</v>
      </c>
      <c r="CV248" s="46"/>
      <c r="CW248" s="46"/>
      <c r="CX248" s="46"/>
      <c r="CY248" s="46"/>
      <c r="CZ248" s="46"/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  <c r="DK248" s="46"/>
      <c r="DL248" s="46"/>
      <c r="DM248" s="46"/>
      <c r="DN248" s="46"/>
      <c r="DO248" s="46"/>
      <c r="DP248" s="46"/>
      <c r="DQ248" s="46"/>
      <c r="DR248" s="46"/>
      <c r="DS248" s="46"/>
      <c r="DT248" s="46"/>
      <c r="DU248" s="46"/>
      <c r="DV248" s="46"/>
      <c r="DW248" s="46"/>
      <c r="DX248" s="46"/>
      <c r="DY248" s="46"/>
      <c r="DZ248" s="46"/>
      <c r="EA248" s="93">
        <f t="shared" si="79"/>
        <v>0</v>
      </c>
      <c r="EC248" s="46"/>
      <c r="ED248" s="46"/>
      <c r="EE248" s="46"/>
      <c r="EF248" s="46"/>
      <c r="EG248" s="46"/>
      <c r="EH248" s="46"/>
      <c r="EI248" s="46"/>
      <c r="EJ248" s="46"/>
      <c r="EK248" s="46"/>
      <c r="EL248" s="46"/>
      <c r="EM248" s="46"/>
      <c r="EN248" s="46"/>
      <c r="EO248" s="46"/>
      <c r="EP248" s="46"/>
      <c r="EQ248" s="46"/>
      <c r="ER248" s="46"/>
      <c r="ES248" s="46"/>
      <c r="ET248" s="46"/>
      <c r="EU248" s="46"/>
      <c r="EV248" s="46"/>
      <c r="EW248" s="46"/>
      <c r="EX248" s="46"/>
      <c r="EY248" s="46"/>
      <c r="EZ248" s="46"/>
      <c r="FA248" s="46"/>
      <c r="FB248" s="46"/>
      <c r="FC248" s="46"/>
      <c r="FD248" s="46"/>
      <c r="FE248" s="46"/>
      <c r="FF248" s="46"/>
      <c r="FG248" s="46"/>
      <c r="FH248" s="93">
        <f t="shared" si="80"/>
        <v>0</v>
      </c>
      <c r="FJ248" s="46"/>
      <c r="FK248" s="46"/>
      <c r="FL248" s="46"/>
      <c r="FM248" s="46"/>
      <c r="FN248" s="46"/>
      <c r="FO248" s="46"/>
      <c r="FP248" s="46"/>
      <c r="FQ248" s="46"/>
      <c r="FR248" s="46"/>
      <c r="FS248" s="46"/>
      <c r="FT248" s="46"/>
      <c r="FU248" s="46"/>
      <c r="FV248" s="46"/>
      <c r="FW248" s="46"/>
      <c r="FX248" s="46"/>
      <c r="FY248" s="46"/>
      <c r="FZ248" s="46"/>
      <c r="GA248" s="46"/>
      <c r="GB248" s="46"/>
      <c r="GC248" s="46"/>
      <c r="GD248" s="46"/>
      <c r="GE248" s="46"/>
      <c r="GF248" s="46"/>
      <c r="GG248" s="46"/>
      <c r="GH248" s="46"/>
      <c r="GI248" s="46"/>
      <c r="GJ248" s="46"/>
      <c r="GK248" s="46"/>
      <c r="GL248" s="46"/>
      <c r="GM248" s="46"/>
      <c r="GN248" s="46"/>
      <c r="GO248" s="93">
        <f t="shared" si="84"/>
        <v>0</v>
      </c>
      <c r="GQ248" s="46"/>
      <c r="GR248" s="46"/>
      <c r="GS248" s="46"/>
      <c r="GT248" s="46"/>
      <c r="GU248" s="46"/>
      <c r="GV248" s="46"/>
      <c r="GW248" s="46"/>
      <c r="GX248" s="46"/>
      <c r="GY248" s="46"/>
      <c r="GZ248" s="46"/>
      <c r="HA248" s="46"/>
      <c r="HB248" s="46"/>
      <c r="HC248" s="46"/>
      <c r="HD248" s="46"/>
      <c r="HE248" s="46"/>
      <c r="HF248" s="46"/>
      <c r="HG248" s="46"/>
      <c r="HH248" s="46"/>
      <c r="HI248" s="46"/>
      <c r="HJ248" s="46"/>
      <c r="HK248" s="46"/>
      <c r="HL248" s="46"/>
      <c r="HM248" s="46"/>
      <c r="HN248" s="46"/>
      <c r="HO248" s="46"/>
      <c r="HP248" s="46"/>
      <c r="HQ248" s="46"/>
      <c r="HR248" s="46"/>
      <c r="HS248" s="46"/>
      <c r="HT248" s="46"/>
      <c r="HU248" s="46"/>
      <c r="HV248" s="93">
        <f t="shared" si="85"/>
        <v>0</v>
      </c>
      <c r="HX248" s="46"/>
      <c r="HY248" s="46"/>
      <c r="HZ248" s="46"/>
      <c r="IA248" s="46"/>
      <c r="IB248" s="46"/>
      <c r="IC248" s="46"/>
      <c r="ID248" s="46"/>
      <c r="IE248" s="46"/>
      <c r="IF248" s="46"/>
      <c r="IG248" s="46"/>
      <c r="IH248" s="46"/>
      <c r="II248" s="46"/>
      <c r="IJ248" s="46"/>
      <c r="IK248" s="46"/>
      <c r="IL248" s="46"/>
      <c r="IM248" s="46"/>
      <c r="IN248" s="46"/>
      <c r="IO248" s="46"/>
      <c r="IP248" s="46"/>
      <c r="IQ248" s="46"/>
      <c r="IR248" s="46"/>
      <c r="IS248" s="46"/>
      <c r="IT248" s="46"/>
      <c r="IU248" s="46"/>
      <c r="IV248" s="46"/>
      <c r="IW248" s="46"/>
      <c r="IX248" s="46"/>
      <c r="IY248" s="46"/>
      <c r="IZ248" s="46"/>
      <c r="JA248" s="46"/>
      <c r="JB248" s="46"/>
      <c r="JC248" s="93">
        <f t="shared" si="86"/>
        <v>0</v>
      </c>
      <c r="JE248" s="46"/>
      <c r="JF248" s="46"/>
      <c r="JG248" s="46"/>
      <c r="JH248" s="46"/>
      <c r="JI248" s="46"/>
      <c r="JJ248" s="46"/>
      <c r="JK248" s="46"/>
      <c r="JL248" s="46"/>
      <c r="JM248" s="46"/>
      <c r="JN248" s="46"/>
      <c r="JO248" s="46"/>
      <c r="JP248" s="46"/>
      <c r="JQ248" s="46"/>
      <c r="JR248" s="46"/>
      <c r="JS248" s="46"/>
      <c r="JT248" s="46"/>
      <c r="JU248" s="46"/>
      <c r="JV248" s="46"/>
      <c r="JW248" s="46"/>
      <c r="JX248" s="46"/>
      <c r="JY248" s="46"/>
      <c r="JZ248" s="46"/>
      <c r="KA248" s="46"/>
      <c r="KB248" s="46"/>
      <c r="KC248" s="46"/>
      <c r="KD248" s="46"/>
      <c r="KE248" s="46"/>
      <c r="KF248" s="46"/>
      <c r="KG248" s="46"/>
      <c r="KH248" s="46"/>
      <c r="KI248" s="46"/>
      <c r="KJ248" s="93">
        <f t="shared" si="87"/>
        <v>0</v>
      </c>
    </row>
    <row r="249" spans="1:296" ht="20.149999999999999" customHeight="1" x14ac:dyDescent="0.5">
      <c r="A249" s="11">
        <v>67</v>
      </c>
      <c r="B249" s="178" t="s">
        <v>370</v>
      </c>
      <c r="C249" s="144" t="s">
        <v>363</v>
      </c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>
        <f t="shared" si="70"/>
        <v>0</v>
      </c>
      <c r="S249" s="46">
        <f t="shared" si="71"/>
        <v>0</v>
      </c>
      <c r="T249" s="46">
        <f t="shared" si="72"/>
        <v>0</v>
      </c>
      <c r="U249" s="46">
        <f t="shared" si="73"/>
        <v>0</v>
      </c>
      <c r="V249" s="46">
        <f t="shared" si="74"/>
        <v>0</v>
      </c>
      <c r="W249" s="46">
        <f t="shared" si="75"/>
        <v>0</v>
      </c>
      <c r="X249" s="46">
        <f t="shared" si="76"/>
        <v>0</v>
      </c>
      <c r="Y249" s="46">
        <f t="shared" si="77"/>
        <v>0</v>
      </c>
      <c r="Z249" s="90">
        <f t="shared" si="82"/>
        <v>0</v>
      </c>
      <c r="AA249" s="95"/>
      <c r="AB249" s="95">
        <f>'LPLPO PROGRAM'!H80</f>
        <v>0</v>
      </c>
      <c r="AC249" s="91"/>
      <c r="AD249" s="91"/>
      <c r="AE249" s="91"/>
      <c r="AF249" s="91"/>
      <c r="AG249" s="92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93">
        <f t="shared" si="78"/>
        <v>0</v>
      </c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93">
        <f t="shared" si="83"/>
        <v>0</v>
      </c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  <c r="DK249" s="46"/>
      <c r="DL249" s="46"/>
      <c r="DM249" s="46"/>
      <c r="DN249" s="46"/>
      <c r="DO249" s="46"/>
      <c r="DP249" s="46"/>
      <c r="DQ249" s="46"/>
      <c r="DR249" s="46"/>
      <c r="DS249" s="46"/>
      <c r="DT249" s="46"/>
      <c r="DU249" s="46"/>
      <c r="DV249" s="46"/>
      <c r="DW249" s="46"/>
      <c r="DX249" s="46"/>
      <c r="DY249" s="46"/>
      <c r="DZ249" s="46"/>
      <c r="EA249" s="93">
        <f t="shared" si="79"/>
        <v>0</v>
      </c>
      <c r="EC249" s="46"/>
      <c r="ED249" s="46"/>
      <c r="EE249" s="46"/>
      <c r="EF249" s="46"/>
      <c r="EG249" s="46"/>
      <c r="EH249" s="46"/>
      <c r="EI249" s="46"/>
      <c r="EJ249" s="46"/>
      <c r="EK249" s="46"/>
      <c r="EL249" s="46"/>
      <c r="EM249" s="46"/>
      <c r="EN249" s="46"/>
      <c r="EO249" s="46"/>
      <c r="EP249" s="46"/>
      <c r="EQ249" s="46"/>
      <c r="ER249" s="46"/>
      <c r="ES249" s="46"/>
      <c r="ET249" s="46"/>
      <c r="EU249" s="46"/>
      <c r="EV249" s="46"/>
      <c r="EW249" s="46"/>
      <c r="EX249" s="46"/>
      <c r="EY249" s="46"/>
      <c r="EZ249" s="46"/>
      <c r="FA249" s="46"/>
      <c r="FB249" s="46"/>
      <c r="FC249" s="46"/>
      <c r="FD249" s="46"/>
      <c r="FE249" s="46"/>
      <c r="FF249" s="46"/>
      <c r="FG249" s="46"/>
      <c r="FH249" s="93">
        <f t="shared" si="80"/>
        <v>0</v>
      </c>
      <c r="FJ249" s="46"/>
      <c r="FK249" s="46"/>
      <c r="FL249" s="46"/>
      <c r="FM249" s="46"/>
      <c r="FN249" s="46"/>
      <c r="FO249" s="46"/>
      <c r="FP249" s="46"/>
      <c r="FQ249" s="46"/>
      <c r="FR249" s="46"/>
      <c r="FS249" s="46"/>
      <c r="FT249" s="46"/>
      <c r="FU249" s="46"/>
      <c r="FV249" s="46"/>
      <c r="FW249" s="46"/>
      <c r="FX249" s="46"/>
      <c r="FY249" s="46"/>
      <c r="FZ249" s="46"/>
      <c r="GA249" s="46"/>
      <c r="GB249" s="46"/>
      <c r="GC249" s="46"/>
      <c r="GD249" s="46"/>
      <c r="GE249" s="46"/>
      <c r="GF249" s="46"/>
      <c r="GG249" s="46"/>
      <c r="GH249" s="46"/>
      <c r="GI249" s="46"/>
      <c r="GJ249" s="46"/>
      <c r="GK249" s="46"/>
      <c r="GL249" s="46"/>
      <c r="GM249" s="46"/>
      <c r="GN249" s="46"/>
      <c r="GO249" s="93">
        <f t="shared" si="84"/>
        <v>0</v>
      </c>
      <c r="GQ249" s="46"/>
      <c r="GR249" s="46"/>
      <c r="GS249" s="46"/>
      <c r="GT249" s="46"/>
      <c r="GU249" s="46"/>
      <c r="GV249" s="46"/>
      <c r="GW249" s="46"/>
      <c r="GX249" s="46"/>
      <c r="GY249" s="46"/>
      <c r="GZ249" s="46"/>
      <c r="HA249" s="46"/>
      <c r="HB249" s="46"/>
      <c r="HC249" s="46"/>
      <c r="HD249" s="46"/>
      <c r="HE249" s="46"/>
      <c r="HF249" s="46"/>
      <c r="HG249" s="46"/>
      <c r="HH249" s="46"/>
      <c r="HI249" s="46"/>
      <c r="HJ249" s="46"/>
      <c r="HK249" s="46"/>
      <c r="HL249" s="46"/>
      <c r="HM249" s="46"/>
      <c r="HN249" s="46"/>
      <c r="HO249" s="46"/>
      <c r="HP249" s="46"/>
      <c r="HQ249" s="46"/>
      <c r="HR249" s="46"/>
      <c r="HS249" s="46"/>
      <c r="HT249" s="46"/>
      <c r="HU249" s="46"/>
      <c r="HV249" s="93">
        <f t="shared" si="85"/>
        <v>0</v>
      </c>
      <c r="HX249" s="46"/>
      <c r="HY249" s="46"/>
      <c r="HZ249" s="46"/>
      <c r="IA249" s="46"/>
      <c r="IB249" s="46"/>
      <c r="IC249" s="46"/>
      <c r="ID249" s="46"/>
      <c r="IE249" s="46"/>
      <c r="IF249" s="46"/>
      <c r="IG249" s="46"/>
      <c r="IH249" s="46"/>
      <c r="II249" s="46"/>
      <c r="IJ249" s="46"/>
      <c r="IK249" s="46"/>
      <c r="IL249" s="46"/>
      <c r="IM249" s="46"/>
      <c r="IN249" s="46"/>
      <c r="IO249" s="46"/>
      <c r="IP249" s="46"/>
      <c r="IQ249" s="46"/>
      <c r="IR249" s="46"/>
      <c r="IS249" s="46"/>
      <c r="IT249" s="46"/>
      <c r="IU249" s="46"/>
      <c r="IV249" s="46"/>
      <c r="IW249" s="46"/>
      <c r="IX249" s="46"/>
      <c r="IY249" s="46"/>
      <c r="IZ249" s="46"/>
      <c r="JA249" s="46"/>
      <c r="JB249" s="46"/>
      <c r="JC249" s="93">
        <f t="shared" si="86"/>
        <v>0</v>
      </c>
      <c r="JE249" s="46"/>
      <c r="JF249" s="46"/>
      <c r="JG249" s="46"/>
      <c r="JH249" s="46"/>
      <c r="JI249" s="46"/>
      <c r="JJ249" s="46"/>
      <c r="JK249" s="46"/>
      <c r="JL249" s="46"/>
      <c r="JM249" s="46"/>
      <c r="JN249" s="46"/>
      <c r="JO249" s="46"/>
      <c r="JP249" s="46"/>
      <c r="JQ249" s="46"/>
      <c r="JR249" s="46"/>
      <c r="JS249" s="46"/>
      <c r="JT249" s="46"/>
      <c r="JU249" s="46"/>
      <c r="JV249" s="46"/>
      <c r="JW249" s="46"/>
      <c r="JX249" s="46"/>
      <c r="JY249" s="46"/>
      <c r="JZ249" s="46"/>
      <c r="KA249" s="46"/>
      <c r="KB249" s="46"/>
      <c r="KC249" s="46"/>
      <c r="KD249" s="46"/>
      <c r="KE249" s="46"/>
      <c r="KF249" s="46"/>
      <c r="KG249" s="46"/>
      <c r="KH249" s="46"/>
      <c r="KI249" s="46"/>
      <c r="KJ249" s="93">
        <f t="shared" si="87"/>
        <v>0</v>
      </c>
    </row>
    <row r="250" spans="1:296" ht="20.149999999999999" customHeight="1" x14ac:dyDescent="0.5">
      <c r="A250" s="11">
        <v>68</v>
      </c>
      <c r="B250" s="178" t="s">
        <v>369</v>
      </c>
      <c r="C250" s="144" t="s">
        <v>363</v>
      </c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>
        <f t="shared" si="70"/>
        <v>0</v>
      </c>
      <c r="S250" s="46">
        <f t="shared" si="71"/>
        <v>0</v>
      </c>
      <c r="T250" s="46">
        <f t="shared" si="72"/>
        <v>0</v>
      </c>
      <c r="U250" s="46">
        <f t="shared" si="73"/>
        <v>0</v>
      </c>
      <c r="V250" s="46">
        <f t="shared" si="74"/>
        <v>0</v>
      </c>
      <c r="W250" s="46">
        <f t="shared" si="75"/>
        <v>0</v>
      </c>
      <c r="X250" s="46">
        <f t="shared" si="76"/>
        <v>0</v>
      </c>
      <c r="Y250" s="46">
        <f t="shared" si="77"/>
        <v>0</v>
      </c>
      <c r="Z250" s="90">
        <f t="shared" si="82"/>
        <v>0</v>
      </c>
      <c r="AA250" s="95"/>
      <c r="AB250" s="95">
        <f>'LPLPO PROGRAM'!H81</f>
        <v>0</v>
      </c>
      <c r="AC250" s="91"/>
      <c r="AD250" s="91"/>
      <c r="AE250" s="91"/>
      <c r="AF250" s="91"/>
      <c r="AG250" s="92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93">
        <f t="shared" si="78"/>
        <v>0</v>
      </c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93">
        <f t="shared" si="83"/>
        <v>0</v>
      </c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  <c r="DK250" s="46"/>
      <c r="DL250" s="46"/>
      <c r="DM250" s="46"/>
      <c r="DN250" s="46"/>
      <c r="DO250" s="46"/>
      <c r="DP250" s="46"/>
      <c r="DQ250" s="46"/>
      <c r="DR250" s="46"/>
      <c r="DS250" s="46"/>
      <c r="DT250" s="46"/>
      <c r="DU250" s="46"/>
      <c r="DV250" s="46"/>
      <c r="DW250" s="46"/>
      <c r="DX250" s="46"/>
      <c r="DY250" s="46"/>
      <c r="DZ250" s="46"/>
      <c r="EA250" s="93">
        <f t="shared" si="79"/>
        <v>0</v>
      </c>
      <c r="EC250" s="46"/>
      <c r="ED250" s="46"/>
      <c r="EE250" s="46"/>
      <c r="EF250" s="46"/>
      <c r="EG250" s="46"/>
      <c r="EH250" s="46"/>
      <c r="EI250" s="46"/>
      <c r="EJ250" s="46"/>
      <c r="EK250" s="46"/>
      <c r="EL250" s="46"/>
      <c r="EM250" s="46"/>
      <c r="EN250" s="46"/>
      <c r="EO250" s="46"/>
      <c r="EP250" s="46"/>
      <c r="EQ250" s="46"/>
      <c r="ER250" s="46"/>
      <c r="ES250" s="46"/>
      <c r="ET250" s="46"/>
      <c r="EU250" s="46"/>
      <c r="EV250" s="46"/>
      <c r="EW250" s="46"/>
      <c r="EX250" s="46"/>
      <c r="EY250" s="46"/>
      <c r="EZ250" s="46"/>
      <c r="FA250" s="46"/>
      <c r="FB250" s="46"/>
      <c r="FC250" s="46"/>
      <c r="FD250" s="46"/>
      <c r="FE250" s="46"/>
      <c r="FF250" s="46"/>
      <c r="FG250" s="46"/>
      <c r="FH250" s="93">
        <f t="shared" si="80"/>
        <v>0</v>
      </c>
      <c r="FJ250" s="46"/>
      <c r="FK250" s="46"/>
      <c r="FL250" s="46"/>
      <c r="FM250" s="46"/>
      <c r="FN250" s="46"/>
      <c r="FO250" s="46"/>
      <c r="FP250" s="46"/>
      <c r="FQ250" s="46"/>
      <c r="FR250" s="46"/>
      <c r="FS250" s="46"/>
      <c r="FT250" s="46"/>
      <c r="FU250" s="46"/>
      <c r="FV250" s="46"/>
      <c r="FW250" s="46"/>
      <c r="FX250" s="46"/>
      <c r="FY250" s="46"/>
      <c r="FZ250" s="46"/>
      <c r="GA250" s="46"/>
      <c r="GB250" s="46"/>
      <c r="GC250" s="46"/>
      <c r="GD250" s="46"/>
      <c r="GE250" s="46"/>
      <c r="GF250" s="46"/>
      <c r="GG250" s="46"/>
      <c r="GH250" s="46"/>
      <c r="GI250" s="46"/>
      <c r="GJ250" s="46"/>
      <c r="GK250" s="46"/>
      <c r="GL250" s="46"/>
      <c r="GM250" s="46"/>
      <c r="GN250" s="46"/>
      <c r="GO250" s="93">
        <f t="shared" si="84"/>
        <v>0</v>
      </c>
      <c r="GQ250" s="46"/>
      <c r="GR250" s="46"/>
      <c r="GS250" s="46"/>
      <c r="GT250" s="46"/>
      <c r="GU250" s="46"/>
      <c r="GV250" s="46"/>
      <c r="GW250" s="46"/>
      <c r="GX250" s="46"/>
      <c r="GY250" s="46"/>
      <c r="GZ250" s="46"/>
      <c r="HA250" s="46"/>
      <c r="HB250" s="46"/>
      <c r="HC250" s="46"/>
      <c r="HD250" s="46"/>
      <c r="HE250" s="46"/>
      <c r="HF250" s="46"/>
      <c r="HG250" s="46"/>
      <c r="HH250" s="46"/>
      <c r="HI250" s="46"/>
      <c r="HJ250" s="46"/>
      <c r="HK250" s="46"/>
      <c r="HL250" s="46"/>
      <c r="HM250" s="46"/>
      <c r="HN250" s="46"/>
      <c r="HO250" s="46"/>
      <c r="HP250" s="46"/>
      <c r="HQ250" s="46"/>
      <c r="HR250" s="46"/>
      <c r="HS250" s="46"/>
      <c r="HT250" s="46"/>
      <c r="HU250" s="46"/>
      <c r="HV250" s="93">
        <f t="shared" si="85"/>
        <v>0</v>
      </c>
      <c r="HX250" s="46"/>
      <c r="HY250" s="46"/>
      <c r="HZ250" s="46"/>
      <c r="IA250" s="46"/>
      <c r="IB250" s="46"/>
      <c r="IC250" s="46"/>
      <c r="ID250" s="46"/>
      <c r="IE250" s="46"/>
      <c r="IF250" s="46"/>
      <c r="IG250" s="46"/>
      <c r="IH250" s="46"/>
      <c r="II250" s="46"/>
      <c r="IJ250" s="46"/>
      <c r="IK250" s="46"/>
      <c r="IL250" s="46"/>
      <c r="IM250" s="46"/>
      <c r="IN250" s="46"/>
      <c r="IO250" s="46"/>
      <c r="IP250" s="46"/>
      <c r="IQ250" s="46"/>
      <c r="IR250" s="46"/>
      <c r="IS250" s="46"/>
      <c r="IT250" s="46"/>
      <c r="IU250" s="46"/>
      <c r="IV250" s="46"/>
      <c r="IW250" s="46"/>
      <c r="IX250" s="46"/>
      <c r="IY250" s="46"/>
      <c r="IZ250" s="46"/>
      <c r="JA250" s="46"/>
      <c r="JB250" s="46"/>
      <c r="JC250" s="93">
        <f t="shared" si="86"/>
        <v>0</v>
      </c>
      <c r="JE250" s="46"/>
      <c r="JF250" s="46"/>
      <c r="JG250" s="46"/>
      <c r="JH250" s="46"/>
      <c r="JI250" s="46"/>
      <c r="JJ250" s="46"/>
      <c r="JK250" s="46"/>
      <c r="JL250" s="46"/>
      <c r="JM250" s="46"/>
      <c r="JN250" s="46"/>
      <c r="JO250" s="46"/>
      <c r="JP250" s="46"/>
      <c r="JQ250" s="46"/>
      <c r="JR250" s="46"/>
      <c r="JS250" s="46"/>
      <c r="JT250" s="46"/>
      <c r="JU250" s="46"/>
      <c r="JV250" s="46"/>
      <c r="JW250" s="46"/>
      <c r="JX250" s="46"/>
      <c r="JY250" s="46"/>
      <c r="JZ250" s="46"/>
      <c r="KA250" s="46"/>
      <c r="KB250" s="46"/>
      <c r="KC250" s="46"/>
      <c r="KD250" s="46"/>
      <c r="KE250" s="46"/>
      <c r="KF250" s="46"/>
      <c r="KG250" s="46"/>
      <c r="KH250" s="46"/>
      <c r="KI250" s="46"/>
      <c r="KJ250" s="93">
        <f t="shared" si="87"/>
        <v>0</v>
      </c>
    </row>
    <row r="251" spans="1:296" ht="20.149999999999999" customHeight="1" x14ac:dyDescent="0.5">
      <c r="A251" s="11">
        <v>69</v>
      </c>
      <c r="B251" s="183" t="s">
        <v>200</v>
      </c>
      <c r="C251" s="144" t="s">
        <v>201</v>
      </c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>
        <f t="shared" si="70"/>
        <v>0</v>
      </c>
      <c r="S251" s="46">
        <f t="shared" si="71"/>
        <v>0</v>
      </c>
      <c r="T251" s="46">
        <f t="shared" si="72"/>
        <v>0</v>
      </c>
      <c r="U251" s="46">
        <f t="shared" si="73"/>
        <v>0</v>
      </c>
      <c r="V251" s="46">
        <f t="shared" si="74"/>
        <v>0</v>
      </c>
      <c r="W251" s="46">
        <f t="shared" si="75"/>
        <v>0</v>
      </c>
      <c r="X251" s="46">
        <f t="shared" si="76"/>
        <v>0</v>
      </c>
      <c r="Y251" s="46">
        <f t="shared" si="77"/>
        <v>0</v>
      </c>
      <c r="Z251" s="90">
        <f t="shared" si="82"/>
        <v>0</v>
      </c>
      <c r="AA251" s="95"/>
      <c r="AB251" s="95">
        <f>'LPLPO PROGRAM'!H82</f>
        <v>0</v>
      </c>
      <c r="AC251" s="91"/>
      <c r="AD251" s="91"/>
      <c r="AE251" s="91"/>
      <c r="AF251" s="91"/>
      <c r="AG251" s="92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93">
        <f t="shared" si="78"/>
        <v>0</v>
      </c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93">
        <f t="shared" si="83"/>
        <v>0</v>
      </c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  <c r="DK251" s="46"/>
      <c r="DL251" s="46"/>
      <c r="DM251" s="46"/>
      <c r="DN251" s="46"/>
      <c r="DO251" s="46"/>
      <c r="DP251" s="46"/>
      <c r="DQ251" s="46"/>
      <c r="DR251" s="46"/>
      <c r="DS251" s="46"/>
      <c r="DT251" s="46"/>
      <c r="DU251" s="46"/>
      <c r="DV251" s="46"/>
      <c r="DW251" s="46"/>
      <c r="DX251" s="46"/>
      <c r="DY251" s="46"/>
      <c r="DZ251" s="46"/>
      <c r="EA251" s="93">
        <f t="shared" si="79"/>
        <v>0</v>
      </c>
      <c r="EC251" s="46"/>
      <c r="ED251" s="46"/>
      <c r="EE251" s="46"/>
      <c r="EF251" s="46"/>
      <c r="EG251" s="46"/>
      <c r="EH251" s="46"/>
      <c r="EI251" s="46"/>
      <c r="EJ251" s="46"/>
      <c r="EK251" s="46"/>
      <c r="EL251" s="46"/>
      <c r="EM251" s="46"/>
      <c r="EN251" s="46"/>
      <c r="EO251" s="46"/>
      <c r="EP251" s="46"/>
      <c r="EQ251" s="46"/>
      <c r="ER251" s="46"/>
      <c r="ES251" s="46"/>
      <c r="ET251" s="46"/>
      <c r="EU251" s="46"/>
      <c r="EV251" s="46"/>
      <c r="EW251" s="46"/>
      <c r="EX251" s="46"/>
      <c r="EY251" s="46"/>
      <c r="EZ251" s="46"/>
      <c r="FA251" s="46"/>
      <c r="FB251" s="46"/>
      <c r="FC251" s="46"/>
      <c r="FD251" s="46"/>
      <c r="FE251" s="46"/>
      <c r="FF251" s="46"/>
      <c r="FG251" s="46"/>
      <c r="FH251" s="93">
        <f t="shared" si="80"/>
        <v>0</v>
      </c>
      <c r="FJ251" s="46"/>
      <c r="FK251" s="46"/>
      <c r="FL251" s="46"/>
      <c r="FM251" s="46"/>
      <c r="FN251" s="46"/>
      <c r="FO251" s="46"/>
      <c r="FP251" s="46"/>
      <c r="FQ251" s="46"/>
      <c r="FR251" s="46"/>
      <c r="FS251" s="46"/>
      <c r="FT251" s="46"/>
      <c r="FU251" s="46"/>
      <c r="FV251" s="46"/>
      <c r="FW251" s="46"/>
      <c r="FX251" s="46"/>
      <c r="FY251" s="46"/>
      <c r="FZ251" s="46"/>
      <c r="GA251" s="46"/>
      <c r="GB251" s="46"/>
      <c r="GC251" s="46"/>
      <c r="GD251" s="46"/>
      <c r="GE251" s="46"/>
      <c r="GF251" s="46"/>
      <c r="GG251" s="46"/>
      <c r="GH251" s="46"/>
      <c r="GI251" s="46"/>
      <c r="GJ251" s="46"/>
      <c r="GK251" s="46"/>
      <c r="GL251" s="46"/>
      <c r="GM251" s="46"/>
      <c r="GN251" s="46"/>
      <c r="GO251" s="93">
        <f t="shared" si="84"/>
        <v>0</v>
      </c>
      <c r="GQ251" s="46"/>
      <c r="GR251" s="46"/>
      <c r="GS251" s="46"/>
      <c r="GT251" s="46"/>
      <c r="GU251" s="46"/>
      <c r="GV251" s="46"/>
      <c r="GW251" s="46"/>
      <c r="GX251" s="46"/>
      <c r="GY251" s="46"/>
      <c r="GZ251" s="46"/>
      <c r="HA251" s="46"/>
      <c r="HB251" s="46"/>
      <c r="HC251" s="46"/>
      <c r="HD251" s="46"/>
      <c r="HE251" s="46"/>
      <c r="HF251" s="46"/>
      <c r="HG251" s="46"/>
      <c r="HH251" s="46"/>
      <c r="HI251" s="46"/>
      <c r="HJ251" s="46"/>
      <c r="HK251" s="46"/>
      <c r="HL251" s="46"/>
      <c r="HM251" s="46"/>
      <c r="HN251" s="46"/>
      <c r="HO251" s="46"/>
      <c r="HP251" s="46"/>
      <c r="HQ251" s="46"/>
      <c r="HR251" s="46"/>
      <c r="HS251" s="46"/>
      <c r="HT251" s="46"/>
      <c r="HU251" s="46"/>
      <c r="HV251" s="93">
        <f t="shared" si="85"/>
        <v>0</v>
      </c>
      <c r="HX251" s="46"/>
      <c r="HY251" s="46"/>
      <c r="HZ251" s="46"/>
      <c r="IA251" s="46"/>
      <c r="IB251" s="46"/>
      <c r="IC251" s="46"/>
      <c r="ID251" s="46"/>
      <c r="IE251" s="46"/>
      <c r="IF251" s="46"/>
      <c r="IG251" s="46"/>
      <c r="IH251" s="46"/>
      <c r="II251" s="46"/>
      <c r="IJ251" s="46"/>
      <c r="IK251" s="46"/>
      <c r="IL251" s="46"/>
      <c r="IM251" s="46"/>
      <c r="IN251" s="46"/>
      <c r="IO251" s="46"/>
      <c r="IP251" s="46"/>
      <c r="IQ251" s="46"/>
      <c r="IR251" s="46"/>
      <c r="IS251" s="46"/>
      <c r="IT251" s="46"/>
      <c r="IU251" s="46"/>
      <c r="IV251" s="46"/>
      <c r="IW251" s="46"/>
      <c r="IX251" s="46"/>
      <c r="IY251" s="46"/>
      <c r="IZ251" s="46"/>
      <c r="JA251" s="46"/>
      <c r="JB251" s="46"/>
      <c r="JC251" s="93">
        <f t="shared" si="86"/>
        <v>0</v>
      </c>
      <c r="JE251" s="46"/>
      <c r="JF251" s="46"/>
      <c r="JG251" s="46"/>
      <c r="JH251" s="46"/>
      <c r="JI251" s="46"/>
      <c r="JJ251" s="46"/>
      <c r="JK251" s="46"/>
      <c r="JL251" s="46"/>
      <c r="JM251" s="46"/>
      <c r="JN251" s="46"/>
      <c r="JO251" s="46"/>
      <c r="JP251" s="46"/>
      <c r="JQ251" s="46"/>
      <c r="JR251" s="46"/>
      <c r="JS251" s="46"/>
      <c r="JT251" s="46"/>
      <c r="JU251" s="46"/>
      <c r="JV251" s="46"/>
      <c r="JW251" s="46"/>
      <c r="JX251" s="46"/>
      <c r="JY251" s="46"/>
      <c r="JZ251" s="46"/>
      <c r="KA251" s="46"/>
      <c r="KB251" s="46"/>
      <c r="KC251" s="46"/>
      <c r="KD251" s="46"/>
      <c r="KE251" s="46"/>
      <c r="KF251" s="46"/>
      <c r="KG251" s="46"/>
      <c r="KH251" s="46"/>
      <c r="KI251" s="46"/>
      <c r="KJ251" s="93">
        <f t="shared" si="87"/>
        <v>0</v>
      </c>
    </row>
    <row r="252" spans="1:296" ht="20.149999999999999" customHeight="1" x14ac:dyDescent="0.5">
      <c r="A252" s="11">
        <v>70</v>
      </c>
      <c r="B252" s="178" t="s">
        <v>279</v>
      </c>
      <c r="C252" s="144" t="s">
        <v>201</v>
      </c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>
        <f t="shared" si="70"/>
        <v>0</v>
      </c>
      <c r="S252" s="46">
        <f t="shared" si="71"/>
        <v>0</v>
      </c>
      <c r="T252" s="46">
        <f t="shared" si="72"/>
        <v>0</v>
      </c>
      <c r="U252" s="46">
        <f t="shared" si="73"/>
        <v>0</v>
      </c>
      <c r="V252" s="46">
        <f t="shared" si="74"/>
        <v>0</v>
      </c>
      <c r="W252" s="46">
        <f t="shared" si="75"/>
        <v>0</v>
      </c>
      <c r="X252" s="46">
        <f t="shared" si="76"/>
        <v>0</v>
      </c>
      <c r="Y252" s="46">
        <f t="shared" si="77"/>
        <v>0</v>
      </c>
      <c r="Z252" s="90">
        <f t="shared" si="82"/>
        <v>0</v>
      </c>
      <c r="AA252" s="95"/>
      <c r="AB252" s="95">
        <f>'LPLPO PROGRAM'!H83</f>
        <v>0</v>
      </c>
      <c r="AC252" s="91" t="s">
        <v>420</v>
      </c>
      <c r="AD252" s="91"/>
      <c r="AE252" s="91"/>
      <c r="AF252" s="91"/>
      <c r="AG252" s="92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93">
        <f t="shared" si="78"/>
        <v>0</v>
      </c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93">
        <f t="shared" si="83"/>
        <v>0</v>
      </c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  <c r="DK252" s="46"/>
      <c r="DL252" s="46"/>
      <c r="DM252" s="46"/>
      <c r="DN252" s="46"/>
      <c r="DO252" s="46"/>
      <c r="DP252" s="46"/>
      <c r="DQ252" s="46"/>
      <c r="DR252" s="46"/>
      <c r="DS252" s="46"/>
      <c r="DT252" s="46"/>
      <c r="DU252" s="46"/>
      <c r="DV252" s="46"/>
      <c r="DW252" s="46"/>
      <c r="DX252" s="46"/>
      <c r="DY252" s="46"/>
      <c r="DZ252" s="46"/>
      <c r="EA252" s="93">
        <f t="shared" si="79"/>
        <v>0</v>
      </c>
      <c r="EC252" s="46"/>
      <c r="ED252" s="46"/>
      <c r="EE252" s="46"/>
      <c r="EF252" s="46"/>
      <c r="EG252" s="46"/>
      <c r="EH252" s="46"/>
      <c r="EI252" s="46"/>
      <c r="EJ252" s="46"/>
      <c r="EK252" s="46"/>
      <c r="EL252" s="46"/>
      <c r="EM252" s="46"/>
      <c r="EN252" s="46"/>
      <c r="EO252" s="46"/>
      <c r="EP252" s="46"/>
      <c r="EQ252" s="46"/>
      <c r="ER252" s="46"/>
      <c r="ES252" s="46"/>
      <c r="ET252" s="46"/>
      <c r="EU252" s="46"/>
      <c r="EV252" s="46"/>
      <c r="EW252" s="46"/>
      <c r="EX252" s="46"/>
      <c r="EY252" s="46"/>
      <c r="EZ252" s="46"/>
      <c r="FA252" s="46"/>
      <c r="FB252" s="46"/>
      <c r="FC252" s="46"/>
      <c r="FD252" s="46"/>
      <c r="FE252" s="46"/>
      <c r="FF252" s="46"/>
      <c r="FG252" s="46"/>
      <c r="FH252" s="93">
        <f t="shared" si="80"/>
        <v>0</v>
      </c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6"/>
      <c r="FU252" s="46"/>
      <c r="FV252" s="46"/>
      <c r="FW252" s="46"/>
      <c r="FX252" s="46"/>
      <c r="FY252" s="46"/>
      <c r="FZ252" s="46"/>
      <c r="GA252" s="46"/>
      <c r="GB252" s="46"/>
      <c r="GC252" s="46"/>
      <c r="GD252" s="46"/>
      <c r="GE252" s="46"/>
      <c r="GF252" s="46"/>
      <c r="GG252" s="46"/>
      <c r="GH252" s="46"/>
      <c r="GI252" s="46"/>
      <c r="GJ252" s="46"/>
      <c r="GK252" s="46"/>
      <c r="GL252" s="46"/>
      <c r="GM252" s="46"/>
      <c r="GN252" s="46"/>
      <c r="GO252" s="93">
        <f t="shared" si="84"/>
        <v>0</v>
      </c>
      <c r="GQ252" s="46"/>
      <c r="GR252" s="46"/>
      <c r="GS252" s="46"/>
      <c r="GT252" s="46"/>
      <c r="GU252" s="46"/>
      <c r="GV252" s="46"/>
      <c r="GW252" s="46"/>
      <c r="GX252" s="46"/>
      <c r="GY252" s="46"/>
      <c r="GZ252" s="46"/>
      <c r="HA252" s="46"/>
      <c r="HB252" s="46"/>
      <c r="HC252" s="46"/>
      <c r="HD252" s="46"/>
      <c r="HE252" s="46"/>
      <c r="HF252" s="46"/>
      <c r="HG252" s="46"/>
      <c r="HH252" s="46"/>
      <c r="HI252" s="46"/>
      <c r="HJ252" s="46"/>
      <c r="HK252" s="46"/>
      <c r="HL252" s="46"/>
      <c r="HM252" s="46"/>
      <c r="HN252" s="46"/>
      <c r="HO252" s="46"/>
      <c r="HP252" s="46"/>
      <c r="HQ252" s="46"/>
      <c r="HR252" s="46"/>
      <c r="HS252" s="46"/>
      <c r="HT252" s="46"/>
      <c r="HU252" s="46"/>
      <c r="HV252" s="93">
        <f t="shared" si="85"/>
        <v>0</v>
      </c>
      <c r="HX252" s="46"/>
      <c r="HY252" s="46"/>
      <c r="HZ252" s="46"/>
      <c r="IA252" s="46"/>
      <c r="IB252" s="46"/>
      <c r="IC252" s="46"/>
      <c r="ID252" s="46"/>
      <c r="IE252" s="46"/>
      <c r="IF252" s="46"/>
      <c r="IG252" s="46"/>
      <c r="IH252" s="46"/>
      <c r="II252" s="46"/>
      <c r="IJ252" s="46"/>
      <c r="IK252" s="46"/>
      <c r="IL252" s="46"/>
      <c r="IM252" s="46"/>
      <c r="IN252" s="46"/>
      <c r="IO252" s="46"/>
      <c r="IP252" s="46"/>
      <c r="IQ252" s="46"/>
      <c r="IR252" s="46"/>
      <c r="IS252" s="46"/>
      <c r="IT252" s="46"/>
      <c r="IU252" s="46"/>
      <c r="IV252" s="46"/>
      <c r="IW252" s="46"/>
      <c r="IX252" s="46"/>
      <c r="IY252" s="46"/>
      <c r="IZ252" s="46"/>
      <c r="JA252" s="46"/>
      <c r="JB252" s="46"/>
      <c r="JC252" s="93">
        <f t="shared" si="86"/>
        <v>0</v>
      </c>
      <c r="JE252" s="46"/>
      <c r="JF252" s="46"/>
      <c r="JG252" s="46"/>
      <c r="JH252" s="46"/>
      <c r="JI252" s="46"/>
      <c r="JJ252" s="46"/>
      <c r="JK252" s="46"/>
      <c r="JL252" s="46"/>
      <c r="JM252" s="46"/>
      <c r="JN252" s="46"/>
      <c r="JO252" s="46"/>
      <c r="JP252" s="46"/>
      <c r="JQ252" s="46"/>
      <c r="JR252" s="46"/>
      <c r="JS252" s="46"/>
      <c r="JT252" s="46"/>
      <c r="JU252" s="46"/>
      <c r="JV252" s="46"/>
      <c r="JW252" s="46"/>
      <c r="JX252" s="46"/>
      <c r="JY252" s="46"/>
      <c r="JZ252" s="46"/>
      <c r="KA252" s="46"/>
      <c r="KB252" s="46"/>
      <c r="KC252" s="46"/>
      <c r="KD252" s="46"/>
      <c r="KE252" s="46"/>
      <c r="KF252" s="46"/>
      <c r="KG252" s="46"/>
      <c r="KH252" s="46"/>
      <c r="KI252" s="46"/>
      <c r="KJ252" s="93">
        <f t="shared" si="87"/>
        <v>0</v>
      </c>
    </row>
    <row r="253" spans="1:296" ht="20.149999999999999" customHeight="1" x14ac:dyDescent="0.5">
      <c r="A253" s="11">
        <v>71</v>
      </c>
      <c r="B253" s="183" t="s">
        <v>365</v>
      </c>
      <c r="C253" s="144" t="s">
        <v>6</v>
      </c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>
        <f t="shared" si="70"/>
        <v>0</v>
      </c>
      <c r="S253" s="46">
        <f t="shared" si="71"/>
        <v>0</v>
      </c>
      <c r="T253" s="46">
        <f t="shared" si="72"/>
        <v>0</v>
      </c>
      <c r="U253" s="46">
        <f t="shared" si="73"/>
        <v>0</v>
      </c>
      <c r="V253" s="46">
        <f t="shared" si="74"/>
        <v>0</v>
      </c>
      <c r="W253" s="46">
        <f t="shared" si="75"/>
        <v>0</v>
      </c>
      <c r="X253" s="46">
        <f t="shared" si="76"/>
        <v>0</v>
      </c>
      <c r="Y253" s="46">
        <f t="shared" si="77"/>
        <v>0</v>
      </c>
      <c r="Z253" s="90">
        <f t="shared" si="82"/>
        <v>0</v>
      </c>
      <c r="AA253" s="95"/>
      <c r="AB253" s="95">
        <f>'LPLPO PROGRAM'!H84</f>
        <v>0</v>
      </c>
      <c r="AC253" s="91"/>
      <c r="AD253" s="91"/>
      <c r="AE253" s="91"/>
      <c r="AF253" s="91"/>
      <c r="AG253" s="92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93">
        <f t="shared" si="78"/>
        <v>0</v>
      </c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93">
        <f t="shared" si="83"/>
        <v>0</v>
      </c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  <c r="DK253" s="46"/>
      <c r="DL253" s="46"/>
      <c r="DM253" s="46"/>
      <c r="DN253" s="46"/>
      <c r="DO253" s="46"/>
      <c r="DP253" s="46"/>
      <c r="DQ253" s="46"/>
      <c r="DR253" s="46"/>
      <c r="DS253" s="46"/>
      <c r="DT253" s="46"/>
      <c r="DU253" s="46"/>
      <c r="DV253" s="46"/>
      <c r="DW253" s="46"/>
      <c r="DX253" s="46"/>
      <c r="DY253" s="46"/>
      <c r="DZ253" s="46"/>
      <c r="EA253" s="93">
        <f t="shared" si="79"/>
        <v>0</v>
      </c>
      <c r="EC253" s="46"/>
      <c r="ED253" s="46"/>
      <c r="EE253" s="46"/>
      <c r="EF253" s="46"/>
      <c r="EG253" s="46"/>
      <c r="EH253" s="46"/>
      <c r="EI253" s="46"/>
      <c r="EJ253" s="46"/>
      <c r="EK253" s="46"/>
      <c r="EL253" s="46"/>
      <c r="EM253" s="46"/>
      <c r="EN253" s="46"/>
      <c r="EO253" s="46"/>
      <c r="EP253" s="46"/>
      <c r="EQ253" s="46"/>
      <c r="ER253" s="46"/>
      <c r="ES253" s="46"/>
      <c r="ET253" s="46"/>
      <c r="EU253" s="46"/>
      <c r="EV253" s="46"/>
      <c r="EW253" s="46"/>
      <c r="EX253" s="46"/>
      <c r="EY253" s="46"/>
      <c r="EZ253" s="46"/>
      <c r="FA253" s="46"/>
      <c r="FB253" s="46"/>
      <c r="FC253" s="46"/>
      <c r="FD253" s="46"/>
      <c r="FE253" s="46"/>
      <c r="FF253" s="46"/>
      <c r="FG253" s="46"/>
      <c r="FH253" s="93">
        <f t="shared" si="80"/>
        <v>0</v>
      </c>
      <c r="FJ253" s="46"/>
      <c r="FK253" s="46"/>
      <c r="FL253" s="46"/>
      <c r="FM253" s="46"/>
      <c r="FN253" s="46"/>
      <c r="FO253" s="46"/>
      <c r="FP253" s="46"/>
      <c r="FQ253" s="46"/>
      <c r="FR253" s="46"/>
      <c r="FS253" s="46"/>
      <c r="FT253" s="46"/>
      <c r="FU253" s="46"/>
      <c r="FV253" s="46"/>
      <c r="FW253" s="46"/>
      <c r="FX253" s="46"/>
      <c r="FY253" s="46"/>
      <c r="FZ253" s="46"/>
      <c r="GA253" s="46"/>
      <c r="GB253" s="46"/>
      <c r="GC253" s="46"/>
      <c r="GD253" s="46"/>
      <c r="GE253" s="46"/>
      <c r="GF253" s="46"/>
      <c r="GG253" s="46"/>
      <c r="GH253" s="46"/>
      <c r="GI253" s="46"/>
      <c r="GJ253" s="46"/>
      <c r="GK253" s="46"/>
      <c r="GL253" s="46"/>
      <c r="GM253" s="46"/>
      <c r="GN253" s="46"/>
      <c r="GO253" s="93">
        <f t="shared" si="84"/>
        <v>0</v>
      </c>
      <c r="GQ253" s="46"/>
      <c r="GR253" s="46"/>
      <c r="GS253" s="46"/>
      <c r="GT253" s="46"/>
      <c r="GU253" s="46"/>
      <c r="GV253" s="46"/>
      <c r="GW253" s="46"/>
      <c r="GX253" s="46"/>
      <c r="GY253" s="46"/>
      <c r="GZ253" s="46"/>
      <c r="HA253" s="46"/>
      <c r="HB253" s="46"/>
      <c r="HC253" s="46"/>
      <c r="HD253" s="46"/>
      <c r="HE253" s="46"/>
      <c r="HF253" s="46"/>
      <c r="HG253" s="46"/>
      <c r="HH253" s="46"/>
      <c r="HI253" s="46"/>
      <c r="HJ253" s="46"/>
      <c r="HK253" s="46"/>
      <c r="HL253" s="46"/>
      <c r="HM253" s="46"/>
      <c r="HN253" s="46"/>
      <c r="HO253" s="46"/>
      <c r="HP253" s="46"/>
      <c r="HQ253" s="46"/>
      <c r="HR253" s="46"/>
      <c r="HS253" s="46"/>
      <c r="HT253" s="46"/>
      <c r="HU253" s="46"/>
      <c r="HV253" s="93">
        <f t="shared" si="85"/>
        <v>0</v>
      </c>
      <c r="HX253" s="46"/>
      <c r="HY253" s="46"/>
      <c r="HZ253" s="46"/>
      <c r="IA253" s="46"/>
      <c r="IB253" s="46"/>
      <c r="IC253" s="46"/>
      <c r="ID253" s="46"/>
      <c r="IE253" s="46"/>
      <c r="IF253" s="46"/>
      <c r="IG253" s="46"/>
      <c r="IH253" s="46"/>
      <c r="II253" s="46"/>
      <c r="IJ253" s="46"/>
      <c r="IK253" s="46"/>
      <c r="IL253" s="46"/>
      <c r="IM253" s="46"/>
      <c r="IN253" s="46"/>
      <c r="IO253" s="46"/>
      <c r="IP253" s="46"/>
      <c r="IQ253" s="46"/>
      <c r="IR253" s="46"/>
      <c r="IS253" s="46"/>
      <c r="IT253" s="46"/>
      <c r="IU253" s="46"/>
      <c r="IV253" s="46"/>
      <c r="IW253" s="46"/>
      <c r="IX253" s="46"/>
      <c r="IY253" s="46"/>
      <c r="IZ253" s="46"/>
      <c r="JA253" s="46"/>
      <c r="JB253" s="46"/>
      <c r="JC253" s="93">
        <f t="shared" si="86"/>
        <v>0</v>
      </c>
      <c r="JE253" s="46"/>
      <c r="JF253" s="46"/>
      <c r="JG253" s="46"/>
      <c r="JH253" s="46"/>
      <c r="JI253" s="46"/>
      <c r="JJ253" s="46"/>
      <c r="JK253" s="46"/>
      <c r="JL253" s="46"/>
      <c r="JM253" s="46"/>
      <c r="JN253" s="46"/>
      <c r="JO253" s="46"/>
      <c r="JP253" s="46"/>
      <c r="JQ253" s="46"/>
      <c r="JR253" s="46"/>
      <c r="JS253" s="46"/>
      <c r="JT253" s="46"/>
      <c r="JU253" s="46"/>
      <c r="JV253" s="46"/>
      <c r="JW253" s="46"/>
      <c r="JX253" s="46"/>
      <c r="JY253" s="46"/>
      <c r="JZ253" s="46"/>
      <c r="KA253" s="46"/>
      <c r="KB253" s="46"/>
      <c r="KC253" s="46"/>
      <c r="KD253" s="46"/>
      <c r="KE253" s="46"/>
      <c r="KF253" s="46"/>
      <c r="KG253" s="46"/>
      <c r="KH253" s="46"/>
      <c r="KI253" s="46"/>
      <c r="KJ253" s="93">
        <f t="shared" si="87"/>
        <v>0</v>
      </c>
    </row>
    <row r="254" spans="1:296" ht="20.149999999999999" customHeight="1" x14ac:dyDescent="0.5">
      <c r="A254" s="11">
        <v>72</v>
      </c>
      <c r="B254" s="183" t="s">
        <v>271</v>
      </c>
      <c r="C254" s="144" t="s">
        <v>204</v>
      </c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>
        <f t="shared" si="70"/>
        <v>0</v>
      </c>
      <c r="S254" s="46">
        <f t="shared" si="71"/>
        <v>0</v>
      </c>
      <c r="T254" s="46">
        <f t="shared" si="72"/>
        <v>0</v>
      </c>
      <c r="U254" s="46">
        <f t="shared" si="73"/>
        <v>0</v>
      </c>
      <c r="V254" s="46">
        <f t="shared" si="74"/>
        <v>0</v>
      </c>
      <c r="W254" s="46">
        <f t="shared" si="75"/>
        <v>0</v>
      </c>
      <c r="X254" s="46">
        <f t="shared" si="76"/>
        <v>0</v>
      </c>
      <c r="Y254" s="46">
        <f t="shared" si="77"/>
        <v>0</v>
      </c>
      <c r="Z254" s="90">
        <f t="shared" si="82"/>
        <v>0</v>
      </c>
      <c r="AA254" s="95"/>
      <c r="AB254" s="95">
        <f>'LPLPO PROGRAM'!H85</f>
        <v>0</v>
      </c>
      <c r="AC254" s="91"/>
      <c r="AD254" s="91"/>
      <c r="AE254" s="91"/>
      <c r="AF254" s="91"/>
      <c r="AG254" s="92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93">
        <f t="shared" si="78"/>
        <v>0</v>
      </c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93">
        <f t="shared" si="83"/>
        <v>0</v>
      </c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  <c r="DK254" s="46"/>
      <c r="DL254" s="46"/>
      <c r="DM254" s="46"/>
      <c r="DN254" s="46"/>
      <c r="DO254" s="46"/>
      <c r="DP254" s="46"/>
      <c r="DQ254" s="46"/>
      <c r="DR254" s="46"/>
      <c r="DS254" s="46"/>
      <c r="DT254" s="46"/>
      <c r="DU254" s="46"/>
      <c r="DV254" s="46"/>
      <c r="DW254" s="46"/>
      <c r="DX254" s="46"/>
      <c r="DY254" s="46"/>
      <c r="DZ254" s="46"/>
      <c r="EA254" s="93">
        <f t="shared" si="79"/>
        <v>0</v>
      </c>
      <c r="EC254" s="46"/>
      <c r="ED254" s="46"/>
      <c r="EE254" s="46"/>
      <c r="EF254" s="46"/>
      <c r="EG254" s="46"/>
      <c r="EH254" s="46"/>
      <c r="EI254" s="46"/>
      <c r="EJ254" s="46"/>
      <c r="EK254" s="46"/>
      <c r="EL254" s="46"/>
      <c r="EM254" s="46"/>
      <c r="EN254" s="46"/>
      <c r="EO254" s="46"/>
      <c r="EP254" s="46"/>
      <c r="EQ254" s="46"/>
      <c r="ER254" s="46"/>
      <c r="ES254" s="46"/>
      <c r="ET254" s="46"/>
      <c r="EU254" s="46"/>
      <c r="EV254" s="46"/>
      <c r="EW254" s="46"/>
      <c r="EX254" s="46"/>
      <c r="EY254" s="46"/>
      <c r="EZ254" s="46"/>
      <c r="FA254" s="46"/>
      <c r="FB254" s="46"/>
      <c r="FC254" s="46"/>
      <c r="FD254" s="46"/>
      <c r="FE254" s="46"/>
      <c r="FF254" s="46"/>
      <c r="FG254" s="46"/>
      <c r="FH254" s="93">
        <f t="shared" si="80"/>
        <v>0</v>
      </c>
      <c r="FJ254" s="46"/>
      <c r="FK254" s="46"/>
      <c r="FL254" s="46"/>
      <c r="FM254" s="46"/>
      <c r="FN254" s="46"/>
      <c r="FO254" s="46"/>
      <c r="FP254" s="46"/>
      <c r="FQ254" s="46"/>
      <c r="FR254" s="46"/>
      <c r="FS254" s="46"/>
      <c r="FT254" s="46"/>
      <c r="FU254" s="46"/>
      <c r="FV254" s="46"/>
      <c r="FW254" s="46"/>
      <c r="FX254" s="46"/>
      <c r="FY254" s="46"/>
      <c r="FZ254" s="46"/>
      <c r="GA254" s="46"/>
      <c r="GB254" s="46"/>
      <c r="GC254" s="46"/>
      <c r="GD254" s="46"/>
      <c r="GE254" s="46"/>
      <c r="GF254" s="46"/>
      <c r="GG254" s="46"/>
      <c r="GH254" s="46"/>
      <c r="GI254" s="46"/>
      <c r="GJ254" s="46"/>
      <c r="GK254" s="46"/>
      <c r="GL254" s="46"/>
      <c r="GM254" s="46"/>
      <c r="GN254" s="46"/>
      <c r="GO254" s="93">
        <f t="shared" si="84"/>
        <v>0</v>
      </c>
      <c r="GQ254" s="46"/>
      <c r="GR254" s="46"/>
      <c r="GS254" s="46"/>
      <c r="GT254" s="46"/>
      <c r="GU254" s="46"/>
      <c r="GV254" s="46"/>
      <c r="GW254" s="46"/>
      <c r="GX254" s="46"/>
      <c r="GY254" s="46"/>
      <c r="GZ254" s="46"/>
      <c r="HA254" s="46"/>
      <c r="HB254" s="46"/>
      <c r="HC254" s="46"/>
      <c r="HD254" s="46"/>
      <c r="HE254" s="46"/>
      <c r="HF254" s="46"/>
      <c r="HG254" s="46"/>
      <c r="HH254" s="46"/>
      <c r="HI254" s="46"/>
      <c r="HJ254" s="46"/>
      <c r="HK254" s="46"/>
      <c r="HL254" s="46"/>
      <c r="HM254" s="46"/>
      <c r="HN254" s="46"/>
      <c r="HO254" s="46"/>
      <c r="HP254" s="46"/>
      <c r="HQ254" s="46"/>
      <c r="HR254" s="46"/>
      <c r="HS254" s="46"/>
      <c r="HT254" s="46"/>
      <c r="HU254" s="46"/>
      <c r="HV254" s="93">
        <f t="shared" si="85"/>
        <v>0</v>
      </c>
      <c r="HX254" s="46"/>
      <c r="HY254" s="46"/>
      <c r="HZ254" s="46"/>
      <c r="IA254" s="46"/>
      <c r="IB254" s="46"/>
      <c r="IC254" s="46"/>
      <c r="ID254" s="46"/>
      <c r="IE254" s="46"/>
      <c r="IF254" s="46"/>
      <c r="IG254" s="46"/>
      <c r="IH254" s="46"/>
      <c r="II254" s="46"/>
      <c r="IJ254" s="46"/>
      <c r="IK254" s="46"/>
      <c r="IL254" s="46"/>
      <c r="IM254" s="46"/>
      <c r="IN254" s="46"/>
      <c r="IO254" s="46"/>
      <c r="IP254" s="46"/>
      <c r="IQ254" s="46"/>
      <c r="IR254" s="46"/>
      <c r="IS254" s="46"/>
      <c r="IT254" s="46"/>
      <c r="IU254" s="46"/>
      <c r="IV254" s="46"/>
      <c r="IW254" s="46"/>
      <c r="IX254" s="46"/>
      <c r="IY254" s="46"/>
      <c r="IZ254" s="46"/>
      <c r="JA254" s="46"/>
      <c r="JB254" s="46"/>
      <c r="JC254" s="93">
        <f t="shared" si="86"/>
        <v>0</v>
      </c>
      <c r="JE254" s="46"/>
      <c r="JF254" s="46"/>
      <c r="JG254" s="46"/>
      <c r="JH254" s="46"/>
      <c r="JI254" s="46"/>
      <c r="JJ254" s="46"/>
      <c r="JK254" s="46"/>
      <c r="JL254" s="46"/>
      <c r="JM254" s="46"/>
      <c r="JN254" s="46"/>
      <c r="JO254" s="46"/>
      <c r="JP254" s="46"/>
      <c r="JQ254" s="46"/>
      <c r="JR254" s="46"/>
      <c r="JS254" s="46"/>
      <c r="JT254" s="46"/>
      <c r="JU254" s="46"/>
      <c r="JV254" s="46"/>
      <c r="JW254" s="46"/>
      <c r="JX254" s="46"/>
      <c r="JY254" s="46"/>
      <c r="JZ254" s="46"/>
      <c r="KA254" s="46"/>
      <c r="KB254" s="46"/>
      <c r="KC254" s="46"/>
      <c r="KD254" s="46"/>
      <c r="KE254" s="46"/>
      <c r="KF254" s="46"/>
      <c r="KG254" s="46"/>
      <c r="KH254" s="46"/>
      <c r="KI254" s="46"/>
      <c r="KJ254" s="93">
        <f t="shared" si="87"/>
        <v>0</v>
      </c>
    </row>
    <row r="255" spans="1:296" x14ac:dyDescent="0.5">
      <c r="A255" s="11">
        <v>73</v>
      </c>
      <c r="B255" s="182" t="s">
        <v>306</v>
      </c>
      <c r="C255" s="144" t="s">
        <v>48</v>
      </c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>
        <f t="shared" si="70"/>
        <v>0</v>
      </c>
      <c r="S255" s="46">
        <f t="shared" si="71"/>
        <v>0</v>
      </c>
      <c r="T255" s="46">
        <f t="shared" si="72"/>
        <v>0</v>
      </c>
      <c r="U255" s="46">
        <f t="shared" si="73"/>
        <v>0</v>
      </c>
      <c r="V255" s="46">
        <f t="shared" si="74"/>
        <v>0</v>
      </c>
      <c r="W255" s="46">
        <f t="shared" si="75"/>
        <v>0</v>
      </c>
      <c r="X255" s="46">
        <f t="shared" si="76"/>
        <v>0</v>
      </c>
      <c r="Y255" s="46">
        <f t="shared" si="77"/>
        <v>0</v>
      </c>
      <c r="Z255" s="90">
        <f t="shared" si="82"/>
        <v>0</v>
      </c>
      <c r="AA255" s="95"/>
      <c r="AB255" s="95">
        <f>'LPLPO PROGRAM'!H86</f>
        <v>0</v>
      </c>
      <c r="AC255" s="91"/>
      <c r="AD255" s="91"/>
      <c r="AE255" s="91"/>
      <c r="AF255" s="91"/>
      <c r="AG255" s="92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93">
        <f t="shared" si="78"/>
        <v>0</v>
      </c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93">
        <f t="shared" si="83"/>
        <v>0</v>
      </c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  <c r="DK255" s="46"/>
      <c r="DL255" s="46"/>
      <c r="DM255" s="46"/>
      <c r="DN255" s="46"/>
      <c r="DO255" s="46"/>
      <c r="DP255" s="46"/>
      <c r="DQ255" s="46"/>
      <c r="DR255" s="46"/>
      <c r="DS255" s="46"/>
      <c r="DT255" s="46"/>
      <c r="DU255" s="46"/>
      <c r="DV255" s="46"/>
      <c r="DW255" s="46"/>
      <c r="DX255" s="46"/>
      <c r="DY255" s="46"/>
      <c r="DZ255" s="46"/>
      <c r="EA255" s="93">
        <f t="shared" si="79"/>
        <v>0</v>
      </c>
      <c r="EC255" s="46"/>
      <c r="ED255" s="46"/>
      <c r="EE255" s="46"/>
      <c r="EF255" s="46"/>
      <c r="EG255" s="46"/>
      <c r="EH255" s="46"/>
      <c r="EI255" s="46"/>
      <c r="EJ255" s="46"/>
      <c r="EK255" s="46"/>
      <c r="EL255" s="46"/>
      <c r="EM255" s="46"/>
      <c r="EN255" s="46"/>
      <c r="EO255" s="46"/>
      <c r="EP255" s="46"/>
      <c r="EQ255" s="46"/>
      <c r="ER255" s="46"/>
      <c r="ES255" s="46"/>
      <c r="ET255" s="46"/>
      <c r="EU255" s="46"/>
      <c r="EV255" s="46"/>
      <c r="EW255" s="46"/>
      <c r="EX255" s="46"/>
      <c r="EY255" s="46"/>
      <c r="EZ255" s="46"/>
      <c r="FA255" s="46"/>
      <c r="FB255" s="46"/>
      <c r="FC255" s="46"/>
      <c r="FD255" s="46"/>
      <c r="FE255" s="46"/>
      <c r="FF255" s="46"/>
      <c r="FG255" s="46"/>
      <c r="FH255" s="93">
        <f t="shared" si="80"/>
        <v>0</v>
      </c>
      <c r="FJ255" s="46"/>
      <c r="FK255" s="46"/>
      <c r="FL255" s="46"/>
      <c r="FM255" s="46"/>
      <c r="FN255" s="46"/>
      <c r="FO255" s="46"/>
      <c r="FP255" s="46"/>
      <c r="FQ255" s="46"/>
      <c r="FR255" s="46"/>
      <c r="FS255" s="46"/>
      <c r="FT255" s="46"/>
      <c r="FU255" s="46"/>
      <c r="FV255" s="46"/>
      <c r="FW255" s="46"/>
      <c r="FX255" s="46"/>
      <c r="FY255" s="46"/>
      <c r="FZ255" s="46"/>
      <c r="GA255" s="46"/>
      <c r="GB255" s="46"/>
      <c r="GC255" s="46"/>
      <c r="GD255" s="46"/>
      <c r="GE255" s="46"/>
      <c r="GF255" s="46"/>
      <c r="GG255" s="46"/>
      <c r="GH255" s="46"/>
      <c r="GI255" s="46"/>
      <c r="GJ255" s="46"/>
      <c r="GK255" s="46"/>
      <c r="GL255" s="46"/>
      <c r="GM255" s="46"/>
      <c r="GN255" s="46"/>
      <c r="GO255" s="93">
        <f t="shared" si="84"/>
        <v>0</v>
      </c>
      <c r="GQ255" s="46"/>
      <c r="GR255" s="46"/>
      <c r="GS255" s="46"/>
      <c r="GT255" s="46"/>
      <c r="GU255" s="46"/>
      <c r="GV255" s="46"/>
      <c r="GW255" s="46"/>
      <c r="GX255" s="46"/>
      <c r="GY255" s="46"/>
      <c r="GZ255" s="46"/>
      <c r="HA255" s="46"/>
      <c r="HB255" s="46"/>
      <c r="HC255" s="46"/>
      <c r="HD255" s="46"/>
      <c r="HE255" s="46"/>
      <c r="HF255" s="46"/>
      <c r="HG255" s="46"/>
      <c r="HH255" s="46"/>
      <c r="HI255" s="46"/>
      <c r="HJ255" s="46"/>
      <c r="HK255" s="46"/>
      <c r="HL255" s="46"/>
      <c r="HM255" s="46"/>
      <c r="HN255" s="46"/>
      <c r="HO255" s="46"/>
      <c r="HP255" s="46"/>
      <c r="HQ255" s="46"/>
      <c r="HR255" s="46"/>
      <c r="HS255" s="46"/>
      <c r="HT255" s="46"/>
      <c r="HU255" s="46"/>
      <c r="HV255" s="93">
        <f t="shared" si="85"/>
        <v>0</v>
      </c>
      <c r="HX255" s="46"/>
      <c r="HY255" s="46"/>
      <c r="HZ255" s="46"/>
      <c r="IA255" s="46"/>
      <c r="IB255" s="46"/>
      <c r="IC255" s="46"/>
      <c r="ID255" s="46"/>
      <c r="IE255" s="46"/>
      <c r="IF255" s="46"/>
      <c r="IG255" s="46"/>
      <c r="IH255" s="46"/>
      <c r="II255" s="46"/>
      <c r="IJ255" s="46"/>
      <c r="IK255" s="46"/>
      <c r="IL255" s="46"/>
      <c r="IM255" s="46"/>
      <c r="IN255" s="46"/>
      <c r="IO255" s="46"/>
      <c r="IP255" s="46"/>
      <c r="IQ255" s="46"/>
      <c r="IR255" s="46"/>
      <c r="IS255" s="46"/>
      <c r="IT255" s="46"/>
      <c r="IU255" s="46"/>
      <c r="IV255" s="46"/>
      <c r="IW255" s="46"/>
      <c r="IX255" s="46"/>
      <c r="IY255" s="46"/>
      <c r="IZ255" s="46"/>
      <c r="JA255" s="46"/>
      <c r="JB255" s="46"/>
      <c r="JC255" s="93">
        <f t="shared" si="86"/>
        <v>0</v>
      </c>
      <c r="JE255" s="46"/>
      <c r="JF255" s="46"/>
      <c r="JG255" s="46"/>
      <c r="JH255" s="46"/>
      <c r="JI255" s="46"/>
      <c r="JJ255" s="46"/>
      <c r="JK255" s="46"/>
      <c r="JL255" s="46"/>
      <c r="JM255" s="46"/>
      <c r="JN255" s="46"/>
      <c r="JO255" s="46"/>
      <c r="JP255" s="46"/>
      <c r="JQ255" s="46"/>
      <c r="JR255" s="46"/>
      <c r="JS255" s="46"/>
      <c r="JT255" s="46"/>
      <c r="JU255" s="46"/>
      <c r="JV255" s="46"/>
      <c r="JW255" s="46"/>
      <c r="JX255" s="46"/>
      <c r="JY255" s="46"/>
      <c r="JZ255" s="46"/>
      <c r="KA255" s="46"/>
      <c r="KB255" s="46"/>
      <c r="KC255" s="46"/>
      <c r="KD255" s="46"/>
      <c r="KE255" s="46"/>
      <c r="KF255" s="46"/>
      <c r="KG255" s="46"/>
      <c r="KH255" s="46"/>
      <c r="KI255" s="46"/>
      <c r="KJ255" s="93">
        <f t="shared" si="87"/>
        <v>0</v>
      </c>
    </row>
    <row r="256" spans="1:296" ht="20.149999999999999" customHeight="1" x14ac:dyDescent="0.5">
      <c r="A256" s="11">
        <v>74</v>
      </c>
      <c r="B256" s="178" t="s">
        <v>396</v>
      </c>
      <c r="C256" s="144" t="s">
        <v>33</v>
      </c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>
        <f t="shared" si="70"/>
        <v>0</v>
      </c>
      <c r="S256" s="46">
        <f t="shared" si="71"/>
        <v>0</v>
      </c>
      <c r="T256" s="46">
        <f t="shared" si="72"/>
        <v>0</v>
      </c>
      <c r="U256" s="46">
        <f t="shared" si="73"/>
        <v>0</v>
      </c>
      <c r="V256" s="46">
        <f t="shared" si="74"/>
        <v>0</v>
      </c>
      <c r="W256" s="46">
        <f t="shared" si="75"/>
        <v>0</v>
      </c>
      <c r="X256" s="46">
        <f t="shared" si="76"/>
        <v>0</v>
      </c>
      <c r="Y256" s="46">
        <f t="shared" si="77"/>
        <v>0</v>
      </c>
      <c r="Z256" s="90">
        <f t="shared" si="82"/>
        <v>0</v>
      </c>
      <c r="AA256" s="95"/>
      <c r="AB256" s="95">
        <f>'LPLPO PROGRAM'!H87</f>
        <v>0</v>
      </c>
      <c r="AC256" s="91"/>
      <c r="AD256" s="91"/>
      <c r="AE256" s="91"/>
      <c r="AF256" s="91"/>
      <c r="AG256" s="92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93">
        <f t="shared" si="78"/>
        <v>0</v>
      </c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93">
        <f t="shared" si="83"/>
        <v>0</v>
      </c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  <c r="DK256" s="46"/>
      <c r="DL256" s="46"/>
      <c r="DM256" s="46"/>
      <c r="DN256" s="46"/>
      <c r="DO256" s="46"/>
      <c r="DP256" s="46"/>
      <c r="DQ256" s="46"/>
      <c r="DR256" s="46"/>
      <c r="DS256" s="46"/>
      <c r="DT256" s="46"/>
      <c r="DU256" s="46"/>
      <c r="DV256" s="46"/>
      <c r="DW256" s="46"/>
      <c r="DX256" s="46"/>
      <c r="DY256" s="46"/>
      <c r="DZ256" s="46"/>
      <c r="EA256" s="93">
        <f t="shared" si="79"/>
        <v>0</v>
      </c>
      <c r="EC256" s="46"/>
      <c r="ED256" s="46"/>
      <c r="EE256" s="46"/>
      <c r="EF256" s="46"/>
      <c r="EG256" s="46"/>
      <c r="EH256" s="46"/>
      <c r="EI256" s="46"/>
      <c r="EJ256" s="46"/>
      <c r="EK256" s="46"/>
      <c r="EL256" s="46"/>
      <c r="EM256" s="46"/>
      <c r="EN256" s="46"/>
      <c r="EO256" s="46"/>
      <c r="EP256" s="46"/>
      <c r="EQ256" s="46"/>
      <c r="ER256" s="46"/>
      <c r="ES256" s="46"/>
      <c r="ET256" s="46"/>
      <c r="EU256" s="46"/>
      <c r="EV256" s="46"/>
      <c r="EW256" s="46"/>
      <c r="EX256" s="46"/>
      <c r="EY256" s="46"/>
      <c r="EZ256" s="46"/>
      <c r="FA256" s="46"/>
      <c r="FB256" s="46"/>
      <c r="FC256" s="46"/>
      <c r="FD256" s="46"/>
      <c r="FE256" s="46"/>
      <c r="FF256" s="46"/>
      <c r="FG256" s="46"/>
      <c r="FH256" s="93">
        <f t="shared" si="80"/>
        <v>0</v>
      </c>
      <c r="FJ256" s="46"/>
      <c r="FK256" s="46"/>
      <c r="FL256" s="46"/>
      <c r="FM256" s="46"/>
      <c r="FN256" s="46"/>
      <c r="FO256" s="46"/>
      <c r="FP256" s="46"/>
      <c r="FQ256" s="46"/>
      <c r="FR256" s="46"/>
      <c r="FS256" s="46"/>
      <c r="FT256" s="46"/>
      <c r="FU256" s="46"/>
      <c r="FV256" s="46"/>
      <c r="FW256" s="46"/>
      <c r="FX256" s="46"/>
      <c r="FY256" s="46"/>
      <c r="FZ256" s="46"/>
      <c r="GA256" s="46"/>
      <c r="GB256" s="46"/>
      <c r="GC256" s="46"/>
      <c r="GD256" s="46"/>
      <c r="GE256" s="46"/>
      <c r="GF256" s="46"/>
      <c r="GG256" s="46"/>
      <c r="GH256" s="46"/>
      <c r="GI256" s="46"/>
      <c r="GJ256" s="46"/>
      <c r="GK256" s="46"/>
      <c r="GL256" s="46"/>
      <c r="GM256" s="46"/>
      <c r="GN256" s="46"/>
      <c r="GO256" s="93">
        <f t="shared" si="84"/>
        <v>0</v>
      </c>
      <c r="GQ256" s="46"/>
      <c r="GR256" s="46"/>
      <c r="GS256" s="46"/>
      <c r="GT256" s="46"/>
      <c r="GU256" s="46"/>
      <c r="GV256" s="46"/>
      <c r="GW256" s="46"/>
      <c r="GX256" s="46"/>
      <c r="GY256" s="46"/>
      <c r="GZ256" s="46"/>
      <c r="HA256" s="46"/>
      <c r="HB256" s="46"/>
      <c r="HC256" s="46"/>
      <c r="HD256" s="46"/>
      <c r="HE256" s="46"/>
      <c r="HF256" s="46"/>
      <c r="HG256" s="46"/>
      <c r="HH256" s="46"/>
      <c r="HI256" s="46"/>
      <c r="HJ256" s="46"/>
      <c r="HK256" s="46"/>
      <c r="HL256" s="46"/>
      <c r="HM256" s="46"/>
      <c r="HN256" s="46"/>
      <c r="HO256" s="46"/>
      <c r="HP256" s="46"/>
      <c r="HQ256" s="46"/>
      <c r="HR256" s="46"/>
      <c r="HS256" s="46"/>
      <c r="HT256" s="46"/>
      <c r="HU256" s="46"/>
      <c r="HV256" s="93">
        <f t="shared" si="85"/>
        <v>0</v>
      </c>
      <c r="HX256" s="46"/>
      <c r="HY256" s="46"/>
      <c r="HZ256" s="46"/>
      <c r="IA256" s="46"/>
      <c r="IB256" s="46"/>
      <c r="IC256" s="46"/>
      <c r="ID256" s="46"/>
      <c r="IE256" s="46"/>
      <c r="IF256" s="46"/>
      <c r="IG256" s="46"/>
      <c r="IH256" s="46"/>
      <c r="II256" s="46"/>
      <c r="IJ256" s="46"/>
      <c r="IK256" s="46"/>
      <c r="IL256" s="46"/>
      <c r="IM256" s="46"/>
      <c r="IN256" s="46"/>
      <c r="IO256" s="46"/>
      <c r="IP256" s="46"/>
      <c r="IQ256" s="46"/>
      <c r="IR256" s="46"/>
      <c r="IS256" s="46"/>
      <c r="IT256" s="46"/>
      <c r="IU256" s="46"/>
      <c r="IV256" s="46"/>
      <c r="IW256" s="46"/>
      <c r="IX256" s="46"/>
      <c r="IY256" s="46"/>
      <c r="IZ256" s="46"/>
      <c r="JA256" s="46"/>
      <c r="JB256" s="46"/>
      <c r="JC256" s="93">
        <f t="shared" si="86"/>
        <v>0</v>
      </c>
      <c r="JE256" s="46"/>
      <c r="JF256" s="46"/>
      <c r="JG256" s="46"/>
      <c r="JH256" s="46"/>
      <c r="JI256" s="46"/>
      <c r="JJ256" s="46"/>
      <c r="JK256" s="46"/>
      <c r="JL256" s="46"/>
      <c r="JM256" s="46"/>
      <c r="JN256" s="46"/>
      <c r="JO256" s="46"/>
      <c r="JP256" s="46"/>
      <c r="JQ256" s="46"/>
      <c r="JR256" s="46"/>
      <c r="JS256" s="46"/>
      <c r="JT256" s="46"/>
      <c r="JU256" s="46"/>
      <c r="JV256" s="46"/>
      <c r="JW256" s="46"/>
      <c r="JX256" s="46"/>
      <c r="JY256" s="46"/>
      <c r="JZ256" s="46"/>
      <c r="KA256" s="46"/>
      <c r="KB256" s="46"/>
      <c r="KC256" s="46"/>
      <c r="KD256" s="46"/>
      <c r="KE256" s="46"/>
      <c r="KF256" s="46"/>
      <c r="KG256" s="46"/>
      <c r="KH256" s="46"/>
      <c r="KI256" s="46"/>
      <c r="KJ256" s="93">
        <f t="shared" si="87"/>
        <v>0</v>
      </c>
    </row>
    <row r="257" spans="1:296" ht="20.149999999999999" customHeight="1" x14ac:dyDescent="0.5">
      <c r="A257" s="11">
        <v>75</v>
      </c>
      <c r="B257" s="183" t="s">
        <v>432</v>
      </c>
      <c r="C257" s="144" t="s">
        <v>6</v>
      </c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>
        <f t="shared" si="70"/>
        <v>0</v>
      </c>
      <c r="S257" s="46">
        <f t="shared" si="71"/>
        <v>0</v>
      </c>
      <c r="T257" s="46">
        <f t="shared" si="72"/>
        <v>0</v>
      </c>
      <c r="U257" s="46">
        <f t="shared" si="73"/>
        <v>0</v>
      </c>
      <c r="V257" s="46">
        <f t="shared" si="74"/>
        <v>0</v>
      </c>
      <c r="W257" s="46">
        <f t="shared" si="75"/>
        <v>0</v>
      </c>
      <c r="X257" s="46">
        <f t="shared" si="76"/>
        <v>0</v>
      </c>
      <c r="Y257" s="46">
        <f t="shared" si="77"/>
        <v>0</v>
      </c>
      <c r="Z257" s="90">
        <f t="shared" si="82"/>
        <v>0</v>
      </c>
      <c r="AA257" s="95"/>
      <c r="AB257" s="95">
        <f>'LPLPO PROGRAM'!H88</f>
        <v>0</v>
      </c>
      <c r="AC257" s="91"/>
      <c r="AD257" s="91"/>
      <c r="AE257" s="91"/>
      <c r="AF257" s="91"/>
      <c r="AG257" s="92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93">
        <f t="shared" si="78"/>
        <v>0</v>
      </c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93">
        <f t="shared" si="83"/>
        <v>0</v>
      </c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  <c r="DK257" s="46"/>
      <c r="DL257" s="46"/>
      <c r="DM257" s="46"/>
      <c r="DN257" s="46"/>
      <c r="DO257" s="46"/>
      <c r="DP257" s="46"/>
      <c r="DQ257" s="46"/>
      <c r="DR257" s="46"/>
      <c r="DS257" s="46"/>
      <c r="DT257" s="46"/>
      <c r="DU257" s="46"/>
      <c r="DV257" s="46"/>
      <c r="DW257" s="46"/>
      <c r="DX257" s="46"/>
      <c r="DY257" s="46"/>
      <c r="DZ257" s="46"/>
      <c r="EA257" s="93">
        <f t="shared" si="79"/>
        <v>0</v>
      </c>
      <c r="EC257" s="46"/>
      <c r="ED257" s="46"/>
      <c r="EE257" s="46"/>
      <c r="EF257" s="46"/>
      <c r="EG257" s="46"/>
      <c r="EH257" s="46"/>
      <c r="EI257" s="46"/>
      <c r="EJ257" s="46"/>
      <c r="EK257" s="46"/>
      <c r="EL257" s="46"/>
      <c r="EM257" s="46"/>
      <c r="EN257" s="46"/>
      <c r="EO257" s="46"/>
      <c r="EP257" s="46"/>
      <c r="EQ257" s="46"/>
      <c r="ER257" s="46"/>
      <c r="ES257" s="46"/>
      <c r="ET257" s="46"/>
      <c r="EU257" s="46"/>
      <c r="EV257" s="46"/>
      <c r="EW257" s="46"/>
      <c r="EX257" s="46"/>
      <c r="EY257" s="46"/>
      <c r="EZ257" s="46"/>
      <c r="FA257" s="46"/>
      <c r="FB257" s="46"/>
      <c r="FC257" s="46"/>
      <c r="FD257" s="46"/>
      <c r="FE257" s="46"/>
      <c r="FF257" s="46"/>
      <c r="FG257" s="46"/>
      <c r="FH257" s="93">
        <f t="shared" si="80"/>
        <v>0</v>
      </c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93">
        <f t="shared" si="84"/>
        <v>0</v>
      </c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93">
        <f t="shared" si="85"/>
        <v>0</v>
      </c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  <c r="IT257" s="46"/>
      <c r="IU257" s="46"/>
      <c r="IV257" s="46"/>
      <c r="IW257" s="46"/>
      <c r="IX257" s="46"/>
      <c r="IY257" s="46"/>
      <c r="IZ257" s="46"/>
      <c r="JA257" s="46"/>
      <c r="JB257" s="46"/>
      <c r="JC257" s="93">
        <f t="shared" si="86"/>
        <v>0</v>
      </c>
      <c r="JE257" s="46"/>
      <c r="JF257" s="46"/>
      <c r="JG257" s="46"/>
      <c r="JH257" s="46"/>
      <c r="JI257" s="46"/>
      <c r="JJ257" s="46"/>
      <c r="JK257" s="46"/>
      <c r="JL257" s="46"/>
      <c r="JM257" s="46"/>
      <c r="JN257" s="46"/>
      <c r="JO257" s="46"/>
      <c r="JP257" s="46"/>
      <c r="JQ257" s="46"/>
      <c r="JR257" s="46"/>
      <c r="JS257" s="46"/>
      <c r="JT257" s="46"/>
      <c r="JU257" s="46"/>
      <c r="JV257" s="46"/>
      <c r="JW257" s="46"/>
      <c r="JX257" s="46"/>
      <c r="JY257" s="46"/>
      <c r="JZ257" s="46"/>
      <c r="KA257" s="46"/>
      <c r="KB257" s="46"/>
      <c r="KC257" s="46"/>
      <c r="KD257" s="46"/>
      <c r="KE257" s="46"/>
      <c r="KF257" s="46"/>
      <c r="KG257" s="46"/>
      <c r="KH257" s="46"/>
      <c r="KI257" s="46"/>
      <c r="KJ257" s="93">
        <f t="shared" si="87"/>
        <v>0</v>
      </c>
    </row>
    <row r="258" spans="1:296" x14ac:dyDescent="0.5">
      <c r="A258" s="11">
        <v>76</v>
      </c>
      <c r="B258" s="183" t="s">
        <v>305</v>
      </c>
      <c r="C258" s="144" t="s">
        <v>6</v>
      </c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>
        <f t="shared" si="70"/>
        <v>0</v>
      </c>
      <c r="S258" s="46">
        <f t="shared" si="71"/>
        <v>0</v>
      </c>
      <c r="T258" s="46">
        <f t="shared" si="72"/>
        <v>0</v>
      </c>
      <c r="U258" s="46">
        <f t="shared" si="73"/>
        <v>0</v>
      </c>
      <c r="V258" s="46">
        <f t="shared" si="74"/>
        <v>0</v>
      </c>
      <c r="W258" s="46">
        <f t="shared" si="75"/>
        <v>0</v>
      </c>
      <c r="X258" s="46">
        <f t="shared" si="76"/>
        <v>0</v>
      </c>
      <c r="Y258" s="46">
        <f t="shared" si="77"/>
        <v>0</v>
      </c>
      <c r="Z258" s="90">
        <f t="shared" si="82"/>
        <v>0</v>
      </c>
      <c r="AA258" s="95"/>
      <c r="AB258" s="95">
        <f>'LPLPO PROGRAM'!H89</f>
        <v>0</v>
      </c>
      <c r="AC258" s="91"/>
      <c r="AD258" s="91"/>
      <c r="AE258" s="91"/>
      <c r="AF258" s="91"/>
      <c r="AG258" s="92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93">
        <f t="shared" si="78"/>
        <v>0</v>
      </c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93">
        <f t="shared" si="83"/>
        <v>0</v>
      </c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  <c r="DK258" s="46"/>
      <c r="DL258" s="46"/>
      <c r="DM258" s="46"/>
      <c r="DN258" s="46"/>
      <c r="DO258" s="46"/>
      <c r="DP258" s="46"/>
      <c r="DQ258" s="46"/>
      <c r="DR258" s="46"/>
      <c r="DS258" s="46"/>
      <c r="DT258" s="46"/>
      <c r="DU258" s="46"/>
      <c r="DV258" s="46"/>
      <c r="DW258" s="46"/>
      <c r="DX258" s="46"/>
      <c r="DY258" s="46"/>
      <c r="DZ258" s="46"/>
      <c r="EA258" s="93">
        <f t="shared" si="79"/>
        <v>0</v>
      </c>
      <c r="EC258" s="46"/>
      <c r="ED258" s="46"/>
      <c r="EE258" s="46"/>
      <c r="EF258" s="46"/>
      <c r="EG258" s="46"/>
      <c r="EH258" s="46"/>
      <c r="EI258" s="46"/>
      <c r="EJ258" s="46"/>
      <c r="EK258" s="46"/>
      <c r="EL258" s="46"/>
      <c r="EM258" s="46"/>
      <c r="EN258" s="46"/>
      <c r="EO258" s="46"/>
      <c r="EP258" s="46"/>
      <c r="EQ258" s="46"/>
      <c r="ER258" s="46"/>
      <c r="ES258" s="46"/>
      <c r="ET258" s="46"/>
      <c r="EU258" s="46"/>
      <c r="EV258" s="46"/>
      <c r="EW258" s="46"/>
      <c r="EX258" s="46"/>
      <c r="EY258" s="46"/>
      <c r="EZ258" s="46"/>
      <c r="FA258" s="46"/>
      <c r="FB258" s="46"/>
      <c r="FC258" s="46"/>
      <c r="FD258" s="46"/>
      <c r="FE258" s="46"/>
      <c r="FF258" s="46"/>
      <c r="FG258" s="46"/>
      <c r="FH258" s="93">
        <f t="shared" si="80"/>
        <v>0</v>
      </c>
      <c r="FJ258" s="46"/>
      <c r="FK258" s="46"/>
      <c r="FL258" s="46"/>
      <c r="FM258" s="46"/>
      <c r="FN258" s="46"/>
      <c r="FO258" s="46"/>
      <c r="FP258" s="46"/>
      <c r="FQ258" s="46"/>
      <c r="FR258" s="46"/>
      <c r="FS258" s="46"/>
      <c r="FT258" s="46"/>
      <c r="FU258" s="46"/>
      <c r="FV258" s="46"/>
      <c r="FW258" s="46"/>
      <c r="FX258" s="46"/>
      <c r="FY258" s="46"/>
      <c r="FZ258" s="46"/>
      <c r="GA258" s="46"/>
      <c r="GB258" s="46"/>
      <c r="GC258" s="46"/>
      <c r="GD258" s="46"/>
      <c r="GE258" s="46"/>
      <c r="GF258" s="46"/>
      <c r="GG258" s="46"/>
      <c r="GH258" s="46"/>
      <c r="GI258" s="46"/>
      <c r="GJ258" s="46"/>
      <c r="GK258" s="46"/>
      <c r="GL258" s="46"/>
      <c r="GM258" s="46"/>
      <c r="GN258" s="46"/>
      <c r="GO258" s="93">
        <f t="shared" si="84"/>
        <v>0</v>
      </c>
      <c r="GQ258" s="46"/>
      <c r="GR258" s="46"/>
      <c r="GS258" s="46"/>
      <c r="GT258" s="46"/>
      <c r="GU258" s="46"/>
      <c r="GV258" s="46"/>
      <c r="GW258" s="46"/>
      <c r="GX258" s="46"/>
      <c r="GY258" s="46"/>
      <c r="GZ258" s="46"/>
      <c r="HA258" s="46"/>
      <c r="HB258" s="46"/>
      <c r="HC258" s="46"/>
      <c r="HD258" s="46"/>
      <c r="HE258" s="46"/>
      <c r="HF258" s="46"/>
      <c r="HG258" s="46"/>
      <c r="HH258" s="46"/>
      <c r="HI258" s="46"/>
      <c r="HJ258" s="46"/>
      <c r="HK258" s="46"/>
      <c r="HL258" s="46"/>
      <c r="HM258" s="46"/>
      <c r="HN258" s="46"/>
      <c r="HO258" s="46"/>
      <c r="HP258" s="46"/>
      <c r="HQ258" s="46"/>
      <c r="HR258" s="46"/>
      <c r="HS258" s="46"/>
      <c r="HT258" s="46"/>
      <c r="HU258" s="46"/>
      <c r="HV258" s="93">
        <f t="shared" si="85"/>
        <v>0</v>
      </c>
      <c r="HX258" s="46"/>
      <c r="HY258" s="46"/>
      <c r="HZ258" s="46"/>
      <c r="IA258" s="46"/>
      <c r="IB258" s="46"/>
      <c r="IC258" s="46"/>
      <c r="ID258" s="46"/>
      <c r="IE258" s="46"/>
      <c r="IF258" s="46"/>
      <c r="IG258" s="46"/>
      <c r="IH258" s="46"/>
      <c r="II258" s="46"/>
      <c r="IJ258" s="46"/>
      <c r="IK258" s="46"/>
      <c r="IL258" s="46"/>
      <c r="IM258" s="46"/>
      <c r="IN258" s="46"/>
      <c r="IO258" s="46"/>
      <c r="IP258" s="46"/>
      <c r="IQ258" s="46"/>
      <c r="IR258" s="46"/>
      <c r="IS258" s="46"/>
      <c r="IT258" s="46"/>
      <c r="IU258" s="46"/>
      <c r="IV258" s="46"/>
      <c r="IW258" s="46"/>
      <c r="IX258" s="46"/>
      <c r="IY258" s="46"/>
      <c r="IZ258" s="46"/>
      <c r="JA258" s="46"/>
      <c r="JB258" s="46"/>
      <c r="JC258" s="93">
        <f t="shared" si="86"/>
        <v>0</v>
      </c>
      <c r="JE258" s="46"/>
      <c r="JF258" s="46"/>
      <c r="JG258" s="46"/>
      <c r="JH258" s="46"/>
      <c r="JI258" s="46"/>
      <c r="JJ258" s="46"/>
      <c r="JK258" s="46"/>
      <c r="JL258" s="46"/>
      <c r="JM258" s="46"/>
      <c r="JN258" s="46"/>
      <c r="JO258" s="46"/>
      <c r="JP258" s="46"/>
      <c r="JQ258" s="46"/>
      <c r="JR258" s="46"/>
      <c r="JS258" s="46"/>
      <c r="JT258" s="46"/>
      <c r="JU258" s="46"/>
      <c r="JV258" s="46"/>
      <c r="JW258" s="46"/>
      <c r="JX258" s="46"/>
      <c r="JY258" s="46"/>
      <c r="JZ258" s="46"/>
      <c r="KA258" s="46"/>
      <c r="KB258" s="46"/>
      <c r="KC258" s="46"/>
      <c r="KD258" s="46"/>
      <c r="KE258" s="46"/>
      <c r="KF258" s="46"/>
      <c r="KG258" s="46"/>
      <c r="KH258" s="46"/>
      <c r="KI258" s="46"/>
      <c r="KJ258" s="93">
        <f t="shared" si="87"/>
        <v>0</v>
      </c>
    </row>
    <row r="259" spans="1:296" ht="20.149999999999999" customHeight="1" x14ac:dyDescent="0.5">
      <c r="A259" s="11">
        <v>77</v>
      </c>
      <c r="B259" s="183" t="s">
        <v>303</v>
      </c>
      <c r="C259" s="144" t="s">
        <v>6</v>
      </c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>
        <f t="shared" si="70"/>
        <v>0</v>
      </c>
      <c r="S259" s="46">
        <f t="shared" si="71"/>
        <v>0</v>
      </c>
      <c r="T259" s="46">
        <f t="shared" si="72"/>
        <v>0</v>
      </c>
      <c r="U259" s="46">
        <f t="shared" si="73"/>
        <v>0</v>
      </c>
      <c r="V259" s="46">
        <f t="shared" si="74"/>
        <v>0</v>
      </c>
      <c r="W259" s="46">
        <f t="shared" si="75"/>
        <v>0</v>
      </c>
      <c r="X259" s="46">
        <f t="shared" si="76"/>
        <v>0</v>
      </c>
      <c r="Y259" s="46">
        <f t="shared" si="77"/>
        <v>0</v>
      </c>
      <c r="Z259" s="90">
        <f t="shared" si="82"/>
        <v>0</v>
      </c>
      <c r="AA259" s="95"/>
      <c r="AB259" s="95">
        <f>'LPLPO PROGRAM'!H90</f>
        <v>0</v>
      </c>
      <c r="AC259" s="91"/>
      <c r="AD259" s="91"/>
      <c r="AE259" s="91"/>
      <c r="AF259" s="91"/>
      <c r="AG259" s="92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93">
        <f t="shared" si="78"/>
        <v>0</v>
      </c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93">
        <f t="shared" si="83"/>
        <v>0</v>
      </c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  <c r="DK259" s="46"/>
      <c r="DL259" s="46"/>
      <c r="DM259" s="46"/>
      <c r="DN259" s="46"/>
      <c r="DO259" s="46"/>
      <c r="DP259" s="46"/>
      <c r="DQ259" s="46"/>
      <c r="DR259" s="46"/>
      <c r="DS259" s="46"/>
      <c r="DT259" s="46"/>
      <c r="DU259" s="46"/>
      <c r="DV259" s="46"/>
      <c r="DW259" s="46"/>
      <c r="DX259" s="46"/>
      <c r="DY259" s="46"/>
      <c r="DZ259" s="46"/>
      <c r="EA259" s="93">
        <f t="shared" si="79"/>
        <v>0</v>
      </c>
      <c r="EC259" s="46"/>
      <c r="ED259" s="46"/>
      <c r="EE259" s="46"/>
      <c r="EF259" s="46"/>
      <c r="EG259" s="46"/>
      <c r="EH259" s="46"/>
      <c r="EI259" s="46"/>
      <c r="EJ259" s="46"/>
      <c r="EK259" s="46"/>
      <c r="EL259" s="46"/>
      <c r="EM259" s="46"/>
      <c r="EN259" s="46"/>
      <c r="EO259" s="46"/>
      <c r="EP259" s="46"/>
      <c r="EQ259" s="46"/>
      <c r="ER259" s="46"/>
      <c r="ES259" s="46"/>
      <c r="ET259" s="46"/>
      <c r="EU259" s="46"/>
      <c r="EV259" s="46"/>
      <c r="EW259" s="46"/>
      <c r="EX259" s="46"/>
      <c r="EY259" s="46"/>
      <c r="EZ259" s="46"/>
      <c r="FA259" s="46"/>
      <c r="FB259" s="46"/>
      <c r="FC259" s="46"/>
      <c r="FD259" s="46"/>
      <c r="FE259" s="46"/>
      <c r="FF259" s="46"/>
      <c r="FG259" s="46"/>
      <c r="FH259" s="93">
        <f t="shared" si="80"/>
        <v>0</v>
      </c>
      <c r="FJ259" s="46"/>
      <c r="FK259" s="46"/>
      <c r="FL259" s="46"/>
      <c r="FM259" s="46"/>
      <c r="FN259" s="46"/>
      <c r="FO259" s="46"/>
      <c r="FP259" s="46"/>
      <c r="FQ259" s="46"/>
      <c r="FR259" s="46"/>
      <c r="FS259" s="46"/>
      <c r="FT259" s="46"/>
      <c r="FU259" s="46"/>
      <c r="FV259" s="46"/>
      <c r="FW259" s="46"/>
      <c r="FX259" s="46"/>
      <c r="FY259" s="46"/>
      <c r="FZ259" s="46"/>
      <c r="GA259" s="46"/>
      <c r="GB259" s="46"/>
      <c r="GC259" s="46"/>
      <c r="GD259" s="46"/>
      <c r="GE259" s="46"/>
      <c r="GF259" s="46"/>
      <c r="GG259" s="46"/>
      <c r="GH259" s="46"/>
      <c r="GI259" s="46"/>
      <c r="GJ259" s="46"/>
      <c r="GK259" s="46"/>
      <c r="GL259" s="46"/>
      <c r="GM259" s="46"/>
      <c r="GN259" s="46"/>
      <c r="GO259" s="93">
        <f t="shared" si="84"/>
        <v>0</v>
      </c>
      <c r="GQ259" s="46"/>
      <c r="GR259" s="46"/>
      <c r="GS259" s="46"/>
      <c r="GT259" s="46"/>
      <c r="GU259" s="46"/>
      <c r="GV259" s="46"/>
      <c r="GW259" s="46"/>
      <c r="GX259" s="46"/>
      <c r="GY259" s="46"/>
      <c r="GZ259" s="46"/>
      <c r="HA259" s="46"/>
      <c r="HB259" s="46"/>
      <c r="HC259" s="46"/>
      <c r="HD259" s="46"/>
      <c r="HE259" s="46"/>
      <c r="HF259" s="46"/>
      <c r="HG259" s="46"/>
      <c r="HH259" s="46"/>
      <c r="HI259" s="46"/>
      <c r="HJ259" s="46"/>
      <c r="HK259" s="46"/>
      <c r="HL259" s="46"/>
      <c r="HM259" s="46"/>
      <c r="HN259" s="46"/>
      <c r="HO259" s="46"/>
      <c r="HP259" s="46"/>
      <c r="HQ259" s="46"/>
      <c r="HR259" s="46"/>
      <c r="HS259" s="46"/>
      <c r="HT259" s="46"/>
      <c r="HU259" s="46"/>
      <c r="HV259" s="93">
        <f t="shared" si="85"/>
        <v>0</v>
      </c>
      <c r="HX259" s="46"/>
      <c r="HY259" s="46"/>
      <c r="HZ259" s="46"/>
      <c r="IA259" s="46"/>
      <c r="IB259" s="46"/>
      <c r="IC259" s="46"/>
      <c r="ID259" s="46"/>
      <c r="IE259" s="46"/>
      <c r="IF259" s="46"/>
      <c r="IG259" s="46"/>
      <c r="IH259" s="46"/>
      <c r="II259" s="46"/>
      <c r="IJ259" s="46"/>
      <c r="IK259" s="46"/>
      <c r="IL259" s="46"/>
      <c r="IM259" s="46"/>
      <c r="IN259" s="46"/>
      <c r="IO259" s="46"/>
      <c r="IP259" s="46"/>
      <c r="IQ259" s="46"/>
      <c r="IR259" s="46"/>
      <c r="IS259" s="46"/>
      <c r="IT259" s="46"/>
      <c r="IU259" s="46"/>
      <c r="IV259" s="46"/>
      <c r="IW259" s="46"/>
      <c r="IX259" s="46"/>
      <c r="IY259" s="46"/>
      <c r="IZ259" s="46"/>
      <c r="JA259" s="46"/>
      <c r="JB259" s="46"/>
      <c r="JC259" s="93">
        <f t="shared" si="86"/>
        <v>0</v>
      </c>
      <c r="JE259" s="46"/>
      <c r="JF259" s="46"/>
      <c r="JG259" s="46"/>
      <c r="JH259" s="46"/>
      <c r="JI259" s="46"/>
      <c r="JJ259" s="46"/>
      <c r="JK259" s="46"/>
      <c r="JL259" s="46"/>
      <c r="JM259" s="46"/>
      <c r="JN259" s="46"/>
      <c r="JO259" s="46"/>
      <c r="JP259" s="46"/>
      <c r="JQ259" s="46"/>
      <c r="JR259" s="46"/>
      <c r="JS259" s="46"/>
      <c r="JT259" s="46"/>
      <c r="JU259" s="46"/>
      <c r="JV259" s="46"/>
      <c r="JW259" s="46"/>
      <c r="JX259" s="46"/>
      <c r="JY259" s="46"/>
      <c r="JZ259" s="46"/>
      <c r="KA259" s="46"/>
      <c r="KB259" s="46"/>
      <c r="KC259" s="46"/>
      <c r="KD259" s="46"/>
      <c r="KE259" s="46"/>
      <c r="KF259" s="46"/>
      <c r="KG259" s="46"/>
      <c r="KH259" s="46"/>
      <c r="KI259" s="46"/>
      <c r="KJ259" s="93">
        <f t="shared" si="87"/>
        <v>0</v>
      </c>
    </row>
    <row r="260" spans="1:296" ht="20.149999999999999" customHeight="1" x14ac:dyDescent="0.5">
      <c r="A260" s="11">
        <v>78</v>
      </c>
      <c r="B260" s="178" t="s">
        <v>304</v>
      </c>
      <c r="C260" s="144" t="s">
        <v>182</v>
      </c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>
        <f t="shared" si="70"/>
        <v>0</v>
      </c>
      <c r="S260" s="46">
        <f t="shared" si="71"/>
        <v>0</v>
      </c>
      <c r="T260" s="46">
        <f t="shared" si="72"/>
        <v>0</v>
      </c>
      <c r="U260" s="46">
        <f t="shared" si="73"/>
        <v>0</v>
      </c>
      <c r="V260" s="46">
        <f t="shared" si="74"/>
        <v>0</v>
      </c>
      <c r="W260" s="46">
        <f t="shared" si="75"/>
        <v>0</v>
      </c>
      <c r="X260" s="46">
        <f t="shared" si="76"/>
        <v>0</v>
      </c>
      <c r="Y260" s="46">
        <f t="shared" si="77"/>
        <v>0</v>
      </c>
      <c r="Z260" s="90">
        <f t="shared" si="82"/>
        <v>0</v>
      </c>
      <c r="AA260" s="95"/>
      <c r="AB260" s="95">
        <f>'LPLPO PROGRAM'!H91</f>
        <v>0</v>
      </c>
      <c r="AC260" s="91"/>
      <c r="AD260" s="91"/>
      <c r="AE260" s="91"/>
      <c r="AF260" s="91"/>
      <c r="AG260" s="92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93">
        <f t="shared" si="78"/>
        <v>0</v>
      </c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  <c r="CK260" s="46"/>
      <c r="CL260" s="46"/>
      <c r="CM260" s="46"/>
      <c r="CN260" s="46"/>
      <c r="CO260" s="46"/>
      <c r="CP260" s="46"/>
      <c r="CQ260" s="46"/>
      <c r="CR260" s="46"/>
      <c r="CS260" s="46"/>
      <c r="CT260" s="93">
        <f t="shared" si="83"/>
        <v>0</v>
      </c>
      <c r="CV260" s="46"/>
      <c r="CW260" s="46"/>
      <c r="CX260" s="46"/>
      <c r="CY260" s="46"/>
      <c r="CZ260" s="46"/>
      <c r="DA260" s="46"/>
      <c r="DB260" s="46"/>
      <c r="DC260" s="46"/>
      <c r="DD260" s="46"/>
      <c r="DE260" s="46"/>
      <c r="DF260" s="46"/>
      <c r="DG260" s="46"/>
      <c r="DH260" s="46"/>
      <c r="DI260" s="46"/>
      <c r="DJ260" s="46"/>
      <c r="DK260" s="46"/>
      <c r="DL260" s="46"/>
      <c r="DM260" s="46"/>
      <c r="DN260" s="46"/>
      <c r="DO260" s="46"/>
      <c r="DP260" s="46"/>
      <c r="DQ260" s="46"/>
      <c r="DR260" s="46"/>
      <c r="DS260" s="46"/>
      <c r="DT260" s="46"/>
      <c r="DU260" s="46"/>
      <c r="DV260" s="46"/>
      <c r="DW260" s="46"/>
      <c r="DX260" s="46"/>
      <c r="DY260" s="46"/>
      <c r="DZ260" s="46"/>
      <c r="EA260" s="93">
        <f t="shared" si="79"/>
        <v>0</v>
      </c>
      <c r="EC260" s="46"/>
      <c r="ED260" s="46"/>
      <c r="EE260" s="46"/>
      <c r="EF260" s="46"/>
      <c r="EG260" s="46"/>
      <c r="EH260" s="46"/>
      <c r="EI260" s="46"/>
      <c r="EJ260" s="46"/>
      <c r="EK260" s="46"/>
      <c r="EL260" s="46"/>
      <c r="EM260" s="46"/>
      <c r="EN260" s="46"/>
      <c r="EO260" s="46"/>
      <c r="EP260" s="46"/>
      <c r="EQ260" s="46"/>
      <c r="ER260" s="46"/>
      <c r="ES260" s="46"/>
      <c r="ET260" s="46"/>
      <c r="EU260" s="46"/>
      <c r="EV260" s="46"/>
      <c r="EW260" s="46"/>
      <c r="EX260" s="46"/>
      <c r="EY260" s="46"/>
      <c r="EZ260" s="46"/>
      <c r="FA260" s="46"/>
      <c r="FB260" s="46"/>
      <c r="FC260" s="46"/>
      <c r="FD260" s="46"/>
      <c r="FE260" s="46"/>
      <c r="FF260" s="46"/>
      <c r="FG260" s="46"/>
      <c r="FH260" s="93">
        <f t="shared" si="80"/>
        <v>0</v>
      </c>
      <c r="FJ260" s="46"/>
      <c r="FK260" s="46"/>
      <c r="FL260" s="46"/>
      <c r="FM260" s="46"/>
      <c r="FN260" s="46"/>
      <c r="FO260" s="46"/>
      <c r="FP260" s="46"/>
      <c r="FQ260" s="46"/>
      <c r="FR260" s="46"/>
      <c r="FS260" s="46"/>
      <c r="FT260" s="46"/>
      <c r="FU260" s="46"/>
      <c r="FV260" s="46"/>
      <c r="FW260" s="46"/>
      <c r="FX260" s="46"/>
      <c r="FY260" s="46"/>
      <c r="FZ260" s="46"/>
      <c r="GA260" s="46"/>
      <c r="GB260" s="46"/>
      <c r="GC260" s="46"/>
      <c r="GD260" s="46"/>
      <c r="GE260" s="46"/>
      <c r="GF260" s="46"/>
      <c r="GG260" s="46"/>
      <c r="GH260" s="46"/>
      <c r="GI260" s="46"/>
      <c r="GJ260" s="46"/>
      <c r="GK260" s="46"/>
      <c r="GL260" s="46"/>
      <c r="GM260" s="46"/>
      <c r="GN260" s="46"/>
      <c r="GO260" s="93">
        <f t="shared" si="84"/>
        <v>0</v>
      </c>
      <c r="GQ260" s="46"/>
      <c r="GR260" s="46"/>
      <c r="GS260" s="46"/>
      <c r="GT260" s="46"/>
      <c r="GU260" s="46"/>
      <c r="GV260" s="46"/>
      <c r="GW260" s="46"/>
      <c r="GX260" s="46"/>
      <c r="GY260" s="46"/>
      <c r="GZ260" s="46"/>
      <c r="HA260" s="46"/>
      <c r="HB260" s="46"/>
      <c r="HC260" s="46"/>
      <c r="HD260" s="46"/>
      <c r="HE260" s="46"/>
      <c r="HF260" s="46"/>
      <c r="HG260" s="46"/>
      <c r="HH260" s="46"/>
      <c r="HI260" s="46"/>
      <c r="HJ260" s="46"/>
      <c r="HK260" s="46"/>
      <c r="HL260" s="46"/>
      <c r="HM260" s="46"/>
      <c r="HN260" s="46"/>
      <c r="HO260" s="46"/>
      <c r="HP260" s="46"/>
      <c r="HQ260" s="46"/>
      <c r="HR260" s="46"/>
      <c r="HS260" s="46"/>
      <c r="HT260" s="46"/>
      <c r="HU260" s="46"/>
      <c r="HV260" s="93">
        <f t="shared" si="85"/>
        <v>0</v>
      </c>
      <c r="HX260" s="46"/>
      <c r="HY260" s="46"/>
      <c r="HZ260" s="46"/>
      <c r="IA260" s="46"/>
      <c r="IB260" s="46"/>
      <c r="IC260" s="46"/>
      <c r="ID260" s="46"/>
      <c r="IE260" s="46"/>
      <c r="IF260" s="46"/>
      <c r="IG260" s="46"/>
      <c r="IH260" s="46"/>
      <c r="II260" s="46"/>
      <c r="IJ260" s="46"/>
      <c r="IK260" s="46"/>
      <c r="IL260" s="46"/>
      <c r="IM260" s="46"/>
      <c r="IN260" s="46"/>
      <c r="IO260" s="46"/>
      <c r="IP260" s="46"/>
      <c r="IQ260" s="46"/>
      <c r="IR260" s="46"/>
      <c r="IS260" s="46"/>
      <c r="IT260" s="46"/>
      <c r="IU260" s="46"/>
      <c r="IV260" s="46"/>
      <c r="IW260" s="46"/>
      <c r="IX260" s="46"/>
      <c r="IY260" s="46"/>
      <c r="IZ260" s="46"/>
      <c r="JA260" s="46"/>
      <c r="JB260" s="46"/>
      <c r="JC260" s="93">
        <f t="shared" si="86"/>
        <v>0</v>
      </c>
      <c r="JE260" s="46"/>
      <c r="JF260" s="46"/>
      <c r="JG260" s="46"/>
      <c r="JH260" s="46"/>
      <c r="JI260" s="46"/>
      <c r="JJ260" s="46"/>
      <c r="JK260" s="46"/>
      <c r="JL260" s="46"/>
      <c r="JM260" s="46"/>
      <c r="JN260" s="46"/>
      <c r="JO260" s="46"/>
      <c r="JP260" s="46"/>
      <c r="JQ260" s="46"/>
      <c r="JR260" s="46"/>
      <c r="JS260" s="46"/>
      <c r="JT260" s="46"/>
      <c r="JU260" s="46"/>
      <c r="JV260" s="46"/>
      <c r="JW260" s="46"/>
      <c r="JX260" s="46"/>
      <c r="JY260" s="46"/>
      <c r="JZ260" s="46"/>
      <c r="KA260" s="46"/>
      <c r="KB260" s="46"/>
      <c r="KC260" s="46"/>
      <c r="KD260" s="46"/>
      <c r="KE260" s="46"/>
      <c r="KF260" s="46"/>
      <c r="KG260" s="46"/>
      <c r="KH260" s="46"/>
      <c r="KI260" s="46"/>
      <c r="KJ260" s="93">
        <f t="shared" si="87"/>
        <v>0</v>
      </c>
    </row>
    <row r="261" spans="1:296" ht="20.149999999999999" customHeight="1" x14ac:dyDescent="0.5">
      <c r="A261" s="11">
        <v>79</v>
      </c>
      <c r="B261" s="178" t="s">
        <v>202</v>
      </c>
      <c r="C261" s="144" t="s">
        <v>201</v>
      </c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>
        <f t="shared" si="70"/>
        <v>0</v>
      </c>
      <c r="S261" s="46">
        <f t="shared" si="71"/>
        <v>0</v>
      </c>
      <c r="T261" s="46">
        <f t="shared" si="72"/>
        <v>0</v>
      </c>
      <c r="U261" s="46">
        <f t="shared" si="73"/>
        <v>0</v>
      </c>
      <c r="V261" s="46">
        <f t="shared" si="74"/>
        <v>0</v>
      </c>
      <c r="W261" s="46">
        <f t="shared" si="75"/>
        <v>0</v>
      </c>
      <c r="X261" s="46">
        <f t="shared" si="76"/>
        <v>0</v>
      </c>
      <c r="Y261" s="46">
        <f t="shared" si="77"/>
        <v>0</v>
      </c>
      <c r="Z261" s="90">
        <f t="shared" si="82"/>
        <v>0</v>
      </c>
      <c r="AA261" s="95"/>
      <c r="AB261" s="95">
        <f>'LPLPO PROGRAM'!H92</f>
        <v>0</v>
      </c>
      <c r="AC261" s="91"/>
      <c r="AD261" s="91"/>
      <c r="AE261" s="91"/>
      <c r="AF261" s="91"/>
      <c r="AG261" s="92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93">
        <f t="shared" si="78"/>
        <v>0</v>
      </c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  <c r="CK261" s="46"/>
      <c r="CL261" s="46"/>
      <c r="CM261" s="46"/>
      <c r="CN261" s="46"/>
      <c r="CO261" s="46"/>
      <c r="CP261" s="46"/>
      <c r="CQ261" s="46"/>
      <c r="CR261" s="46"/>
      <c r="CS261" s="46"/>
      <c r="CT261" s="93">
        <f t="shared" si="83"/>
        <v>0</v>
      </c>
      <c r="CV261" s="46"/>
      <c r="CW261" s="46"/>
      <c r="CX261" s="46"/>
      <c r="CY261" s="46"/>
      <c r="CZ261" s="46"/>
      <c r="DA261" s="46"/>
      <c r="DB261" s="46"/>
      <c r="DC261" s="46"/>
      <c r="DD261" s="46"/>
      <c r="DE261" s="46"/>
      <c r="DF261" s="46"/>
      <c r="DG261" s="46"/>
      <c r="DH261" s="46"/>
      <c r="DI261" s="46"/>
      <c r="DJ261" s="46"/>
      <c r="DK261" s="46"/>
      <c r="DL261" s="46"/>
      <c r="DM261" s="46"/>
      <c r="DN261" s="46"/>
      <c r="DO261" s="46"/>
      <c r="DP261" s="46"/>
      <c r="DQ261" s="46"/>
      <c r="DR261" s="46"/>
      <c r="DS261" s="46"/>
      <c r="DT261" s="46"/>
      <c r="DU261" s="46"/>
      <c r="DV261" s="46"/>
      <c r="DW261" s="46"/>
      <c r="DX261" s="46"/>
      <c r="DY261" s="46"/>
      <c r="DZ261" s="46"/>
      <c r="EA261" s="93">
        <f t="shared" si="79"/>
        <v>0</v>
      </c>
      <c r="EC261" s="46"/>
      <c r="ED261" s="46"/>
      <c r="EE261" s="46"/>
      <c r="EF261" s="46"/>
      <c r="EG261" s="46"/>
      <c r="EH261" s="46"/>
      <c r="EI261" s="46"/>
      <c r="EJ261" s="46"/>
      <c r="EK261" s="46"/>
      <c r="EL261" s="46"/>
      <c r="EM261" s="46"/>
      <c r="EN261" s="46"/>
      <c r="EO261" s="46"/>
      <c r="EP261" s="46"/>
      <c r="EQ261" s="46"/>
      <c r="ER261" s="46"/>
      <c r="ES261" s="46"/>
      <c r="ET261" s="46"/>
      <c r="EU261" s="46"/>
      <c r="EV261" s="46"/>
      <c r="EW261" s="46"/>
      <c r="EX261" s="46"/>
      <c r="EY261" s="46"/>
      <c r="EZ261" s="46"/>
      <c r="FA261" s="46"/>
      <c r="FB261" s="46"/>
      <c r="FC261" s="46"/>
      <c r="FD261" s="46"/>
      <c r="FE261" s="46"/>
      <c r="FF261" s="46"/>
      <c r="FG261" s="46"/>
      <c r="FH261" s="93">
        <f t="shared" si="80"/>
        <v>0</v>
      </c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6"/>
      <c r="FU261" s="46"/>
      <c r="FV261" s="46"/>
      <c r="FW261" s="46"/>
      <c r="FX261" s="46"/>
      <c r="FY261" s="46"/>
      <c r="FZ261" s="46"/>
      <c r="GA261" s="46"/>
      <c r="GB261" s="46"/>
      <c r="GC261" s="46"/>
      <c r="GD261" s="46"/>
      <c r="GE261" s="46"/>
      <c r="GF261" s="46"/>
      <c r="GG261" s="46"/>
      <c r="GH261" s="46"/>
      <c r="GI261" s="46"/>
      <c r="GJ261" s="46"/>
      <c r="GK261" s="46"/>
      <c r="GL261" s="46"/>
      <c r="GM261" s="46"/>
      <c r="GN261" s="46"/>
      <c r="GO261" s="93">
        <f t="shared" si="84"/>
        <v>0</v>
      </c>
      <c r="GQ261" s="46"/>
      <c r="GR261" s="46"/>
      <c r="GS261" s="46"/>
      <c r="GT261" s="46"/>
      <c r="GU261" s="46"/>
      <c r="GV261" s="46"/>
      <c r="GW261" s="46"/>
      <c r="GX261" s="46"/>
      <c r="GY261" s="46"/>
      <c r="GZ261" s="46"/>
      <c r="HA261" s="46"/>
      <c r="HB261" s="46"/>
      <c r="HC261" s="46"/>
      <c r="HD261" s="46"/>
      <c r="HE261" s="46"/>
      <c r="HF261" s="46"/>
      <c r="HG261" s="46"/>
      <c r="HH261" s="46"/>
      <c r="HI261" s="46"/>
      <c r="HJ261" s="46"/>
      <c r="HK261" s="46"/>
      <c r="HL261" s="46"/>
      <c r="HM261" s="46"/>
      <c r="HN261" s="46"/>
      <c r="HO261" s="46"/>
      <c r="HP261" s="46"/>
      <c r="HQ261" s="46"/>
      <c r="HR261" s="46"/>
      <c r="HS261" s="46"/>
      <c r="HT261" s="46"/>
      <c r="HU261" s="46"/>
      <c r="HV261" s="93">
        <f t="shared" si="85"/>
        <v>0</v>
      </c>
      <c r="HX261" s="46"/>
      <c r="HY261" s="46"/>
      <c r="HZ261" s="46"/>
      <c r="IA261" s="46"/>
      <c r="IB261" s="46"/>
      <c r="IC261" s="46"/>
      <c r="ID261" s="46"/>
      <c r="IE261" s="46"/>
      <c r="IF261" s="46"/>
      <c r="IG261" s="46"/>
      <c r="IH261" s="46"/>
      <c r="II261" s="46"/>
      <c r="IJ261" s="46"/>
      <c r="IK261" s="46"/>
      <c r="IL261" s="46"/>
      <c r="IM261" s="46"/>
      <c r="IN261" s="46"/>
      <c r="IO261" s="46"/>
      <c r="IP261" s="46"/>
      <c r="IQ261" s="46"/>
      <c r="IR261" s="46"/>
      <c r="IS261" s="46"/>
      <c r="IT261" s="46"/>
      <c r="IU261" s="46"/>
      <c r="IV261" s="46"/>
      <c r="IW261" s="46"/>
      <c r="IX261" s="46"/>
      <c r="IY261" s="46"/>
      <c r="IZ261" s="46"/>
      <c r="JA261" s="46"/>
      <c r="JB261" s="46"/>
      <c r="JC261" s="93">
        <f t="shared" si="86"/>
        <v>0</v>
      </c>
      <c r="JE261" s="46"/>
      <c r="JF261" s="46"/>
      <c r="JG261" s="46"/>
      <c r="JH261" s="46"/>
      <c r="JI261" s="46"/>
      <c r="JJ261" s="46"/>
      <c r="JK261" s="46"/>
      <c r="JL261" s="46"/>
      <c r="JM261" s="46"/>
      <c r="JN261" s="46"/>
      <c r="JO261" s="46"/>
      <c r="JP261" s="46"/>
      <c r="JQ261" s="46"/>
      <c r="JR261" s="46"/>
      <c r="JS261" s="46"/>
      <c r="JT261" s="46"/>
      <c r="JU261" s="46"/>
      <c r="JV261" s="46"/>
      <c r="JW261" s="46"/>
      <c r="JX261" s="46"/>
      <c r="JY261" s="46"/>
      <c r="JZ261" s="46"/>
      <c r="KA261" s="46"/>
      <c r="KB261" s="46"/>
      <c r="KC261" s="46"/>
      <c r="KD261" s="46"/>
      <c r="KE261" s="46"/>
      <c r="KF261" s="46"/>
      <c r="KG261" s="46"/>
      <c r="KH261" s="46"/>
      <c r="KI261" s="46"/>
      <c r="KJ261" s="93">
        <f t="shared" si="87"/>
        <v>0</v>
      </c>
    </row>
    <row r="262" spans="1:296" ht="20.149999999999999" customHeight="1" x14ac:dyDescent="0.5">
      <c r="A262" s="11">
        <v>80</v>
      </c>
      <c r="B262" s="178" t="s">
        <v>433</v>
      </c>
      <c r="C262" s="144" t="s">
        <v>203</v>
      </c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>
        <f t="shared" si="70"/>
        <v>0</v>
      </c>
      <c r="S262" s="46">
        <f t="shared" si="71"/>
        <v>0</v>
      </c>
      <c r="T262" s="46">
        <f t="shared" si="72"/>
        <v>0</v>
      </c>
      <c r="U262" s="46">
        <f t="shared" si="73"/>
        <v>0</v>
      </c>
      <c r="V262" s="46">
        <f t="shared" si="74"/>
        <v>0</v>
      </c>
      <c r="W262" s="46">
        <f t="shared" si="75"/>
        <v>0</v>
      </c>
      <c r="X262" s="46">
        <f t="shared" si="76"/>
        <v>0</v>
      </c>
      <c r="Y262" s="46">
        <f t="shared" si="77"/>
        <v>0</v>
      </c>
      <c r="Z262" s="90">
        <f t="shared" si="82"/>
        <v>0</v>
      </c>
      <c r="AA262" s="95"/>
      <c r="AB262" s="95">
        <f>'LPLPO PROGRAM'!H93</f>
        <v>0</v>
      </c>
      <c r="AC262" s="91"/>
      <c r="AD262" s="91"/>
      <c r="AE262" s="91"/>
      <c r="AF262" s="91"/>
      <c r="AG262" s="92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93">
        <f t="shared" si="78"/>
        <v>0</v>
      </c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  <c r="CK262" s="46"/>
      <c r="CL262" s="46"/>
      <c r="CM262" s="46"/>
      <c r="CN262" s="46"/>
      <c r="CO262" s="46"/>
      <c r="CP262" s="46"/>
      <c r="CQ262" s="46"/>
      <c r="CR262" s="46"/>
      <c r="CS262" s="46"/>
      <c r="CT262" s="93">
        <f t="shared" si="83"/>
        <v>0</v>
      </c>
      <c r="CV262" s="46"/>
      <c r="CW262" s="46"/>
      <c r="CX262" s="46"/>
      <c r="CY262" s="46"/>
      <c r="CZ262" s="46"/>
      <c r="DA262" s="46"/>
      <c r="DB262" s="46"/>
      <c r="DC262" s="46"/>
      <c r="DD262" s="46"/>
      <c r="DE262" s="46"/>
      <c r="DF262" s="46"/>
      <c r="DG262" s="46"/>
      <c r="DH262" s="46"/>
      <c r="DI262" s="46"/>
      <c r="DJ262" s="46"/>
      <c r="DK262" s="46"/>
      <c r="DL262" s="46"/>
      <c r="DM262" s="46"/>
      <c r="DN262" s="46"/>
      <c r="DO262" s="46"/>
      <c r="DP262" s="46"/>
      <c r="DQ262" s="46"/>
      <c r="DR262" s="46"/>
      <c r="DS262" s="46"/>
      <c r="DT262" s="46"/>
      <c r="DU262" s="46"/>
      <c r="DV262" s="46"/>
      <c r="DW262" s="46"/>
      <c r="DX262" s="46"/>
      <c r="DY262" s="46"/>
      <c r="DZ262" s="46"/>
      <c r="EA262" s="93">
        <f t="shared" si="79"/>
        <v>0</v>
      </c>
      <c r="EC262" s="46"/>
      <c r="ED262" s="46"/>
      <c r="EE262" s="46"/>
      <c r="EF262" s="46"/>
      <c r="EG262" s="46"/>
      <c r="EH262" s="46"/>
      <c r="EI262" s="46"/>
      <c r="EJ262" s="46"/>
      <c r="EK262" s="46"/>
      <c r="EL262" s="46"/>
      <c r="EM262" s="46"/>
      <c r="EN262" s="46"/>
      <c r="EO262" s="46"/>
      <c r="EP262" s="46"/>
      <c r="EQ262" s="46"/>
      <c r="ER262" s="46"/>
      <c r="ES262" s="46"/>
      <c r="ET262" s="46"/>
      <c r="EU262" s="46"/>
      <c r="EV262" s="46"/>
      <c r="EW262" s="46"/>
      <c r="EX262" s="46"/>
      <c r="EY262" s="46"/>
      <c r="EZ262" s="46"/>
      <c r="FA262" s="46"/>
      <c r="FB262" s="46"/>
      <c r="FC262" s="46"/>
      <c r="FD262" s="46"/>
      <c r="FE262" s="46"/>
      <c r="FF262" s="46"/>
      <c r="FG262" s="46"/>
      <c r="FH262" s="93">
        <f t="shared" si="80"/>
        <v>0</v>
      </c>
      <c r="FJ262" s="46"/>
      <c r="FK262" s="46"/>
      <c r="FL262" s="46"/>
      <c r="FM262" s="46"/>
      <c r="FN262" s="46"/>
      <c r="FO262" s="46"/>
      <c r="FP262" s="46"/>
      <c r="FQ262" s="46"/>
      <c r="FR262" s="46"/>
      <c r="FS262" s="46"/>
      <c r="FT262" s="46"/>
      <c r="FU262" s="46"/>
      <c r="FV262" s="46"/>
      <c r="FW262" s="46"/>
      <c r="FX262" s="46"/>
      <c r="FY262" s="46"/>
      <c r="FZ262" s="46"/>
      <c r="GA262" s="46"/>
      <c r="GB262" s="46"/>
      <c r="GC262" s="46"/>
      <c r="GD262" s="46"/>
      <c r="GE262" s="46"/>
      <c r="GF262" s="46"/>
      <c r="GG262" s="46"/>
      <c r="GH262" s="46"/>
      <c r="GI262" s="46"/>
      <c r="GJ262" s="46"/>
      <c r="GK262" s="46"/>
      <c r="GL262" s="46"/>
      <c r="GM262" s="46"/>
      <c r="GN262" s="46"/>
      <c r="GO262" s="93">
        <f t="shared" si="84"/>
        <v>0</v>
      </c>
      <c r="GQ262" s="46"/>
      <c r="GR262" s="46"/>
      <c r="GS262" s="46"/>
      <c r="GT262" s="46"/>
      <c r="GU262" s="46"/>
      <c r="GV262" s="46"/>
      <c r="GW262" s="46"/>
      <c r="GX262" s="46"/>
      <c r="GY262" s="46"/>
      <c r="GZ262" s="46"/>
      <c r="HA262" s="46"/>
      <c r="HB262" s="46"/>
      <c r="HC262" s="46"/>
      <c r="HD262" s="46"/>
      <c r="HE262" s="46"/>
      <c r="HF262" s="46"/>
      <c r="HG262" s="46"/>
      <c r="HH262" s="46"/>
      <c r="HI262" s="46"/>
      <c r="HJ262" s="46"/>
      <c r="HK262" s="46"/>
      <c r="HL262" s="46"/>
      <c r="HM262" s="46"/>
      <c r="HN262" s="46"/>
      <c r="HO262" s="46"/>
      <c r="HP262" s="46"/>
      <c r="HQ262" s="46"/>
      <c r="HR262" s="46"/>
      <c r="HS262" s="46"/>
      <c r="HT262" s="46"/>
      <c r="HU262" s="46"/>
      <c r="HV262" s="93">
        <f t="shared" si="85"/>
        <v>0</v>
      </c>
      <c r="HX262" s="46"/>
      <c r="HY262" s="46"/>
      <c r="HZ262" s="46"/>
      <c r="IA262" s="46"/>
      <c r="IB262" s="46"/>
      <c r="IC262" s="46"/>
      <c r="ID262" s="46"/>
      <c r="IE262" s="46"/>
      <c r="IF262" s="46"/>
      <c r="IG262" s="46"/>
      <c r="IH262" s="46"/>
      <c r="II262" s="46"/>
      <c r="IJ262" s="46"/>
      <c r="IK262" s="46"/>
      <c r="IL262" s="46"/>
      <c r="IM262" s="46"/>
      <c r="IN262" s="46"/>
      <c r="IO262" s="46"/>
      <c r="IP262" s="46"/>
      <c r="IQ262" s="46"/>
      <c r="IR262" s="46"/>
      <c r="IS262" s="46"/>
      <c r="IT262" s="46"/>
      <c r="IU262" s="46"/>
      <c r="IV262" s="46"/>
      <c r="IW262" s="46"/>
      <c r="IX262" s="46"/>
      <c r="IY262" s="46"/>
      <c r="IZ262" s="46"/>
      <c r="JA262" s="46"/>
      <c r="JB262" s="46"/>
      <c r="JC262" s="93">
        <f t="shared" si="86"/>
        <v>0</v>
      </c>
      <c r="JE262" s="46"/>
      <c r="JF262" s="46"/>
      <c r="JG262" s="46"/>
      <c r="JH262" s="46"/>
      <c r="JI262" s="46"/>
      <c r="JJ262" s="46"/>
      <c r="JK262" s="46"/>
      <c r="JL262" s="46"/>
      <c r="JM262" s="46"/>
      <c r="JN262" s="46"/>
      <c r="JO262" s="46"/>
      <c r="JP262" s="46"/>
      <c r="JQ262" s="46"/>
      <c r="JR262" s="46"/>
      <c r="JS262" s="46"/>
      <c r="JT262" s="46"/>
      <c r="JU262" s="46"/>
      <c r="JV262" s="46"/>
      <c r="JW262" s="46"/>
      <c r="JX262" s="46"/>
      <c r="JY262" s="46"/>
      <c r="JZ262" s="46"/>
      <c r="KA262" s="46"/>
      <c r="KB262" s="46"/>
      <c r="KC262" s="46"/>
      <c r="KD262" s="46"/>
      <c r="KE262" s="46"/>
      <c r="KF262" s="46"/>
      <c r="KG262" s="46"/>
      <c r="KH262" s="46"/>
      <c r="KI262" s="46"/>
      <c r="KJ262" s="93">
        <f t="shared" si="87"/>
        <v>0</v>
      </c>
    </row>
    <row r="263" spans="1:296" x14ac:dyDescent="0.5">
      <c r="A263" s="11">
        <v>81</v>
      </c>
      <c r="B263" s="178"/>
      <c r="C263" s="144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>
        <f t="shared" si="70"/>
        <v>0</v>
      </c>
      <c r="S263" s="46">
        <f t="shared" si="71"/>
        <v>0</v>
      </c>
      <c r="T263" s="46">
        <f t="shared" si="72"/>
        <v>0</v>
      </c>
      <c r="U263" s="46">
        <f t="shared" si="73"/>
        <v>0</v>
      </c>
      <c r="V263" s="46">
        <f t="shared" si="74"/>
        <v>0</v>
      </c>
      <c r="W263" s="46">
        <f t="shared" si="75"/>
        <v>0</v>
      </c>
      <c r="X263" s="46">
        <f t="shared" si="76"/>
        <v>0</v>
      </c>
      <c r="Y263" s="46">
        <f t="shared" si="77"/>
        <v>0</v>
      </c>
      <c r="Z263" s="90">
        <f t="shared" si="82"/>
        <v>0</v>
      </c>
      <c r="AA263" s="95"/>
      <c r="AB263" s="95">
        <f>'LPLPO PROGRAM'!H94</f>
        <v>0</v>
      </c>
      <c r="AC263" s="91"/>
      <c r="AD263" s="91"/>
      <c r="AE263" s="91"/>
      <c r="AF263" s="91"/>
      <c r="AG263" s="92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93">
        <f t="shared" si="78"/>
        <v>0</v>
      </c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  <c r="CK263" s="46"/>
      <c r="CL263" s="46"/>
      <c r="CM263" s="46"/>
      <c r="CN263" s="46"/>
      <c r="CO263" s="46"/>
      <c r="CP263" s="46"/>
      <c r="CQ263" s="46"/>
      <c r="CR263" s="46"/>
      <c r="CS263" s="46"/>
      <c r="CT263" s="93">
        <f t="shared" si="83"/>
        <v>0</v>
      </c>
      <c r="CV263" s="46"/>
      <c r="CW263" s="46"/>
      <c r="CX263" s="46"/>
      <c r="CY263" s="46"/>
      <c r="CZ263" s="46"/>
      <c r="DA263" s="46"/>
      <c r="DB263" s="46"/>
      <c r="DC263" s="46"/>
      <c r="DD263" s="46"/>
      <c r="DE263" s="46"/>
      <c r="DF263" s="46"/>
      <c r="DG263" s="46"/>
      <c r="DH263" s="46"/>
      <c r="DI263" s="46"/>
      <c r="DJ263" s="46"/>
      <c r="DK263" s="46"/>
      <c r="DL263" s="46"/>
      <c r="DM263" s="46"/>
      <c r="DN263" s="46"/>
      <c r="DO263" s="46"/>
      <c r="DP263" s="46"/>
      <c r="DQ263" s="46"/>
      <c r="DR263" s="46"/>
      <c r="DS263" s="46"/>
      <c r="DT263" s="46"/>
      <c r="DU263" s="46"/>
      <c r="DV263" s="46"/>
      <c r="DW263" s="46"/>
      <c r="DX263" s="46"/>
      <c r="DY263" s="46"/>
      <c r="DZ263" s="46"/>
      <c r="EA263" s="93">
        <f t="shared" si="79"/>
        <v>0</v>
      </c>
      <c r="EC263" s="46"/>
      <c r="ED263" s="46"/>
      <c r="EE263" s="46"/>
      <c r="EF263" s="46"/>
      <c r="EG263" s="46"/>
      <c r="EH263" s="46"/>
      <c r="EI263" s="46"/>
      <c r="EJ263" s="46"/>
      <c r="EK263" s="46"/>
      <c r="EL263" s="46"/>
      <c r="EM263" s="46"/>
      <c r="EN263" s="46"/>
      <c r="EO263" s="46"/>
      <c r="EP263" s="46"/>
      <c r="EQ263" s="46"/>
      <c r="ER263" s="46"/>
      <c r="ES263" s="46"/>
      <c r="ET263" s="46"/>
      <c r="EU263" s="46"/>
      <c r="EV263" s="46"/>
      <c r="EW263" s="46"/>
      <c r="EX263" s="46"/>
      <c r="EY263" s="46"/>
      <c r="EZ263" s="46"/>
      <c r="FA263" s="46"/>
      <c r="FB263" s="46"/>
      <c r="FC263" s="46"/>
      <c r="FD263" s="46"/>
      <c r="FE263" s="46"/>
      <c r="FF263" s="46"/>
      <c r="FG263" s="46"/>
      <c r="FH263" s="93">
        <f t="shared" si="80"/>
        <v>0</v>
      </c>
      <c r="FJ263" s="46"/>
      <c r="FK263" s="46"/>
      <c r="FL263" s="46"/>
      <c r="FM263" s="46"/>
      <c r="FN263" s="46"/>
      <c r="FO263" s="46"/>
      <c r="FP263" s="46"/>
      <c r="FQ263" s="46"/>
      <c r="FR263" s="46"/>
      <c r="FS263" s="46"/>
      <c r="FT263" s="46"/>
      <c r="FU263" s="46"/>
      <c r="FV263" s="46"/>
      <c r="FW263" s="46"/>
      <c r="FX263" s="46"/>
      <c r="FY263" s="46"/>
      <c r="FZ263" s="46"/>
      <c r="GA263" s="46"/>
      <c r="GB263" s="46"/>
      <c r="GC263" s="46"/>
      <c r="GD263" s="46"/>
      <c r="GE263" s="46"/>
      <c r="GF263" s="46"/>
      <c r="GG263" s="46"/>
      <c r="GH263" s="46"/>
      <c r="GI263" s="46"/>
      <c r="GJ263" s="46"/>
      <c r="GK263" s="46"/>
      <c r="GL263" s="46"/>
      <c r="GM263" s="46"/>
      <c r="GN263" s="46"/>
      <c r="GO263" s="93">
        <f t="shared" si="84"/>
        <v>0</v>
      </c>
      <c r="GQ263" s="46"/>
      <c r="GR263" s="46"/>
      <c r="GS263" s="46"/>
      <c r="GT263" s="46"/>
      <c r="GU263" s="46"/>
      <c r="GV263" s="46"/>
      <c r="GW263" s="46"/>
      <c r="GX263" s="46"/>
      <c r="GY263" s="46"/>
      <c r="GZ263" s="46"/>
      <c r="HA263" s="46"/>
      <c r="HB263" s="46"/>
      <c r="HC263" s="46"/>
      <c r="HD263" s="46"/>
      <c r="HE263" s="46"/>
      <c r="HF263" s="46"/>
      <c r="HG263" s="46"/>
      <c r="HH263" s="46"/>
      <c r="HI263" s="46"/>
      <c r="HJ263" s="46"/>
      <c r="HK263" s="46"/>
      <c r="HL263" s="46"/>
      <c r="HM263" s="46"/>
      <c r="HN263" s="46"/>
      <c r="HO263" s="46"/>
      <c r="HP263" s="46"/>
      <c r="HQ263" s="46"/>
      <c r="HR263" s="46"/>
      <c r="HS263" s="46"/>
      <c r="HT263" s="46"/>
      <c r="HU263" s="46"/>
      <c r="HV263" s="93">
        <f t="shared" si="85"/>
        <v>0</v>
      </c>
      <c r="HX263" s="46"/>
      <c r="HY263" s="46"/>
      <c r="HZ263" s="46"/>
      <c r="IA263" s="46"/>
      <c r="IB263" s="46"/>
      <c r="IC263" s="46"/>
      <c r="ID263" s="46"/>
      <c r="IE263" s="46"/>
      <c r="IF263" s="46"/>
      <c r="IG263" s="46"/>
      <c r="IH263" s="46"/>
      <c r="II263" s="46"/>
      <c r="IJ263" s="46"/>
      <c r="IK263" s="46"/>
      <c r="IL263" s="46"/>
      <c r="IM263" s="46"/>
      <c r="IN263" s="46"/>
      <c r="IO263" s="46"/>
      <c r="IP263" s="46"/>
      <c r="IQ263" s="46"/>
      <c r="IR263" s="46"/>
      <c r="IS263" s="46"/>
      <c r="IT263" s="46"/>
      <c r="IU263" s="46"/>
      <c r="IV263" s="46"/>
      <c r="IW263" s="46"/>
      <c r="IX263" s="46"/>
      <c r="IY263" s="46"/>
      <c r="IZ263" s="46"/>
      <c r="JA263" s="46"/>
      <c r="JB263" s="46"/>
      <c r="JC263" s="93">
        <f t="shared" si="86"/>
        <v>0</v>
      </c>
      <c r="JE263" s="46"/>
      <c r="JF263" s="46"/>
      <c r="JG263" s="46"/>
      <c r="JH263" s="46"/>
      <c r="JI263" s="46"/>
      <c r="JJ263" s="46"/>
      <c r="JK263" s="46"/>
      <c r="JL263" s="46"/>
      <c r="JM263" s="46"/>
      <c r="JN263" s="46"/>
      <c r="JO263" s="46"/>
      <c r="JP263" s="46"/>
      <c r="JQ263" s="46"/>
      <c r="JR263" s="46"/>
      <c r="JS263" s="46"/>
      <c r="JT263" s="46"/>
      <c r="JU263" s="46"/>
      <c r="JV263" s="46"/>
      <c r="JW263" s="46"/>
      <c r="JX263" s="46"/>
      <c r="JY263" s="46"/>
      <c r="JZ263" s="46"/>
      <c r="KA263" s="46"/>
      <c r="KB263" s="46"/>
      <c r="KC263" s="46"/>
      <c r="KD263" s="46"/>
      <c r="KE263" s="46"/>
      <c r="KF263" s="46"/>
      <c r="KG263" s="46"/>
      <c r="KH263" s="46"/>
      <c r="KI263" s="46"/>
      <c r="KJ263" s="93">
        <f t="shared" si="87"/>
        <v>0</v>
      </c>
    </row>
    <row r="264" spans="1:296" x14ac:dyDescent="0.5">
      <c r="A264" s="11">
        <v>82</v>
      </c>
      <c r="B264" s="178"/>
      <c r="C264" s="144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>
        <f t="shared" si="70"/>
        <v>0</v>
      </c>
      <c r="S264" s="46">
        <f t="shared" si="71"/>
        <v>0</v>
      </c>
      <c r="T264" s="46">
        <f t="shared" si="72"/>
        <v>0</v>
      </c>
      <c r="U264" s="46">
        <f t="shared" si="73"/>
        <v>0</v>
      </c>
      <c r="V264" s="46">
        <f t="shared" si="74"/>
        <v>0</v>
      </c>
      <c r="W264" s="46">
        <f t="shared" si="75"/>
        <v>0</v>
      </c>
      <c r="X264" s="46">
        <f t="shared" si="76"/>
        <v>0</v>
      </c>
      <c r="Y264" s="46">
        <f t="shared" si="77"/>
        <v>0</v>
      </c>
      <c r="Z264" s="90">
        <f t="shared" si="82"/>
        <v>0</v>
      </c>
      <c r="AA264" s="95"/>
      <c r="AB264" s="95">
        <f>'LPLPO PROGRAM'!H95</f>
        <v>0</v>
      </c>
      <c r="AC264" s="91"/>
      <c r="AD264" s="91"/>
      <c r="AE264" s="91"/>
      <c r="AF264" s="91"/>
      <c r="AG264" s="92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93">
        <f t="shared" si="78"/>
        <v>0</v>
      </c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  <c r="CK264" s="46"/>
      <c r="CL264" s="46"/>
      <c r="CM264" s="46"/>
      <c r="CN264" s="46"/>
      <c r="CO264" s="46"/>
      <c r="CP264" s="46"/>
      <c r="CQ264" s="46"/>
      <c r="CR264" s="46"/>
      <c r="CS264" s="46"/>
      <c r="CT264" s="93">
        <f t="shared" si="83"/>
        <v>0</v>
      </c>
      <c r="CV264" s="46"/>
      <c r="CW264" s="46"/>
      <c r="CX264" s="46"/>
      <c r="CY264" s="46"/>
      <c r="CZ264" s="46"/>
      <c r="DA264" s="46"/>
      <c r="DB264" s="46"/>
      <c r="DC264" s="46"/>
      <c r="DD264" s="46"/>
      <c r="DE264" s="46"/>
      <c r="DF264" s="46"/>
      <c r="DG264" s="46"/>
      <c r="DH264" s="46"/>
      <c r="DI264" s="46"/>
      <c r="DJ264" s="46"/>
      <c r="DK264" s="46"/>
      <c r="DL264" s="46"/>
      <c r="DM264" s="46"/>
      <c r="DN264" s="46"/>
      <c r="DO264" s="46"/>
      <c r="DP264" s="46"/>
      <c r="DQ264" s="46"/>
      <c r="DR264" s="46"/>
      <c r="DS264" s="46"/>
      <c r="DT264" s="46"/>
      <c r="DU264" s="46"/>
      <c r="DV264" s="46"/>
      <c r="DW264" s="46"/>
      <c r="DX264" s="46"/>
      <c r="DY264" s="46"/>
      <c r="DZ264" s="46"/>
      <c r="EA264" s="93">
        <f t="shared" si="79"/>
        <v>0</v>
      </c>
      <c r="EC264" s="46"/>
      <c r="ED264" s="46"/>
      <c r="EE264" s="46"/>
      <c r="EF264" s="46"/>
      <c r="EG264" s="46"/>
      <c r="EH264" s="46"/>
      <c r="EI264" s="46"/>
      <c r="EJ264" s="46"/>
      <c r="EK264" s="46"/>
      <c r="EL264" s="46"/>
      <c r="EM264" s="46"/>
      <c r="EN264" s="46"/>
      <c r="EO264" s="46"/>
      <c r="EP264" s="46"/>
      <c r="EQ264" s="46"/>
      <c r="ER264" s="46"/>
      <c r="ES264" s="46"/>
      <c r="ET264" s="46"/>
      <c r="EU264" s="46"/>
      <c r="EV264" s="46"/>
      <c r="EW264" s="46"/>
      <c r="EX264" s="46"/>
      <c r="EY264" s="46"/>
      <c r="EZ264" s="46"/>
      <c r="FA264" s="46"/>
      <c r="FB264" s="46"/>
      <c r="FC264" s="46"/>
      <c r="FD264" s="46"/>
      <c r="FE264" s="46"/>
      <c r="FF264" s="46"/>
      <c r="FG264" s="46"/>
      <c r="FH264" s="93">
        <f t="shared" si="80"/>
        <v>0</v>
      </c>
      <c r="FJ264" s="46"/>
      <c r="FK264" s="46"/>
      <c r="FL264" s="46"/>
      <c r="FM264" s="46"/>
      <c r="FN264" s="46"/>
      <c r="FO264" s="46"/>
      <c r="FP264" s="46"/>
      <c r="FQ264" s="46"/>
      <c r="FR264" s="46"/>
      <c r="FS264" s="46"/>
      <c r="FT264" s="46"/>
      <c r="FU264" s="46"/>
      <c r="FV264" s="46"/>
      <c r="FW264" s="46"/>
      <c r="FX264" s="46"/>
      <c r="FY264" s="46"/>
      <c r="FZ264" s="46"/>
      <c r="GA264" s="46"/>
      <c r="GB264" s="46"/>
      <c r="GC264" s="46"/>
      <c r="GD264" s="46"/>
      <c r="GE264" s="46"/>
      <c r="GF264" s="46"/>
      <c r="GG264" s="46"/>
      <c r="GH264" s="46"/>
      <c r="GI264" s="46"/>
      <c r="GJ264" s="46"/>
      <c r="GK264" s="46"/>
      <c r="GL264" s="46"/>
      <c r="GM264" s="46"/>
      <c r="GN264" s="46"/>
      <c r="GO264" s="93">
        <f t="shared" si="84"/>
        <v>0</v>
      </c>
      <c r="GQ264" s="46"/>
      <c r="GR264" s="46"/>
      <c r="GS264" s="46"/>
      <c r="GT264" s="46"/>
      <c r="GU264" s="46"/>
      <c r="GV264" s="46"/>
      <c r="GW264" s="46"/>
      <c r="GX264" s="46"/>
      <c r="GY264" s="46"/>
      <c r="GZ264" s="46"/>
      <c r="HA264" s="46"/>
      <c r="HB264" s="46"/>
      <c r="HC264" s="46"/>
      <c r="HD264" s="46"/>
      <c r="HE264" s="46"/>
      <c r="HF264" s="46"/>
      <c r="HG264" s="46"/>
      <c r="HH264" s="46"/>
      <c r="HI264" s="46"/>
      <c r="HJ264" s="46"/>
      <c r="HK264" s="46"/>
      <c r="HL264" s="46"/>
      <c r="HM264" s="46"/>
      <c r="HN264" s="46"/>
      <c r="HO264" s="46"/>
      <c r="HP264" s="46"/>
      <c r="HQ264" s="46"/>
      <c r="HR264" s="46"/>
      <c r="HS264" s="46"/>
      <c r="HT264" s="46"/>
      <c r="HU264" s="46"/>
      <c r="HV264" s="93">
        <f t="shared" si="85"/>
        <v>0</v>
      </c>
      <c r="HX264" s="46"/>
      <c r="HY264" s="46"/>
      <c r="HZ264" s="46"/>
      <c r="IA264" s="46"/>
      <c r="IB264" s="46"/>
      <c r="IC264" s="46"/>
      <c r="ID264" s="46"/>
      <c r="IE264" s="46"/>
      <c r="IF264" s="46"/>
      <c r="IG264" s="46"/>
      <c r="IH264" s="46"/>
      <c r="II264" s="46"/>
      <c r="IJ264" s="46"/>
      <c r="IK264" s="46"/>
      <c r="IL264" s="46"/>
      <c r="IM264" s="46"/>
      <c r="IN264" s="46"/>
      <c r="IO264" s="46"/>
      <c r="IP264" s="46"/>
      <c r="IQ264" s="46"/>
      <c r="IR264" s="46"/>
      <c r="IS264" s="46"/>
      <c r="IT264" s="46"/>
      <c r="IU264" s="46"/>
      <c r="IV264" s="46"/>
      <c r="IW264" s="46"/>
      <c r="IX264" s="46"/>
      <c r="IY264" s="46"/>
      <c r="IZ264" s="46"/>
      <c r="JA264" s="46"/>
      <c r="JB264" s="46"/>
      <c r="JC264" s="93">
        <f t="shared" si="86"/>
        <v>0</v>
      </c>
      <c r="JE264" s="46"/>
      <c r="JF264" s="46"/>
      <c r="JG264" s="46"/>
      <c r="JH264" s="46"/>
      <c r="JI264" s="46"/>
      <c r="JJ264" s="46"/>
      <c r="JK264" s="46"/>
      <c r="JL264" s="46"/>
      <c r="JM264" s="46"/>
      <c r="JN264" s="46"/>
      <c r="JO264" s="46"/>
      <c r="JP264" s="46"/>
      <c r="JQ264" s="46"/>
      <c r="JR264" s="46"/>
      <c r="JS264" s="46"/>
      <c r="JT264" s="46"/>
      <c r="JU264" s="46"/>
      <c r="JV264" s="46"/>
      <c r="JW264" s="46"/>
      <c r="JX264" s="46"/>
      <c r="JY264" s="46"/>
      <c r="JZ264" s="46"/>
      <c r="KA264" s="46"/>
      <c r="KB264" s="46"/>
      <c r="KC264" s="46"/>
      <c r="KD264" s="46"/>
      <c r="KE264" s="46"/>
      <c r="KF264" s="46"/>
      <c r="KG264" s="46"/>
      <c r="KH264" s="46"/>
      <c r="KI264" s="46"/>
      <c r="KJ264" s="93">
        <f t="shared" si="87"/>
        <v>0</v>
      </c>
    </row>
    <row r="265" spans="1:296" x14ac:dyDescent="0.5">
      <c r="A265" s="11">
        <v>83</v>
      </c>
      <c r="B265" s="178"/>
      <c r="C265" s="144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>
        <f t="shared" si="70"/>
        <v>0</v>
      </c>
      <c r="S265" s="46">
        <f t="shared" si="71"/>
        <v>0</v>
      </c>
      <c r="T265" s="46">
        <f t="shared" si="72"/>
        <v>0</v>
      </c>
      <c r="U265" s="46">
        <f t="shared" si="73"/>
        <v>0</v>
      </c>
      <c r="V265" s="46">
        <f t="shared" si="74"/>
        <v>0</v>
      </c>
      <c r="W265" s="46">
        <f t="shared" si="75"/>
        <v>0</v>
      </c>
      <c r="X265" s="46">
        <f t="shared" si="76"/>
        <v>0</v>
      </c>
      <c r="Y265" s="46">
        <f t="shared" si="77"/>
        <v>0</v>
      </c>
      <c r="Z265" s="90">
        <f t="shared" si="82"/>
        <v>0</v>
      </c>
      <c r="AA265" s="95"/>
      <c r="AB265" s="95">
        <f>'LPLPO PROGRAM'!H96</f>
        <v>0</v>
      </c>
      <c r="AC265" s="91"/>
      <c r="AD265" s="91"/>
      <c r="AE265" s="91"/>
      <c r="AF265" s="91"/>
      <c r="AG265" s="92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93">
        <f t="shared" si="78"/>
        <v>0</v>
      </c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  <c r="CK265" s="46"/>
      <c r="CL265" s="46"/>
      <c r="CM265" s="46"/>
      <c r="CN265" s="46"/>
      <c r="CO265" s="46"/>
      <c r="CP265" s="46"/>
      <c r="CQ265" s="46"/>
      <c r="CR265" s="46"/>
      <c r="CS265" s="46"/>
      <c r="CT265" s="93">
        <f t="shared" si="83"/>
        <v>0</v>
      </c>
      <c r="CV265" s="46"/>
      <c r="CW265" s="46"/>
      <c r="CX265" s="46"/>
      <c r="CY265" s="46"/>
      <c r="CZ265" s="46"/>
      <c r="DA265" s="46"/>
      <c r="DB265" s="46"/>
      <c r="DC265" s="46"/>
      <c r="DD265" s="46"/>
      <c r="DE265" s="46"/>
      <c r="DF265" s="46"/>
      <c r="DG265" s="46"/>
      <c r="DH265" s="46"/>
      <c r="DI265" s="46"/>
      <c r="DJ265" s="46"/>
      <c r="DK265" s="46"/>
      <c r="DL265" s="46"/>
      <c r="DM265" s="46"/>
      <c r="DN265" s="46"/>
      <c r="DO265" s="46"/>
      <c r="DP265" s="46"/>
      <c r="DQ265" s="46"/>
      <c r="DR265" s="46"/>
      <c r="DS265" s="46"/>
      <c r="DT265" s="46"/>
      <c r="DU265" s="46"/>
      <c r="DV265" s="46"/>
      <c r="DW265" s="46"/>
      <c r="DX265" s="46"/>
      <c r="DY265" s="46"/>
      <c r="DZ265" s="46"/>
      <c r="EA265" s="93">
        <f t="shared" si="79"/>
        <v>0</v>
      </c>
      <c r="EC265" s="46"/>
      <c r="ED265" s="46"/>
      <c r="EE265" s="46"/>
      <c r="EF265" s="46"/>
      <c r="EG265" s="46"/>
      <c r="EH265" s="46"/>
      <c r="EI265" s="46"/>
      <c r="EJ265" s="46"/>
      <c r="EK265" s="46"/>
      <c r="EL265" s="46"/>
      <c r="EM265" s="46"/>
      <c r="EN265" s="46"/>
      <c r="EO265" s="46"/>
      <c r="EP265" s="46"/>
      <c r="EQ265" s="46"/>
      <c r="ER265" s="46"/>
      <c r="ES265" s="46"/>
      <c r="ET265" s="46"/>
      <c r="EU265" s="46"/>
      <c r="EV265" s="46"/>
      <c r="EW265" s="46"/>
      <c r="EX265" s="46"/>
      <c r="EY265" s="46"/>
      <c r="EZ265" s="46"/>
      <c r="FA265" s="46"/>
      <c r="FB265" s="46"/>
      <c r="FC265" s="46"/>
      <c r="FD265" s="46"/>
      <c r="FE265" s="46"/>
      <c r="FF265" s="46"/>
      <c r="FG265" s="46"/>
      <c r="FH265" s="93">
        <f t="shared" si="80"/>
        <v>0</v>
      </c>
      <c r="FJ265" s="46"/>
      <c r="FK265" s="46"/>
      <c r="FL265" s="46"/>
      <c r="FM265" s="46"/>
      <c r="FN265" s="46"/>
      <c r="FO265" s="46"/>
      <c r="FP265" s="46"/>
      <c r="FQ265" s="46"/>
      <c r="FR265" s="46"/>
      <c r="FS265" s="46"/>
      <c r="FT265" s="46"/>
      <c r="FU265" s="46"/>
      <c r="FV265" s="46"/>
      <c r="FW265" s="46"/>
      <c r="FX265" s="46"/>
      <c r="FY265" s="46"/>
      <c r="FZ265" s="46"/>
      <c r="GA265" s="46"/>
      <c r="GB265" s="46"/>
      <c r="GC265" s="46"/>
      <c r="GD265" s="46"/>
      <c r="GE265" s="46"/>
      <c r="GF265" s="46"/>
      <c r="GG265" s="46"/>
      <c r="GH265" s="46"/>
      <c r="GI265" s="46"/>
      <c r="GJ265" s="46"/>
      <c r="GK265" s="46"/>
      <c r="GL265" s="46"/>
      <c r="GM265" s="46"/>
      <c r="GN265" s="46"/>
      <c r="GO265" s="93">
        <f t="shared" si="84"/>
        <v>0</v>
      </c>
      <c r="GQ265" s="46"/>
      <c r="GR265" s="46"/>
      <c r="GS265" s="46"/>
      <c r="GT265" s="46"/>
      <c r="GU265" s="46"/>
      <c r="GV265" s="46"/>
      <c r="GW265" s="46"/>
      <c r="GX265" s="46"/>
      <c r="GY265" s="46"/>
      <c r="GZ265" s="46"/>
      <c r="HA265" s="46"/>
      <c r="HB265" s="46"/>
      <c r="HC265" s="46"/>
      <c r="HD265" s="46"/>
      <c r="HE265" s="46"/>
      <c r="HF265" s="46"/>
      <c r="HG265" s="46"/>
      <c r="HH265" s="46"/>
      <c r="HI265" s="46"/>
      <c r="HJ265" s="46"/>
      <c r="HK265" s="46"/>
      <c r="HL265" s="46"/>
      <c r="HM265" s="46"/>
      <c r="HN265" s="46"/>
      <c r="HO265" s="46"/>
      <c r="HP265" s="46"/>
      <c r="HQ265" s="46"/>
      <c r="HR265" s="46"/>
      <c r="HS265" s="46"/>
      <c r="HT265" s="46"/>
      <c r="HU265" s="46"/>
      <c r="HV265" s="93">
        <f t="shared" si="85"/>
        <v>0</v>
      </c>
      <c r="HX265" s="46"/>
      <c r="HY265" s="46"/>
      <c r="HZ265" s="46"/>
      <c r="IA265" s="46"/>
      <c r="IB265" s="46"/>
      <c r="IC265" s="46"/>
      <c r="ID265" s="46"/>
      <c r="IE265" s="46"/>
      <c r="IF265" s="46"/>
      <c r="IG265" s="46"/>
      <c r="IH265" s="46"/>
      <c r="II265" s="46"/>
      <c r="IJ265" s="46"/>
      <c r="IK265" s="46"/>
      <c r="IL265" s="46"/>
      <c r="IM265" s="46"/>
      <c r="IN265" s="46"/>
      <c r="IO265" s="46"/>
      <c r="IP265" s="46"/>
      <c r="IQ265" s="46"/>
      <c r="IR265" s="46"/>
      <c r="IS265" s="46"/>
      <c r="IT265" s="46"/>
      <c r="IU265" s="46"/>
      <c r="IV265" s="46"/>
      <c r="IW265" s="46"/>
      <c r="IX265" s="46"/>
      <c r="IY265" s="46"/>
      <c r="IZ265" s="46"/>
      <c r="JA265" s="46"/>
      <c r="JB265" s="46"/>
      <c r="JC265" s="93">
        <f t="shared" si="86"/>
        <v>0</v>
      </c>
      <c r="JE265" s="46"/>
      <c r="JF265" s="46"/>
      <c r="JG265" s="46"/>
      <c r="JH265" s="46"/>
      <c r="JI265" s="46"/>
      <c r="JJ265" s="46"/>
      <c r="JK265" s="46"/>
      <c r="JL265" s="46"/>
      <c r="JM265" s="46"/>
      <c r="JN265" s="46"/>
      <c r="JO265" s="46"/>
      <c r="JP265" s="46"/>
      <c r="JQ265" s="46"/>
      <c r="JR265" s="46"/>
      <c r="JS265" s="46"/>
      <c r="JT265" s="46"/>
      <c r="JU265" s="46"/>
      <c r="JV265" s="46"/>
      <c r="JW265" s="46"/>
      <c r="JX265" s="46"/>
      <c r="JY265" s="46"/>
      <c r="JZ265" s="46"/>
      <c r="KA265" s="46"/>
      <c r="KB265" s="46"/>
      <c r="KC265" s="46"/>
      <c r="KD265" s="46"/>
      <c r="KE265" s="46"/>
      <c r="KF265" s="46"/>
      <c r="KG265" s="46"/>
      <c r="KH265" s="46"/>
      <c r="KI265" s="46"/>
      <c r="KJ265" s="93">
        <f t="shared" si="87"/>
        <v>0</v>
      </c>
    </row>
    <row r="266" spans="1:296" ht="20.149999999999999" customHeight="1" x14ac:dyDescent="0.5">
      <c r="A266" s="187">
        <v>84</v>
      </c>
      <c r="B266" s="190" t="s">
        <v>205</v>
      </c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46">
        <f t="shared" si="70"/>
        <v>0</v>
      </c>
      <c r="S266" s="46">
        <f t="shared" si="71"/>
        <v>0</v>
      </c>
      <c r="T266" s="46">
        <f t="shared" si="72"/>
        <v>0</v>
      </c>
      <c r="U266" s="46">
        <f t="shared" si="73"/>
        <v>0</v>
      </c>
      <c r="V266" s="46">
        <f t="shared" si="74"/>
        <v>0</v>
      </c>
      <c r="W266" s="46">
        <f t="shared" si="75"/>
        <v>0</v>
      </c>
      <c r="X266" s="46">
        <f t="shared" si="76"/>
        <v>0</v>
      </c>
      <c r="Y266" s="46">
        <f t="shared" si="77"/>
        <v>0</v>
      </c>
      <c r="Z266" s="146"/>
      <c r="AA266" s="95"/>
      <c r="AB266" s="95">
        <f>'LPLPO PROGRAM'!H97</f>
        <v>0</v>
      </c>
      <c r="AC266" s="91"/>
      <c r="AD266" s="91"/>
      <c r="AE266" s="91"/>
      <c r="AF266" s="91"/>
      <c r="AG266" s="92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93">
        <f t="shared" si="78"/>
        <v>0</v>
      </c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  <c r="CK266" s="46"/>
      <c r="CL266" s="46"/>
      <c r="CM266" s="46"/>
      <c r="CN266" s="46"/>
      <c r="CO266" s="46"/>
      <c r="CP266" s="46"/>
      <c r="CQ266" s="46"/>
      <c r="CR266" s="46"/>
      <c r="CS266" s="46"/>
      <c r="CT266" s="93">
        <f t="shared" si="83"/>
        <v>0</v>
      </c>
      <c r="CV266" s="46"/>
      <c r="CW266" s="46"/>
      <c r="CX266" s="46"/>
      <c r="CY266" s="46"/>
      <c r="CZ266" s="46"/>
      <c r="DA266" s="46"/>
      <c r="DB266" s="46"/>
      <c r="DC266" s="46"/>
      <c r="DD266" s="46"/>
      <c r="DE266" s="46"/>
      <c r="DF266" s="46"/>
      <c r="DG266" s="46"/>
      <c r="DH266" s="46"/>
      <c r="DI266" s="46"/>
      <c r="DJ266" s="46"/>
      <c r="DK266" s="46"/>
      <c r="DL266" s="46"/>
      <c r="DM266" s="46"/>
      <c r="DN266" s="46"/>
      <c r="DO266" s="46"/>
      <c r="DP266" s="46"/>
      <c r="DQ266" s="46"/>
      <c r="DR266" s="46"/>
      <c r="DS266" s="46"/>
      <c r="DT266" s="46"/>
      <c r="DU266" s="46"/>
      <c r="DV266" s="46"/>
      <c r="DW266" s="46"/>
      <c r="DX266" s="46"/>
      <c r="DY266" s="46"/>
      <c r="DZ266" s="46"/>
      <c r="EA266" s="93">
        <f t="shared" si="79"/>
        <v>0</v>
      </c>
      <c r="EC266" s="46"/>
      <c r="ED266" s="46"/>
      <c r="EE266" s="46"/>
      <c r="EF266" s="46"/>
      <c r="EG266" s="46"/>
      <c r="EH266" s="46"/>
      <c r="EI266" s="46"/>
      <c r="EJ266" s="46"/>
      <c r="EK266" s="46"/>
      <c r="EL266" s="46"/>
      <c r="EM266" s="46"/>
      <c r="EN266" s="46"/>
      <c r="EO266" s="46"/>
      <c r="EP266" s="46"/>
      <c r="EQ266" s="46"/>
      <c r="ER266" s="46"/>
      <c r="ES266" s="46"/>
      <c r="ET266" s="46"/>
      <c r="EU266" s="46"/>
      <c r="EV266" s="46"/>
      <c r="EW266" s="46"/>
      <c r="EX266" s="46"/>
      <c r="EY266" s="46"/>
      <c r="EZ266" s="46"/>
      <c r="FA266" s="46"/>
      <c r="FB266" s="46"/>
      <c r="FC266" s="46"/>
      <c r="FD266" s="46"/>
      <c r="FE266" s="46"/>
      <c r="FF266" s="46"/>
      <c r="FG266" s="46"/>
      <c r="FH266" s="93">
        <f t="shared" si="80"/>
        <v>0</v>
      </c>
      <c r="FJ266" s="46"/>
      <c r="FK266" s="46"/>
      <c r="FL266" s="46"/>
      <c r="FM266" s="46"/>
      <c r="FN266" s="46"/>
      <c r="FO266" s="46"/>
      <c r="FP266" s="46"/>
      <c r="FQ266" s="46"/>
      <c r="FR266" s="46"/>
      <c r="FS266" s="46"/>
      <c r="FT266" s="46"/>
      <c r="FU266" s="46"/>
      <c r="FV266" s="46"/>
      <c r="FW266" s="46"/>
      <c r="FX266" s="46"/>
      <c r="FY266" s="46"/>
      <c r="FZ266" s="46"/>
      <c r="GA266" s="46"/>
      <c r="GB266" s="46"/>
      <c r="GC266" s="46"/>
      <c r="GD266" s="46"/>
      <c r="GE266" s="46"/>
      <c r="GF266" s="46"/>
      <c r="GG266" s="46"/>
      <c r="GH266" s="46"/>
      <c r="GI266" s="46"/>
      <c r="GJ266" s="46"/>
      <c r="GK266" s="46"/>
      <c r="GL266" s="46"/>
      <c r="GM266" s="46"/>
      <c r="GN266" s="46"/>
      <c r="GO266" s="93">
        <f t="shared" si="84"/>
        <v>0</v>
      </c>
      <c r="GQ266" s="46"/>
      <c r="GR266" s="46"/>
      <c r="GS266" s="46"/>
      <c r="GT266" s="46"/>
      <c r="GU266" s="46"/>
      <c r="GV266" s="46"/>
      <c r="GW266" s="46"/>
      <c r="GX266" s="46"/>
      <c r="GY266" s="46"/>
      <c r="GZ266" s="46"/>
      <c r="HA266" s="46"/>
      <c r="HB266" s="46"/>
      <c r="HC266" s="46"/>
      <c r="HD266" s="46"/>
      <c r="HE266" s="46"/>
      <c r="HF266" s="46"/>
      <c r="HG266" s="46"/>
      <c r="HH266" s="46"/>
      <c r="HI266" s="46"/>
      <c r="HJ266" s="46"/>
      <c r="HK266" s="46"/>
      <c r="HL266" s="46"/>
      <c r="HM266" s="46"/>
      <c r="HN266" s="46"/>
      <c r="HO266" s="46"/>
      <c r="HP266" s="46"/>
      <c r="HQ266" s="46"/>
      <c r="HR266" s="46"/>
      <c r="HS266" s="46"/>
      <c r="HT266" s="46"/>
      <c r="HU266" s="46"/>
      <c r="HV266" s="93">
        <f t="shared" si="85"/>
        <v>0</v>
      </c>
      <c r="HX266" s="46"/>
      <c r="HY266" s="46"/>
      <c r="HZ266" s="46"/>
      <c r="IA266" s="46"/>
      <c r="IB266" s="46"/>
      <c r="IC266" s="46"/>
      <c r="ID266" s="46"/>
      <c r="IE266" s="46"/>
      <c r="IF266" s="46"/>
      <c r="IG266" s="46"/>
      <c r="IH266" s="46"/>
      <c r="II266" s="46"/>
      <c r="IJ266" s="46"/>
      <c r="IK266" s="46"/>
      <c r="IL266" s="46"/>
      <c r="IM266" s="46"/>
      <c r="IN266" s="46"/>
      <c r="IO266" s="46"/>
      <c r="IP266" s="46"/>
      <c r="IQ266" s="46"/>
      <c r="IR266" s="46"/>
      <c r="IS266" s="46"/>
      <c r="IT266" s="46"/>
      <c r="IU266" s="46"/>
      <c r="IV266" s="46"/>
      <c r="IW266" s="46"/>
      <c r="IX266" s="46"/>
      <c r="IY266" s="46"/>
      <c r="IZ266" s="46"/>
      <c r="JA266" s="46"/>
      <c r="JB266" s="46"/>
      <c r="JC266" s="93">
        <f t="shared" si="86"/>
        <v>0</v>
      </c>
      <c r="JE266" s="46"/>
      <c r="JF266" s="46"/>
      <c r="JG266" s="46"/>
      <c r="JH266" s="46"/>
      <c r="JI266" s="46"/>
      <c r="JJ266" s="46"/>
      <c r="JK266" s="46"/>
      <c r="JL266" s="46"/>
      <c r="JM266" s="46"/>
      <c r="JN266" s="46"/>
      <c r="JO266" s="46"/>
      <c r="JP266" s="46"/>
      <c r="JQ266" s="46"/>
      <c r="JR266" s="46"/>
      <c r="JS266" s="46"/>
      <c r="JT266" s="46"/>
      <c r="JU266" s="46"/>
      <c r="JV266" s="46"/>
      <c r="JW266" s="46"/>
      <c r="JX266" s="46"/>
      <c r="JY266" s="46"/>
      <c r="JZ266" s="46"/>
      <c r="KA266" s="46"/>
      <c r="KB266" s="46"/>
      <c r="KC266" s="46"/>
      <c r="KD266" s="46"/>
      <c r="KE266" s="46"/>
      <c r="KF266" s="46"/>
      <c r="KG266" s="46"/>
      <c r="KH266" s="46"/>
      <c r="KI266" s="46"/>
      <c r="KJ266" s="93">
        <f t="shared" si="87"/>
        <v>0</v>
      </c>
    </row>
    <row r="267" spans="1:296" ht="20.149999999999999" customHeight="1" x14ac:dyDescent="0.5">
      <c r="A267" s="11">
        <v>85</v>
      </c>
      <c r="B267" s="184" t="s">
        <v>206</v>
      </c>
      <c r="C267" s="144" t="s">
        <v>177</v>
      </c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>
        <f t="shared" ref="R267:R330" si="88">BM267</f>
        <v>100</v>
      </c>
      <c r="S267" s="46">
        <f t="shared" ref="S267:S330" si="89">CT267</f>
        <v>0</v>
      </c>
      <c r="T267" s="46">
        <f t="shared" ref="T267:T330" si="90">EA267</f>
        <v>0</v>
      </c>
      <c r="U267" s="46">
        <f t="shared" ref="U267:U330" si="91">FH267</f>
        <v>0</v>
      </c>
      <c r="V267" s="46">
        <f t="shared" ref="V267:V330" si="92">GO267</f>
        <v>0</v>
      </c>
      <c r="W267" s="46">
        <f t="shared" ref="W267:W330" si="93">HV267</f>
        <v>0</v>
      </c>
      <c r="X267" s="46">
        <f t="shared" ref="X267:X330" si="94">JC267</f>
        <v>0</v>
      </c>
      <c r="Y267" s="46">
        <f t="shared" ref="Y267:Y330" si="95">KJ267</f>
        <v>0</v>
      </c>
      <c r="Z267" s="90">
        <f t="shared" ref="Z267:Z272" si="96">SUM(D267:Y267)</f>
        <v>100</v>
      </c>
      <c r="AA267" s="95"/>
      <c r="AB267" s="95">
        <f>'LPLPO PROGRAM'!H98</f>
        <v>175</v>
      </c>
      <c r="AC267" s="91"/>
      <c r="AD267" s="91"/>
      <c r="AE267" s="91"/>
      <c r="AF267" s="91"/>
      <c r="AG267" s="92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>
        <v>100</v>
      </c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93">
        <f t="shared" ref="BM267:BM330" si="97">SUM(AH267:BL267)</f>
        <v>100</v>
      </c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  <c r="CK267" s="46"/>
      <c r="CL267" s="46"/>
      <c r="CM267" s="46"/>
      <c r="CN267" s="46"/>
      <c r="CO267" s="46"/>
      <c r="CP267" s="46"/>
      <c r="CQ267" s="46"/>
      <c r="CR267" s="46"/>
      <c r="CS267" s="46"/>
      <c r="CT267" s="93">
        <f t="shared" si="83"/>
        <v>0</v>
      </c>
      <c r="CV267" s="46"/>
      <c r="CW267" s="46"/>
      <c r="CX267" s="46"/>
      <c r="CY267" s="46"/>
      <c r="CZ267" s="46"/>
      <c r="DA267" s="46"/>
      <c r="DB267" s="46"/>
      <c r="DC267" s="46"/>
      <c r="DD267" s="46"/>
      <c r="DE267" s="46"/>
      <c r="DF267" s="46"/>
      <c r="DG267" s="46"/>
      <c r="DH267" s="46"/>
      <c r="DI267" s="46"/>
      <c r="DJ267" s="46"/>
      <c r="DK267" s="46"/>
      <c r="DL267" s="46"/>
      <c r="DM267" s="46"/>
      <c r="DN267" s="46"/>
      <c r="DO267" s="46"/>
      <c r="DP267" s="46"/>
      <c r="DQ267" s="46"/>
      <c r="DR267" s="46"/>
      <c r="DS267" s="46"/>
      <c r="DT267" s="46"/>
      <c r="DU267" s="46"/>
      <c r="DV267" s="46"/>
      <c r="DW267" s="46"/>
      <c r="DX267" s="46"/>
      <c r="DY267" s="46"/>
      <c r="DZ267" s="46"/>
      <c r="EA267" s="93">
        <f t="shared" ref="EA267:EA330" si="98">SUM(CV267:DZ267)</f>
        <v>0</v>
      </c>
      <c r="EC267" s="46"/>
      <c r="ED267" s="46"/>
      <c r="EE267" s="46"/>
      <c r="EF267" s="46"/>
      <c r="EG267" s="46"/>
      <c r="EH267" s="46"/>
      <c r="EI267" s="46"/>
      <c r="EJ267" s="46"/>
      <c r="EK267" s="46"/>
      <c r="EL267" s="46"/>
      <c r="EM267" s="46"/>
      <c r="EN267" s="46"/>
      <c r="EO267" s="46"/>
      <c r="EP267" s="46"/>
      <c r="EQ267" s="46"/>
      <c r="ER267" s="46"/>
      <c r="ES267" s="46"/>
      <c r="ET267" s="46"/>
      <c r="EU267" s="46"/>
      <c r="EV267" s="46"/>
      <c r="EW267" s="46"/>
      <c r="EX267" s="46"/>
      <c r="EY267" s="46"/>
      <c r="EZ267" s="46"/>
      <c r="FA267" s="46"/>
      <c r="FB267" s="46"/>
      <c r="FC267" s="46"/>
      <c r="FD267" s="46"/>
      <c r="FE267" s="46"/>
      <c r="FF267" s="46"/>
      <c r="FG267" s="46"/>
      <c r="FH267" s="93">
        <f t="shared" ref="FH267:FH330" si="99">SUM(EC267:FG267)</f>
        <v>0</v>
      </c>
      <c r="FJ267" s="46"/>
      <c r="FK267" s="46"/>
      <c r="FL267" s="46"/>
      <c r="FM267" s="46"/>
      <c r="FN267" s="46"/>
      <c r="FO267" s="46"/>
      <c r="FP267" s="46"/>
      <c r="FQ267" s="46"/>
      <c r="FR267" s="46"/>
      <c r="FS267" s="46"/>
      <c r="FT267" s="46"/>
      <c r="FU267" s="46"/>
      <c r="FV267" s="46"/>
      <c r="FW267" s="46"/>
      <c r="FX267" s="46"/>
      <c r="FY267" s="46"/>
      <c r="FZ267" s="46"/>
      <c r="GA267" s="46"/>
      <c r="GB267" s="46"/>
      <c r="GC267" s="46"/>
      <c r="GD267" s="46"/>
      <c r="GE267" s="46"/>
      <c r="GF267" s="46"/>
      <c r="GG267" s="46"/>
      <c r="GH267" s="46"/>
      <c r="GI267" s="46"/>
      <c r="GJ267" s="46"/>
      <c r="GK267" s="46"/>
      <c r="GL267" s="46"/>
      <c r="GM267" s="46"/>
      <c r="GN267" s="46"/>
      <c r="GO267" s="93">
        <f t="shared" si="84"/>
        <v>0</v>
      </c>
      <c r="GQ267" s="46"/>
      <c r="GR267" s="46"/>
      <c r="GS267" s="46"/>
      <c r="GT267" s="46"/>
      <c r="GU267" s="46"/>
      <c r="GV267" s="46"/>
      <c r="GW267" s="46"/>
      <c r="GX267" s="46"/>
      <c r="GY267" s="46"/>
      <c r="GZ267" s="46"/>
      <c r="HA267" s="46"/>
      <c r="HB267" s="46"/>
      <c r="HC267" s="46"/>
      <c r="HD267" s="46"/>
      <c r="HE267" s="46"/>
      <c r="HF267" s="46"/>
      <c r="HG267" s="46"/>
      <c r="HH267" s="46"/>
      <c r="HI267" s="46"/>
      <c r="HJ267" s="46"/>
      <c r="HK267" s="46"/>
      <c r="HL267" s="46"/>
      <c r="HM267" s="46"/>
      <c r="HN267" s="46"/>
      <c r="HO267" s="46"/>
      <c r="HP267" s="46"/>
      <c r="HQ267" s="46"/>
      <c r="HR267" s="46"/>
      <c r="HS267" s="46"/>
      <c r="HT267" s="46"/>
      <c r="HU267" s="46"/>
      <c r="HV267" s="93">
        <f t="shared" si="85"/>
        <v>0</v>
      </c>
      <c r="HX267" s="46"/>
      <c r="HY267" s="46"/>
      <c r="HZ267" s="46"/>
      <c r="IA267" s="46"/>
      <c r="IB267" s="46"/>
      <c r="IC267" s="46"/>
      <c r="ID267" s="46"/>
      <c r="IE267" s="46"/>
      <c r="IF267" s="46"/>
      <c r="IG267" s="46"/>
      <c r="IH267" s="46"/>
      <c r="II267" s="46"/>
      <c r="IJ267" s="46"/>
      <c r="IK267" s="46"/>
      <c r="IL267" s="46"/>
      <c r="IM267" s="46"/>
      <c r="IN267" s="46"/>
      <c r="IO267" s="46"/>
      <c r="IP267" s="46"/>
      <c r="IQ267" s="46"/>
      <c r="IR267" s="46"/>
      <c r="IS267" s="46"/>
      <c r="IT267" s="46"/>
      <c r="IU267" s="46"/>
      <c r="IV267" s="46"/>
      <c r="IW267" s="46"/>
      <c r="IX267" s="46"/>
      <c r="IY267" s="46"/>
      <c r="IZ267" s="46"/>
      <c r="JA267" s="46"/>
      <c r="JB267" s="46"/>
      <c r="JC267" s="93">
        <f t="shared" si="86"/>
        <v>0</v>
      </c>
      <c r="JE267" s="46"/>
      <c r="JF267" s="46"/>
      <c r="JG267" s="46"/>
      <c r="JH267" s="46"/>
      <c r="JI267" s="46"/>
      <c r="JJ267" s="46"/>
      <c r="JK267" s="46"/>
      <c r="JL267" s="46"/>
      <c r="JM267" s="46"/>
      <c r="JN267" s="46"/>
      <c r="JO267" s="46"/>
      <c r="JP267" s="46"/>
      <c r="JQ267" s="46"/>
      <c r="JR267" s="46"/>
      <c r="JS267" s="46"/>
      <c r="JT267" s="46"/>
      <c r="JU267" s="46"/>
      <c r="JV267" s="46"/>
      <c r="JW267" s="46"/>
      <c r="JX267" s="46"/>
      <c r="JY267" s="46"/>
      <c r="JZ267" s="46"/>
      <c r="KA267" s="46"/>
      <c r="KB267" s="46"/>
      <c r="KC267" s="46"/>
      <c r="KD267" s="46"/>
      <c r="KE267" s="46"/>
      <c r="KF267" s="46"/>
      <c r="KG267" s="46"/>
      <c r="KH267" s="46"/>
      <c r="KI267" s="46"/>
      <c r="KJ267" s="93">
        <f t="shared" si="87"/>
        <v>0</v>
      </c>
    </row>
    <row r="268" spans="1:296" ht="20.149999999999999" customHeight="1" x14ac:dyDescent="0.5">
      <c r="A268" s="11">
        <v>86</v>
      </c>
      <c r="B268" s="178" t="s">
        <v>257</v>
      </c>
      <c r="C268" s="144" t="s">
        <v>48</v>
      </c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>
        <f t="shared" si="88"/>
        <v>0</v>
      </c>
      <c r="S268" s="46">
        <f t="shared" si="89"/>
        <v>0</v>
      </c>
      <c r="T268" s="46">
        <f t="shared" si="90"/>
        <v>0</v>
      </c>
      <c r="U268" s="46">
        <f t="shared" si="91"/>
        <v>0</v>
      </c>
      <c r="V268" s="46">
        <f t="shared" si="92"/>
        <v>0</v>
      </c>
      <c r="W268" s="46">
        <f t="shared" si="93"/>
        <v>0</v>
      </c>
      <c r="X268" s="46">
        <f t="shared" si="94"/>
        <v>0</v>
      </c>
      <c r="Y268" s="46">
        <f t="shared" si="95"/>
        <v>0</v>
      </c>
      <c r="Z268" s="90">
        <f t="shared" si="96"/>
        <v>0</v>
      </c>
      <c r="AA268" s="95"/>
      <c r="AB268" s="95">
        <f>'LPLPO PROGRAM'!H99</f>
        <v>0</v>
      </c>
      <c r="AC268" s="91"/>
      <c r="AD268" s="91"/>
      <c r="AE268" s="91"/>
      <c r="AF268" s="91"/>
      <c r="AG268" s="92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93">
        <f t="shared" si="97"/>
        <v>0</v>
      </c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  <c r="CK268" s="46"/>
      <c r="CL268" s="46"/>
      <c r="CM268" s="46"/>
      <c r="CN268" s="46"/>
      <c r="CO268" s="46"/>
      <c r="CP268" s="46"/>
      <c r="CQ268" s="46"/>
      <c r="CR268" s="46"/>
      <c r="CS268" s="46"/>
      <c r="CT268" s="93">
        <f t="shared" si="83"/>
        <v>0</v>
      </c>
      <c r="CV268" s="46"/>
      <c r="CW268" s="46"/>
      <c r="CX268" s="46"/>
      <c r="CY268" s="46"/>
      <c r="CZ268" s="46"/>
      <c r="DA268" s="46"/>
      <c r="DB268" s="46"/>
      <c r="DC268" s="46"/>
      <c r="DD268" s="46"/>
      <c r="DE268" s="46"/>
      <c r="DF268" s="46"/>
      <c r="DG268" s="46"/>
      <c r="DH268" s="46"/>
      <c r="DI268" s="46"/>
      <c r="DJ268" s="46"/>
      <c r="DK268" s="46"/>
      <c r="DL268" s="46"/>
      <c r="DM268" s="46"/>
      <c r="DN268" s="46"/>
      <c r="DO268" s="46"/>
      <c r="DP268" s="46"/>
      <c r="DQ268" s="46"/>
      <c r="DR268" s="46"/>
      <c r="DS268" s="46"/>
      <c r="DT268" s="46"/>
      <c r="DU268" s="46"/>
      <c r="DV268" s="46"/>
      <c r="DW268" s="46"/>
      <c r="DX268" s="46"/>
      <c r="DY268" s="46"/>
      <c r="DZ268" s="46"/>
      <c r="EA268" s="93">
        <f t="shared" si="98"/>
        <v>0</v>
      </c>
      <c r="EC268" s="46"/>
      <c r="ED268" s="46"/>
      <c r="EE268" s="46"/>
      <c r="EF268" s="46"/>
      <c r="EG268" s="46"/>
      <c r="EH268" s="46"/>
      <c r="EI268" s="46"/>
      <c r="EJ268" s="46"/>
      <c r="EK268" s="46"/>
      <c r="EL268" s="46"/>
      <c r="EM268" s="46"/>
      <c r="EN268" s="46"/>
      <c r="EO268" s="46"/>
      <c r="EP268" s="46"/>
      <c r="EQ268" s="46"/>
      <c r="ER268" s="46"/>
      <c r="ES268" s="46"/>
      <c r="ET268" s="46"/>
      <c r="EU268" s="46"/>
      <c r="EV268" s="46"/>
      <c r="EW268" s="46"/>
      <c r="EX268" s="46"/>
      <c r="EY268" s="46"/>
      <c r="EZ268" s="46"/>
      <c r="FA268" s="46"/>
      <c r="FB268" s="46"/>
      <c r="FC268" s="46"/>
      <c r="FD268" s="46"/>
      <c r="FE268" s="46"/>
      <c r="FF268" s="46"/>
      <c r="FG268" s="46"/>
      <c r="FH268" s="93">
        <f t="shared" si="99"/>
        <v>0</v>
      </c>
      <c r="FJ268" s="46"/>
      <c r="FK268" s="46"/>
      <c r="FL268" s="46"/>
      <c r="FM268" s="46"/>
      <c r="FN268" s="46"/>
      <c r="FO268" s="46"/>
      <c r="FP268" s="46"/>
      <c r="FQ268" s="46"/>
      <c r="FR268" s="46"/>
      <c r="FS268" s="46"/>
      <c r="FT268" s="46"/>
      <c r="FU268" s="46"/>
      <c r="FV268" s="46"/>
      <c r="FW268" s="46"/>
      <c r="FX268" s="46"/>
      <c r="FY268" s="46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  <c r="GL268" s="46"/>
      <c r="GM268" s="46"/>
      <c r="GN268" s="46"/>
      <c r="GO268" s="93">
        <f t="shared" si="84"/>
        <v>0</v>
      </c>
      <c r="GQ268" s="46"/>
      <c r="GR268" s="46"/>
      <c r="GS268" s="46"/>
      <c r="GT268" s="46"/>
      <c r="GU268" s="46"/>
      <c r="GV268" s="46"/>
      <c r="GW268" s="46"/>
      <c r="GX268" s="46"/>
      <c r="GY268" s="46"/>
      <c r="GZ268" s="46"/>
      <c r="HA268" s="46"/>
      <c r="HB268" s="46"/>
      <c r="HC268" s="46"/>
      <c r="HD268" s="46"/>
      <c r="HE268" s="46"/>
      <c r="HF268" s="46"/>
      <c r="HG268" s="46"/>
      <c r="HH268" s="46"/>
      <c r="HI268" s="46"/>
      <c r="HJ268" s="46"/>
      <c r="HK268" s="46"/>
      <c r="HL268" s="46"/>
      <c r="HM268" s="46"/>
      <c r="HN268" s="46"/>
      <c r="HO268" s="46"/>
      <c r="HP268" s="46"/>
      <c r="HQ268" s="46"/>
      <c r="HR268" s="46"/>
      <c r="HS268" s="46"/>
      <c r="HT268" s="46"/>
      <c r="HU268" s="46"/>
      <c r="HV268" s="93">
        <f t="shared" si="85"/>
        <v>0</v>
      </c>
      <c r="HX268" s="46"/>
      <c r="HY268" s="46"/>
      <c r="HZ268" s="46"/>
      <c r="IA268" s="46"/>
      <c r="IB268" s="46"/>
      <c r="IC268" s="46"/>
      <c r="ID268" s="46"/>
      <c r="IE268" s="46"/>
      <c r="IF268" s="46"/>
      <c r="IG268" s="46"/>
      <c r="IH268" s="46"/>
      <c r="II268" s="46"/>
      <c r="IJ268" s="46"/>
      <c r="IK268" s="46"/>
      <c r="IL268" s="46"/>
      <c r="IM268" s="46"/>
      <c r="IN268" s="46"/>
      <c r="IO268" s="46"/>
      <c r="IP268" s="46"/>
      <c r="IQ268" s="46"/>
      <c r="IR268" s="46"/>
      <c r="IS268" s="46"/>
      <c r="IT268" s="46"/>
      <c r="IU268" s="46"/>
      <c r="IV268" s="46"/>
      <c r="IW268" s="46"/>
      <c r="IX268" s="46"/>
      <c r="IY268" s="46"/>
      <c r="IZ268" s="46"/>
      <c r="JA268" s="46"/>
      <c r="JB268" s="46"/>
      <c r="JC268" s="93">
        <f t="shared" si="86"/>
        <v>0</v>
      </c>
      <c r="JE268" s="46"/>
      <c r="JF268" s="46"/>
      <c r="JG268" s="46"/>
      <c r="JH268" s="46"/>
      <c r="JI268" s="46"/>
      <c r="JJ268" s="46"/>
      <c r="JK268" s="46"/>
      <c r="JL268" s="46"/>
      <c r="JM268" s="46"/>
      <c r="JN268" s="46"/>
      <c r="JO268" s="46"/>
      <c r="JP268" s="46"/>
      <c r="JQ268" s="46"/>
      <c r="JR268" s="46"/>
      <c r="JS268" s="46"/>
      <c r="JT268" s="46"/>
      <c r="JU268" s="46"/>
      <c r="JV268" s="46"/>
      <c r="JW268" s="46"/>
      <c r="JX268" s="46"/>
      <c r="JY268" s="46"/>
      <c r="JZ268" s="46"/>
      <c r="KA268" s="46"/>
      <c r="KB268" s="46"/>
      <c r="KC268" s="46"/>
      <c r="KD268" s="46"/>
      <c r="KE268" s="46"/>
      <c r="KF268" s="46"/>
      <c r="KG268" s="46"/>
      <c r="KH268" s="46"/>
      <c r="KI268" s="46"/>
      <c r="KJ268" s="93">
        <f t="shared" si="87"/>
        <v>0</v>
      </c>
    </row>
    <row r="269" spans="1:296" ht="20.149999999999999" customHeight="1" x14ac:dyDescent="0.5">
      <c r="A269" s="11">
        <v>87</v>
      </c>
      <c r="B269" s="184" t="s">
        <v>272</v>
      </c>
      <c r="C269" s="144" t="s">
        <v>198</v>
      </c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>
        <f t="shared" si="88"/>
        <v>0</v>
      </c>
      <c r="S269" s="46">
        <f t="shared" si="89"/>
        <v>0</v>
      </c>
      <c r="T269" s="46">
        <f t="shared" si="90"/>
        <v>0</v>
      </c>
      <c r="U269" s="46">
        <f t="shared" si="91"/>
        <v>0</v>
      </c>
      <c r="V269" s="46">
        <f t="shared" si="92"/>
        <v>0</v>
      </c>
      <c r="W269" s="46">
        <f t="shared" si="93"/>
        <v>0</v>
      </c>
      <c r="X269" s="46">
        <f t="shared" si="94"/>
        <v>0</v>
      </c>
      <c r="Y269" s="46">
        <f t="shared" si="95"/>
        <v>0</v>
      </c>
      <c r="Z269" s="90">
        <f t="shared" si="96"/>
        <v>0</v>
      </c>
      <c r="AA269" s="95"/>
      <c r="AB269" s="95">
        <f>'LPLPO PROGRAM'!H100</f>
        <v>600</v>
      </c>
      <c r="AC269" s="91"/>
      <c r="AD269" s="91"/>
      <c r="AE269" s="91"/>
      <c r="AF269" s="91"/>
      <c r="AG269" s="92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93">
        <f t="shared" si="97"/>
        <v>0</v>
      </c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  <c r="CK269" s="46"/>
      <c r="CL269" s="46"/>
      <c r="CM269" s="46"/>
      <c r="CN269" s="46"/>
      <c r="CO269" s="46"/>
      <c r="CP269" s="46"/>
      <c r="CQ269" s="46"/>
      <c r="CR269" s="46"/>
      <c r="CS269" s="46"/>
      <c r="CT269" s="93">
        <f t="shared" si="83"/>
        <v>0</v>
      </c>
      <c r="CV269" s="46"/>
      <c r="CW269" s="46"/>
      <c r="CX269" s="46"/>
      <c r="CY269" s="46"/>
      <c r="CZ269" s="46"/>
      <c r="DA269" s="46"/>
      <c r="DB269" s="46"/>
      <c r="DC269" s="46"/>
      <c r="DD269" s="46"/>
      <c r="DE269" s="46"/>
      <c r="DF269" s="46"/>
      <c r="DG269" s="46"/>
      <c r="DH269" s="46"/>
      <c r="DI269" s="46"/>
      <c r="DJ269" s="46"/>
      <c r="DK269" s="46"/>
      <c r="DL269" s="46"/>
      <c r="DM269" s="46"/>
      <c r="DN269" s="46"/>
      <c r="DO269" s="46"/>
      <c r="DP269" s="46"/>
      <c r="DQ269" s="46"/>
      <c r="DR269" s="46"/>
      <c r="DS269" s="46"/>
      <c r="DT269" s="46"/>
      <c r="DU269" s="46"/>
      <c r="DV269" s="46"/>
      <c r="DW269" s="46"/>
      <c r="DX269" s="46"/>
      <c r="DY269" s="46"/>
      <c r="DZ269" s="46"/>
      <c r="EA269" s="93">
        <f t="shared" si="98"/>
        <v>0</v>
      </c>
      <c r="EC269" s="46"/>
      <c r="ED269" s="46"/>
      <c r="EE269" s="46"/>
      <c r="EF269" s="46"/>
      <c r="EG269" s="46"/>
      <c r="EH269" s="46"/>
      <c r="EI269" s="46"/>
      <c r="EJ269" s="46"/>
      <c r="EK269" s="46"/>
      <c r="EL269" s="46"/>
      <c r="EM269" s="46"/>
      <c r="EN269" s="46"/>
      <c r="EO269" s="46"/>
      <c r="EP269" s="46"/>
      <c r="EQ269" s="46"/>
      <c r="ER269" s="46"/>
      <c r="ES269" s="46"/>
      <c r="ET269" s="46"/>
      <c r="EU269" s="46"/>
      <c r="EV269" s="46"/>
      <c r="EW269" s="46"/>
      <c r="EX269" s="46"/>
      <c r="EY269" s="46"/>
      <c r="EZ269" s="46"/>
      <c r="FA269" s="46"/>
      <c r="FB269" s="46"/>
      <c r="FC269" s="46"/>
      <c r="FD269" s="46"/>
      <c r="FE269" s="46"/>
      <c r="FF269" s="46"/>
      <c r="FG269" s="46"/>
      <c r="FH269" s="93">
        <f t="shared" si="99"/>
        <v>0</v>
      </c>
      <c r="FJ269" s="46"/>
      <c r="FK269" s="46"/>
      <c r="FL269" s="46"/>
      <c r="FM269" s="46"/>
      <c r="FN269" s="46"/>
      <c r="FO269" s="46"/>
      <c r="FP269" s="46"/>
      <c r="FQ269" s="46"/>
      <c r="FR269" s="46"/>
      <c r="FS269" s="46"/>
      <c r="FT269" s="46"/>
      <c r="FU269" s="46"/>
      <c r="FV269" s="46"/>
      <c r="FW269" s="46"/>
      <c r="FX269" s="46"/>
      <c r="FY269" s="46"/>
      <c r="FZ269" s="46"/>
      <c r="GA269" s="46"/>
      <c r="GB269" s="46"/>
      <c r="GC269" s="46"/>
      <c r="GD269" s="46"/>
      <c r="GE269" s="46"/>
      <c r="GF269" s="46"/>
      <c r="GG269" s="46"/>
      <c r="GH269" s="46"/>
      <c r="GI269" s="46"/>
      <c r="GJ269" s="46"/>
      <c r="GK269" s="46"/>
      <c r="GL269" s="46"/>
      <c r="GM269" s="46"/>
      <c r="GN269" s="46"/>
      <c r="GO269" s="93">
        <f t="shared" si="84"/>
        <v>0</v>
      </c>
      <c r="GQ269" s="46"/>
      <c r="GR269" s="46"/>
      <c r="GS269" s="46"/>
      <c r="GT269" s="46"/>
      <c r="GU269" s="46"/>
      <c r="GV269" s="46"/>
      <c r="GW269" s="46"/>
      <c r="GX269" s="46"/>
      <c r="GY269" s="46"/>
      <c r="GZ269" s="46"/>
      <c r="HA269" s="46"/>
      <c r="HB269" s="46"/>
      <c r="HC269" s="46"/>
      <c r="HD269" s="46"/>
      <c r="HE269" s="46"/>
      <c r="HF269" s="46"/>
      <c r="HG269" s="46"/>
      <c r="HH269" s="46"/>
      <c r="HI269" s="46"/>
      <c r="HJ269" s="46"/>
      <c r="HK269" s="46"/>
      <c r="HL269" s="46"/>
      <c r="HM269" s="46"/>
      <c r="HN269" s="46"/>
      <c r="HO269" s="46"/>
      <c r="HP269" s="46"/>
      <c r="HQ269" s="46"/>
      <c r="HR269" s="46"/>
      <c r="HS269" s="46"/>
      <c r="HT269" s="46"/>
      <c r="HU269" s="46"/>
      <c r="HV269" s="93">
        <f t="shared" si="85"/>
        <v>0</v>
      </c>
      <c r="HX269" s="46"/>
      <c r="HY269" s="46"/>
      <c r="HZ269" s="46"/>
      <c r="IA269" s="46"/>
      <c r="IB269" s="46"/>
      <c r="IC269" s="46"/>
      <c r="ID269" s="46"/>
      <c r="IE269" s="46"/>
      <c r="IF269" s="46"/>
      <c r="IG269" s="46"/>
      <c r="IH269" s="46"/>
      <c r="II269" s="46"/>
      <c r="IJ269" s="46"/>
      <c r="IK269" s="46"/>
      <c r="IL269" s="46"/>
      <c r="IM269" s="46"/>
      <c r="IN269" s="46"/>
      <c r="IO269" s="46"/>
      <c r="IP269" s="46"/>
      <c r="IQ269" s="46"/>
      <c r="IR269" s="46"/>
      <c r="IS269" s="46"/>
      <c r="IT269" s="46"/>
      <c r="IU269" s="46"/>
      <c r="IV269" s="46"/>
      <c r="IW269" s="46"/>
      <c r="IX269" s="46"/>
      <c r="IY269" s="46"/>
      <c r="IZ269" s="46"/>
      <c r="JA269" s="46"/>
      <c r="JB269" s="46"/>
      <c r="JC269" s="93">
        <f t="shared" si="86"/>
        <v>0</v>
      </c>
      <c r="JE269" s="46"/>
      <c r="JF269" s="46"/>
      <c r="JG269" s="46"/>
      <c r="JH269" s="46"/>
      <c r="JI269" s="46"/>
      <c r="JJ269" s="46"/>
      <c r="JK269" s="46"/>
      <c r="JL269" s="46"/>
      <c r="JM269" s="46"/>
      <c r="JN269" s="46"/>
      <c r="JO269" s="46"/>
      <c r="JP269" s="46"/>
      <c r="JQ269" s="46"/>
      <c r="JR269" s="46"/>
      <c r="JS269" s="46"/>
      <c r="JT269" s="46"/>
      <c r="JU269" s="46"/>
      <c r="JV269" s="46"/>
      <c r="JW269" s="46"/>
      <c r="JX269" s="46"/>
      <c r="JY269" s="46"/>
      <c r="JZ269" s="46"/>
      <c r="KA269" s="46"/>
      <c r="KB269" s="46"/>
      <c r="KC269" s="46"/>
      <c r="KD269" s="46"/>
      <c r="KE269" s="46"/>
      <c r="KF269" s="46"/>
      <c r="KG269" s="46"/>
      <c r="KH269" s="46"/>
      <c r="KI269" s="46"/>
      <c r="KJ269" s="93">
        <f t="shared" si="87"/>
        <v>0</v>
      </c>
    </row>
    <row r="270" spans="1:296" ht="20.149999999999999" customHeight="1" x14ac:dyDescent="0.5">
      <c r="A270" s="11">
        <v>88</v>
      </c>
      <c r="B270" s="180"/>
      <c r="C270" s="144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>
        <f t="shared" si="88"/>
        <v>0</v>
      </c>
      <c r="S270" s="46">
        <f t="shared" si="89"/>
        <v>0</v>
      </c>
      <c r="T270" s="46">
        <f t="shared" si="90"/>
        <v>0</v>
      </c>
      <c r="U270" s="46">
        <f t="shared" si="91"/>
        <v>0</v>
      </c>
      <c r="V270" s="46">
        <f t="shared" si="92"/>
        <v>0</v>
      </c>
      <c r="W270" s="46">
        <f t="shared" si="93"/>
        <v>0</v>
      </c>
      <c r="X270" s="46">
        <f t="shared" si="94"/>
        <v>0</v>
      </c>
      <c r="Y270" s="46">
        <f t="shared" si="95"/>
        <v>0</v>
      </c>
      <c r="Z270" s="90">
        <f t="shared" si="96"/>
        <v>0</v>
      </c>
      <c r="AA270" s="95"/>
      <c r="AB270" s="95">
        <f>'LPLPO PROGRAM'!H101</f>
        <v>0</v>
      </c>
      <c r="AC270" s="91"/>
      <c r="AD270" s="91"/>
      <c r="AE270" s="91"/>
      <c r="AF270" s="91"/>
      <c r="AG270" s="92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93">
        <f t="shared" si="97"/>
        <v>0</v>
      </c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  <c r="CK270" s="46"/>
      <c r="CL270" s="46"/>
      <c r="CM270" s="46"/>
      <c r="CN270" s="46"/>
      <c r="CO270" s="46"/>
      <c r="CP270" s="46"/>
      <c r="CQ270" s="46"/>
      <c r="CR270" s="46"/>
      <c r="CS270" s="46"/>
      <c r="CT270" s="93">
        <f t="shared" si="83"/>
        <v>0</v>
      </c>
      <c r="CV270" s="46"/>
      <c r="CW270" s="46"/>
      <c r="CX270" s="46"/>
      <c r="CY270" s="46"/>
      <c r="CZ270" s="46"/>
      <c r="DA270" s="46"/>
      <c r="DB270" s="46"/>
      <c r="DC270" s="46"/>
      <c r="DD270" s="46"/>
      <c r="DE270" s="46"/>
      <c r="DF270" s="46"/>
      <c r="DG270" s="46"/>
      <c r="DH270" s="46"/>
      <c r="DI270" s="46"/>
      <c r="DJ270" s="46"/>
      <c r="DK270" s="46"/>
      <c r="DL270" s="46"/>
      <c r="DM270" s="46"/>
      <c r="DN270" s="46"/>
      <c r="DO270" s="46"/>
      <c r="DP270" s="46"/>
      <c r="DQ270" s="46"/>
      <c r="DR270" s="46"/>
      <c r="DS270" s="46"/>
      <c r="DT270" s="46"/>
      <c r="DU270" s="46"/>
      <c r="DV270" s="46"/>
      <c r="DW270" s="46"/>
      <c r="DX270" s="46"/>
      <c r="DY270" s="46"/>
      <c r="DZ270" s="46"/>
      <c r="EA270" s="93">
        <f t="shared" si="98"/>
        <v>0</v>
      </c>
      <c r="EC270" s="46"/>
      <c r="ED270" s="46"/>
      <c r="EE270" s="46"/>
      <c r="EF270" s="46"/>
      <c r="EG270" s="46"/>
      <c r="EH270" s="46"/>
      <c r="EI270" s="46"/>
      <c r="EJ270" s="46"/>
      <c r="EK270" s="46"/>
      <c r="EL270" s="46"/>
      <c r="EM270" s="46"/>
      <c r="EN270" s="46"/>
      <c r="EO270" s="46"/>
      <c r="EP270" s="46"/>
      <c r="EQ270" s="46"/>
      <c r="ER270" s="46"/>
      <c r="ES270" s="46"/>
      <c r="ET270" s="46"/>
      <c r="EU270" s="46"/>
      <c r="EV270" s="46"/>
      <c r="EW270" s="46"/>
      <c r="EX270" s="46"/>
      <c r="EY270" s="46"/>
      <c r="EZ270" s="46"/>
      <c r="FA270" s="46"/>
      <c r="FB270" s="46"/>
      <c r="FC270" s="46"/>
      <c r="FD270" s="46"/>
      <c r="FE270" s="46"/>
      <c r="FF270" s="46"/>
      <c r="FG270" s="46"/>
      <c r="FH270" s="93">
        <f t="shared" si="99"/>
        <v>0</v>
      </c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6"/>
      <c r="FU270" s="46"/>
      <c r="FV270" s="46"/>
      <c r="FW270" s="46"/>
      <c r="FX270" s="46"/>
      <c r="FY270" s="46"/>
      <c r="FZ270" s="46"/>
      <c r="GA270" s="46"/>
      <c r="GB270" s="46"/>
      <c r="GC270" s="46"/>
      <c r="GD270" s="46"/>
      <c r="GE270" s="46"/>
      <c r="GF270" s="46"/>
      <c r="GG270" s="46"/>
      <c r="GH270" s="46"/>
      <c r="GI270" s="46"/>
      <c r="GJ270" s="46"/>
      <c r="GK270" s="46"/>
      <c r="GL270" s="46"/>
      <c r="GM270" s="46"/>
      <c r="GN270" s="46"/>
      <c r="GO270" s="93">
        <f t="shared" si="84"/>
        <v>0</v>
      </c>
      <c r="GQ270" s="46"/>
      <c r="GR270" s="46"/>
      <c r="GS270" s="46"/>
      <c r="GT270" s="46"/>
      <c r="GU270" s="46"/>
      <c r="GV270" s="46"/>
      <c r="GW270" s="46"/>
      <c r="GX270" s="46"/>
      <c r="GY270" s="46"/>
      <c r="GZ270" s="46"/>
      <c r="HA270" s="46"/>
      <c r="HB270" s="46"/>
      <c r="HC270" s="46"/>
      <c r="HD270" s="46"/>
      <c r="HE270" s="46"/>
      <c r="HF270" s="46"/>
      <c r="HG270" s="46"/>
      <c r="HH270" s="46"/>
      <c r="HI270" s="46"/>
      <c r="HJ270" s="46"/>
      <c r="HK270" s="46"/>
      <c r="HL270" s="46"/>
      <c r="HM270" s="46"/>
      <c r="HN270" s="46"/>
      <c r="HO270" s="46"/>
      <c r="HP270" s="46"/>
      <c r="HQ270" s="46"/>
      <c r="HR270" s="46"/>
      <c r="HS270" s="46"/>
      <c r="HT270" s="46"/>
      <c r="HU270" s="46"/>
      <c r="HV270" s="93">
        <f t="shared" si="85"/>
        <v>0</v>
      </c>
      <c r="HX270" s="46"/>
      <c r="HY270" s="46"/>
      <c r="HZ270" s="46"/>
      <c r="IA270" s="46"/>
      <c r="IB270" s="46"/>
      <c r="IC270" s="46"/>
      <c r="ID270" s="46"/>
      <c r="IE270" s="46"/>
      <c r="IF270" s="46"/>
      <c r="IG270" s="46"/>
      <c r="IH270" s="46"/>
      <c r="II270" s="46"/>
      <c r="IJ270" s="46"/>
      <c r="IK270" s="46"/>
      <c r="IL270" s="46"/>
      <c r="IM270" s="46"/>
      <c r="IN270" s="46"/>
      <c r="IO270" s="46"/>
      <c r="IP270" s="46"/>
      <c r="IQ270" s="46"/>
      <c r="IR270" s="46"/>
      <c r="IS270" s="46"/>
      <c r="IT270" s="46"/>
      <c r="IU270" s="46"/>
      <c r="IV270" s="46"/>
      <c r="IW270" s="46"/>
      <c r="IX270" s="46"/>
      <c r="IY270" s="46"/>
      <c r="IZ270" s="46"/>
      <c r="JA270" s="46"/>
      <c r="JB270" s="46"/>
      <c r="JC270" s="93">
        <f t="shared" si="86"/>
        <v>0</v>
      </c>
      <c r="JE270" s="46"/>
      <c r="JF270" s="46"/>
      <c r="JG270" s="46"/>
      <c r="JH270" s="46"/>
      <c r="JI270" s="46"/>
      <c r="JJ270" s="46"/>
      <c r="JK270" s="46"/>
      <c r="JL270" s="46"/>
      <c r="JM270" s="46"/>
      <c r="JN270" s="46"/>
      <c r="JO270" s="46"/>
      <c r="JP270" s="46"/>
      <c r="JQ270" s="46"/>
      <c r="JR270" s="46"/>
      <c r="JS270" s="46"/>
      <c r="JT270" s="46"/>
      <c r="JU270" s="46"/>
      <c r="JV270" s="46"/>
      <c r="JW270" s="46"/>
      <c r="JX270" s="46"/>
      <c r="JY270" s="46"/>
      <c r="JZ270" s="46"/>
      <c r="KA270" s="46"/>
      <c r="KB270" s="46"/>
      <c r="KC270" s="46"/>
      <c r="KD270" s="46"/>
      <c r="KE270" s="46"/>
      <c r="KF270" s="46"/>
      <c r="KG270" s="46"/>
      <c r="KH270" s="46"/>
      <c r="KI270" s="46"/>
      <c r="KJ270" s="93">
        <f t="shared" si="87"/>
        <v>0</v>
      </c>
    </row>
    <row r="271" spans="1:296" ht="20.149999999999999" customHeight="1" x14ac:dyDescent="0.5">
      <c r="A271" s="11">
        <v>89</v>
      </c>
      <c r="B271" s="185"/>
      <c r="C271" s="144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>
        <f t="shared" si="88"/>
        <v>0</v>
      </c>
      <c r="S271" s="46">
        <f t="shared" si="89"/>
        <v>0</v>
      </c>
      <c r="T271" s="46">
        <f t="shared" si="90"/>
        <v>0</v>
      </c>
      <c r="U271" s="46">
        <f t="shared" si="91"/>
        <v>0</v>
      </c>
      <c r="V271" s="46">
        <f t="shared" si="92"/>
        <v>0</v>
      </c>
      <c r="W271" s="46">
        <f t="shared" si="93"/>
        <v>0</v>
      </c>
      <c r="X271" s="46">
        <f t="shared" si="94"/>
        <v>0</v>
      </c>
      <c r="Y271" s="46">
        <f t="shared" si="95"/>
        <v>0</v>
      </c>
      <c r="Z271" s="90">
        <f t="shared" si="96"/>
        <v>0</v>
      </c>
      <c r="AA271" s="95"/>
      <c r="AB271" s="95">
        <f>'LPLPO PROGRAM'!H102</f>
        <v>0</v>
      </c>
      <c r="AC271" s="91"/>
      <c r="AD271" s="91"/>
      <c r="AE271" s="91"/>
      <c r="AF271" s="91"/>
      <c r="AG271" s="92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93">
        <f t="shared" si="97"/>
        <v>0</v>
      </c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  <c r="CK271" s="46"/>
      <c r="CL271" s="46"/>
      <c r="CM271" s="46"/>
      <c r="CN271" s="46"/>
      <c r="CO271" s="46"/>
      <c r="CP271" s="46"/>
      <c r="CQ271" s="46"/>
      <c r="CR271" s="46"/>
      <c r="CS271" s="46"/>
      <c r="CT271" s="93">
        <f t="shared" si="83"/>
        <v>0</v>
      </c>
      <c r="CV271" s="46"/>
      <c r="CW271" s="46"/>
      <c r="CX271" s="46"/>
      <c r="CY271" s="46"/>
      <c r="CZ271" s="46"/>
      <c r="DA271" s="46"/>
      <c r="DB271" s="46"/>
      <c r="DC271" s="46"/>
      <c r="DD271" s="46"/>
      <c r="DE271" s="46"/>
      <c r="DF271" s="46"/>
      <c r="DG271" s="46"/>
      <c r="DH271" s="46"/>
      <c r="DI271" s="46"/>
      <c r="DJ271" s="46"/>
      <c r="DK271" s="46"/>
      <c r="DL271" s="46"/>
      <c r="DM271" s="46"/>
      <c r="DN271" s="46"/>
      <c r="DO271" s="46"/>
      <c r="DP271" s="46"/>
      <c r="DQ271" s="46"/>
      <c r="DR271" s="46"/>
      <c r="DS271" s="46"/>
      <c r="DT271" s="46"/>
      <c r="DU271" s="46"/>
      <c r="DV271" s="46"/>
      <c r="DW271" s="46"/>
      <c r="DX271" s="46"/>
      <c r="DY271" s="46"/>
      <c r="DZ271" s="46"/>
      <c r="EA271" s="93">
        <f t="shared" si="98"/>
        <v>0</v>
      </c>
      <c r="EC271" s="46"/>
      <c r="ED271" s="46"/>
      <c r="EE271" s="46"/>
      <c r="EF271" s="46"/>
      <c r="EG271" s="46"/>
      <c r="EH271" s="46"/>
      <c r="EI271" s="46"/>
      <c r="EJ271" s="46"/>
      <c r="EK271" s="46"/>
      <c r="EL271" s="46"/>
      <c r="EM271" s="46"/>
      <c r="EN271" s="46"/>
      <c r="EO271" s="46"/>
      <c r="EP271" s="46"/>
      <c r="EQ271" s="46"/>
      <c r="ER271" s="46"/>
      <c r="ES271" s="46"/>
      <c r="ET271" s="46"/>
      <c r="EU271" s="46"/>
      <c r="EV271" s="46"/>
      <c r="EW271" s="46"/>
      <c r="EX271" s="46"/>
      <c r="EY271" s="46"/>
      <c r="EZ271" s="46"/>
      <c r="FA271" s="46"/>
      <c r="FB271" s="46"/>
      <c r="FC271" s="46"/>
      <c r="FD271" s="46"/>
      <c r="FE271" s="46"/>
      <c r="FF271" s="46"/>
      <c r="FG271" s="46"/>
      <c r="FH271" s="93">
        <f t="shared" si="99"/>
        <v>0</v>
      </c>
      <c r="FJ271" s="46"/>
      <c r="FK271" s="46"/>
      <c r="FL271" s="46"/>
      <c r="FM271" s="46"/>
      <c r="FN271" s="46"/>
      <c r="FO271" s="46"/>
      <c r="FP271" s="46"/>
      <c r="FQ271" s="46"/>
      <c r="FR271" s="46"/>
      <c r="FS271" s="46"/>
      <c r="FT271" s="46"/>
      <c r="FU271" s="46"/>
      <c r="FV271" s="46"/>
      <c r="FW271" s="46"/>
      <c r="FX271" s="46"/>
      <c r="FY271" s="46"/>
      <c r="FZ271" s="46"/>
      <c r="GA271" s="46"/>
      <c r="GB271" s="46"/>
      <c r="GC271" s="46"/>
      <c r="GD271" s="46"/>
      <c r="GE271" s="46"/>
      <c r="GF271" s="46"/>
      <c r="GG271" s="46"/>
      <c r="GH271" s="46"/>
      <c r="GI271" s="46"/>
      <c r="GJ271" s="46"/>
      <c r="GK271" s="46"/>
      <c r="GL271" s="46"/>
      <c r="GM271" s="46"/>
      <c r="GN271" s="46"/>
      <c r="GO271" s="93">
        <f t="shared" si="84"/>
        <v>0</v>
      </c>
      <c r="GQ271" s="46"/>
      <c r="GR271" s="46"/>
      <c r="GS271" s="46"/>
      <c r="GT271" s="46"/>
      <c r="GU271" s="46"/>
      <c r="GV271" s="46"/>
      <c r="GW271" s="46"/>
      <c r="GX271" s="46"/>
      <c r="GY271" s="46"/>
      <c r="GZ271" s="46"/>
      <c r="HA271" s="46"/>
      <c r="HB271" s="46"/>
      <c r="HC271" s="46"/>
      <c r="HD271" s="46"/>
      <c r="HE271" s="46"/>
      <c r="HF271" s="46"/>
      <c r="HG271" s="46"/>
      <c r="HH271" s="46"/>
      <c r="HI271" s="46"/>
      <c r="HJ271" s="46"/>
      <c r="HK271" s="46"/>
      <c r="HL271" s="46"/>
      <c r="HM271" s="46"/>
      <c r="HN271" s="46"/>
      <c r="HO271" s="46"/>
      <c r="HP271" s="46"/>
      <c r="HQ271" s="46"/>
      <c r="HR271" s="46"/>
      <c r="HS271" s="46"/>
      <c r="HT271" s="46"/>
      <c r="HU271" s="46"/>
      <c r="HV271" s="93">
        <f t="shared" si="85"/>
        <v>0</v>
      </c>
      <c r="HX271" s="46"/>
      <c r="HY271" s="46"/>
      <c r="HZ271" s="46"/>
      <c r="IA271" s="46"/>
      <c r="IB271" s="46"/>
      <c r="IC271" s="46"/>
      <c r="ID271" s="46"/>
      <c r="IE271" s="46"/>
      <c r="IF271" s="46"/>
      <c r="IG271" s="46"/>
      <c r="IH271" s="46"/>
      <c r="II271" s="46"/>
      <c r="IJ271" s="46"/>
      <c r="IK271" s="46"/>
      <c r="IL271" s="46"/>
      <c r="IM271" s="46"/>
      <c r="IN271" s="46"/>
      <c r="IO271" s="46"/>
      <c r="IP271" s="46"/>
      <c r="IQ271" s="46"/>
      <c r="IR271" s="46"/>
      <c r="IS271" s="46"/>
      <c r="IT271" s="46"/>
      <c r="IU271" s="46"/>
      <c r="IV271" s="46"/>
      <c r="IW271" s="46"/>
      <c r="IX271" s="46"/>
      <c r="IY271" s="46"/>
      <c r="IZ271" s="46"/>
      <c r="JA271" s="46"/>
      <c r="JB271" s="46"/>
      <c r="JC271" s="93">
        <f t="shared" si="86"/>
        <v>0</v>
      </c>
      <c r="JE271" s="46"/>
      <c r="JF271" s="46"/>
      <c r="JG271" s="46"/>
      <c r="JH271" s="46"/>
      <c r="JI271" s="46"/>
      <c r="JJ271" s="46"/>
      <c r="JK271" s="46"/>
      <c r="JL271" s="46"/>
      <c r="JM271" s="46"/>
      <c r="JN271" s="46"/>
      <c r="JO271" s="46"/>
      <c r="JP271" s="46"/>
      <c r="JQ271" s="46"/>
      <c r="JR271" s="46"/>
      <c r="JS271" s="46"/>
      <c r="JT271" s="46"/>
      <c r="JU271" s="46"/>
      <c r="JV271" s="46"/>
      <c r="JW271" s="46"/>
      <c r="JX271" s="46"/>
      <c r="JY271" s="46"/>
      <c r="JZ271" s="46"/>
      <c r="KA271" s="46"/>
      <c r="KB271" s="46"/>
      <c r="KC271" s="46"/>
      <c r="KD271" s="46"/>
      <c r="KE271" s="46"/>
      <c r="KF271" s="46"/>
      <c r="KG271" s="46"/>
      <c r="KH271" s="46"/>
      <c r="KI271" s="46"/>
      <c r="KJ271" s="93">
        <f t="shared" si="87"/>
        <v>0</v>
      </c>
    </row>
    <row r="272" spans="1:296" ht="20.149999999999999" customHeight="1" x14ac:dyDescent="0.5">
      <c r="A272" s="11">
        <v>90</v>
      </c>
      <c r="B272" s="185"/>
      <c r="C272" s="144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>
        <f t="shared" si="88"/>
        <v>0</v>
      </c>
      <c r="S272" s="46">
        <f t="shared" si="89"/>
        <v>0</v>
      </c>
      <c r="T272" s="46">
        <f t="shared" si="90"/>
        <v>0</v>
      </c>
      <c r="U272" s="46">
        <f t="shared" si="91"/>
        <v>0</v>
      </c>
      <c r="V272" s="46">
        <f t="shared" si="92"/>
        <v>0</v>
      </c>
      <c r="W272" s="46">
        <f t="shared" si="93"/>
        <v>0</v>
      </c>
      <c r="X272" s="46">
        <f t="shared" si="94"/>
        <v>0</v>
      </c>
      <c r="Y272" s="46">
        <f t="shared" si="95"/>
        <v>0</v>
      </c>
      <c r="Z272" s="90">
        <f t="shared" si="96"/>
        <v>0</v>
      </c>
      <c r="AA272" s="95"/>
      <c r="AB272" s="95">
        <f>'LPLPO PROGRAM'!H103</f>
        <v>0</v>
      </c>
      <c r="AC272" s="91"/>
      <c r="AD272" s="91"/>
      <c r="AE272" s="91"/>
      <c r="AF272" s="91"/>
      <c r="AG272" s="92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93">
        <f t="shared" si="97"/>
        <v>0</v>
      </c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  <c r="CK272" s="46"/>
      <c r="CL272" s="46"/>
      <c r="CM272" s="46"/>
      <c r="CN272" s="46"/>
      <c r="CO272" s="46"/>
      <c r="CP272" s="46"/>
      <c r="CQ272" s="46"/>
      <c r="CR272" s="46"/>
      <c r="CS272" s="46"/>
      <c r="CT272" s="93">
        <f t="shared" si="83"/>
        <v>0</v>
      </c>
      <c r="CV272" s="46"/>
      <c r="CW272" s="46"/>
      <c r="CX272" s="46"/>
      <c r="CY272" s="46"/>
      <c r="CZ272" s="46"/>
      <c r="DA272" s="46"/>
      <c r="DB272" s="46"/>
      <c r="DC272" s="46"/>
      <c r="DD272" s="46"/>
      <c r="DE272" s="46"/>
      <c r="DF272" s="46"/>
      <c r="DG272" s="46"/>
      <c r="DH272" s="46"/>
      <c r="DI272" s="46"/>
      <c r="DJ272" s="46"/>
      <c r="DK272" s="46"/>
      <c r="DL272" s="46"/>
      <c r="DM272" s="46"/>
      <c r="DN272" s="46"/>
      <c r="DO272" s="46"/>
      <c r="DP272" s="46"/>
      <c r="DQ272" s="46"/>
      <c r="DR272" s="46"/>
      <c r="DS272" s="46"/>
      <c r="DT272" s="46"/>
      <c r="DU272" s="46"/>
      <c r="DV272" s="46"/>
      <c r="DW272" s="46"/>
      <c r="DX272" s="46"/>
      <c r="DY272" s="46"/>
      <c r="DZ272" s="46"/>
      <c r="EA272" s="93">
        <f t="shared" si="98"/>
        <v>0</v>
      </c>
      <c r="EC272" s="46"/>
      <c r="ED272" s="46"/>
      <c r="EE272" s="46"/>
      <c r="EF272" s="46"/>
      <c r="EG272" s="46"/>
      <c r="EH272" s="46"/>
      <c r="EI272" s="46"/>
      <c r="EJ272" s="46"/>
      <c r="EK272" s="46"/>
      <c r="EL272" s="46"/>
      <c r="EM272" s="46"/>
      <c r="EN272" s="46"/>
      <c r="EO272" s="46"/>
      <c r="EP272" s="46"/>
      <c r="EQ272" s="46"/>
      <c r="ER272" s="46"/>
      <c r="ES272" s="46"/>
      <c r="ET272" s="46"/>
      <c r="EU272" s="46"/>
      <c r="EV272" s="46"/>
      <c r="EW272" s="46"/>
      <c r="EX272" s="46"/>
      <c r="EY272" s="46"/>
      <c r="EZ272" s="46"/>
      <c r="FA272" s="46"/>
      <c r="FB272" s="46"/>
      <c r="FC272" s="46"/>
      <c r="FD272" s="46"/>
      <c r="FE272" s="46"/>
      <c r="FF272" s="46"/>
      <c r="FG272" s="46"/>
      <c r="FH272" s="93">
        <f t="shared" si="99"/>
        <v>0</v>
      </c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6"/>
      <c r="FU272" s="46"/>
      <c r="FV272" s="46"/>
      <c r="FW272" s="46"/>
      <c r="FX272" s="46"/>
      <c r="FY272" s="46"/>
      <c r="FZ272" s="46"/>
      <c r="GA272" s="46"/>
      <c r="GB272" s="46"/>
      <c r="GC272" s="46"/>
      <c r="GD272" s="46"/>
      <c r="GE272" s="46"/>
      <c r="GF272" s="46"/>
      <c r="GG272" s="46"/>
      <c r="GH272" s="46"/>
      <c r="GI272" s="46"/>
      <c r="GJ272" s="46"/>
      <c r="GK272" s="46"/>
      <c r="GL272" s="46"/>
      <c r="GM272" s="46"/>
      <c r="GN272" s="46"/>
      <c r="GO272" s="93">
        <f t="shared" si="84"/>
        <v>0</v>
      </c>
      <c r="GQ272" s="46"/>
      <c r="GR272" s="46"/>
      <c r="GS272" s="46"/>
      <c r="GT272" s="46"/>
      <c r="GU272" s="46"/>
      <c r="GV272" s="46"/>
      <c r="GW272" s="46"/>
      <c r="GX272" s="46"/>
      <c r="GY272" s="46"/>
      <c r="GZ272" s="46"/>
      <c r="HA272" s="46"/>
      <c r="HB272" s="46"/>
      <c r="HC272" s="46"/>
      <c r="HD272" s="46"/>
      <c r="HE272" s="46"/>
      <c r="HF272" s="46"/>
      <c r="HG272" s="46"/>
      <c r="HH272" s="46"/>
      <c r="HI272" s="46"/>
      <c r="HJ272" s="46"/>
      <c r="HK272" s="46"/>
      <c r="HL272" s="46"/>
      <c r="HM272" s="46"/>
      <c r="HN272" s="46"/>
      <c r="HO272" s="46"/>
      <c r="HP272" s="46"/>
      <c r="HQ272" s="46"/>
      <c r="HR272" s="46"/>
      <c r="HS272" s="46"/>
      <c r="HT272" s="46"/>
      <c r="HU272" s="46"/>
      <c r="HV272" s="93">
        <f t="shared" si="85"/>
        <v>0</v>
      </c>
      <c r="HX272" s="46"/>
      <c r="HY272" s="46"/>
      <c r="HZ272" s="46"/>
      <c r="IA272" s="46"/>
      <c r="IB272" s="46"/>
      <c r="IC272" s="46"/>
      <c r="ID272" s="46"/>
      <c r="IE272" s="46"/>
      <c r="IF272" s="46"/>
      <c r="IG272" s="46"/>
      <c r="IH272" s="46"/>
      <c r="II272" s="46"/>
      <c r="IJ272" s="46"/>
      <c r="IK272" s="46"/>
      <c r="IL272" s="46"/>
      <c r="IM272" s="46"/>
      <c r="IN272" s="46"/>
      <c r="IO272" s="46"/>
      <c r="IP272" s="46"/>
      <c r="IQ272" s="46"/>
      <c r="IR272" s="46"/>
      <c r="IS272" s="46"/>
      <c r="IT272" s="46"/>
      <c r="IU272" s="46"/>
      <c r="IV272" s="46"/>
      <c r="IW272" s="46"/>
      <c r="IX272" s="46"/>
      <c r="IY272" s="46"/>
      <c r="IZ272" s="46"/>
      <c r="JA272" s="46"/>
      <c r="JB272" s="46"/>
      <c r="JC272" s="93">
        <f t="shared" si="86"/>
        <v>0</v>
      </c>
      <c r="JE272" s="46"/>
      <c r="JF272" s="46"/>
      <c r="JG272" s="46"/>
      <c r="JH272" s="46"/>
      <c r="JI272" s="46"/>
      <c r="JJ272" s="46"/>
      <c r="JK272" s="46"/>
      <c r="JL272" s="46"/>
      <c r="JM272" s="46"/>
      <c r="JN272" s="46"/>
      <c r="JO272" s="46"/>
      <c r="JP272" s="46"/>
      <c r="JQ272" s="46"/>
      <c r="JR272" s="46"/>
      <c r="JS272" s="46"/>
      <c r="JT272" s="46"/>
      <c r="JU272" s="46"/>
      <c r="JV272" s="46"/>
      <c r="JW272" s="46"/>
      <c r="JX272" s="46"/>
      <c r="JY272" s="46"/>
      <c r="JZ272" s="46"/>
      <c r="KA272" s="46"/>
      <c r="KB272" s="46"/>
      <c r="KC272" s="46"/>
      <c r="KD272" s="46"/>
      <c r="KE272" s="46"/>
      <c r="KF272" s="46"/>
      <c r="KG272" s="46"/>
      <c r="KH272" s="46"/>
      <c r="KI272" s="46"/>
      <c r="KJ272" s="93">
        <f t="shared" si="87"/>
        <v>0</v>
      </c>
    </row>
    <row r="273" spans="1:296" ht="20.149999999999999" customHeight="1" x14ac:dyDescent="0.5">
      <c r="A273" s="187">
        <v>91</v>
      </c>
      <c r="B273" s="189" t="s">
        <v>207</v>
      </c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46">
        <f t="shared" si="88"/>
        <v>0</v>
      </c>
      <c r="S273" s="46">
        <f t="shared" si="89"/>
        <v>0</v>
      </c>
      <c r="T273" s="46">
        <f t="shared" si="90"/>
        <v>0</v>
      </c>
      <c r="U273" s="46">
        <f t="shared" si="91"/>
        <v>0</v>
      </c>
      <c r="V273" s="46">
        <f t="shared" si="92"/>
        <v>0</v>
      </c>
      <c r="W273" s="46">
        <f t="shared" si="93"/>
        <v>0</v>
      </c>
      <c r="X273" s="46">
        <f t="shared" si="94"/>
        <v>0</v>
      </c>
      <c r="Y273" s="46">
        <f t="shared" si="95"/>
        <v>0</v>
      </c>
      <c r="Z273" s="146"/>
      <c r="AA273" s="95"/>
      <c r="AB273" s="95">
        <f>'LPLPO PROGRAM'!H104</f>
        <v>0</v>
      </c>
      <c r="AC273" s="91"/>
      <c r="AD273" s="91"/>
      <c r="AE273" s="91"/>
      <c r="AF273" s="91"/>
      <c r="AG273" s="92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93">
        <f t="shared" si="97"/>
        <v>0</v>
      </c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  <c r="CK273" s="46"/>
      <c r="CL273" s="46"/>
      <c r="CM273" s="46"/>
      <c r="CN273" s="46"/>
      <c r="CO273" s="46"/>
      <c r="CP273" s="46"/>
      <c r="CQ273" s="46"/>
      <c r="CR273" s="46"/>
      <c r="CS273" s="46"/>
      <c r="CT273" s="93">
        <f t="shared" si="83"/>
        <v>0</v>
      </c>
      <c r="CV273" s="46"/>
      <c r="CW273" s="46"/>
      <c r="CX273" s="46"/>
      <c r="CY273" s="46"/>
      <c r="CZ273" s="46"/>
      <c r="DA273" s="46"/>
      <c r="DB273" s="46"/>
      <c r="DC273" s="46"/>
      <c r="DD273" s="46"/>
      <c r="DE273" s="46"/>
      <c r="DF273" s="46"/>
      <c r="DG273" s="46"/>
      <c r="DH273" s="46"/>
      <c r="DI273" s="46"/>
      <c r="DJ273" s="46"/>
      <c r="DK273" s="46"/>
      <c r="DL273" s="46"/>
      <c r="DM273" s="46"/>
      <c r="DN273" s="46"/>
      <c r="DO273" s="46"/>
      <c r="DP273" s="46"/>
      <c r="DQ273" s="46"/>
      <c r="DR273" s="46"/>
      <c r="DS273" s="46"/>
      <c r="DT273" s="46"/>
      <c r="DU273" s="46"/>
      <c r="DV273" s="46"/>
      <c r="DW273" s="46"/>
      <c r="DX273" s="46"/>
      <c r="DY273" s="46"/>
      <c r="DZ273" s="46"/>
      <c r="EA273" s="93">
        <f t="shared" si="98"/>
        <v>0</v>
      </c>
      <c r="EC273" s="46"/>
      <c r="ED273" s="46"/>
      <c r="EE273" s="46"/>
      <c r="EF273" s="46"/>
      <c r="EG273" s="46"/>
      <c r="EH273" s="46"/>
      <c r="EI273" s="46"/>
      <c r="EJ273" s="46"/>
      <c r="EK273" s="46"/>
      <c r="EL273" s="46"/>
      <c r="EM273" s="46"/>
      <c r="EN273" s="46"/>
      <c r="EO273" s="46"/>
      <c r="EP273" s="46"/>
      <c r="EQ273" s="46"/>
      <c r="ER273" s="46"/>
      <c r="ES273" s="46"/>
      <c r="ET273" s="46"/>
      <c r="EU273" s="46"/>
      <c r="EV273" s="46"/>
      <c r="EW273" s="46"/>
      <c r="EX273" s="46"/>
      <c r="EY273" s="46"/>
      <c r="EZ273" s="46"/>
      <c r="FA273" s="46"/>
      <c r="FB273" s="46"/>
      <c r="FC273" s="46"/>
      <c r="FD273" s="46"/>
      <c r="FE273" s="46"/>
      <c r="FF273" s="46"/>
      <c r="FG273" s="46"/>
      <c r="FH273" s="93">
        <f t="shared" si="99"/>
        <v>0</v>
      </c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6"/>
      <c r="FU273" s="46"/>
      <c r="FV273" s="46"/>
      <c r="FW273" s="46"/>
      <c r="FX273" s="46"/>
      <c r="FY273" s="46"/>
      <c r="FZ273" s="46"/>
      <c r="GA273" s="46"/>
      <c r="GB273" s="46"/>
      <c r="GC273" s="46"/>
      <c r="GD273" s="46"/>
      <c r="GE273" s="46"/>
      <c r="GF273" s="46"/>
      <c r="GG273" s="46"/>
      <c r="GH273" s="46"/>
      <c r="GI273" s="46"/>
      <c r="GJ273" s="46"/>
      <c r="GK273" s="46"/>
      <c r="GL273" s="46"/>
      <c r="GM273" s="46"/>
      <c r="GN273" s="46"/>
      <c r="GO273" s="93">
        <f t="shared" si="84"/>
        <v>0</v>
      </c>
      <c r="GQ273" s="46"/>
      <c r="GR273" s="46"/>
      <c r="GS273" s="46"/>
      <c r="GT273" s="46"/>
      <c r="GU273" s="46"/>
      <c r="GV273" s="46"/>
      <c r="GW273" s="46"/>
      <c r="GX273" s="46"/>
      <c r="GY273" s="46"/>
      <c r="GZ273" s="46"/>
      <c r="HA273" s="46"/>
      <c r="HB273" s="46"/>
      <c r="HC273" s="46"/>
      <c r="HD273" s="46"/>
      <c r="HE273" s="46"/>
      <c r="HF273" s="46"/>
      <c r="HG273" s="46"/>
      <c r="HH273" s="46"/>
      <c r="HI273" s="46"/>
      <c r="HJ273" s="46"/>
      <c r="HK273" s="46"/>
      <c r="HL273" s="46"/>
      <c r="HM273" s="46"/>
      <c r="HN273" s="46"/>
      <c r="HO273" s="46"/>
      <c r="HP273" s="46"/>
      <c r="HQ273" s="46"/>
      <c r="HR273" s="46"/>
      <c r="HS273" s="46"/>
      <c r="HT273" s="46"/>
      <c r="HU273" s="46"/>
      <c r="HV273" s="93">
        <f t="shared" si="85"/>
        <v>0</v>
      </c>
      <c r="HX273" s="46"/>
      <c r="HY273" s="46"/>
      <c r="HZ273" s="46"/>
      <c r="IA273" s="46"/>
      <c r="IB273" s="46"/>
      <c r="IC273" s="46"/>
      <c r="ID273" s="46"/>
      <c r="IE273" s="46"/>
      <c r="IF273" s="46"/>
      <c r="IG273" s="46"/>
      <c r="IH273" s="46"/>
      <c r="II273" s="46"/>
      <c r="IJ273" s="46"/>
      <c r="IK273" s="46"/>
      <c r="IL273" s="46"/>
      <c r="IM273" s="46"/>
      <c r="IN273" s="46"/>
      <c r="IO273" s="46"/>
      <c r="IP273" s="46"/>
      <c r="IQ273" s="46"/>
      <c r="IR273" s="46"/>
      <c r="IS273" s="46"/>
      <c r="IT273" s="46"/>
      <c r="IU273" s="46"/>
      <c r="IV273" s="46"/>
      <c r="IW273" s="46"/>
      <c r="IX273" s="46"/>
      <c r="IY273" s="46"/>
      <c r="IZ273" s="46"/>
      <c r="JA273" s="46"/>
      <c r="JB273" s="46"/>
      <c r="JC273" s="93">
        <f t="shared" si="86"/>
        <v>0</v>
      </c>
      <c r="JE273" s="46"/>
      <c r="JF273" s="46"/>
      <c r="JG273" s="46"/>
      <c r="JH273" s="46"/>
      <c r="JI273" s="46"/>
      <c r="JJ273" s="46"/>
      <c r="JK273" s="46"/>
      <c r="JL273" s="46"/>
      <c r="JM273" s="46"/>
      <c r="JN273" s="46"/>
      <c r="JO273" s="46"/>
      <c r="JP273" s="46"/>
      <c r="JQ273" s="46"/>
      <c r="JR273" s="46"/>
      <c r="JS273" s="46"/>
      <c r="JT273" s="46"/>
      <c r="JU273" s="46"/>
      <c r="JV273" s="46"/>
      <c r="JW273" s="46"/>
      <c r="JX273" s="46"/>
      <c r="JY273" s="46"/>
      <c r="JZ273" s="46"/>
      <c r="KA273" s="46"/>
      <c r="KB273" s="46"/>
      <c r="KC273" s="46"/>
      <c r="KD273" s="46"/>
      <c r="KE273" s="46"/>
      <c r="KF273" s="46"/>
      <c r="KG273" s="46"/>
      <c r="KH273" s="46"/>
      <c r="KI273" s="46"/>
      <c r="KJ273" s="93">
        <f t="shared" si="87"/>
        <v>0</v>
      </c>
    </row>
    <row r="274" spans="1:296" ht="20.149999999999999" customHeight="1" x14ac:dyDescent="0.5">
      <c r="A274" s="11">
        <v>92</v>
      </c>
      <c r="B274" s="186" t="s">
        <v>208</v>
      </c>
      <c r="C274" s="144" t="s">
        <v>209</v>
      </c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>
        <f t="shared" si="88"/>
        <v>0</v>
      </c>
      <c r="S274" s="46">
        <f t="shared" si="89"/>
        <v>0</v>
      </c>
      <c r="T274" s="46">
        <f t="shared" si="90"/>
        <v>0</v>
      </c>
      <c r="U274" s="46">
        <f t="shared" si="91"/>
        <v>0</v>
      </c>
      <c r="V274" s="46">
        <f t="shared" si="92"/>
        <v>0</v>
      </c>
      <c r="W274" s="46">
        <f t="shared" si="93"/>
        <v>0</v>
      </c>
      <c r="X274" s="46">
        <f t="shared" si="94"/>
        <v>0</v>
      </c>
      <c r="Y274" s="46">
        <f t="shared" si="95"/>
        <v>0</v>
      </c>
      <c r="Z274" s="90">
        <f>SUM(D274:Y274)</f>
        <v>0</v>
      </c>
      <c r="AA274" s="95"/>
      <c r="AB274" s="95">
        <f>'LPLPO PROGRAM'!H105</f>
        <v>0</v>
      </c>
      <c r="AC274" s="91"/>
      <c r="AD274" s="91"/>
      <c r="AE274" s="91"/>
      <c r="AF274" s="91"/>
      <c r="AG274" s="92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93">
        <f t="shared" si="97"/>
        <v>0</v>
      </c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  <c r="CK274" s="46"/>
      <c r="CL274" s="46"/>
      <c r="CM274" s="46"/>
      <c r="CN274" s="46"/>
      <c r="CO274" s="46"/>
      <c r="CP274" s="46"/>
      <c r="CQ274" s="46"/>
      <c r="CR274" s="46"/>
      <c r="CS274" s="46"/>
      <c r="CT274" s="93">
        <f t="shared" si="83"/>
        <v>0</v>
      </c>
      <c r="CV274" s="46"/>
      <c r="CW274" s="46"/>
      <c r="CX274" s="46"/>
      <c r="CY274" s="46"/>
      <c r="CZ274" s="46"/>
      <c r="DA274" s="46"/>
      <c r="DB274" s="46"/>
      <c r="DC274" s="46"/>
      <c r="DD274" s="46"/>
      <c r="DE274" s="46"/>
      <c r="DF274" s="46"/>
      <c r="DG274" s="46"/>
      <c r="DH274" s="46"/>
      <c r="DI274" s="46"/>
      <c r="DJ274" s="46"/>
      <c r="DK274" s="46"/>
      <c r="DL274" s="46"/>
      <c r="DM274" s="46"/>
      <c r="DN274" s="46"/>
      <c r="DO274" s="46"/>
      <c r="DP274" s="46"/>
      <c r="DQ274" s="46"/>
      <c r="DR274" s="46"/>
      <c r="DS274" s="46"/>
      <c r="DT274" s="46"/>
      <c r="DU274" s="46"/>
      <c r="DV274" s="46"/>
      <c r="DW274" s="46"/>
      <c r="DX274" s="46"/>
      <c r="DY274" s="46"/>
      <c r="DZ274" s="46"/>
      <c r="EA274" s="93">
        <f t="shared" si="98"/>
        <v>0</v>
      </c>
      <c r="EC274" s="46"/>
      <c r="ED274" s="46"/>
      <c r="EE274" s="46"/>
      <c r="EF274" s="46"/>
      <c r="EG274" s="46"/>
      <c r="EH274" s="46"/>
      <c r="EI274" s="46"/>
      <c r="EJ274" s="46"/>
      <c r="EK274" s="46"/>
      <c r="EL274" s="46"/>
      <c r="EM274" s="46"/>
      <c r="EN274" s="46"/>
      <c r="EO274" s="46"/>
      <c r="EP274" s="46"/>
      <c r="EQ274" s="46"/>
      <c r="ER274" s="46"/>
      <c r="ES274" s="46"/>
      <c r="ET274" s="46"/>
      <c r="EU274" s="46"/>
      <c r="EV274" s="46"/>
      <c r="EW274" s="46"/>
      <c r="EX274" s="46"/>
      <c r="EY274" s="46"/>
      <c r="EZ274" s="46"/>
      <c r="FA274" s="46"/>
      <c r="FB274" s="46"/>
      <c r="FC274" s="46"/>
      <c r="FD274" s="46"/>
      <c r="FE274" s="46"/>
      <c r="FF274" s="46"/>
      <c r="FG274" s="46"/>
      <c r="FH274" s="93">
        <f t="shared" si="99"/>
        <v>0</v>
      </c>
      <c r="FJ274" s="46"/>
      <c r="FK274" s="46"/>
      <c r="FL274" s="46"/>
      <c r="FM274" s="46"/>
      <c r="FN274" s="46"/>
      <c r="FO274" s="46"/>
      <c r="FP274" s="46"/>
      <c r="FQ274" s="46"/>
      <c r="FR274" s="46"/>
      <c r="FS274" s="46"/>
      <c r="FT274" s="46"/>
      <c r="FU274" s="46"/>
      <c r="FV274" s="46"/>
      <c r="FW274" s="46"/>
      <c r="FX274" s="46"/>
      <c r="FY274" s="46"/>
      <c r="FZ274" s="46"/>
      <c r="GA274" s="46"/>
      <c r="GB274" s="46"/>
      <c r="GC274" s="46"/>
      <c r="GD274" s="46"/>
      <c r="GE274" s="46"/>
      <c r="GF274" s="46"/>
      <c r="GG274" s="46"/>
      <c r="GH274" s="46"/>
      <c r="GI274" s="46"/>
      <c r="GJ274" s="46"/>
      <c r="GK274" s="46"/>
      <c r="GL274" s="46"/>
      <c r="GM274" s="46"/>
      <c r="GN274" s="46"/>
      <c r="GO274" s="93">
        <f t="shared" si="84"/>
        <v>0</v>
      </c>
      <c r="GQ274" s="46"/>
      <c r="GR274" s="46"/>
      <c r="GS274" s="46"/>
      <c r="GT274" s="46"/>
      <c r="GU274" s="46"/>
      <c r="GV274" s="46"/>
      <c r="GW274" s="46"/>
      <c r="GX274" s="46"/>
      <c r="GY274" s="46"/>
      <c r="GZ274" s="46"/>
      <c r="HA274" s="46"/>
      <c r="HB274" s="46"/>
      <c r="HC274" s="46"/>
      <c r="HD274" s="46"/>
      <c r="HE274" s="46"/>
      <c r="HF274" s="46"/>
      <c r="HG274" s="46"/>
      <c r="HH274" s="46"/>
      <c r="HI274" s="46"/>
      <c r="HJ274" s="46"/>
      <c r="HK274" s="46"/>
      <c r="HL274" s="46"/>
      <c r="HM274" s="46"/>
      <c r="HN274" s="46"/>
      <c r="HO274" s="46"/>
      <c r="HP274" s="46"/>
      <c r="HQ274" s="46"/>
      <c r="HR274" s="46"/>
      <c r="HS274" s="46"/>
      <c r="HT274" s="46"/>
      <c r="HU274" s="46"/>
      <c r="HV274" s="93">
        <f t="shared" si="85"/>
        <v>0</v>
      </c>
      <c r="HX274" s="46"/>
      <c r="HY274" s="46"/>
      <c r="HZ274" s="46"/>
      <c r="IA274" s="46"/>
      <c r="IB274" s="46"/>
      <c r="IC274" s="46"/>
      <c r="ID274" s="46"/>
      <c r="IE274" s="46"/>
      <c r="IF274" s="46"/>
      <c r="IG274" s="46"/>
      <c r="IH274" s="46"/>
      <c r="II274" s="46"/>
      <c r="IJ274" s="46"/>
      <c r="IK274" s="46"/>
      <c r="IL274" s="46"/>
      <c r="IM274" s="46"/>
      <c r="IN274" s="46"/>
      <c r="IO274" s="46"/>
      <c r="IP274" s="46"/>
      <c r="IQ274" s="46"/>
      <c r="IR274" s="46"/>
      <c r="IS274" s="46"/>
      <c r="IT274" s="46"/>
      <c r="IU274" s="46"/>
      <c r="IV274" s="46"/>
      <c r="IW274" s="46"/>
      <c r="IX274" s="46"/>
      <c r="IY274" s="46"/>
      <c r="IZ274" s="46"/>
      <c r="JA274" s="46"/>
      <c r="JB274" s="46"/>
      <c r="JC274" s="93">
        <f t="shared" si="86"/>
        <v>0</v>
      </c>
      <c r="JE274" s="46"/>
      <c r="JF274" s="46"/>
      <c r="JG274" s="46"/>
      <c r="JH274" s="46"/>
      <c r="JI274" s="46"/>
      <c r="JJ274" s="46"/>
      <c r="JK274" s="46"/>
      <c r="JL274" s="46"/>
      <c r="JM274" s="46"/>
      <c r="JN274" s="46"/>
      <c r="JO274" s="46"/>
      <c r="JP274" s="46"/>
      <c r="JQ274" s="46"/>
      <c r="JR274" s="46"/>
      <c r="JS274" s="46"/>
      <c r="JT274" s="46"/>
      <c r="JU274" s="46"/>
      <c r="JV274" s="46"/>
      <c r="JW274" s="46"/>
      <c r="JX274" s="46"/>
      <c r="JY274" s="46"/>
      <c r="JZ274" s="46"/>
      <c r="KA274" s="46"/>
      <c r="KB274" s="46"/>
      <c r="KC274" s="46"/>
      <c r="KD274" s="46"/>
      <c r="KE274" s="46"/>
      <c r="KF274" s="46"/>
      <c r="KG274" s="46"/>
      <c r="KH274" s="46"/>
      <c r="KI274" s="46"/>
      <c r="KJ274" s="93">
        <f t="shared" si="87"/>
        <v>0</v>
      </c>
    </row>
    <row r="275" spans="1:296" ht="20.149999999999999" customHeight="1" x14ac:dyDescent="0.5">
      <c r="A275" s="11">
        <v>93</v>
      </c>
      <c r="B275" s="184" t="s">
        <v>286</v>
      </c>
      <c r="C275" s="144" t="s">
        <v>209</v>
      </c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>
        <f t="shared" si="88"/>
        <v>0</v>
      </c>
      <c r="S275" s="46">
        <f t="shared" si="89"/>
        <v>0</v>
      </c>
      <c r="T275" s="46">
        <f t="shared" si="90"/>
        <v>0</v>
      </c>
      <c r="U275" s="46">
        <f t="shared" si="91"/>
        <v>0</v>
      </c>
      <c r="V275" s="46">
        <f t="shared" si="92"/>
        <v>0</v>
      </c>
      <c r="W275" s="46">
        <f t="shared" si="93"/>
        <v>0</v>
      </c>
      <c r="X275" s="46">
        <f t="shared" si="94"/>
        <v>0</v>
      </c>
      <c r="Y275" s="46">
        <f t="shared" si="95"/>
        <v>0</v>
      </c>
      <c r="Z275" s="90">
        <f>SUM(D275:Y275)</f>
        <v>0</v>
      </c>
      <c r="AA275" s="95"/>
      <c r="AB275" s="95">
        <f>'LPLPO PROGRAM'!H106</f>
        <v>0</v>
      </c>
      <c r="AC275" s="91"/>
      <c r="AD275" s="91"/>
      <c r="AE275" s="91"/>
      <c r="AF275" s="91"/>
      <c r="AG275" s="92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93">
        <f t="shared" si="97"/>
        <v>0</v>
      </c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  <c r="CK275" s="46"/>
      <c r="CL275" s="46"/>
      <c r="CM275" s="46"/>
      <c r="CN275" s="46"/>
      <c r="CO275" s="46"/>
      <c r="CP275" s="46"/>
      <c r="CQ275" s="46"/>
      <c r="CR275" s="46"/>
      <c r="CS275" s="46"/>
      <c r="CT275" s="93">
        <f t="shared" si="83"/>
        <v>0</v>
      </c>
      <c r="CV275" s="46"/>
      <c r="CW275" s="46"/>
      <c r="CX275" s="46"/>
      <c r="CY275" s="46"/>
      <c r="CZ275" s="46"/>
      <c r="DA275" s="46"/>
      <c r="DB275" s="46"/>
      <c r="DC275" s="46"/>
      <c r="DD275" s="46"/>
      <c r="DE275" s="46"/>
      <c r="DF275" s="46"/>
      <c r="DG275" s="46"/>
      <c r="DH275" s="46"/>
      <c r="DI275" s="46"/>
      <c r="DJ275" s="46"/>
      <c r="DK275" s="46"/>
      <c r="DL275" s="46"/>
      <c r="DM275" s="46"/>
      <c r="DN275" s="46"/>
      <c r="DO275" s="46"/>
      <c r="DP275" s="46"/>
      <c r="DQ275" s="46"/>
      <c r="DR275" s="46"/>
      <c r="DS275" s="46"/>
      <c r="DT275" s="46"/>
      <c r="DU275" s="46"/>
      <c r="DV275" s="46"/>
      <c r="DW275" s="46"/>
      <c r="DX275" s="46"/>
      <c r="DY275" s="46"/>
      <c r="DZ275" s="46"/>
      <c r="EA275" s="93">
        <f t="shared" si="98"/>
        <v>0</v>
      </c>
      <c r="EC275" s="46"/>
      <c r="ED275" s="46"/>
      <c r="EE275" s="46"/>
      <c r="EF275" s="46"/>
      <c r="EG275" s="46"/>
      <c r="EH275" s="46"/>
      <c r="EI275" s="46"/>
      <c r="EJ275" s="46"/>
      <c r="EK275" s="46"/>
      <c r="EL275" s="46"/>
      <c r="EM275" s="46"/>
      <c r="EN275" s="46"/>
      <c r="EO275" s="46"/>
      <c r="EP275" s="46"/>
      <c r="EQ275" s="46"/>
      <c r="ER275" s="46"/>
      <c r="ES275" s="46"/>
      <c r="ET275" s="46"/>
      <c r="EU275" s="46"/>
      <c r="EV275" s="46"/>
      <c r="EW275" s="46"/>
      <c r="EX275" s="46"/>
      <c r="EY275" s="46"/>
      <c r="EZ275" s="46"/>
      <c r="FA275" s="46"/>
      <c r="FB275" s="46"/>
      <c r="FC275" s="46"/>
      <c r="FD275" s="46"/>
      <c r="FE275" s="46"/>
      <c r="FF275" s="46"/>
      <c r="FG275" s="46"/>
      <c r="FH275" s="93">
        <f t="shared" si="99"/>
        <v>0</v>
      </c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6"/>
      <c r="FU275" s="46"/>
      <c r="FV275" s="46"/>
      <c r="FW275" s="46"/>
      <c r="FX275" s="46"/>
      <c r="FY275" s="46"/>
      <c r="FZ275" s="46"/>
      <c r="GA275" s="46"/>
      <c r="GB275" s="46"/>
      <c r="GC275" s="46"/>
      <c r="GD275" s="46"/>
      <c r="GE275" s="46"/>
      <c r="GF275" s="46"/>
      <c r="GG275" s="46"/>
      <c r="GH275" s="46"/>
      <c r="GI275" s="46"/>
      <c r="GJ275" s="46"/>
      <c r="GK275" s="46"/>
      <c r="GL275" s="46"/>
      <c r="GM275" s="46"/>
      <c r="GN275" s="46"/>
      <c r="GO275" s="93">
        <f t="shared" si="84"/>
        <v>0</v>
      </c>
      <c r="GQ275" s="46"/>
      <c r="GR275" s="46"/>
      <c r="GS275" s="46"/>
      <c r="GT275" s="46"/>
      <c r="GU275" s="46"/>
      <c r="GV275" s="46"/>
      <c r="GW275" s="46"/>
      <c r="GX275" s="46"/>
      <c r="GY275" s="46"/>
      <c r="GZ275" s="46"/>
      <c r="HA275" s="46"/>
      <c r="HB275" s="46"/>
      <c r="HC275" s="46"/>
      <c r="HD275" s="46"/>
      <c r="HE275" s="46"/>
      <c r="HF275" s="46"/>
      <c r="HG275" s="46"/>
      <c r="HH275" s="46"/>
      <c r="HI275" s="46"/>
      <c r="HJ275" s="46"/>
      <c r="HK275" s="46"/>
      <c r="HL275" s="46"/>
      <c r="HM275" s="46"/>
      <c r="HN275" s="46"/>
      <c r="HO275" s="46"/>
      <c r="HP275" s="46"/>
      <c r="HQ275" s="46"/>
      <c r="HR275" s="46"/>
      <c r="HS275" s="46"/>
      <c r="HT275" s="46"/>
      <c r="HU275" s="46"/>
      <c r="HV275" s="93">
        <f t="shared" si="85"/>
        <v>0</v>
      </c>
      <c r="HX275" s="46"/>
      <c r="HY275" s="46"/>
      <c r="HZ275" s="46"/>
      <c r="IA275" s="46"/>
      <c r="IB275" s="46"/>
      <c r="IC275" s="46"/>
      <c r="ID275" s="46"/>
      <c r="IE275" s="46"/>
      <c r="IF275" s="46"/>
      <c r="IG275" s="46"/>
      <c r="IH275" s="46"/>
      <c r="II275" s="46"/>
      <c r="IJ275" s="46"/>
      <c r="IK275" s="46"/>
      <c r="IL275" s="46"/>
      <c r="IM275" s="46"/>
      <c r="IN275" s="46"/>
      <c r="IO275" s="46"/>
      <c r="IP275" s="46"/>
      <c r="IQ275" s="46"/>
      <c r="IR275" s="46"/>
      <c r="IS275" s="46"/>
      <c r="IT275" s="46"/>
      <c r="IU275" s="46"/>
      <c r="IV275" s="46"/>
      <c r="IW275" s="46"/>
      <c r="IX275" s="46"/>
      <c r="IY275" s="46"/>
      <c r="IZ275" s="46"/>
      <c r="JA275" s="46"/>
      <c r="JB275" s="46"/>
      <c r="JC275" s="93">
        <f t="shared" si="86"/>
        <v>0</v>
      </c>
      <c r="JE275" s="46"/>
      <c r="JF275" s="46"/>
      <c r="JG275" s="46"/>
      <c r="JH275" s="46"/>
      <c r="JI275" s="46"/>
      <c r="JJ275" s="46"/>
      <c r="JK275" s="46"/>
      <c r="JL275" s="46"/>
      <c r="JM275" s="46"/>
      <c r="JN275" s="46"/>
      <c r="JO275" s="46"/>
      <c r="JP275" s="46"/>
      <c r="JQ275" s="46"/>
      <c r="JR275" s="46"/>
      <c r="JS275" s="46"/>
      <c r="JT275" s="46"/>
      <c r="JU275" s="46"/>
      <c r="JV275" s="46"/>
      <c r="JW275" s="46"/>
      <c r="JX275" s="46"/>
      <c r="JY275" s="46"/>
      <c r="JZ275" s="46"/>
      <c r="KA275" s="46"/>
      <c r="KB275" s="46"/>
      <c r="KC275" s="46"/>
      <c r="KD275" s="46"/>
      <c r="KE275" s="46"/>
      <c r="KF275" s="46"/>
      <c r="KG275" s="46"/>
      <c r="KH275" s="46"/>
      <c r="KI275" s="46"/>
      <c r="KJ275" s="93">
        <f t="shared" si="87"/>
        <v>0</v>
      </c>
    </row>
    <row r="276" spans="1:296" ht="20.149999999999999" customHeight="1" x14ac:dyDescent="0.5">
      <c r="A276" s="11">
        <v>94</v>
      </c>
      <c r="B276" s="184"/>
      <c r="C276" s="144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>
        <f t="shared" si="88"/>
        <v>0</v>
      </c>
      <c r="S276" s="46">
        <f t="shared" si="89"/>
        <v>0</v>
      </c>
      <c r="T276" s="46">
        <f t="shared" si="90"/>
        <v>0</v>
      </c>
      <c r="U276" s="46">
        <f t="shared" si="91"/>
        <v>0</v>
      </c>
      <c r="V276" s="46">
        <f t="shared" si="92"/>
        <v>0</v>
      </c>
      <c r="W276" s="46">
        <f t="shared" si="93"/>
        <v>0</v>
      </c>
      <c r="X276" s="46">
        <f t="shared" si="94"/>
        <v>0</v>
      </c>
      <c r="Y276" s="46">
        <f t="shared" si="95"/>
        <v>0</v>
      </c>
      <c r="Z276" s="90">
        <f>SUM(D276:Y276)</f>
        <v>0</v>
      </c>
      <c r="AA276" s="95"/>
      <c r="AB276" s="95">
        <f>'LPLPO PROGRAM'!H107</f>
        <v>0</v>
      </c>
      <c r="AC276" s="91"/>
      <c r="AD276" s="91"/>
      <c r="AE276" s="91"/>
      <c r="AF276" s="91"/>
      <c r="AG276" s="92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93">
        <f t="shared" si="97"/>
        <v>0</v>
      </c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  <c r="CK276" s="46"/>
      <c r="CL276" s="46"/>
      <c r="CM276" s="46"/>
      <c r="CN276" s="46"/>
      <c r="CO276" s="46"/>
      <c r="CP276" s="46"/>
      <c r="CQ276" s="46"/>
      <c r="CR276" s="46"/>
      <c r="CS276" s="46"/>
      <c r="CT276" s="93">
        <f t="shared" si="83"/>
        <v>0</v>
      </c>
      <c r="CV276" s="46"/>
      <c r="CW276" s="46"/>
      <c r="CX276" s="46"/>
      <c r="CY276" s="46"/>
      <c r="CZ276" s="46"/>
      <c r="DA276" s="46"/>
      <c r="DB276" s="46"/>
      <c r="DC276" s="46"/>
      <c r="DD276" s="46"/>
      <c r="DE276" s="46"/>
      <c r="DF276" s="46"/>
      <c r="DG276" s="46"/>
      <c r="DH276" s="46"/>
      <c r="DI276" s="46"/>
      <c r="DJ276" s="46"/>
      <c r="DK276" s="46"/>
      <c r="DL276" s="46"/>
      <c r="DM276" s="46"/>
      <c r="DN276" s="46"/>
      <c r="DO276" s="46"/>
      <c r="DP276" s="46"/>
      <c r="DQ276" s="46"/>
      <c r="DR276" s="46"/>
      <c r="DS276" s="46"/>
      <c r="DT276" s="46"/>
      <c r="DU276" s="46"/>
      <c r="DV276" s="46"/>
      <c r="DW276" s="46"/>
      <c r="DX276" s="46"/>
      <c r="DY276" s="46"/>
      <c r="DZ276" s="46"/>
      <c r="EA276" s="93">
        <f t="shared" si="98"/>
        <v>0</v>
      </c>
      <c r="EC276" s="46"/>
      <c r="ED276" s="46"/>
      <c r="EE276" s="46"/>
      <c r="EF276" s="46"/>
      <c r="EG276" s="46"/>
      <c r="EH276" s="46"/>
      <c r="EI276" s="46"/>
      <c r="EJ276" s="46"/>
      <c r="EK276" s="46"/>
      <c r="EL276" s="46"/>
      <c r="EM276" s="46"/>
      <c r="EN276" s="46"/>
      <c r="EO276" s="46"/>
      <c r="EP276" s="46"/>
      <c r="EQ276" s="46"/>
      <c r="ER276" s="46"/>
      <c r="ES276" s="46"/>
      <c r="ET276" s="46"/>
      <c r="EU276" s="46"/>
      <c r="EV276" s="46"/>
      <c r="EW276" s="46"/>
      <c r="EX276" s="46"/>
      <c r="EY276" s="46"/>
      <c r="EZ276" s="46"/>
      <c r="FA276" s="46"/>
      <c r="FB276" s="46"/>
      <c r="FC276" s="46"/>
      <c r="FD276" s="46"/>
      <c r="FE276" s="46"/>
      <c r="FF276" s="46"/>
      <c r="FG276" s="46"/>
      <c r="FH276" s="93">
        <f t="shared" si="99"/>
        <v>0</v>
      </c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6"/>
      <c r="FU276" s="46"/>
      <c r="FV276" s="46"/>
      <c r="FW276" s="46"/>
      <c r="FX276" s="46"/>
      <c r="FY276" s="46"/>
      <c r="FZ276" s="46"/>
      <c r="GA276" s="46"/>
      <c r="GB276" s="46"/>
      <c r="GC276" s="46"/>
      <c r="GD276" s="46"/>
      <c r="GE276" s="46"/>
      <c r="GF276" s="46"/>
      <c r="GG276" s="46"/>
      <c r="GH276" s="46"/>
      <c r="GI276" s="46"/>
      <c r="GJ276" s="46"/>
      <c r="GK276" s="46"/>
      <c r="GL276" s="46"/>
      <c r="GM276" s="46"/>
      <c r="GN276" s="46"/>
      <c r="GO276" s="93">
        <f t="shared" si="84"/>
        <v>0</v>
      </c>
      <c r="GQ276" s="46"/>
      <c r="GR276" s="46"/>
      <c r="GS276" s="46"/>
      <c r="GT276" s="46"/>
      <c r="GU276" s="46"/>
      <c r="GV276" s="46"/>
      <c r="GW276" s="46"/>
      <c r="GX276" s="46"/>
      <c r="GY276" s="46"/>
      <c r="GZ276" s="46"/>
      <c r="HA276" s="46"/>
      <c r="HB276" s="46"/>
      <c r="HC276" s="46"/>
      <c r="HD276" s="46"/>
      <c r="HE276" s="46"/>
      <c r="HF276" s="46"/>
      <c r="HG276" s="46"/>
      <c r="HH276" s="46"/>
      <c r="HI276" s="46"/>
      <c r="HJ276" s="46"/>
      <c r="HK276" s="46"/>
      <c r="HL276" s="46"/>
      <c r="HM276" s="46"/>
      <c r="HN276" s="46"/>
      <c r="HO276" s="46"/>
      <c r="HP276" s="46"/>
      <c r="HQ276" s="46"/>
      <c r="HR276" s="46"/>
      <c r="HS276" s="46"/>
      <c r="HT276" s="46"/>
      <c r="HU276" s="46"/>
      <c r="HV276" s="93">
        <f t="shared" si="85"/>
        <v>0</v>
      </c>
      <c r="HX276" s="46"/>
      <c r="HY276" s="46"/>
      <c r="HZ276" s="46"/>
      <c r="IA276" s="46"/>
      <c r="IB276" s="46"/>
      <c r="IC276" s="46"/>
      <c r="ID276" s="46"/>
      <c r="IE276" s="46"/>
      <c r="IF276" s="46"/>
      <c r="IG276" s="46"/>
      <c r="IH276" s="46"/>
      <c r="II276" s="46"/>
      <c r="IJ276" s="46"/>
      <c r="IK276" s="46"/>
      <c r="IL276" s="46"/>
      <c r="IM276" s="46"/>
      <c r="IN276" s="46"/>
      <c r="IO276" s="46"/>
      <c r="IP276" s="46"/>
      <c r="IQ276" s="46"/>
      <c r="IR276" s="46"/>
      <c r="IS276" s="46"/>
      <c r="IT276" s="46"/>
      <c r="IU276" s="46"/>
      <c r="IV276" s="46"/>
      <c r="IW276" s="46"/>
      <c r="IX276" s="46"/>
      <c r="IY276" s="46"/>
      <c r="IZ276" s="46"/>
      <c r="JA276" s="46"/>
      <c r="JB276" s="46"/>
      <c r="JC276" s="93">
        <f t="shared" si="86"/>
        <v>0</v>
      </c>
      <c r="JE276" s="46"/>
      <c r="JF276" s="46"/>
      <c r="JG276" s="46"/>
      <c r="JH276" s="46"/>
      <c r="JI276" s="46"/>
      <c r="JJ276" s="46"/>
      <c r="JK276" s="46"/>
      <c r="JL276" s="46"/>
      <c r="JM276" s="46"/>
      <c r="JN276" s="46"/>
      <c r="JO276" s="46"/>
      <c r="JP276" s="46"/>
      <c r="JQ276" s="46"/>
      <c r="JR276" s="46"/>
      <c r="JS276" s="46"/>
      <c r="JT276" s="46"/>
      <c r="JU276" s="46"/>
      <c r="JV276" s="46"/>
      <c r="JW276" s="46"/>
      <c r="JX276" s="46"/>
      <c r="JY276" s="46"/>
      <c r="JZ276" s="46"/>
      <c r="KA276" s="46"/>
      <c r="KB276" s="46"/>
      <c r="KC276" s="46"/>
      <c r="KD276" s="46"/>
      <c r="KE276" s="46"/>
      <c r="KF276" s="46"/>
      <c r="KG276" s="46"/>
      <c r="KH276" s="46"/>
      <c r="KI276" s="46"/>
      <c r="KJ276" s="93">
        <f t="shared" si="87"/>
        <v>0</v>
      </c>
    </row>
    <row r="277" spans="1:296" ht="20.149999999999999" customHeight="1" x14ac:dyDescent="0.5">
      <c r="A277" s="11">
        <v>95</v>
      </c>
      <c r="B277" s="184"/>
      <c r="C277" s="144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>
        <f t="shared" si="88"/>
        <v>0</v>
      </c>
      <c r="S277" s="46">
        <f t="shared" si="89"/>
        <v>0</v>
      </c>
      <c r="T277" s="46">
        <f t="shared" si="90"/>
        <v>0</v>
      </c>
      <c r="U277" s="46">
        <f t="shared" si="91"/>
        <v>0</v>
      </c>
      <c r="V277" s="46">
        <f t="shared" si="92"/>
        <v>0</v>
      </c>
      <c r="W277" s="46">
        <f t="shared" si="93"/>
        <v>0</v>
      </c>
      <c r="X277" s="46">
        <f t="shared" si="94"/>
        <v>0</v>
      </c>
      <c r="Y277" s="46">
        <f t="shared" si="95"/>
        <v>0</v>
      </c>
      <c r="Z277" s="90">
        <f>SUM(D277:Y277)</f>
        <v>0</v>
      </c>
      <c r="AA277" s="95"/>
      <c r="AB277" s="95">
        <f>'LPLPO PROGRAM'!H108</f>
        <v>0</v>
      </c>
      <c r="AC277" s="91"/>
      <c r="AD277" s="91"/>
      <c r="AE277" s="91"/>
      <c r="AF277" s="91"/>
      <c r="AG277" s="92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93">
        <f t="shared" si="97"/>
        <v>0</v>
      </c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  <c r="CK277" s="46"/>
      <c r="CL277" s="46"/>
      <c r="CM277" s="46"/>
      <c r="CN277" s="46"/>
      <c r="CO277" s="46"/>
      <c r="CP277" s="46"/>
      <c r="CQ277" s="46"/>
      <c r="CR277" s="46"/>
      <c r="CS277" s="46"/>
      <c r="CT277" s="93">
        <f t="shared" si="83"/>
        <v>0</v>
      </c>
      <c r="CV277" s="46"/>
      <c r="CW277" s="46"/>
      <c r="CX277" s="46"/>
      <c r="CY277" s="46"/>
      <c r="CZ277" s="46"/>
      <c r="DA277" s="46"/>
      <c r="DB277" s="46"/>
      <c r="DC277" s="46"/>
      <c r="DD277" s="46"/>
      <c r="DE277" s="46"/>
      <c r="DF277" s="46"/>
      <c r="DG277" s="46"/>
      <c r="DH277" s="46"/>
      <c r="DI277" s="46"/>
      <c r="DJ277" s="46"/>
      <c r="DK277" s="46"/>
      <c r="DL277" s="46"/>
      <c r="DM277" s="46"/>
      <c r="DN277" s="46"/>
      <c r="DO277" s="46"/>
      <c r="DP277" s="46"/>
      <c r="DQ277" s="46"/>
      <c r="DR277" s="46"/>
      <c r="DS277" s="46"/>
      <c r="DT277" s="46"/>
      <c r="DU277" s="46"/>
      <c r="DV277" s="46"/>
      <c r="DW277" s="46"/>
      <c r="DX277" s="46"/>
      <c r="DY277" s="46"/>
      <c r="DZ277" s="46"/>
      <c r="EA277" s="93">
        <f t="shared" si="98"/>
        <v>0</v>
      </c>
      <c r="EC277" s="46"/>
      <c r="ED277" s="46"/>
      <c r="EE277" s="46"/>
      <c r="EF277" s="46"/>
      <c r="EG277" s="46"/>
      <c r="EH277" s="46"/>
      <c r="EI277" s="46"/>
      <c r="EJ277" s="46"/>
      <c r="EK277" s="46"/>
      <c r="EL277" s="46"/>
      <c r="EM277" s="46"/>
      <c r="EN277" s="46"/>
      <c r="EO277" s="46"/>
      <c r="EP277" s="46"/>
      <c r="EQ277" s="46"/>
      <c r="ER277" s="46"/>
      <c r="ES277" s="46"/>
      <c r="ET277" s="46"/>
      <c r="EU277" s="46"/>
      <c r="EV277" s="46"/>
      <c r="EW277" s="46"/>
      <c r="EX277" s="46"/>
      <c r="EY277" s="46"/>
      <c r="EZ277" s="46"/>
      <c r="FA277" s="46"/>
      <c r="FB277" s="46"/>
      <c r="FC277" s="46"/>
      <c r="FD277" s="46"/>
      <c r="FE277" s="46"/>
      <c r="FF277" s="46"/>
      <c r="FG277" s="46"/>
      <c r="FH277" s="93">
        <f t="shared" si="99"/>
        <v>0</v>
      </c>
      <c r="FJ277" s="46"/>
      <c r="FK277" s="46"/>
      <c r="FL277" s="46"/>
      <c r="FM277" s="46"/>
      <c r="FN277" s="46"/>
      <c r="FO277" s="46"/>
      <c r="FP277" s="46"/>
      <c r="FQ277" s="46"/>
      <c r="FR277" s="46"/>
      <c r="FS277" s="46"/>
      <c r="FT277" s="46"/>
      <c r="FU277" s="46"/>
      <c r="FV277" s="46"/>
      <c r="FW277" s="46"/>
      <c r="FX277" s="46"/>
      <c r="FY277" s="46"/>
      <c r="FZ277" s="46"/>
      <c r="GA277" s="46"/>
      <c r="GB277" s="46"/>
      <c r="GC277" s="46"/>
      <c r="GD277" s="46"/>
      <c r="GE277" s="46"/>
      <c r="GF277" s="46"/>
      <c r="GG277" s="46"/>
      <c r="GH277" s="46"/>
      <c r="GI277" s="46"/>
      <c r="GJ277" s="46"/>
      <c r="GK277" s="46"/>
      <c r="GL277" s="46"/>
      <c r="GM277" s="46"/>
      <c r="GN277" s="46"/>
      <c r="GO277" s="93">
        <f t="shared" si="84"/>
        <v>0</v>
      </c>
      <c r="GQ277" s="46"/>
      <c r="GR277" s="46"/>
      <c r="GS277" s="46"/>
      <c r="GT277" s="46"/>
      <c r="GU277" s="46"/>
      <c r="GV277" s="46"/>
      <c r="GW277" s="46"/>
      <c r="GX277" s="46"/>
      <c r="GY277" s="46"/>
      <c r="GZ277" s="46"/>
      <c r="HA277" s="46"/>
      <c r="HB277" s="46"/>
      <c r="HC277" s="46"/>
      <c r="HD277" s="46"/>
      <c r="HE277" s="46"/>
      <c r="HF277" s="46"/>
      <c r="HG277" s="46"/>
      <c r="HH277" s="46"/>
      <c r="HI277" s="46"/>
      <c r="HJ277" s="46"/>
      <c r="HK277" s="46"/>
      <c r="HL277" s="46"/>
      <c r="HM277" s="46"/>
      <c r="HN277" s="46"/>
      <c r="HO277" s="46"/>
      <c r="HP277" s="46"/>
      <c r="HQ277" s="46"/>
      <c r="HR277" s="46"/>
      <c r="HS277" s="46"/>
      <c r="HT277" s="46"/>
      <c r="HU277" s="46"/>
      <c r="HV277" s="93">
        <f t="shared" si="85"/>
        <v>0</v>
      </c>
      <c r="HX277" s="46"/>
      <c r="HY277" s="46"/>
      <c r="HZ277" s="46"/>
      <c r="IA277" s="46"/>
      <c r="IB277" s="46"/>
      <c r="IC277" s="46"/>
      <c r="ID277" s="46"/>
      <c r="IE277" s="46"/>
      <c r="IF277" s="46"/>
      <c r="IG277" s="46"/>
      <c r="IH277" s="46"/>
      <c r="II277" s="46"/>
      <c r="IJ277" s="46"/>
      <c r="IK277" s="46"/>
      <c r="IL277" s="46"/>
      <c r="IM277" s="46"/>
      <c r="IN277" s="46"/>
      <c r="IO277" s="46"/>
      <c r="IP277" s="46"/>
      <c r="IQ277" s="46"/>
      <c r="IR277" s="46"/>
      <c r="IS277" s="46"/>
      <c r="IT277" s="46"/>
      <c r="IU277" s="46"/>
      <c r="IV277" s="46"/>
      <c r="IW277" s="46"/>
      <c r="IX277" s="46"/>
      <c r="IY277" s="46"/>
      <c r="IZ277" s="46"/>
      <c r="JA277" s="46"/>
      <c r="JB277" s="46"/>
      <c r="JC277" s="93">
        <f t="shared" si="86"/>
        <v>0</v>
      </c>
      <c r="JE277" s="46"/>
      <c r="JF277" s="46"/>
      <c r="JG277" s="46"/>
      <c r="JH277" s="46"/>
      <c r="JI277" s="46"/>
      <c r="JJ277" s="46"/>
      <c r="JK277" s="46"/>
      <c r="JL277" s="46"/>
      <c r="JM277" s="46"/>
      <c r="JN277" s="46"/>
      <c r="JO277" s="46"/>
      <c r="JP277" s="46"/>
      <c r="JQ277" s="46"/>
      <c r="JR277" s="46"/>
      <c r="JS277" s="46"/>
      <c r="JT277" s="46"/>
      <c r="JU277" s="46"/>
      <c r="JV277" s="46"/>
      <c r="JW277" s="46"/>
      <c r="JX277" s="46"/>
      <c r="JY277" s="46"/>
      <c r="JZ277" s="46"/>
      <c r="KA277" s="46"/>
      <c r="KB277" s="46"/>
      <c r="KC277" s="46"/>
      <c r="KD277" s="46"/>
      <c r="KE277" s="46"/>
      <c r="KF277" s="46"/>
      <c r="KG277" s="46"/>
      <c r="KH277" s="46"/>
      <c r="KI277" s="46"/>
      <c r="KJ277" s="93">
        <f t="shared" si="87"/>
        <v>0</v>
      </c>
    </row>
    <row r="278" spans="1:296" ht="20.149999999999999" customHeight="1" x14ac:dyDescent="0.5">
      <c r="A278" s="11">
        <v>96</v>
      </c>
      <c r="B278" s="180"/>
      <c r="C278" s="144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>
        <f t="shared" si="88"/>
        <v>0</v>
      </c>
      <c r="S278" s="46">
        <f t="shared" si="89"/>
        <v>0</v>
      </c>
      <c r="T278" s="46">
        <f t="shared" si="90"/>
        <v>0</v>
      </c>
      <c r="U278" s="46">
        <f t="shared" si="91"/>
        <v>0</v>
      </c>
      <c r="V278" s="46">
        <f t="shared" si="92"/>
        <v>0</v>
      </c>
      <c r="W278" s="46">
        <f t="shared" si="93"/>
        <v>0</v>
      </c>
      <c r="X278" s="46">
        <f t="shared" si="94"/>
        <v>0</v>
      </c>
      <c r="Y278" s="46">
        <f t="shared" si="95"/>
        <v>0</v>
      </c>
      <c r="Z278" s="90">
        <f>SUM(D278:Y278)</f>
        <v>0</v>
      </c>
      <c r="AA278" s="95"/>
      <c r="AB278" s="95">
        <f>'LPLPO PROGRAM'!H109</f>
        <v>0</v>
      </c>
      <c r="AC278" s="91"/>
      <c r="AD278" s="91"/>
      <c r="AE278" s="91"/>
      <c r="AF278" s="91"/>
      <c r="AG278" s="92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93">
        <f t="shared" si="97"/>
        <v>0</v>
      </c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  <c r="CK278" s="46"/>
      <c r="CL278" s="46"/>
      <c r="CM278" s="46"/>
      <c r="CN278" s="46"/>
      <c r="CO278" s="46"/>
      <c r="CP278" s="46"/>
      <c r="CQ278" s="46"/>
      <c r="CR278" s="46"/>
      <c r="CS278" s="46"/>
      <c r="CT278" s="93">
        <f t="shared" si="83"/>
        <v>0</v>
      </c>
      <c r="CV278" s="46"/>
      <c r="CW278" s="46"/>
      <c r="CX278" s="46"/>
      <c r="CY278" s="46"/>
      <c r="CZ278" s="46"/>
      <c r="DA278" s="46"/>
      <c r="DB278" s="46"/>
      <c r="DC278" s="46"/>
      <c r="DD278" s="46"/>
      <c r="DE278" s="46"/>
      <c r="DF278" s="46"/>
      <c r="DG278" s="46"/>
      <c r="DH278" s="46"/>
      <c r="DI278" s="46"/>
      <c r="DJ278" s="46"/>
      <c r="DK278" s="46"/>
      <c r="DL278" s="46"/>
      <c r="DM278" s="46"/>
      <c r="DN278" s="46"/>
      <c r="DO278" s="46"/>
      <c r="DP278" s="46"/>
      <c r="DQ278" s="46"/>
      <c r="DR278" s="46"/>
      <c r="DS278" s="46"/>
      <c r="DT278" s="46"/>
      <c r="DU278" s="46"/>
      <c r="DV278" s="46"/>
      <c r="DW278" s="46"/>
      <c r="DX278" s="46"/>
      <c r="DY278" s="46"/>
      <c r="DZ278" s="46"/>
      <c r="EA278" s="93">
        <f t="shared" si="98"/>
        <v>0</v>
      </c>
      <c r="EC278" s="46"/>
      <c r="ED278" s="46"/>
      <c r="EE278" s="46"/>
      <c r="EF278" s="46"/>
      <c r="EG278" s="46"/>
      <c r="EH278" s="46"/>
      <c r="EI278" s="46"/>
      <c r="EJ278" s="46"/>
      <c r="EK278" s="46"/>
      <c r="EL278" s="46"/>
      <c r="EM278" s="46"/>
      <c r="EN278" s="46"/>
      <c r="EO278" s="46"/>
      <c r="EP278" s="46"/>
      <c r="EQ278" s="46"/>
      <c r="ER278" s="46"/>
      <c r="ES278" s="46"/>
      <c r="ET278" s="46"/>
      <c r="EU278" s="46"/>
      <c r="EV278" s="46"/>
      <c r="EW278" s="46"/>
      <c r="EX278" s="46"/>
      <c r="EY278" s="46"/>
      <c r="EZ278" s="46"/>
      <c r="FA278" s="46"/>
      <c r="FB278" s="46"/>
      <c r="FC278" s="46"/>
      <c r="FD278" s="46"/>
      <c r="FE278" s="46"/>
      <c r="FF278" s="46"/>
      <c r="FG278" s="46"/>
      <c r="FH278" s="93">
        <f t="shared" si="99"/>
        <v>0</v>
      </c>
      <c r="FJ278" s="46"/>
      <c r="FK278" s="46"/>
      <c r="FL278" s="46"/>
      <c r="FM278" s="46"/>
      <c r="FN278" s="46"/>
      <c r="FO278" s="46"/>
      <c r="FP278" s="46"/>
      <c r="FQ278" s="46"/>
      <c r="FR278" s="46"/>
      <c r="FS278" s="46"/>
      <c r="FT278" s="46"/>
      <c r="FU278" s="46"/>
      <c r="FV278" s="46"/>
      <c r="FW278" s="46"/>
      <c r="FX278" s="46"/>
      <c r="FY278" s="46"/>
      <c r="FZ278" s="46"/>
      <c r="GA278" s="46"/>
      <c r="GB278" s="46"/>
      <c r="GC278" s="46"/>
      <c r="GD278" s="46"/>
      <c r="GE278" s="46"/>
      <c r="GF278" s="46"/>
      <c r="GG278" s="46"/>
      <c r="GH278" s="46"/>
      <c r="GI278" s="46"/>
      <c r="GJ278" s="46"/>
      <c r="GK278" s="46"/>
      <c r="GL278" s="46"/>
      <c r="GM278" s="46"/>
      <c r="GN278" s="46"/>
      <c r="GO278" s="93">
        <f t="shared" si="84"/>
        <v>0</v>
      </c>
      <c r="GQ278" s="46"/>
      <c r="GR278" s="46"/>
      <c r="GS278" s="46"/>
      <c r="GT278" s="46"/>
      <c r="GU278" s="46"/>
      <c r="GV278" s="46"/>
      <c r="GW278" s="46"/>
      <c r="GX278" s="46"/>
      <c r="GY278" s="46"/>
      <c r="GZ278" s="46"/>
      <c r="HA278" s="46"/>
      <c r="HB278" s="46"/>
      <c r="HC278" s="46"/>
      <c r="HD278" s="46"/>
      <c r="HE278" s="46"/>
      <c r="HF278" s="46"/>
      <c r="HG278" s="46"/>
      <c r="HH278" s="46"/>
      <c r="HI278" s="46"/>
      <c r="HJ278" s="46"/>
      <c r="HK278" s="46"/>
      <c r="HL278" s="46"/>
      <c r="HM278" s="46"/>
      <c r="HN278" s="46"/>
      <c r="HO278" s="46"/>
      <c r="HP278" s="46"/>
      <c r="HQ278" s="46"/>
      <c r="HR278" s="46"/>
      <c r="HS278" s="46"/>
      <c r="HT278" s="46"/>
      <c r="HU278" s="46"/>
      <c r="HV278" s="93">
        <f t="shared" si="85"/>
        <v>0</v>
      </c>
      <c r="HX278" s="46"/>
      <c r="HY278" s="46"/>
      <c r="HZ278" s="46"/>
      <c r="IA278" s="46"/>
      <c r="IB278" s="46"/>
      <c r="IC278" s="46"/>
      <c r="ID278" s="46"/>
      <c r="IE278" s="46"/>
      <c r="IF278" s="46"/>
      <c r="IG278" s="46"/>
      <c r="IH278" s="46"/>
      <c r="II278" s="46"/>
      <c r="IJ278" s="46"/>
      <c r="IK278" s="46"/>
      <c r="IL278" s="46"/>
      <c r="IM278" s="46"/>
      <c r="IN278" s="46"/>
      <c r="IO278" s="46"/>
      <c r="IP278" s="46"/>
      <c r="IQ278" s="46"/>
      <c r="IR278" s="46"/>
      <c r="IS278" s="46"/>
      <c r="IT278" s="46"/>
      <c r="IU278" s="46"/>
      <c r="IV278" s="46"/>
      <c r="IW278" s="46"/>
      <c r="IX278" s="46"/>
      <c r="IY278" s="46"/>
      <c r="IZ278" s="46"/>
      <c r="JA278" s="46"/>
      <c r="JB278" s="46"/>
      <c r="JC278" s="93">
        <f t="shared" si="86"/>
        <v>0</v>
      </c>
      <c r="JE278" s="46"/>
      <c r="JF278" s="46"/>
      <c r="JG278" s="46"/>
      <c r="JH278" s="46"/>
      <c r="JI278" s="46"/>
      <c r="JJ278" s="46"/>
      <c r="JK278" s="46"/>
      <c r="JL278" s="46"/>
      <c r="JM278" s="46"/>
      <c r="JN278" s="46"/>
      <c r="JO278" s="46"/>
      <c r="JP278" s="46"/>
      <c r="JQ278" s="46"/>
      <c r="JR278" s="46"/>
      <c r="JS278" s="46"/>
      <c r="JT278" s="46"/>
      <c r="JU278" s="46"/>
      <c r="JV278" s="46"/>
      <c r="JW278" s="46"/>
      <c r="JX278" s="46"/>
      <c r="JY278" s="46"/>
      <c r="JZ278" s="46"/>
      <c r="KA278" s="46"/>
      <c r="KB278" s="46"/>
      <c r="KC278" s="46"/>
      <c r="KD278" s="46"/>
      <c r="KE278" s="46"/>
      <c r="KF278" s="46"/>
      <c r="KG278" s="46"/>
      <c r="KH278" s="46"/>
      <c r="KI278" s="46"/>
      <c r="KJ278" s="93">
        <f t="shared" si="87"/>
        <v>0</v>
      </c>
    </row>
    <row r="279" spans="1:296" ht="20.149999999999999" customHeight="1" x14ac:dyDescent="0.5">
      <c r="A279" s="187">
        <v>97</v>
      </c>
      <c r="B279" s="191" t="s">
        <v>210</v>
      </c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46">
        <f t="shared" si="88"/>
        <v>0</v>
      </c>
      <c r="S279" s="46">
        <f t="shared" si="89"/>
        <v>0</v>
      </c>
      <c r="T279" s="46">
        <f t="shared" si="90"/>
        <v>0</v>
      </c>
      <c r="U279" s="46">
        <f t="shared" si="91"/>
        <v>0</v>
      </c>
      <c r="V279" s="46">
        <f t="shared" si="92"/>
        <v>0</v>
      </c>
      <c r="W279" s="46">
        <f t="shared" si="93"/>
        <v>0</v>
      </c>
      <c r="X279" s="46">
        <f t="shared" si="94"/>
        <v>0</v>
      </c>
      <c r="Y279" s="46">
        <f t="shared" si="95"/>
        <v>0</v>
      </c>
      <c r="Z279" s="146"/>
      <c r="AA279" s="95"/>
      <c r="AB279" s="95">
        <f>'LPLPO PROGRAM'!H110</f>
        <v>0</v>
      </c>
      <c r="AC279" s="91"/>
      <c r="AD279" s="91"/>
      <c r="AE279" s="91"/>
      <c r="AF279" s="91"/>
      <c r="AG279" s="92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93">
        <f t="shared" si="97"/>
        <v>0</v>
      </c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  <c r="CK279" s="46"/>
      <c r="CL279" s="46"/>
      <c r="CM279" s="46"/>
      <c r="CN279" s="46"/>
      <c r="CO279" s="46"/>
      <c r="CP279" s="46"/>
      <c r="CQ279" s="46"/>
      <c r="CR279" s="46"/>
      <c r="CS279" s="46"/>
      <c r="CT279" s="93">
        <f t="shared" si="83"/>
        <v>0</v>
      </c>
      <c r="CV279" s="46"/>
      <c r="CW279" s="46"/>
      <c r="CX279" s="46"/>
      <c r="CY279" s="46"/>
      <c r="CZ279" s="46"/>
      <c r="DA279" s="46"/>
      <c r="DB279" s="46"/>
      <c r="DC279" s="46"/>
      <c r="DD279" s="46"/>
      <c r="DE279" s="46"/>
      <c r="DF279" s="46"/>
      <c r="DG279" s="46"/>
      <c r="DH279" s="46"/>
      <c r="DI279" s="46"/>
      <c r="DJ279" s="46"/>
      <c r="DK279" s="46"/>
      <c r="DL279" s="46"/>
      <c r="DM279" s="46"/>
      <c r="DN279" s="46"/>
      <c r="DO279" s="46"/>
      <c r="DP279" s="46"/>
      <c r="DQ279" s="46"/>
      <c r="DR279" s="46"/>
      <c r="DS279" s="46"/>
      <c r="DT279" s="46"/>
      <c r="DU279" s="46"/>
      <c r="DV279" s="46"/>
      <c r="DW279" s="46"/>
      <c r="DX279" s="46"/>
      <c r="DY279" s="46"/>
      <c r="DZ279" s="46"/>
      <c r="EA279" s="93">
        <f t="shared" si="98"/>
        <v>0</v>
      </c>
      <c r="EC279" s="46"/>
      <c r="ED279" s="46"/>
      <c r="EE279" s="46"/>
      <c r="EF279" s="46"/>
      <c r="EG279" s="46"/>
      <c r="EH279" s="46"/>
      <c r="EI279" s="46"/>
      <c r="EJ279" s="46"/>
      <c r="EK279" s="46"/>
      <c r="EL279" s="46"/>
      <c r="EM279" s="46"/>
      <c r="EN279" s="46"/>
      <c r="EO279" s="46"/>
      <c r="EP279" s="46"/>
      <c r="EQ279" s="46"/>
      <c r="ER279" s="46"/>
      <c r="ES279" s="46"/>
      <c r="ET279" s="46"/>
      <c r="EU279" s="46"/>
      <c r="EV279" s="46"/>
      <c r="EW279" s="46"/>
      <c r="EX279" s="46"/>
      <c r="EY279" s="46"/>
      <c r="EZ279" s="46"/>
      <c r="FA279" s="46"/>
      <c r="FB279" s="46"/>
      <c r="FC279" s="46"/>
      <c r="FD279" s="46"/>
      <c r="FE279" s="46"/>
      <c r="FF279" s="46"/>
      <c r="FG279" s="46"/>
      <c r="FH279" s="93">
        <f t="shared" si="99"/>
        <v>0</v>
      </c>
      <c r="FJ279" s="46"/>
      <c r="FK279" s="46"/>
      <c r="FL279" s="46"/>
      <c r="FM279" s="46"/>
      <c r="FN279" s="46"/>
      <c r="FO279" s="46"/>
      <c r="FP279" s="46"/>
      <c r="FQ279" s="46"/>
      <c r="FR279" s="46"/>
      <c r="FS279" s="46"/>
      <c r="FT279" s="46"/>
      <c r="FU279" s="46"/>
      <c r="FV279" s="46"/>
      <c r="FW279" s="46"/>
      <c r="FX279" s="46"/>
      <c r="FY279" s="46"/>
      <c r="FZ279" s="46"/>
      <c r="GA279" s="46"/>
      <c r="GB279" s="46"/>
      <c r="GC279" s="46"/>
      <c r="GD279" s="46"/>
      <c r="GE279" s="46"/>
      <c r="GF279" s="46"/>
      <c r="GG279" s="46"/>
      <c r="GH279" s="46"/>
      <c r="GI279" s="46"/>
      <c r="GJ279" s="46"/>
      <c r="GK279" s="46"/>
      <c r="GL279" s="46"/>
      <c r="GM279" s="46"/>
      <c r="GN279" s="46"/>
      <c r="GO279" s="93">
        <f t="shared" si="84"/>
        <v>0</v>
      </c>
      <c r="GQ279" s="46"/>
      <c r="GR279" s="46"/>
      <c r="GS279" s="46"/>
      <c r="GT279" s="46"/>
      <c r="GU279" s="46"/>
      <c r="GV279" s="46"/>
      <c r="GW279" s="46"/>
      <c r="GX279" s="46"/>
      <c r="GY279" s="46"/>
      <c r="GZ279" s="46"/>
      <c r="HA279" s="46"/>
      <c r="HB279" s="46"/>
      <c r="HC279" s="46"/>
      <c r="HD279" s="46"/>
      <c r="HE279" s="46"/>
      <c r="HF279" s="46"/>
      <c r="HG279" s="46"/>
      <c r="HH279" s="46"/>
      <c r="HI279" s="46"/>
      <c r="HJ279" s="46"/>
      <c r="HK279" s="46"/>
      <c r="HL279" s="46"/>
      <c r="HM279" s="46"/>
      <c r="HN279" s="46"/>
      <c r="HO279" s="46"/>
      <c r="HP279" s="46"/>
      <c r="HQ279" s="46"/>
      <c r="HR279" s="46"/>
      <c r="HS279" s="46"/>
      <c r="HT279" s="46"/>
      <c r="HU279" s="46"/>
      <c r="HV279" s="93">
        <f t="shared" si="85"/>
        <v>0</v>
      </c>
      <c r="HX279" s="46"/>
      <c r="HY279" s="46"/>
      <c r="HZ279" s="46"/>
      <c r="IA279" s="46"/>
      <c r="IB279" s="46"/>
      <c r="IC279" s="46"/>
      <c r="ID279" s="46"/>
      <c r="IE279" s="46"/>
      <c r="IF279" s="46"/>
      <c r="IG279" s="46"/>
      <c r="IH279" s="46"/>
      <c r="II279" s="46"/>
      <c r="IJ279" s="46"/>
      <c r="IK279" s="46"/>
      <c r="IL279" s="46"/>
      <c r="IM279" s="46"/>
      <c r="IN279" s="46"/>
      <c r="IO279" s="46"/>
      <c r="IP279" s="46"/>
      <c r="IQ279" s="46"/>
      <c r="IR279" s="46"/>
      <c r="IS279" s="46"/>
      <c r="IT279" s="46"/>
      <c r="IU279" s="46"/>
      <c r="IV279" s="46"/>
      <c r="IW279" s="46"/>
      <c r="IX279" s="46"/>
      <c r="IY279" s="46"/>
      <c r="IZ279" s="46"/>
      <c r="JA279" s="46"/>
      <c r="JB279" s="46"/>
      <c r="JC279" s="93">
        <f t="shared" si="86"/>
        <v>0</v>
      </c>
      <c r="JE279" s="46"/>
      <c r="JF279" s="46"/>
      <c r="JG279" s="46"/>
      <c r="JH279" s="46"/>
      <c r="JI279" s="46"/>
      <c r="JJ279" s="46"/>
      <c r="JK279" s="46"/>
      <c r="JL279" s="46"/>
      <c r="JM279" s="46"/>
      <c r="JN279" s="46"/>
      <c r="JO279" s="46"/>
      <c r="JP279" s="46"/>
      <c r="JQ279" s="46"/>
      <c r="JR279" s="46"/>
      <c r="JS279" s="46"/>
      <c r="JT279" s="46"/>
      <c r="JU279" s="46"/>
      <c r="JV279" s="46"/>
      <c r="JW279" s="46"/>
      <c r="JX279" s="46"/>
      <c r="JY279" s="46"/>
      <c r="JZ279" s="46"/>
      <c r="KA279" s="46"/>
      <c r="KB279" s="46"/>
      <c r="KC279" s="46"/>
      <c r="KD279" s="46"/>
      <c r="KE279" s="46"/>
      <c r="KF279" s="46"/>
      <c r="KG279" s="46"/>
      <c r="KH279" s="46"/>
      <c r="KI279" s="46"/>
      <c r="KJ279" s="93">
        <f t="shared" si="87"/>
        <v>0</v>
      </c>
    </row>
    <row r="280" spans="1:296" ht="20.149999999999999" customHeight="1" x14ac:dyDescent="0.5">
      <c r="A280" s="11">
        <v>98</v>
      </c>
      <c r="B280" s="180" t="s">
        <v>213</v>
      </c>
      <c r="C280" s="144" t="s">
        <v>212</v>
      </c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>
        <f t="shared" si="88"/>
        <v>0</v>
      </c>
      <c r="S280" s="46">
        <f t="shared" si="89"/>
        <v>0</v>
      </c>
      <c r="T280" s="46">
        <f t="shared" si="90"/>
        <v>0</v>
      </c>
      <c r="U280" s="46">
        <f t="shared" si="91"/>
        <v>0</v>
      </c>
      <c r="V280" s="46">
        <f t="shared" si="92"/>
        <v>0</v>
      </c>
      <c r="W280" s="46">
        <f t="shared" si="93"/>
        <v>0</v>
      </c>
      <c r="X280" s="46">
        <f t="shared" si="94"/>
        <v>0</v>
      </c>
      <c r="Y280" s="46">
        <f t="shared" si="95"/>
        <v>0</v>
      </c>
      <c r="Z280" s="90">
        <f t="shared" ref="Z280:Z286" si="100">SUM(D280:Y280)</f>
        <v>0</v>
      </c>
      <c r="AA280" s="95"/>
      <c r="AB280" s="95">
        <f>'LPLPO PROGRAM'!H111</f>
        <v>0</v>
      </c>
      <c r="AC280" s="91"/>
      <c r="AD280" s="91"/>
      <c r="AE280" s="91"/>
      <c r="AF280" s="91"/>
      <c r="AG280" s="92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93">
        <f t="shared" si="97"/>
        <v>0</v>
      </c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  <c r="CK280" s="46"/>
      <c r="CL280" s="46"/>
      <c r="CM280" s="46"/>
      <c r="CN280" s="46"/>
      <c r="CO280" s="46"/>
      <c r="CP280" s="46"/>
      <c r="CQ280" s="46"/>
      <c r="CR280" s="46"/>
      <c r="CS280" s="46"/>
      <c r="CT280" s="93">
        <f t="shared" si="83"/>
        <v>0</v>
      </c>
      <c r="CV280" s="46"/>
      <c r="CW280" s="46"/>
      <c r="CX280" s="46"/>
      <c r="CY280" s="46"/>
      <c r="CZ280" s="46"/>
      <c r="DA280" s="46"/>
      <c r="DB280" s="46"/>
      <c r="DC280" s="46"/>
      <c r="DD280" s="46"/>
      <c r="DE280" s="46"/>
      <c r="DF280" s="46"/>
      <c r="DG280" s="46"/>
      <c r="DH280" s="46"/>
      <c r="DI280" s="46"/>
      <c r="DJ280" s="46"/>
      <c r="DK280" s="46"/>
      <c r="DL280" s="46"/>
      <c r="DM280" s="46"/>
      <c r="DN280" s="46"/>
      <c r="DO280" s="46"/>
      <c r="DP280" s="46"/>
      <c r="DQ280" s="46"/>
      <c r="DR280" s="46"/>
      <c r="DS280" s="46"/>
      <c r="DT280" s="46"/>
      <c r="DU280" s="46"/>
      <c r="DV280" s="46"/>
      <c r="DW280" s="46"/>
      <c r="DX280" s="46"/>
      <c r="DY280" s="46"/>
      <c r="DZ280" s="46"/>
      <c r="EA280" s="93">
        <f t="shared" si="98"/>
        <v>0</v>
      </c>
      <c r="EC280" s="46"/>
      <c r="ED280" s="46"/>
      <c r="EE280" s="46"/>
      <c r="EF280" s="46"/>
      <c r="EG280" s="46"/>
      <c r="EH280" s="46"/>
      <c r="EI280" s="46"/>
      <c r="EJ280" s="46"/>
      <c r="EK280" s="46"/>
      <c r="EL280" s="46"/>
      <c r="EM280" s="46"/>
      <c r="EN280" s="46"/>
      <c r="EO280" s="46"/>
      <c r="EP280" s="46"/>
      <c r="EQ280" s="46"/>
      <c r="ER280" s="46"/>
      <c r="ES280" s="46"/>
      <c r="ET280" s="46"/>
      <c r="EU280" s="46"/>
      <c r="EV280" s="46"/>
      <c r="EW280" s="46"/>
      <c r="EX280" s="46"/>
      <c r="EY280" s="46"/>
      <c r="EZ280" s="46"/>
      <c r="FA280" s="46"/>
      <c r="FB280" s="46"/>
      <c r="FC280" s="46"/>
      <c r="FD280" s="46"/>
      <c r="FE280" s="46"/>
      <c r="FF280" s="46"/>
      <c r="FG280" s="46"/>
      <c r="FH280" s="93">
        <f t="shared" si="99"/>
        <v>0</v>
      </c>
      <c r="FJ280" s="46"/>
      <c r="FK280" s="46"/>
      <c r="FL280" s="46"/>
      <c r="FM280" s="46"/>
      <c r="FN280" s="46"/>
      <c r="FO280" s="46"/>
      <c r="FP280" s="46"/>
      <c r="FQ280" s="46"/>
      <c r="FR280" s="46"/>
      <c r="FS280" s="46"/>
      <c r="FT280" s="46"/>
      <c r="FU280" s="46"/>
      <c r="FV280" s="46"/>
      <c r="FW280" s="46"/>
      <c r="FX280" s="46"/>
      <c r="FY280" s="46"/>
      <c r="FZ280" s="46"/>
      <c r="GA280" s="46"/>
      <c r="GB280" s="46"/>
      <c r="GC280" s="46"/>
      <c r="GD280" s="46"/>
      <c r="GE280" s="46"/>
      <c r="GF280" s="46"/>
      <c r="GG280" s="46"/>
      <c r="GH280" s="46"/>
      <c r="GI280" s="46"/>
      <c r="GJ280" s="46"/>
      <c r="GK280" s="46"/>
      <c r="GL280" s="46"/>
      <c r="GM280" s="46"/>
      <c r="GN280" s="46"/>
      <c r="GO280" s="93">
        <f t="shared" si="84"/>
        <v>0</v>
      </c>
      <c r="GQ280" s="46"/>
      <c r="GR280" s="46"/>
      <c r="GS280" s="46"/>
      <c r="GT280" s="46"/>
      <c r="GU280" s="46"/>
      <c r="GV280" s="46"/>
      <c r="GW280" s="46"/>
      <c r="GX280" s="46"/>
      <c r="GY280" s="46"/>
      <c r="GZ280" s="46"/>
      <c r="HA280" s="46"/>
      <c r="HB280" s="46"/>
      <c r="HC280" s="46"/>
      <c r="HD280" s="46"/>
      <c r="HE280" s="46"/>
      <c r="HF280" s="46"/>
      <c r="HG280" s="46"/>
      <c r="HH280" s="46"/>
      <c r="HI280" s="46"/>
      <c r="HJ280" s="46"/>
      <c r="HK280" s="46"/>
      <c r="HL280" s="46"/>
      <c r="HM280" s="46"/>
      <c r="HN280" s="46"/>
      <c r="HO280" s="46"/>
      <c r="HP280" s="46"/>
      <c r="HQ280" s="46"/>
      <c r="HR280" s="46"/>
      <c r="HS280" s="46"/>
      <c r="HT280" s="46"/>
      <c r="HU280" s="46"/>
      <c r="HV280" s="93">
        <f t="shared" si="85"/>
        <v>0</v>
      </c>
      <c r="HX280" s="46"/>
      <c r="HY280" s="46"/>
      <c r="HZ280" s="46"/>
      <c r="IA280" s="46"/>
      <c r="IB280" s="46"/>
      <c r="IC280" s="46"/>
      <c r="ID280" s="46"/>
      <c r="IE280" s="46"/>
      <c r="IF280" s="46"/>
      <c r="IG280" s="46"/>
      <c r="IH280" s="46"/>
      <c r="II280" s="46"/>
      <c r="IJ280" s="46"/>
      <c r="IK280" s="46"/>
      <c r="IL280" s="46"/>
      <c r="IM280" s="46"/>
      <c r="IN280" s="46"/>
      <c r="IO280" s="46"/>
      <c r="IP280" s="46"/>
      <c r="IQ280" s="46"/>
      <c r="IR280" s="46"/>
      <c r="IS280" s="46"/>
      <c r="IT280" s="46"/>
      <c r="IU280" s="46"/>
      <c r="IV280" s="46"/>
      <c r="IW280" s="46"/>
      <c r="IX280" s="46"/>
      <c r="IY280" s="46"/>
      <c r="IZ280" s="46"/>
      <c r="JA280" s="46"/>
      <c r="JB280" s="46"/>
      <c r="JC280" s="93">
        <f t="shared" si="86"/>
        <v>0</v>
      </c>
      <c r="JE280" s="46"/>
      <c r="JF280" s="46"/>
      <c r="JG280" s="46"/>
      <c r="JH280" s="46"/>
      <c r="JI280" s="46"/>
      <c r="JJ280" s="46"/>
      <c r="JK280" s="46"/>
      <c r="JL280" s="46"/>
      <c r="JM280" s="46"/>
      <c r="JN280" s="46"/>
      <c r="JO280" s="46"/>
      <c r="JP280" s="46"/>
      <c r="JQ280" s="46"/>
      <c r="JR280" s="46"/>
      <c r="JS280" s="46"/>
      <c r="JT280" s="46"/>
      <c r="JU280" s="46"/>
      <c r="JV280" s="46"/>
      <c r="JW280" s="46"/>
      <c r="JX280" s="46"/>
      <c r="JY280" s="46"/>
      <c r="JZ280" s="46"/>
      <c r="KA280" s="46"/>
      <c r="KB280" s="46"/>
      <c r="KC280" s="46"/>
      <c r="KD280" s="46"/>
      <c r="KE280" s="46"/>
      <c r="KF280" s="46"/>
      <c r="KG280" s="46"/>
      <c r="KH280" s="46"/>
      <c r="KI280" s="46"/>
      <c r="KJ280" s="93">
        <f t="shared" si="87"/>
        <v>0</v>
      </c>
    </row>
    <row r="281" spans="1:296" ht="20.149999999999999" customHeight="1" x14ac:dyDescent="0.5">
      <c r="A281" s="11">
        <v>99</v>
      </c>
      <c r="B281" s="184" t="s">
        <v>211</v>
      </c>
      <c r="C281" s="144" t="s">
        <v>212</v>
      </c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>
        <f t="shared" si="88"/>
        <v>0</v>
      </c>
      <c r="S281" s="46">
        <f t="shared" si="89"/>
        <v>0</v>
      </c>
      <c r="T281" s="46">
        <f t="shared" si="90"/>
        <v>0</v>
      </c>
      <c r="U281" s="46">
        <f t="shared" si="91"/>
        <v>0</v>
      </c>
      <c r="V281" s="46">
        <f t="shared" si="92"/>
        <v>0</v>
      </c>
      <c r="W281" s="46">
        <f t="shared" si="93"/>
        <v>0</v>
      </c>
      <c r="X281" s="46">
        <f t="shared" si="94"/>
        <v>0</v>
      </c>
      <c r="Y281" s="46">
        <f t="shared" si="95"/>
        <v>0</v>
      </c>
      <c r="Z281" s="90">
        <f t="shared" si="100"/>
        <v>0</v>
      </c>
      <c r="AA281" s="95"/>
      <c r="AB281" s="95">
        <f>'LPLPO PROGRAM'!H112</f>
        <v>0</v>
      </c>
      <c r="AC281" s="91"/>
      <c r="AD281" s="91"/>
      <c r="AE281" s="91"/>
      <c r="AF281" s="91"/>
      <c r="AG281" s="92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93">
        <f t="shared" si="97"/>
        <v>0</v>
      </c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  <c r="CK281" s="46"/>
      <c r="CL281" s="46"/>
      <c r="CM281" s="46"/>
      <c r="CN281" s="46"/>
      <c r="CO281" s="46"/>
      <c r="CP281" s="46"/>
      <c r="CQ281" s="46"/>
      <c r="CR281" s="46"/>
      <c r="CS281" s="46"/>
      <c r="CT281" s="93">
        <f t="shared" si="83"/>
        <v>0</v>
      </c>
      <c r="CV281" s="46"/>
      <c r="CW281" s="46"/>
      <c r="CX281" s="46"/>
      <c r="CY281" s="46"/>
      <c r="CZ281" s="46"/>
      <c r="DA281" s="46"/>
      <c r="DB281" s="46"/>
      <c r="DC281" s="46"/>
      <c r="DD281" s="46"/>
      <c r="DE281" s="46"/>
      <c r="DF281" s="46"/>
      <c r="DG281" s="46"/>
      <c r="DH281" s="46"/>
      <c r="DI281" s="46"/>
      <c r="DJ281" s="46"/>
      <c r="DK281" s="46"/>
      <c r="DL281" s="46"/>
      <c r="DM281" s="46"/>
      <c r="DN281" s="46"/>
      <c r="DO281" s="46"/>
      <c r="DP281" s="46"/>
      <c r="DQ281" s="46"/>
      <c r="DR281" s="46"/>
      <c r="DS281" s="46"/>
      <c r="DT281" s="46"/>
      <c r="DU281" s="46"/>
      <c r="DV281" s="46"/>
      <c r="DW281" s="46"/>
      <c r="DX281" s="46"/>
      <c r="DY281" s="46"/>
      <c r="DZ281" s="46"/>
      <c r="EA281" s="93">
        <f t="shared" si="98"/>
        <v>0</v>
      </c>
      <c r="EC281" s="46"/>
      <c r="ED281" s="46"/>
      <c r="EE281" s="46"/>
      <c r="EF281" s="46"/>
      <c r="EG281" s="46"/>
      <c r="EH281" s="46"/>
      <c r="EI281" s="46"/>
      <c r="EJ281" s="46"/>
      <c r="EK281" s="46"/>
      <c r="EL281" s="46"/>
      <c r="EM281" s="46"/>
      <c r="EN281" s="46"/>
      <c r="EO281" s="46"/>
      <c r="EP281" s="46"/>
      <c r="EQ281" s="46"/>
      <c r="ER281" s="46"/>
      <c r="ES281" s="46"/>
      <c r="ET281" s="46"/>
      <c r="EU281" s="46"/>
      <c r="EV281" s="46"/>
      <c r="EW281" s="46"/>
      <c r="EX281" s="46"/>
      <c r="EY281" s="46"/>
      <c r="EZ281" s="46"/>
      <c r="FA281" s="46"/>
      <c r="FB281" s="46"/>
      <c r="FC281" s="46"/>
      <c r="FD281" s="46"/>
      <c r="FE281" s="46"/>
      <c r="FF281" s="46"/>
      <c r="FG281" s="46"/>
      <c r="FH281" s="93">
        <f t="shared" si="99"/>
        <v>0</v>
      </c>
      <c r="FJ281" s="46"/>
      <c r="FK281" s="46"/>
      <c r="FL281" s="46"/>
      <c r="FM281" s="46"/>
      <c r="FN281" s="46"/>
      <c r="FO281" s="46"/>
      <c r="FP281" s="46"/>
      <c r="FQ281" s="46"/>
      <c r="FR281" s="46"/>
      <c r="FS281" s="46"/>
      <c r="FT281" s="46"/>
      <c r="FU281" s="46"/>
      <c r="FV281" s="46"/>
      <c r="FW281" s="46"/>
      <c r="FX281" s="46"/>
      <c r="FY281" s="46"/>
      <c r="FZ281" s="46"/>
      <c r="GA281" s="46"/>
      <c r="GB281" s="46"/>
      <c r="GC281" s="46"/>
      <c r="GD281" s="46"/>
      <c r="GE281" s="46"/>
      <c r="GF281" s="46"/>
      <c r="GG281" s="46"/>
      <c r="GH281" s="46"/>
      <c r="GI281" s="46"/>
      <c r="GJ281" s="46"/>
      <c r="GK281" s="46"/>
      <c r="GL281" s="46"/>
      <c r="GM281" s="46"/>
      <c r="GN281" s="46"/>
      <c r="GO281" s="93">
        <f t="shared" si="84"/>
        <v>0</v>
      </c>
      <c r="GQ281" s="46"/>
      <c r="GR281" s="46"/>
      <c r="GS281" s="46"/>
      <c r="GT281" s="46"/>
      <c r="GU281" s="46"/>
      <c r="GV281" s="46"/>
      <c r="GW281" s="46"/>
      <c r="GX281" s="46"/>
      <c r="GY281" s="46"/>
      <c r="GZ281" s="46"/>
      <c r="HA281" s="46"/>
      <c r="HB281" s="46"/>
      <c r="HC281" s="46"/>
      <c r="HD281" s="46"/>
      <c r="HE281" s="46"/>
      <c r="HF281" s="46"/>
      <c r="HG281" s="46"/>
      <c r="HH281" s="46"/>
      <c r="HI281" s="46"/>
      <c r="HJ281" s="46"/>
      <c r="HK281" s="46"/>
      <c r="HL281" s="46"/>
      <c r="HM281" s="46"/>
      <c r="HN281" s="46"/>
      <c r="HO281" s="46"/>
      <c r="HP281" s="46"/>
      <c r="HQ281" s="46"/>
      <c r="HR281" s="46"/>
      <c r="HS281" s="46"/>
      <c r="HT281" s="46"/>
      <c r="HU281" s="46"/>
      <c r="HV281" s="93">
        <f t="shared" si="85"/>
        <v>0</v>
      </c>
      <c r="HX281" s="46"/>
      <c r="HY281" s="46"/>
      <c r="HZ281" s="46"/>
      <c r="IA281" s="46"/>
      <c r="IB281" s="46"/>
      <c r="IC281" s="46"/>
      <c r="ID281" s="46"/>
      <c r="IE281" s="46"/>
      <c r="IF281" s="46"/>
      <c r="IG281" s="46"/>
      <c r="IH281" s="46"/>
      <c r="II281" s="46"/>
      <c r="IJ281" s="46"/>
      <c r="IK281" s="46"/>
      <c r="IL281" s="46"/>
      <c r="IM281" s="46"/>
      <c r="IN281" s="46"/>
      <c r="IO281" s="46"/>
      <c r="IP281" s="46"/>
      <c r="IQ281" s="46"/>
      <c r="IR281" s="46"/>
      <c r="IS281" s="46"/>
      <c r="IT281" s="46"/>
      <c r="IU281" s="46"/>
      <c r="IV281" s="46"/>
      <c r="IW281" s="46"/>
      <c r="IX281" s="46"/>
      <c r="IY281" s="46"/>
      <c r="IZ281" s="46"/>
      <c r="JA281" s="46"/>
      <c r="JB281" s="46"/>
      <c r="JC281" s="93">
        <f t="shared" si="86"/>
        <v>0</v>
      </c>
      <c r="JE281" s="46"/>
      <c r="JF281" s="46"/>
      <c r="JG281" s="46"/>
      <c r="JH281" s="46"/>
      <c r="JI281" s="46"/>
      <c r="JJ281" s="46"/>
      <c r="JK281" s="46"/>
      <c r="JL281" s="46"/>
      <c r="JM281" s="46"/>
      <c r="JN281" s="46"/>
      <c r="JO281" s="46"/>
      <c r="JP281" s="46"/>
      <c r="JQ281" s="46"/>
      <c r="JR281" s="46"/>
      <c r="JS281" s="46"/>
      <c r="JT281" s="46"/>
      <c r="JU281" s="46"/>
      <c r="JV281" s="46"/>
      <c r="JW281" s="46"/>
      <c r="JX281" s="46"/>
      <c r="JY281" s="46"/>
      <c r="JZ281" s="46"/>
      <c r="KA281" s="46"/>
      <c r="KB281" s="46"/>
      <c r="KC281" s="46"/>
      <c r="KD281" s="46"/>
      <c r="KE281" s="46"/>
      <c r="KF281" s="46"/>
      <c r="KG281" s="46"/>
      <c r="KH281" s="46"/>
      <c r="KI281" s="46"/>
      <c r="KJ281" s="93">
        <f t="shared" si="87"/>
        <v>0</v>
      </c>
    </row>
    <row r="282" spans="1:296" ht="20.149999999999999" customHeight="1" x14ac:dyDescent="0.5">
      <c r="A282" s="11">
        <v>100</v>
      </c>
      <c r="B282" s="180" t="s">
        <v>214</v>
      </c>
      <c r="C282" s="144" t="s">
        <v>212</v>
      </c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>
        <f t="shared" si="88"/>
        <v>0</v>
      </c>
      <c r="S282" s="46">
        <f t="shared" si="89"/>
        <v>0</v>
      </c>
      <c r="T282" s="46">
        <f t="shared" si="90"/>
        <v>0</v>
      </c>
      <c r="U282" s="46">
        <f t="shared" si="91"/>
        <v>0</v>
      </c>
      <c r="V282" s="46">
        <f t="shared" si="92"/>
        <v>0</v>
      </c>
      <c r="W282" s="46">
        <f t="shared" si="93"/>
        <v>0</v>
      </c>
      <c r="X282" s="46">
        <f t="shared" si="94"/>
        <v>0</v>
      </c>
      <c r="Y282" s="46">
        <f t="shared" si="95"/>
        <v>0</v>
      </c>
      <c r="Z282" s="90">
        <f t="shared" si="100"/>
        <v>0</v>
      </c>
      <c r="AA282" s="95"/>
      <c r="AB282" s="95">
        <f>'LPLPO PROGRAM'!H113</f>
        <v>0</v>
      </c>
      <c r="AC282" s="91"/>
      <c r="AD282" s="91"/>
      <c r="AE282" s="91"/>
      <c r="AF282" s="91"/>
      <c r="AG282" s="92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93">
        <f t="shared" si="97"/>
        <v>0</v>
      </c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  <c r="CK282" s="46"/>
      <c r="CL282" s="46"/>
      <c r="CM282" s="46"/>
      <c r="CN282" s="46"/>
      <c r="CO282" s="46"/>
      <c r="CP282" s="46"/>
      <c r="CQ282" s="46"/>
      <c r="CR282" s="46"/>
      <c r="CS282" s="46"/>
      <c r="CT282" s="93">
        <f t="shared" si="83"/>
        <v>0</v>
      </c>
      <c r="CV282" s="46"/>
      <c r="CW282" s="46"/>
      <c r="CX282" s="46"/>
      <c r="CY282" s="46"/>
      <c r="CZ282" s="46"/>
      <c r="DA282" s="46"/>
      <c r="DB282" s="46"/>
      <c r="DC282" s="46"/>
      <c r="DD282" s="46"/>
      <c r="DE282" s="46"/>
      <c r="DF282" s="46"/>
      <c r="DG282" s="46"/>
      <c r="DH282" s="46"/>
      <c r="DI282" s="46"/>
      <c r="DJ282" s="46"/>
      <c r="DK282" s="46"/>
      <c r="DL282" s="46"/>
      <c r="DM282" s="46"/>
      <c r="DN282" s="46"/>
      <c r="DO282" s="46"/>
      <c r="DP282" s="46"/>
      <c r="DQ282" s="46"/>
      <c r="DR282" s="46"/>
      <c r="DS282" s="46"/>
      <c r="DT282" s="46"/>
      <c r="DU282" s="46"/>
      <c r="DV282" s="46"/>
      <c r="DW282" s="46"/>
      <c r="DX282" s="46"/>
      <c r="DY282" s="46"/>
      <c r="DZ282" s="46"/>
      <c r="EA282" s="93">
        <f t="shared" si="98"/>
        <v>0</v>
      </c>
      <c r="EC282" s="46"/>
      <c r="ED282" s="46"/>
      <c r="EE282" s="46"/>
      <c r="EF282" s="46"/>
      <c r="EG282" s="46"/>
      <c r="EH282" s="46"/>
      <c r="EI282" s="46"/>
      <c r="EJ282" s="46"/>
      <c r="EK282" s="46"/>
      <c r="EL282" s="46"/>
      <c r="EM282" s="46"/>
      <c r="EN282" s="46"/>
      <c r="EO282" s="46"/>
      <c r="EP282" s="46"/>
      <c r="EQ282" s="46"/>
      <c r="ER282" s="46"/>
      <c r="ES282" s="46"/>
      <c r="ET282" s="46"/>
      <c r="EU282" s="46"/>
      <c r="EV282" s="46"/>
      <c r="EW282" s="46"/>
      <c r="EX282" s="46"/>
      <c r="EY282" s="46"/>
      <c r="EZ282" s="46"/>
      <c r="FA282" s="46"/>
      <c r="FB282" s="46"/>
      <c r="FC282" s="46"/>
      <c r="FD282" s="46"/>
      <c r="FE282" s="46"/>
      <c r="FF282" s="46"/>
      <c r="FG282" s="46"/>
      <c r="FH282" s="93">
        <f t="shared" si="99"/>
        <v>0</v>
      </c>
      <c r="FJ282" s="46"/>
      <c r="FK282" s="46"/>
      <c r="FL282" s="46"/>
      <c r="FM282" s="46"/>
      <c r="FN282" s="46"/>
      <c r="FO282" s="46"/>
      <c r="FP282" s="46"/>
      <c r="FQ282" s="46"/>
      <c r="FR282" s="46"/>
      <c r="FS282" s="46"/>
      <c r="FT282" s="46"/>
      <c r="FU282" s="46"/>
      <c r="FV282" s="46"/>
      <c r="FW282" s="46"/>
      <c r="FX282" s="46"/>
      <c r="FY282" s="46"/>
      <c r="FZ282" s="46"/>
      <c r="GA282" s="46"/>
      <c r="GB282" s="46"/>
      <c r="GC282" s="46"/>
      <c r="GD282" s="46"/>
      <c r="GE282" s="46"/>
      <c r="GF282" s="46"/>
      <c r="GG282" s="46"/>
      <c r="GH282" s="46"/>
      <c r="GI282" s="46"/>
      <c r="GJ282" s="46"/>
      <c r="GK282" s="46"/>
      <c r="GL282" s="46"/>
      <c r="GM282" s="46"/>
      <c r="GN282" s="46"/>
      <c r="GO282" s="93">
        <f t="shared" si="84"/>
        <v>0</v>
      </c>
      <c r="GQ282" s="46"/>
      <c r="GR282" s="46"/>
      <c r="GS282" s="46"/>
      <c r="GT282" s="46"/>
      <c r="GU282" s="46"/>
      <c r="GV282" s="46"/>
      <c r="GW282" s="46"/>
      <c r="GX282" s="46"/>
      <c r="GY282" s="46"/>
      <c r="GZ282" s="46"/>
      <c r="HA282" s="46"/>
      <c r="HB282" s="46"/>
      <c r="HC282" s="46"/>
      <c r="HD282" s="46"/>
      <c r="HE282" s="46"/>
      <c r="HF282" s="46"/>
      <c r="HG282" s="46"/>
      <c r="HH282" s="46"/>
      <c r="HI282" s="46"/>
      <c r="HJ282" s="46"/>
      <c r="HK282" s="46"/>
      <c r="HL282" s="46"/>
      <c r="HM282" s="46"/>
      <c r="HN282" s="46"/>
      <c r="HO282" s="46"/>
      <c r="HP282" s="46"/>
      <c r="HQ282" s="46"/>
      <c r="HR282" s="46"/>
      <c r="HS282" s="46"/>
      <c r="HT282" s="46"/>
      <c r="HU282" s="46"/>
      <c r="HV282" s="93">
        <f t="shared" si="85"/>
        <v>0</v>
      </c>
      <c r="HX282" s="46"/>
      <c r="HY282" s="46"/>
      <c r="HZ282" s="46"/>
      <c r="IA282" s="46"/>
      <c r="IB282" s="46"/>
      <c r="IC282" s="46"/>
      <c r="ID282" s="46"/>
      <c r="IE282" s="46"/>
      <c r="IF282" s="46"/>
      <c r="IG282" s="46"/>
      <c r="IH282" s="46"/>
      <c r="II282" s="46"/>
      <c r="IJ282" s="46"/>
      <c r="IK282" s="46"/>
      <c r="IL282" s="46"/>
      <c r="IM282" s="46"/>
      <c r="IN282" s="46"/>
      <c r="IO282" s="46"/>
      <c r="IP282" s="46"/>
      <c r="IQ282" s="46"/>
      <c r="IR282" s="46"/>
      <c r="IS282" s="46"/>
      <c r="IT282" s="46"/>
      <c r="IU282" s="46"/>
      <c r="IV282" s="46"/>
      <c r="IW282" s="46"/>
      <c r="IX282" s="46"/>
      <c r="IY282" s="46"/>
      <c r="IZ282" s="46"/>
      <c r="JA282" s="46"/>
      <c r="JB282" s="46"/>
      <c r="JC282" s="93">
        <f t="shared" si="86"/>
        <v>0</v>
      </c>
      <c r="JE282" s="46"/>
      <c r="JF282" s="46"/>
      <c r="JG282" s="46"/>
      <c r="JH282" s="46"/>
      <c r="JI282" s="46"/>
      <c r="JJ282" s="46"/>
      <c r="JK282" s="46"/>
      <c r="JL282" s="46"/>
      <c r="JM282" s="46"/>
      <c r="JN282" s="46"/>
      <c r="JO282" s="46"/>
      <c r="JP282" s="46"/>
      <c r="JQ282" s="46"/>
      <c r="JR282" s="46"/>
      <c r="JS282" s="46"/>
      <c r="JT282" s="46"/>
      <c r="JU282" s="46"/>
      <c r="JV282" s="46"/>
      <c r="JW282" s="46"/>
      <c r="JX282" s="46"/>
      <c r="JY282" s="46"/>
      <c r="JZ282" s="46"/>
      <c r="KA282" s="46"/>
      <c r="KB282" s="46"/>
      <c r="KC282" s="46"/>
      <c r="KD282" s="46"/>
      <c r="KE282" s="46"/>
      <c r="KF282" s="46"/>
      <c r="KG282" s="46"/>
      <c r="KH282" s="46"/>
      <c r="KI282" s="46"/>
      <c r="KJ282" s="93">
        <f t="shared" si="87"/>
        <v>0</v>
      </c>
    </row>
    <row r="283" spans="1:296" ht="20.149999999999999" customHeight="1" x14ac:dyDescent="0.5">
      <c r="A283" s="11">
        <v>101</v>
      </c>
      <c r="B283" s="180" t="s">
        <v>215</v>
      </c>
      <c r="C283" s="144" t="s">
        <v>212</v>
      </c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>
        <f t="shared" si="88"/>
        <v>0</v>
      </c>
      <c r="S283" s="46">
        <f t="shared" si="89"/>
        <v>0</v>
      </c>
      <c r="T283" s="46">
        <f t="shared" si="90"/>
        <v>0</v>
      </c>
      <c r="U283" s="46">
        <f t="shared" si="91"/>
        <v>0</v>
      </c>
      <c r="V283" s="46">
        <f t="shared" si="92"/>
        <v>0</v>
      </c>
      <c r="W283" s="46">
        <f t="shared" si="93"/>
        <v>0</v>
      </c>
      <c r="X283" s="46">
        <f t="shared" si="94"/>
        <v>0</v>
      </c>
      <c r="Y283" s="46">
        <f t="shared" si="95"/>
        <v>0</v>
      </c>
      <c r="Z283" s="90">
        <f t="shared" si="100"/>
        <v>0</v>
      </c>
      <c r="AA283" s="95"/>
      <c r="AB283" s="95">
        <f>'LPLPO PROGRAM'!H114</f>
        <v>0</v>
      </c>
      <c r="AC283" s="91" t="s">
        <v>420</v>
      </c>
      <c r="AD283" s="91"/>
      <c r="AE283" s="91"/>
      <c r="AF283" s="91"/>
      <c r="AG283" s="92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93">
        <f t="shared" si="97"/>
        <v>0</v>
      </c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  <c r="CK283" s="46"/>
      <c r="CL283" s="46"/>
      <c r="CM283" s="46"/>
      <c r="CN283" s="46"/>
      <c r="CO283" s="46"/>
      <c r="CP283" s="46"/>
      <c r="CQ283" s="46"/>
      <c r="CR283" s="46"/>
      <c r="CS283" s="46"/>
      <c r="CT283" s="93">
        <f t="shared" si="83"/>
        <v>0</v>
      </c>
      <c r="CV283" s="46"/>
      <c r="CW283" s="46"/>
      <c r="CX283" s="46"/>
      <c r="CY283" s="46"/>
      <c r="CZ283" s="46"/>
      <c r="DA283" s="46"/>
      <c r="DB283" s="46"/>
      <c r="DC283" s="46"/>
      <c r="DD283" s="46"/>
      <c r="DE283" s="46"/>
      <c r="DF283" s="46"/>
      <c r="DG283" s="46"/>
      <c r="DH283" s="46"/>
      <c r="DI283" s="46"/>
      <c r="DJ283" s="46"/>
      <c r="DK283" s="46"/>
      <c r="DL283" s="46"/>
      <c r="DM283" s="46"/>
      <c r="DN283" s="46"/>
      <c r="DO283" s="46"/>
      <c r="DP283" s="46"/>
      <c r="DQ283" s="46"/>
      <c r="DR283" s="46"/>
      <c r="DS283" s="46"/>
      <c r="DT283" s="46"/>
      <c r="DU283" s="46"/>
      <c r="DV283" s="46"/>
      <c r="DW283" s="46"/>
      <c r="DX283" s="46"/>
      <c r="DY283" s="46"/>
      <c r="DZ283" s="46"/>
      <c r="EA283" s="93">
        <f t="shared" si="98"/>
        <v>0</v>
      </c>
      <c r="EC283" s="46"/>
      <c r="ED283" s="46"/>
      <c r="EE283" s="46"/>
      <c r="EF283" s="46"/>
      <c r="EG283" s="46"/>
      <c r="EH283" s="46"/>
      <c r="EI283" s="46"/>
      <c r="EJ283" s="46"/>
      <c r="EK283" s="46"/>
      <c r="EL283" s="46"/>
      <c r="EM283" s="46"/>
      <c r="EN283" s="46"/>
      <c r="EO283" s="46"/>
      <c r="EP283" s="46"/>
      <c r="EQ283" s="46"/>
      <c r="ER283" s="46"/>
      <c r="ES283" s="46"/>
      <c r="ET283" s="46"/>
      <c r="EU283" s="46"/>
      <c r="EV283" s="46"/>
      <c r="EW283" s="46"/>
      <c r="EX283" s="46"/>
      <c r="EY283" s="46"/>
      <c r="EZ283" s="46"/>
      <c r="FA283" s="46"/>
      <c r="FB283" s="46"/>
      <c r="FC283" s="46"/>
      <c r="FD283" s="46"/>
      <c r="FE283" s="46"/>
      <c r="FF283" s="46"/>
      <c r="FG283" s="46"/>
      <c r="FH283" s="93">
        <f t="shared" si="99"/>
        <v>0</v>
      </c>
      <c r="FJ283" s="46"/>
      <c r="FK283" s="46"/>
      <c r="FL283" s="46"/>
      <c r="FM283" s="46"/>
      <c r="FN283" s="46"/>
      <c r="FO283" s="46"/>
      <c r="FP283" s="46"/>
      <c r="FQ283" s="46"/>
      <c r="FR283" s="46"/>
      <c r="FS283" s="46"/>
      <c r="FT283" s="46"/>
      <c r="FU283" s="46"/>
      <c r="FV283" s="46"/>
      <c r="FW283" s="46"/>
      <c r="FX283" s="46"/>
      <c r="FY283" s="46"/>
      <c r="FZ283" s="46"/>
      <c r="GA283" s="46"/>
      <c r="GB283" s="46"/>
      <c r="GC283" s="46"/>
      <c r="GD283" s="46"/>
      <c r="GE283" s="46"/>
      <c r="GF283" s="46"/>
      <c r="GG283" s="46"/>
      <c r="GH283" s="46"/>
      <c r="GI283" s="46"/>
      <c r="GJ283" s="46"/>
      <c r="GK283" s="46"/>
      <c r="GL283" s="46"/>
      <c r="GM283" s="46"/>
      <c r="GN283" s="46"/>
      <c r="GO283" s="93">
        <f t="shared" si="84"/>
        <v>0</v>
      </c>
      <c r="GQ283" s="46"/>
      <c r="GR283" s="46"/>
      <c r="GS283" s="46"/>
      <c r="GT283" s="46"/>
      <c r="GU283" s="46"/>
      <c r="GV283" s="46"/>
      <c r="GW283" s="46"/>
      <c r="GX283" s="46"/>
      <c r="GY283" s="46"/>
      <c r="GZ283" s="46"/>
      <c r="HA283" s="46"/>
      <c r="HB283" s="46"/>
      <c r="HC283" s="46"/>
      <c r="HD283" s="46"/>
      <c r="HE283" s="46"/>
      <c r="HF283" s="46"/>
      <c r="HG283" s="46"/>
      <c r="HH283" s="46"/>
      <c r="HI283" s="46"/>
      <c r="HJ283" s="46"/>
      <c r="HK283" s="46"/>
      <c r="HL283" s="46"/>
      <c r="HM283" s="46"/>
      <c r="HN283" s="46"/>
      <c r="HO283" s="46"/>
      <c r="HP283" s="46"/>
      <c r="HQ283" s="46"/>
      <c r="HR283" s="46"/>
      <c r="HS283" s="46"/>
      <c r="HT283" s="46"/>
      <c r="HU283" s="46"/>
      <c r="HV283" s="93">
        <f t="shared" si="85"/>
        <v>0</v>
      </c>
      <c r="HX283" s="46"/>
      <c r="HY283" s="46"/>
      <c r="HZ283" s="46"/>
      <c r="IA283" s="46"/>
      <c r="IB283" s="46"/>
      <c r="IC283" s="46"/>
      <c r="ID283" s="46"/>
      <c r="IE283" s="46"/>
      <c r="IF283" s="46"/>
      <c r="IG283" s="46"/>
      <c r="IH283" s="46"/>
      <c r="II283" s="46"/>
      <c r="IJ283" s="46"/>
      <c r="IK283" s="46"/>
      <c r="IL283" s="46"/>
      <c r="IM283" s="46"/>
      <c r="IN283" s="46"/>
      <c r="IO283" s="46"/>
      <c r="IP283" s="46"/>
      <c r="IQ283" s="46"/>
      <c r="IR283" s="46"/>
      <c r="IS283" s="46"/>
      <c r="IT283" s="46"/>
      <c r="IU283" s="46"/>
      <c r="IV283" s="46"/>
      <c r="IW283" s="46"/>
      <c r="IX283" s="46"/>
      <c r="IY283" s="46"/>
      <c r="IZ283" s="46"/>
      <c r="JA283" s="46"/>
      <c r="JB283" s="46"/>
      <c r="JC283" s="93">
        <f t="shared" si="86"/>
        <v>0</v>
      </c>
      <c r="JE283" s="46"/>
      <c r="JF283" s="46"/>
      <c r="JG283" s="46"/>
      <c r="JH283" s="46"/>
      <c r="JI283" s="46"/>
      <c r="JJ283" s="46"/>
      <c r="JK283" s="46"/>
      <c r="JL283" s="46"/>
      <c r="JM283" s="46"/>
      <c r="JN283" s="46"/>
      <c r="JO283" s="46"/>
      <c r="JP283" s="46"/>
      <c r="JQ283" s="46"/>
      <c r="JR283" s="46"/>
      <c r="JS283" s="46"/>
      <c r="JT283" s="46"/>
      <c r="JU283" s="46"/>
      <c r="JV283" s="46"/>
      <c r="JW283" s="46"/>
      <c r="JX283" s="46"/>
      <c r="JY283" s="46"/>
      <c r="JZ283" s="46"/>
      <c r="KA283" s="46"/>
      <c r="KB283" s="46"/>
      <c r="KC283" s="46"/>
      <c r="KD283" s="46"/>
      <c r="KE283" s="46"/>
      <c r="KF283" s="46"/>
      <c r="KG283" s="46"/>
      <c r="KH283" s="46"/>
      <c r="KI283" s="46"/>
      <c r="KJ283" s="93">
        <f t="shared" si="87"/>
        <v>0</v>
      </c>
    </row>
    <row r="284" spans="1:296" ht="20.149999999999999" customHeight="1" x14ac:dyDescent="0.5">
      <c r="A284" s="11">
        <v>102</v>
      </c>
      <c r="B284" s="180"/>
      <c r="C284" s="144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>
        <f t="shared" si="88"/>
        <v>0</v>
      </c>
      <c r="S284" s="46">
        <f t="shared" si="89"/>
        <v>0</v>
      </c>
      <c r="T284" s="46">
        <f t="shared" si="90"/>
        <v>0</v>
      </c>
      <c r="U284" s="46">
        <f t="shared" si="91"/>
        <v>0</v>
      </c>
      <c r="V284" s="46">
        <f t="shared" si="92"/>
        <v>0</v>
      </c>
      <c r="W284" s="46">
        <f t="shared" si="93"/>
        <v>0</v>
      </c>
      <c r="X284" s="46">
        <f t="shared" si="94"/>
        <v>0</v>
      </c>
      <c r="Y284" s="46">
        <f t="shared" si="95"/>
        <v>0</v>
      </c>
      <c r="Z284" s="90">
        <f t="shared" si="100"/>
        <v>0</v>
      </c>
      <c r="AB284" s="95">
        <f>'LPLPO PROGRAM'!H115</f>
        <v>0</v>
      </c>
      <c r="AC284" s="91"/>
      <c r="AD284" s="91"/>
      <c r="AE284" s="91"/>
      <c r="AF284" s="91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93">
        <f t="shared" si="97"/>
        <v>0</v>
      </c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  <c r="CK284" s="46"/>
      <c r="CL284" s="46"/>
      <c r="CM284" s="46"/>
      <c r="CN284" s="46"/>
      <c r="CO284" s="46"/>
      <c r="CP284" s="46"/>
      <c r="CQ284" s="46"/>
      <c r="CR284" s="46"/>
      <c r="CS284" s="46"/>
      <c r="CT284" s="93">
        <f t="shared" si="83"/>
        <v>0</v>
      </c>
      <c r="CV284" s="46"/>
      <c r="CW284" s="46"/>
      <c r="CX284" s="46"/>
      <c r="CY284" s="46"/>
      <c r="CZ284" s="46"/>
      <c r="DA284" s="46"/>
      <c r="DB284" s="46"/>
      <c r="DC284" s="46"/>
      <c r="DD284" s="46"/>
      <c r="DE284" s="46"/>
      <c r="DF284" s="46"/>
      <c r="DG284" s="46"/>
      <c r="DH284" s="46"/>
      <c r="DI284" s="46"/>
      <c r="DJ284" s="46"/>
      <c r="DK284" s="46"/>
      <c r="DL284" s="46"/>
      <c r="DM284" s="46"/>
      <c r="DN284" s="46"/>
      <c r="DO284" s="46"/>
      <c r="DP284" s="46"/>
      <c r="DQ284" s="46"/>
      <c r="DR284" s="46"/>
      <c r="DS284" s="46"/>
      <c r="DT284" s="46"/>
      <c r="DU284" s="46"/>
      <c r="DV284" s="46"/>
      <c r="DW284" s="46"/>
      <c r="DX284" s="46"/>
      <c r="DY284" s="46"/>
      <c r="DZ284" s="46"/>
      <c r="EA284" s="93">
        <f t="shared" si="98"/>
        <v>0</v>
      </c>
      <c r="EC284" s="46"/>
      <c r="ED284" s="46"/>
      <c r="EE284" s="46"/>
      <c r="EF284" s="46"/>
      <c r="EG284" s="46"/>
      <c r="EH284" s="46"/>
      <c r="EI284" s="46"/>
      <c r="EJ284" s="46"/>
      <c r="EK284" s="46"/>
      <c r="EL284" s="46"/>
      <c r="EM284" s="46"/>
      <c r="EN284" s="46"/>
      <c r="EO284" s="46"/>
      <c r="EP284" s="46"/>
      <c r="EQ284" s="46"/>
      <c r="ER284" s="46"/>
      <c r="ES284" s="46"/>
      <c r="ET284" s="46"/>
      <c r="EU284" s="46"/>
      <c r="EV284" s="46"/>
      <c r="EW284" s="46"/>
      <c r="EX284" s="46"/>
      <c r="EY284" s="46"/>
      <c r="EZ284" s="46"/>
      <c r="FA284" s="46"/>
      <c r="FB284" s="46"/>
      <c r="FC284" s="46"/>
      <c r="FD284" s="46"/>
      <c r="FE284" s="46"/>
      <c r="FF284" s="46"/>
      <c r="FG284" s="46"/>
      <c r="FH284" s="93">
        <f t="shared" si="99"/>
        <v>0</v>
      </c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6"/>
      <c r="FU284" s="46"/>
      <c r="FV284" s="46"/>
      <c r="FW284" s="46"/>
      <c r="FX284" s="46"/>
      <c r="FY284" s="46"/>
      <c r="FZ284" s="46"/>
      <c r="GA284" s="46"/>
      <c r="GB284" s="46"/>
      <c r="GC284" s="46"/>
      <c r="GD284" s="46"/>
      <c r="GE284" s="46"/>
      <c r="GF284" s="46"/>
      <c r="GG284" s="46"/>
      <c r="GH284" s="46"/>
      <c r="GI284" s="46"/>
      <c r="GJ284" s="46"/>
      <c r="GK284" s="46"/>
      <c r="GL284" s="46"/>
      <c r="GM284" s="46"/>
      <c r="GN284" s="46"/>
      <c r="GO284" s="93">
        <f t="shared" si="84"/>
        <v>0</v>
      </c>
      <c r="GQ284" s="46"/>
      <c r="GR284" s="46"/>
      <c r="GS284" s="46"/>
      <c r="GT284" s="46"/>
      <c r="GU284" s="46"/>
      <c r="GV284" s="46"/>
      <c r="GW284" s="46"/>
      <c r="GX284" s="46"/>
      <c r="GY284" s="46"/>
      <c r="GZ284" s="46"/>
      <c r="HA284" s="46"/>
      <c r="HB284" s="46"/>
      <c r="HC284" s="46"/>
      <c r="HD284" s="46"/>
      <c r="HE284" s="46"/>
      <c r="HF284" s="46"/>
      <c r="HG284" s="46"/>
      <c r="HH284" s="46"/>
      <c r="HI284" s="46"/>
      <c r="HJ284" s="46"/>
      <c r="HK284" s="46"/>
      <c r="HL284" s="46"/>
      <c r="HM284" s="46"/>
      <c r="HN284" s="46"/>
      <c r="HO284" s="46"/>
      <c r="HP284" s="46"/>
      <c r="HQ284" s="46"/>
      <c r="HR284" s="46"/>
      <c r="HS284" s="46"/>
      <c r="HT284" s="46"/>
      <c r="HU284" s="46"/>
      <c r="HV284" s="93">
        <f t="shared" si="85"/>
        <v>0</v>
      </c>
      <c r="HX284" s="46"/>
      <c r="HY284" s="46"/>
      <c r="HZ284" s="46"/>
      <c r="IA284" s="46"/>
      <c r="IB284" s="46"/>
      <c r="IC284" s="46"/>
      <c r="ID284" s="46"/>
      <c r="IE284" s="46"/>
      <c r="IF284" s="46"/>
      <c r="IG284" s="46"/>
      <c r="IH284" s="46"/>
      <c r="II284" s="46"/>
      <c r="IJ284" s="46"/>
      <c r="IK284" s="46"/>
      <c r="IL284" s="46"/>
      <c r="IM284" s="46"/>
      <c r="IN284" s="46"/>
      <c r="IO284" s="46"/>
      <c r="IP284" s="46"/>
      <c r="IQ284" s="46"/>
      <c r="IR284" s="46"/>
      <c r="IS284" s="46"/>
      <c r="IT284" s="46"/>
      <c r="IU284" s="46"/>
      <c r="IV284" s="46"/>
      <c r="IW284" s="46"/>
      <c r="IX284" s="46"/>
      <c r="IY284" s="46"/>
      <c r="IZ284" s="46"/>
      <c r="JA284" s="46"/>
      <c r="JB284" s="46"/>
      <c r="JC284" s="93">
        <f t="shared" si="86"/>
        <v>0</v>
      </c>
      <c r="JE284" s="46"/>
      <c r="JF284" s="46"/>
      <c r="JG284" s="46"/>
      <c r="JH284" s="46"/>
      <c r="JI284" s="46"/>
      <c r="JJ284" s="46"/>
      <c r="JK284" s="46"/>
      <c r="JL284" s="46"/>
      <c r="JM284" s="46"/>
      <c r="JN284" s="46"/>
      <c r="JO284" s="46"/>
      <c r="JP284" s="46"/>
      <c r="JQ284" s="46"/>
      <c r="JR284" s="46"/>
      <c r="JS284" s="46"/>
      <c r="JT284" s="46"/>
      <c r="JU284" s="46"/>
      <c r="JV284" s="46"/>
      <c r="JW284" s="46"/>
      <c r="JX284" s="46"/>
      <c r="JY284" s="46"/>
      <c r="JZ284" s="46"/>
      <c r="KA284" s="46"/>
      <c r="KB284" s="46"/>
      <c r="KC284" s="46"/>
      <c r="KD284" s="46"/>
      <c r="KE284" s="46"/>
      <c r="KF284" s="46"/>
      <c r="KG284" s="46"/>
      <c r="KH284" s="46"/>
      <c r="KI284" s="46"/>
      <c r="KJ284" s="93">
        <f t="shared" si="87"/>
        <v>0</v>
      </c>
    </row>
    <row r="285" spans="1:296" ht="20.149999999999999" customHeight="1" x14ac:dyDescent="0.5">
      <c r="A285" s="11">
        <v>103</v>
      </c>
      <c r="B285" s="180"/>
      <c r="C285" s="144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>
        <f t="shared" si="88"/>
        <v>0</v>
      </c>
      <c r="S285" s="46">
        <f t="shared" si="89"/>
        <v>0</v>
      </c>
      <c r="T285" s="46">
        <f t="shared" si="90"/>
        <v>0</v>
      </c>
      <c r="U285" s="46">
        <f t="shared" si="91"/>
        <v>0</v>
      </c>
      <c r="V285" s="46">
        <f t="shared" si="92"/>
        <v>0</v>
      </c>
      <c r="W285" s="46">
        <f t="shared" si="93"/>
        <v>0</v>
      </c>
      <c r="X285" s="46">
        <f t="shared" si="94"/>
        <v>0</v>
      </c>
      <c r="Y285" s="46">
        <f t="shared" si="95"/>
        <v>0</v>
      </c>
      <c r="Z285" s="90">
        <f t="shared" si="100"/>
        <v>0</v>
      </c>
      <c r="AB285" s="95">
        <f>'LPLPO PROGRAM'!H116</f>
        <v>0</v>
      </c>
      <c r="AC285" s="91"/>
      <c r="AD285" s="91"/>
      <c r="AE285" s="91"/>
      <c r="AF285" s="91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93">
        <f t="shared" si="97"/>
        <v>0</v>
      </c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  <c r="CK285" s="46"/>
      <c r="CL285" s="46"/>
      <c r="CM285" s="46"/>
      <c r="CN285" s="46"/>
      <c r="CO285" s="46"/>
      <c r="CP285" s="46"/>
      <c r="CQ285" s="46"/>
      <c r="CR285" s="46"/>
      <c r="CS285" s="46"/>
      <c r="CT285" s="93">
        <f t="shared" si="83"/>
        <v>0</v>
      </c>
      <c r="CV285" s="46"/>
      <c r="CW285" s="46"/>
      <c r="CX285" s="46"/>
      <c r="CY285" s="46"/>
      <c r="CZ285" s="46"/>
      <c r="DA285" s="46"/>
      <c r="DB285" s="46"/>
      <c r="DC285" s="46"/>
      <c r="DD285" s="46"/>
      <c r="DE285" s="46"/>
      <c r="DF285" s="46"/>
      <c r="DG285" s="46"/>
      <c r="DH285" s="46"/>
      <c r="DI285" s="46"/>
      <c r="DJ285" s="46"/>
      <c r="DK285" s="46"/>
      <c r="DL285" s="46"/>
      <c r="DM285" s="46"/>
      <c r="DN285" s="46"/>
      <c r="DO285" s="46"/>
      <c r="DP285" s="46"/>
      <c r="DQ285" s="46"/>
      <c r="DR285" s="46"/>
      <c r="DS285" s="46"/>
      <c r="DT285" s="46"/>
      <c r="DU285" s="46"/>
      <c r="DV285" s="46"/>
      <c r="DW285" s="46"/>
      <c r="DX285" s="46"/>
      <c r="DY285" s="46"/>
      <c r="DZ285" s="46"/>
      <c r="EA285" s="93">
        <f t="shared" si="98"/>
        <v>0</v>
      </c>
      <c r="EC285" s="46"/>
      <c r="ED285" s="46"/>
      <c r="EE285" s="46"/>
      <c r="EF285" s="46"/>
      <c r="EG285" s="46"/>
      <c r="EH285" s="46"/>
      <c r="EI285" s="46"/>
      <c r="EJ285" s="46"/>
      <c r="EK285" s="46"/>
      <c r="EL285" s="46"/>
      <c r="EM285" s="46"/>
      <c r="EN285" s="46"/>
      <c r="EO285" s="46"/>
      <c r="EP285" s="46"/>
      <c r="EQ285" s="46"/>
      <c r="ER285" s="46"/>
      <c r="ES285" s="46"/>
      <c r="ET285" s="46"/>
      <c r="EU285" s="46"/>
      <c r="EV285" s="46"/>
      <c r="EW285" s="46"/>
      <c r="EX285" s="46"/>
      <c r="EY285" s="46"/>
      <c r="EZ285" s="46"/>
      <c r="FA285" s="46"/>
      <c r="FB285" s="46"/>
      <c r="FC285" s="46"/>
      <c r="FD285" s="46"/>
      <c r="FE285" s="46"/>
      <c r="FF285" s="46"/>
      <c r="FG285" s="46"/>
      <c r="FH285" s="93">
        <f t="shared" si="99"/>
        <v>0</v>
      </c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6"/>
      <c r="FU285" s="46"/>
      <c r="FV285" s="46"/>
      <c r="FW285" s="46"/>
      <c r="FX285" s="46"/>
      <c r="FY285" s="46"/>
      <c r="FZ285" s="46"/>
      <c r="GA285" s="46"/>
      <c r="GB285" s="46"/>
      <c r="GC285" s="46"/>
      <c r="GD285" s="46"/>
      <c r="GE285" s="46"/>
      <c r="GF285" s="46"/>
      <c r="GG285" s="46"/>
      <c r="GH285" s="46"/>
      <c r="GI285" s="46"/>
      <c r="GJ285" s="46"/>
      <c r="GK285" s="46"/>
      <c r="GL285" s="46"/>
      <c r="GM285" s="46"/>
      <c r="GN285" s="46"/>
      <c r="GO285" s="93">
        <f t="shared" si="84"/>
        <v>0</v>
      </c>
      <c r="GQ285" s="46"/>
      <c r="GR285" s="46"/>
      <c r="GS285" s="46"/>
      <c r="GT285" s="46"/>
      <c r="GU285" s="46"/>
      <c r="GV285" s="46"/>
      <c r="GW285" s="46"/>
      <c r="GX285" s="46"/>
      <c r="GY285" s="46"/>
      <c r="GZ285" s="46"/>
      <c r="HA285" s="46"/>
      <c r="HB285" s="46"/>
      <c r="HC285" s="46"/>
      <c r="HD285" s="46"/>
      <c r="HE285" s="46"/>
      <c r="HF285" s="46"/>
      <c r="HG285" s="46"/>
      <c r="HH285" s="46"/>
      <c r="HI285" s="46"/>
      <c r="HJ285" s="46"/>
      <c r="HK285" s="46"/>
      <c r="HL285" s="46"/>
      <c r="HM285" s="46"/>
      <c r="HN285" s="46"/>
      <c r="HO285" s="46"/>
      <c r="HP285" s="46"/>
      <c r="HQ285" s="46"/>
      <c r="HR285" s="46"/>
      <c r="HS285" s="46"/>
      <c r="HT285" s="46"/>
      <c r="HU285" s="46"/>
      <c r="HV285" s="93">
        <f t="shared" si="85"/>
        <v>0</v>
      </c>
      <c r="HX285" s="46"/>
      <c r="HY285" s="46"/>
      <c r="HZ285" s="46"/>
      <c r="IA285" s="46"/>
      <c r="IB285" s="46"/>
      <c r="IC285" s="46"/>
      <c r="ID285" s="46"/>
      <c r="IE285" s="46"/>
      <c r="IF285" s="46"/>
      <c r="IG285" s="46"/>
      <c r="IH285" s="46"/>
      <c r="II285" s="46"/>
      <c r="IJ285" s="46"/>
      <c r="IK285" s="46"/>
      <c r="IL285" s="46"/>
      <c r="IM285" s="46"/>
      <c r="IN285" s="46"/>
      <c r="IO285" s="46"/>
      <c r="IP285" s="46"/>
      <c r="IQ285" s="46"/>
      <c r="IR285" s="46"/>
      <c r="IS285" s="46"/>
      <c r="IT285" s="46"/>
      <c r="IU285" s="46"/>
      <c r="IV285" s="46"/>
      <c r="IW285" s="46"/>
      <c r="IX285" s="46"/>
      <c r="IY285" s="46"/>
      <c r="IZ285" s="46"/>
      <c r="JA285" s="46"/>
      <c r="JB285" s="46"/>
      <c r="JC285" s="93">
        <f t="shared" si="86"/>
        <v>0</v>
      </c>
      <c r="JE285" s="46"/>
      <c r="JF285" s="46"/>
      <c r="JG285" s="46"/>
      <c r="JH285" s="46"/>
      <c r="JI285" s="46"/>
      <c r="JJ285" s="46"/>
      <c r="JK285" s="46"/>
      <c r="JL285" s="46"/>
      <c r="JM285" s="46"/>
      <c r="JN285" s="46"/>
      <c r="JO285" s="46"/>
      <c r="JP285" s="46"/>
      <c r="JQ285" s="46"/>
      <c r="JR285" s="46"/>
      <c r="JS285" s="46"/>
      <c r="JT285" s="46"/>
      <c r="JU285" s="46"/>
      <c r="JV285" s="46"/>
      <c r="JW285" s="46"/>
      <c r="JX285" s="46"/>
      <c r="JY285" s="46"/>
      <c r="JZ285" s="46"/>
      <c r="KA285" s="46"/>
      <c r="KB285" s="46"/>
      <c r="KC285" s="46"/>
      <c r="KD285" s="46"/>
      <c r="KE285" s="46"/>
      <c r="KF285" s="46"/>
      <c r="KG285" s="46"/>
      <c r="KH285" s="46"/>
      <c r="KI285" s="46"/>
      <c r="KJ285" s="93">
        <f t="shared" si="87"/>
        <v>0</v>
      </c>
    </row>
    <row r="286" spans="1:296" ht="20.149999999999999" customHeight="1" x14ac:dyDescent="0.5">
      <c r="A286" s="11">
        <v>104</v>
      </c>
      <c r="B286" s="180"/>
      <c r="C286" s="144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>
        <f t="shared" si="88"/>
        <v>0</v>
      </c>
      <c r="S286" s="46">
        <f t="shared" si="89"/>
        <v>0</v>
      </c>
      <c r="T286" s="46">
        <f t="shared" si="90"/>
        <v>0</v>
      </c>
      <c r="U286" s="46">
        <f t="shared" si="91"/>
        <v>0</v>
      </c>
      <c r="V286" s="46">
        <f t="shared" si="92"/>
        <v>0</v>
      </c>
      <c r="W286" s="46">
        <f t="shared" si="93"/>
        <v>0</v>
      </c>
      <c r="X286" s="46">
        <f t="shared" si="94"/>
        <v>0</v>
      </c>
      <c r="Y286" s="46">
        <f t="shared" si="95"/>
        <v>0</v>
      </c>
      <c r="Z286" s="90">
        <f t="shared" si="100"/>
        <v>0</v>
      </c>
      <c r="AB286" s="95">
        <f>'LPLPO PROGRAM'!H117</f>
        <v>0</v>
      </c>
      <c r="AC286" s="91"/>
      <c r="AD286" s="91"/>
      <c r="AE286" s="91"/>
      <c r="AF286" s="91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93">
        <f t="shared" si="97"/>
        <v>0</v>
      </c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/>
      <c r="CP286" s="46"/>
      <c r="CQ286" s="46"/>
      <c r="CR286" s="46"/>
      <c r="CS286" s="46"/>
      <c r="CT286" s="93">
        <f t="shared" si="83"/>
        <v>0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/>
      <c r="DF286" s="46"/>
      <c r="DG286" s="46"/>
      <c r="DH286" s="46"/>
      <c r="DI286" s="46"/>
      <c r="DJ286" s="46"/>
      <c r="DK286" s="46"/>
      <c r="DL286" s="46"/>
      <c r="DM286" s="46"/>
      <c r="DN286" s="46"/>
      <c r="DO286" s="46"/>
      <c r="DP286" s="46"/>
      <c r="DQ286" s="46"/>
      <c r="DR286" s="46"/>
      <c r="DS286" s="46"/>
      <c r="DT286" s="46"/>
      <c r="DU286" s="46"/>
      <c r="DV286" s="46"/>
      <c r="DW286" s="46"/>
      <c r="DX286" s="46"/>
      <c r="DY286" s="46"/>
      <c r="DZ286" s="46"/>
      <c r="EA286" s="93">
        <f t="shared" si="98"/>
        <v>0</v>
      </c>
      <c r="EC286" s="46"/>
      <c r="ED286" s="46"/>
      <c r="EE286" s="46"/>
      <c r="EF286" s="46"/>
      <c r="EG286" s="46"/>
      <c r="EH286" s="46"/>
      <c r="EI286" s="46"/>
      <c r="EJ286" s="46"/>
      <c r="EK286" s="46"/>
      <c r="EL286" s="46"/>
      <c r="EM286" s="46"/>
      <c r="EN286" s="46"/>
      <c r="EO286" s="46"/>
      <c r="EP286" s="46"/>
      <c r="EQ286" s="46"/>
      <c r="ER286" s="46"/>
      <c r="ES286" s="46"/>
      <c r="ET286" s="46"/>
      <c r="EU286" s="46"/>
      <c r="EV286" s="46"/>
      <c r="EW286" s="46"/>
      <c r="EX286" s="46"/>
      <c r="EY286" s="46"/>
      <c r="EZ286" s="46"/>
      <c r="FA286" s="46"/>
      <c r="FB286" s="46"/>
      <c r="FC286" s="46"/>
      <c r="FD286" s="46"/>
      <c r="FE286" s="46"/>
      <c r="FF286" s="46"/>
      <c r="FG286" s="46"/>
      <c r="FH286" s="93">
        <f t="shared" si="99"/>
        <v>0</v>
      </c>
      <c r="FJ286" s="46"/>
      <c r="FK286" s="46"/>
      <c r="FL286" s="46"/>
      <c r="FM286" s="46"/>
      <c r="FN286" s="46"/>
      <c r="FO286" s="46"/>
      <c r="FP286" s="46"/>
      <c r="FQ286" s="46"/>
      <c r="FR286" s="46"/>
      <c r="FS286" s="46"/>
      <c r="FT286" s="46"/>
      <c r="FU286" s="46"/>
      <c r="FV286" s="46"/>
      <c r="FW286" s="46"/>
      <c r="FX286" s="46"/>
      <c r="FY286" s="46"/>
      <c r="FZ286" s="46"/>
      <c r="GA286" s="46"/>
      <c r="GB286" s="46"/>
      <c r="GC286" s="46"/>
      <c r="GD286" s="46"/>
      <c r="GE286" s="46"/>
      <c r="GF286" s="46"/>
      <c r="GG286" s="46"/>
      <c r="GH286" s="46"/>
      <c r="GI286" s="46"/>
      <c r="GJ286" s="46"/>
      <c r="GK286" s="46"/>
      <c r="GL286" s="46"/>
      <c r="GM286" s="46"/>
      <c r="GN286" s="46"/>
      <c r="GO286" s="93">
        <f t="shared" si="84"/>
        <v>0</v>
      </c>
      <c r="GQ286" s="46"/>
      <c r="GR286" s="46"/>
      <c r="GS286" s="46"/>
      <c r="GT286" s="46"/>
      <c r="GU286" s="46"/>
      <c r="GV286" s="46"/>
      <c r="GW286" s="46"/>
      <c r="GX286" s="46"/>
      <c r="GY286" s="46"/>
      <c r="GZ286" s="46"/>
      <c r="HA286" s="46"/>
      <c r="HB286" s="46"/>
      <c r="HC286" s="46"/>
      <c r="HD286" s="46"/>
      <c r="HE286" s="46"/>
      <c r="HF286" s="46"/>
      <c r="HG286" s="46"/>
      <c r="HH286" s="46"/>
      <c r="HI286" s="46"/>
      <c r="HJ286" s="46"/>
      <c r="HK286" s="46"/>
      <c r="HL286" s="46"/>
      <c r="HM286" s="46"/>
      <c r="HN286" s="46"/>
      <c r="HO286" s="46"/>
      <c r="HP286" s="46"/>
      <c r="HQ286" s="46"/>
      <c r="HR286" s="46"/>
      <c r="HS286" s="46"/>
      <c r="HT286" s="46"/>
      <c r="HU286" s="46"/>
      <c r="HV286" s="93">
        <f t="shared" si="85"/>
        <v>0</v>
      </c>
      <c r="HX286" s="46"/>
      <c r="HY286" s="46"/>
      <c r="HZ286" s="46"/>
      <c r="IA286" s="46"/>
      <c r="IB286" s="46"/>
      <c r="IC286" s="46"/>
      <c r="ID286" s="46"/>
      <c r="IE286" s="46"/>
      <c r="IF286" s="46"/>
      <c r="IG286" s="46"/>
      <c r="IH286" s="46"/>
      <c r="II286" s="46"/>
      <c r="IJ286" s="46"/>
      <c r="IK286" s="46"/>
      <c r="IL286" s="46"/>
      <c r="IM286" s="46"/>
      <c r="IN286" s="46"/>
      <c r="IO286" s="46"/>
      <c r="IP286" s="46"/>
      <c r="IQ286" s="46"/>
      <c r="IR286" s="46"/>
      <c r="IS286" s="46"/>
      <c r="IT286" s="46"/>
      <c r="IU286" s="46"/>
      <c r="IV286" s="46"/>
      <c r="IW286" s="46"/>
      <c r="IX286" s="46"/>
      <c r="IY286" s="46"/>
      <c r="IZ286" s="46"/>
      <c r="JA286" s="46"/>
      <c r="JB286" s="46"/>
      <c r="JC286" s="93">
        <f t="shared" si="86"/>
        <v>0</v>
      </c>
      <c r="JE286" s="46"/>
      <c r="JF286" s="46"/>
      <c r="JG286" s="46"/>
      <c r="JH286" s="46"/>
      <c r="JI286" s="46"/>
      <c r="JJ286" s="46"/>
      <c r="JK286" s="46"/>
      <c r="JL286" s="46"/>
      <c r="JM286" s="46"/>
      <c r="JN286" s="46"/>
      <c r="JO286" s="46"/>
      <c r="JP286" s="46"/>
      <c r="JQ286" s="46"/>
      <c r="JR286" s="46"/>
      <c r="JS286" s="46"/>
      <c r="JT286" s="46"/>
      <c r="JU286" s="46"/>
      <c r="JV286" s="46"/>
      <c r="JW286" s="46"/>
      <c r="JX286" s="46"/>
      <c r="JY286" s="46"/>
      <c r="JZ286" s="46"/>
      <c r="KA286" s="46"/>
      <c r="KB286" s="46"/>
      <c r="KC286" s="46"/>
      <c r="KD286" s="46"/>
      <c r="KE286" s="46"/>
      <c r="KF286" s="46"/>
      <c r="KG286" s="46"/>
      <c r="KH286" s="46"/>
      <c r="KI286" s="46"/>
      <c r="KJ286" s="93">
        <f t="shared" si="87"/>
        <v>0</v>
      </c>
    </row>
    <row r="287" spans="1:296" ht="20.149999999999999" customHeight="1" x14ac:dyDescent="0.5">
      <c r="A287" s="187">
        <v>105</v>
      </c>
      <c r="B287" s="189" t="s">
        <v>216</v>
      </c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46">
        <f t="shared" si="88"/>
        <v>0</v>
      </c>
      <c r="S287" s="46">
        <f t="shared" si="89"/>
        <v>0</v>
      </c>
      <c r="T287" s="46">
        <f t="shared" si="90"/>
        <v>0</v>
      </c>
      <c r="U287" s="46">
        <f t="shared" si="91"/>
        <v>0</v>
      </c>
      <c r="V287" s="46">
        <f t="shared" si="92"/>
        <v>0</v>
      </c>
      <c r="W287" s="46">
        <f t="shared" si="93"/>
        <v>0</v>
      </c>
      <c r="X287" s="46">
        <f t="shared" si="94"/>
        <v>0</v>
      </c>
      <c r="Y287" s="46">
        <f t="shared" si="95"/>
        <v>0</v>
      </c>
      <c r="Z287" s="146"/>
      <c r="AB287" s="95">
        <f>'LPLPO PROGRAM'!H118</f>
        <v>0</v>
      </c>
      <c r="AC287" s="91"/>
      <c r="AD287" s="91"/>
      <c r="AE287" s="91"/>
      <c r="AF287" s="91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93">
        <f t="shared" si="97"/>
        <v>0</v>
      </c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93">
        <f t="shared" si="83"/>
        <v>0</v>
      </c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  <c r="DK287" s="46"/>
      <c r="DL287" s="46"/>
      <c r="DM287" s="46"/>
      <c r="DN287" s="46"/>
      <c r="DO287" s="46"/>
      <c r="DP287" s="46"/>
      <c r="DQ287" s="46"/>
      <c r="DR287" s="46"/>
      <c r="DS287" s="46"/>
      <c r="DT287" s="46"/>
      <c r="DU287" s="46"/>
      <c r="DV287" s="46"/>
      <c r="DW287" s="46"/>
      <c r="DX287" s="46"/>
      <c r="DY287" s="46"/>
      <c r="DZ287" s="46"/>
      <c r="EA287" s="93">
        <f t="shared" si="98"/>
        <v>0</v>
      </c>
      <c r="EC287" s="46"/>
      <c r="ED287" s="46"/>
      <c r="EE287" s="46"/>
      <c r="EF287" s="46"/>
      <c r="EG287" s="46"/>
      <c r="EH287" s="46"/>
      <c r="EI287" s="46"/>
      <c r="EJ287" s="46"/>
      <c r="EK287" s="46"/>
      <c r="EL287" s="46"/>
      <c r="EM287" s="46"/>
      <c r="EN287" s="46"/>
      <c r="EO287" s="46"/>
      <c r="EP287" s="46"/>
      <c r="EQ287" s="46"/>
      <c r="ER287" s="46"/>
      <c r="ES287" s="46"/>
      <c r="ET287" s="46"/>
      <c r="EU287" s="46"/>
      <c r="EV287" s="46"/>
      <c r="EW287" s="46"/>
      <c r="EX287" s="46"/>
      <c r="EY287" s="46"/>
      <c r="EZ287" s="46"/>
      <c r="FA287" s="46"/>
      <c r="FB287" s="46"/>
      <c r="FC287" s="46"/>
      <c r="FD287" s="46"/>
      <c r="FE287" s="46"/>
      <c r="FF287" s="46"/>
      <c r="FG287" s="46"/>
      <c r="FH287" s="93">
        <f t="shared" si="99"/>
        <v>0</v>
      </c>
      <c r="FJ287" s="46"/>
      <c r="FK287" s="46"/>
      <c r="FL287" s="46"/>
      <c r="FM287" s="46"/>
      <c r="FN287" s="46"/>
      <c r="FO287" s="46"/>
      <c r="FP287" s="46"/>
      <c r="FQ287" s="46"/>
      <c r="FR287" s="46"/>
      <c r="FS287" s="46"/>
      <c r="FT287" s="46"/>
      <c r="FU287" s="46"/>
      <c r="FV287" s="46"/>
      <c r="FW287" s="46"/>
      <c r="FX287" s="46"/>
      <c r="FY287" s="46"/>
      <c r="FZ287" s="46"/>
      <c r="GA287" s="46"/>
      <c r="GB287" s="46"/>
      <c r="GC287" s="46"/>
      <c r="GD287" s="46"/>
      <c r="GE287" s="46"/>
      <c r="GF287" s="46"/>
      <c r="GG287" s="46"/>
      <c r="GH287" s="46"/>
      <c r="GI287" s="46"/>
      <c r="GJ287" s="46"/>
      <c r="GK287" s="46"/>
      <c r="GL287" s="46"/>
      <c r="GM287" s="46"/>
      <c r="GN287" s="46"/>
      <c r="GO287" s="93">
        <f t="shared" si="84"/>
        <v>0</v>
      </c>
      <c r="GQ287" s="46"/>
      <c r="GR287" s="46"/>
      <c r="GS287" s="46"/>
      <c r="GT287" s="46"/>
      <c r="GU287" s="46"/>
      <c r="GV287" s="46"/>
      <c r="GW287" s="46"/>
      <c r="GX287" s="46"/>
      <c r="GY287" s="46"/>
      <c r="GZ287" s="46"/>
      <c r="HA287" s="46"/>
      <c r="HB287" s="46"/>
      <c r="HC287" s="46"/>
      <c r="HD287" s="46"/>
      <c r="HE287" s="46"/>
      <c r="HF287" s="46"/>
      <c r="HG287" s="46"/>
      <c r="HH287" s="46"/>
      <c r="HI287" s="46"/>
      <c r="HJ287" s="46"/>
      <c r="HK287" s="46"/>
      <c r="HL287" s="46"/>
      <c r="HM287" s="46"/>
      <c r="HN287" s="46"/>
      <c r="HO287" s="46"/>
      <c r="HP287" s="46"/>
      <c r="HQ287" s="46"/>
      <c r="HR287" s="46"/>
      <c r="HS287" s="46"/>
      <c r="HT287" s="46"/>
      <c r="HU287" s="46"/>
      <c r="HV287" s="93">
        <f t="shared" si="85"/>
        <v>0</v>
      </c>
      <c r="HX287" s="46"/>
      <c r="HY287" s="46"/>
      <c r="HZ287" s="46"/>
      <c r="IA287" s="46"/>
      <c r="IB287" s="46"/>
      <c r="IC287" s="46"/>
      <c r="ID287" s="46"/>
      <c r="IE287" s="46"/>
      <c r="IF287" s="46"/>
      <c r="IG287" s="46"/>
      <c r="IH287" s="46"/>
      <c r="II287" s="46"/>
      <c r="IJ287" s="46"/>
      <c r="IK287" s="46"/>
      <c r="IL287" s="46"/>
      <c r="IM287" s="46"/>
      <c r="IN287" s="46"/>
      <c r="IO287" s="46"/>
      <c r="IP287" s="46"/>
      <c r="IQ287" s="46"/>
      <c r="IR287" s="46"/>
      <c r="IS287" s="46"/>
      <c r="IT287" s="46"/>
      <c r="IU287" s="46"/>
      <c r="IV287" s="46"/>
      <c r="IW287" s="46"/>
      <c r="IX287" s="46"/>
      <c r="IY287" s="46"/>
      <c r="IZ287" s="46"/>
      <c r="JA287" s="46"/>
      <c r="JB287" s="46"/>
      <c r="JC287" s="93">
        <f t="shared" si="86"/>
        <v>0</v>
      </c>
      <c r="JE287" s="46"/>
      <c r="JF287" s="46"/>
      <c r="JG287" s="46"/>
      <c r="JH287" s="46"/>
      <c r="JI287" s="46"/>
      <c r="JJ287" s="46"/>
      <c r="JK287" s="46"/>
      <c r="JL287" s="46"/>
      <c r="JM287" s="46"/>
      <c r="JN287" s="46"/>
      <c r="JO287" s="46"/>
      <c r="JP287" s="46"/>
      <c r="JQ287" s="46"/>
      <c r="JR287" s="46"/>
      <c r="JS287" s="46"/>
      <c r="JT287" s="46"/>
      <c r="JU287" s="46"/>
      <c r="JV287" s="46"/>
      <c r="JW287" s="46"/>
      <c r="JX287" s="46"/>
      <c r="JY287" s="46"/>
      <c r="JZ287" s="46"/>
      <c r="KA287" s="46"/>
      <c r="KB287" s="46"/>
      <c r="KC287" s="46"/>
      <c r="KD287" s="46"/>
      <c r="KE287" s="46"/>
      <c r="KF287" s="46"/>
      <c r="KG287" s="46"/>
      <c r="KH287" s="46"/>
      <c r="KI287" s="46"/>
      <c r="KJ287" s="93">
        <f t="shared" si="87"/>
        <v>0</v>
      </c>
    </row>
    <row r="288" spans="1:296" ht="20.149999999999999" customHeight="1" x14ac:dyDescent="0.5">
      <c r="A288" s="11">
        <v>106</v>
      </c>
      <c r="B288" s="184" t="s">
        <v>397</v>
      </c>
      <c r="C288" s="144" t="s">
        <v>48</v>
      </c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>
        <f t="shared" si="88"/>
        <v>0</v>
      </c>
      <c r="S288" s="46">
        <f t="shared" si="89"/>
        <v>0</v>
      </c>
      <c r="T288" s="46">
        <f t="shared" si="90"/>
        <v>0</v>
      </c>
      <c r="U288" s="46">
        <f t="shared" si="91"/>
        <v>0</v>
      </c>
      <c r="V288" s="46">
        <f t="shared" si="92"/>
        <v>0</v>
      </c>
      <c r="W288" s="46">
        <f t="shared" si="93"/>
        <v>0</v>
      </c>
      <c r="X288" s="46">
        <f t="shared" si="94"/>
        <v>0</v>
      </c>
      <c r="Y288" s="46">
        <f t="shared" si="95"/>
        <v>0</v>
      </c>
      <c r="Z288" s="90">
        <f t="shared" ref="Z288:Z322" si="101">SUM(D288:Y288)</f>
        <v>0</v>
      </c>
      <c r="AB288" s="95">
        <f>'LPLPO PROGRAM'!H119</f>
        <v>0</v>
      </c>
      <c r="AC288" s="91"/>
      <c r="AD288" s="91"/>
      <c r="AE288" s="91"/>
      <c r="AF288" s="91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93">
        <f t="shared" si="97"/>
        <v>0</v>
      </c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  <c r="CK288" s="46"/>
      <c r="CL288" s="46"/>
      <c r="CM288" s="46"/>
      <c r="CN288" s="46"/>
      <c r="CO288" s="46"/>
      <c r="CP288" s="46"/>
      <c r="CQ288" s="46"/>
      <c r="CR288" s="46"/>
      <c r="CS288" s="46"/>
      <c r="CT288" s="93">
        <f t="shared" si="83"/>
        <v>0</v>
      </c>
      <c r="CV288" s="46"/>
      <c r="CW288" s="46"/>
      <c r="CX288" s="46"/>
      <c r="CY288" s="46"/>
      <c r="CZ288" s="46"/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  <c r="DK288" s="46"/>
      <c r="DL288" s="46"/>
      <c r="DM288" s="46"/>
      <c r="DN288" s="46"/>
      <c r="DO288" s="46"/>
      <c r="DP288" s="46"/>
      <c r="DQ288" s="46"/>
      <c r="DR288" s="46"/>
      <c r="DS288" s="46"/>
      <c r="DT288" s="46"/>
      <c r="DU288" s="46"/>
      <c r="DV288" s="46"/>
      <c r="DW288" s="46"/>
      <c r="DX288" s="46"/>
      <c r="DY288" s="46"/>
      <c r="DZ288" s="46"/>
      <c r="EA288" s="93">
        <f t="shared" si="98"/>
        <v>0</v>
      </c>
      <c r="EC288" s="46"/>
      <c r="ED288" s="46"/>
      <c r="EE288" s="46"/>
      <c r="EF288" s="46"/>
      <c r="EG288" s="46"/>
      <c r="EH288" s="46"/>
      <c r="EI288" s="46"/>
      <c r="EJ288" s="46"/>
      <c r="EK288" s="46"/>
      <c r="EL288" s="46"/>
      <c r="EM288" s="46"/>
      <c r="EN288" s="46"/>
      <c r="EO288" s="46"/>
      <c r="EP288" s="46"/>
      <c r="EQ288" s="46"/>
      <c r="ER288" s="46"/>
      <c r="ES288" s="46"/>
      <c r="ET288" s="46"/>
      <c r="EU288" s="46"/>
      <c r="EV288" s="46"/>
      <c r="EW288" s="46"/>
      <c r="EX288" s="46"/>
      <c r="EY288" s="46"/>
      <c r="EZ288" s="46"/>
      <c r="FA288" s="46"/>
      <c r="FB288" s="46"/>
      <c r="FC288" s="46"/>
      <c r="FD288" s="46"/>
      <c r="FE288" s="46"/>
      <c r="FF288" s="46"/>
      <c r="FG288" s="46"/>
      <c r="FH288" s="93">
        <f t="shared" si="99"/>
        <v>0</v>
      </c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6"/>
      <c r="FU288" s="46"/>
      <c r="FV288" s="46"/>
      <c r="FW288" s="46"/>
      <c r="FX288" s="46"/>
      <c r="FY288" s="46"/>
      <c r="FZ288" s="46"/>
      <c r="GA288" s="46"/>
      <c r="GB288" s="46"/>
      <c r="GC288" s="46"/>
      <c r="GD288" s="46"/>
      <c r="GE288" s="46"/>
      <c r="GF288" s="46"/>
      <c r="GG288" s="46"/>
      <c r="GH288" s="46"/>
      <c r="GI288" s="46"/>
      <c r="GJ288" s="46"/>
      <c r="GK288" s="46"/>
      <c r="GL288" s="46"/>
      <c r="GM288" s="46"/>
      <c r="GN288" s="46"/>
      <c r="GO288" s="93">
        <f t="shared" si="84"/>
        <v>0</v>
      </c>
      <c r="GQ288" s="46"/>
      <c r="GR288" s="46"/>
      <c r="GS288" s="46"/>
      <c r="GT288" s="46"/>
      <c r="GU288" s="46"/>
      <c r="GV288" s="46"/>
      <c r="GW288" s="46"/>
      <c r="GX288" s="46"/>
      <c r="GY288" s="46"/>
      <c r="GZ288" s="46"/>
      <c r="HA288" s="46"/>
      <c r="HB288" s="46"/>
      <c r="HC288" s="46"/>
      <c r="HD288" s="46"/>
      <c r="HE288" s="46"/>
      <c r="HF288" s="46"/>
      <c r="HG288" s="46"/>
      <c r="HH288" s="46"/>
      <c r="HI288" s="46"/>
      <c r="HJ288" s="46"/>
      <c r="HK288" s="46"/>
      <c r="HL288" s="46"/>
      <c r="HM288" s="46"/>
      <c r="HN288" s="46"/>
      <c r="HO288" s="46"/>
      <c r="HP288" s="46"/>
      <c r="HQ288" s="46"/>
      <c r="HR288" s="46"/>
      <c r="HS288" s="46"/>
      <c r="HT288" s="46"/>
      <c r="HU288" s="46"/>
      <c r="HV288" s="93">
        <f t="shared" si="85"/>
        <v>0</v>
      </c>
      <c r="HX288" s="46"/>
      <c r="HY288" s="46"/>
      <c r="HZ288" s="46"/>
      <c r="IA288" s="46"/>
      <c r="IB288" s="46"/>
      <c r="IC288" s="46"/>
      <c r="ID288" s="46"/>
      <c r="IE288" s="46"/>
      <c r="IF288" s="46"/>
      <c r="IG288" s="46"/>
      <c r="IH288" s="46"/>
      <c r="II288" s="46"/>
      <c r="IJ288" s="46"/>
      <c r="IK288" s="46"/>
      <c r="IL288" s="46"/>
      <c r="IM288" s="46"/>
      <c r="IN288" s="46"/>
      <c r="IO288" s="46"/>
      <c r="IP288" s="46"/>
      <c r="IQ288" s="46"/>
      <c r="IR288" s="46"/>
      <c r="IS288" s="46"/>
      <c r="IT288" s="46"/>
      <c r="IU288" s="46"/>
      <c r="IV288" s="46"/>
      <c r="IW288" s="46"/>
      <c r="IX288" s="46"/>
      <c r="IY288" s="46"/>
      <c r="IZ288" s="46"/>
      <c r="JA288" s="46"/>
      <c r="JB288" s="46"/>
      <c r="JC288" s="93">
        <f t="shared" si="86"/>
        <v>0</v>
      </c>
      <c r="JE288" s="46"/>
      <c r="JF288" s="46"/>
      <c r="JG288" s="46"/>
      <c r="JH288" s="46"/>
      <c r="JI288" s="46"/>
      <c r="JJ288" s="46"/>
      <c r="JK288" s="46"/>
      <c r="JL288" s="46"/>
      <c r="JM288" s="46"/>
      <c r="JN288" s="46"/>
      <c r="JO288" s="46"/>
      <c r="JP288" s="46"/>
      <c r="JQ288" s="46"/>
      <c r="JR288" s="46"/>
      <c r="JS288" s="46"/>
      <c r="JT288" s="46"/>
      <c r="JU288" s="46"/>
      <c r="JV288" s="46"/>
      <c r="JW288" s="46"/>
      <c r="JX288" s="46"/>
      <c r="JY288" s="46"/>
      <c r="JZ288" s="46"/>
      <c r="KA288" s="46"/>
      <c r="KB288" s="46"/>
      <c r="KC288" s="46"/>
      <c r="KD288" s="46"/>
      <c r="KE288" s="46"/>
      <c r="KF288" s="46"/>
      <c r="KG288" s="46"/>
      <c r="KH288" s="46"/>
      <c r="KI288" s="46"/>
      <c r="KJ288" s="93">
        <f t="shared" si="87"/>
        <v>0</v>
      </c>
    </row>
    <row r="289" spans="1:296" ht="20.149999999999999" customHeight="1" x14ac:dyDescent="0.5">
      <c r="A289" s="11">
        <v>107</v>
      </c>
      <c r="B289" s="184" t="s">
        <v>398</v>
      </c>
      <c r="C289" s="144" t="s">
        <v>48</v>
      </c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>
        <f t="shared" si="88"/>
        <v>0</v>
      </c>
      <c r="S289" s="46">
        <f t="shared" si="89"/>
        <v>0</v>
      </c>
      <c r="T289" s="46">
        <f t="shared" si="90"/>
        <v>0</v>
      </c>
      <c r="U289" s="46">
        <f t="shared" si="91"/>
        <v>0</v>
      </c>
      <c r="V289" s="46">
        <f t="shared" si="92"/>
        <v>0</v>
      </c>
      <c r="W289" s="46">
        <f t="shared" si="93"/>
        <v>0</v>
      </c>
      <c r="X289" s="46">
        <f t="shared" si="94"/>
        <v>0</v>
      </c>
      <c r="Y289" s="46">
        <f t="shared" si="95"/>
        <v>0</v>
      </c>
      <c r="Z289" s="90">
        <f t="shared" si="101"/>
        <v>0</v>
      </c>
      <c r="AB289" s="95">
        <f>'LPLPO PROGRAM'!H120</f>
        <v>0</v>
      </c>
      <c r="AC289" s="91"/>
      <c r="AD289" s="91"/>
      <c r="AE289" s="91"/>
      <c r="AF289" s="91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93">
        <f t="shared" si="97"/>
        <v>0</v>
      </c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93">
        <f t="shared" si="83"/>
        <v>0</v>
      </c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  <c r="DK289" s="46"/>
      <c r="DL289" s="46"/>
      <c r="DM289" s="46"/>
      <c r="DN289" s="46"/>
      <c r="DO289" s="46"/>
      <c r="DP289" s="46"/>
      <c r="DQ289" s="46"/>
      <c r="DR289" s="46"/>
      <c r="DS289" s="46"/>
      <c r="DT289" s="46"/>
      <c r="DU289" s="46"/>
      <c r="DV289" s="46"/>
      <c r="DW289" s="46"/>
      <c r="DX289" s="46"/>
      <c r="DY289" s="46"/>
      <c r="DZ289" s="46"/>
      <c r="EA289" s="93">
        <f t="shared" si="98"/>
        <v>0</v>
      </c>
      <c r="EC289" s="46"/>
      <c r="ED289" s="46"/>
      <c r="EE289" s="46"/>
      <c r="EF289" s="46"/>
      <c r="EG289" s="46"/>
      <c r="EH289" s="46"/>
      <c r="EI289" s="46"/>
      <c r="EJ289" s="46"/>
      <c r="EK289" s="46"/>
      <c r="EL289" s="46"/>
      <c r="EM289" s="46"/>
      <c r="EN289" s="46"/>
      <c r="EO289" s="46"/>
      <c r="EP289" s="46"/>
      <c r="EQ289" s="46"/>
      <c r="ER289" s="46"/>
      <c r="ES289" s="46"/>
      <c r="ET289" s="46"/>
      <c r="EU289" s="46"/>
      <c r="EV289" s="46"/>
      <c r="EW289" s="46"/>
      <c r="EX289" s="46"/>
      <c r="EY289" s="46"/>
      <c r="EZ289" s="46"/>
      <c r="FA289" s="46"/>
      <c r="FB289" s="46"/>
      <c r="FC289" s="46"/>
      <c r="FD289" s="46"/>
      <c r="FE289" s="46"/>
      <c r="FF289" s="46"/>
      <c r="FG289" s="46"/>
      <c r="FH289" s="93">
        <f t="shared" si="99"/>
        <v>0</v>
      </c>
      <c r="FJ289" s="46"/>
      <c r="FK289" s="46"/>
      <c r="FL289" s="46"/>
      <c r="FM289" s="46"/>
      <c r="FN289" s="46"/>
      <c r="FO289" s="46"/>
      <c r="FP289" s="46"/>
      <c r="FQ289" s="46"/>
      <c r="FR289" s="46"/>
      <c r="FS289" s="46"/>
      <c r="FT289" s="46"/>
      <c r="FU289" s="46"/>
      <c r="FV289" s="46"/>
      <c r="FW289" s="46"/>
      <c r="FX289" s="46"/>
      <c r="FY289" s="46"/>
      <c r="FZ289" s="46"/>
      <c r="GA289" s="46"/>
      <c r="GB289" s="46"/>
      <c r="GC289" s="46"/>
      <c r="GD289" s="46"/>
      <c r="GE289" s="46"/>
      <c r="GF289" s="46"/>
      <c r="GG289" s="46"/>
      <c r="GH289" s="46"/>
      <c r="GI289" s="46"/>
      <c r="GJ289" s="46"/>
      <c r="GK289" s="46"/>
      <c r="GL289" s="46"/>
      <c r="GM289" s="46"/>
      <c r="GN289" s="46"/>
      <c r="GO289" s="93">
        <f t="shared" si="84"/>
        <v>0</v>
      </c>
      <c r="GQ289" s="46"/>
      <c r="GR289" s="46"/>
      <c r="GS289" s="46"/>
      <c r="GT289" s="46"/>
      <c r="GU289" s="46"/>
      <c r="GV289" s="46"/>
      <c r="GW289" s="46"/>
      <c r="GX289" s="46"/>
      <c r="GY289" s="46"/>
      <c r="GZ289" s="46"/>
      <c r="HA289" s="46"/>
      <c r="HB289" s="46"/>
      <c r="HC289" s="46"/>
      <c r="HD289" s="46"/>
      <c r="HE289" s="46"/>
      <c r="HF289" s="46"/>
      <c r="HG289" s="46"/>
      <c r="HH289" s="46"/>
      <c r="HI289" s="46"/>
      <c r="HJ289" s="46"/>
      <c r="HK289" s="46"/>
      <c r="HL289" s="46"/>
      <c r="HM289" s="46"/>
      <c r="HN289" s="46"/>
      <c r="HO289" s="46"/>
      <c r="HP289" s="46"/>
      <c r="HQ289" s="46"/>
      <c r="HR289" s="46"/>
      <c r="HS289" s="46"/>
      <c r="HT289" s="46"/>
      <c r="HU289" s="46"/>
      <c r="HV289" s="93">
        <f t="shared" si="85"/>
        <v>0</v>
      </c>
      <c r="HX289" s="46"/>
      <c r="HY289" s="46"/>
      <c r="HZ289" s="46"/>
      <c r="IA289" s="46"/>
      <c r="IB289" s="46"/>
      <c r="IC289" s="46"/>
      <c r="ID289" s="46"/>
      <c r="IE289" s="46"/>
      <c r="IF289" s="46"/>
      <c r="IG289" s="46"/>
      <c r="IH289" s="46"/>
      <c r="II289" s="46"/>
      <c r="IJ289" s="46"/>
      <c r="IK289" s="46"/>
      <c r="IL289" s="46"/>
      <c r="IM289" s="46"/>
      <c r="IN289" s="46"/>
      <c r="IO289" s="46"/>
      <c r="IP289" s="46"/>
      <c r="IQ289" s="46"/>
      <c r="IR289" s="46"/>
      <c r="IS289" s="46"/>
      <c r="IT289" s="46"/>
      <c r="IU289" s="46"/>
      <c r="IV289" s="46"/>
      <c r="IW289" s="46"/>
      <c r="IX289" s="46"/>
      <c r="IY289" s="46"/>
      <c r="IZ289" s="46"/>
      <c r="JA289" s="46"/>
      <c r="JB289" s="46"/>
      <c r="JC289" s="93">
        <f t="shared" si="86"/>
        <v>0</v>
      </c>
      <c r="JE289" s="46"/>
      <c r="JF289" s="46"/>
      <c r="JG289" s="46"/>
      <c r="JH289" s="46"/>
      <c r="JI289" s="46"/>
      <c r="JJ289" s="46"/>
      <c r="JK289" s="46"/>
      <c r="JL289" s="46"/>
      <c r="JM289" s="46"/>
      <c r="JN289" s="46"/>
      <c r="JO289" s="46"/>
      <c r="JP289" s="46"/>
      <c r="JQ289" s="46"/>
      <c r="JR289" s="46"/>
      <c r="JS289" s="46"/>
      <c r="JT289" s="46"/>
      <c r="JU289" s="46"/>
      <c r="JV289" s="46"/>
      <c r="JW289" s="46"/>
      <c r="JX289" s="46"/>
      <c r="JY289" s="46"/>
      <c r="JZ289" s="46"/>
      <c r="KA289" s="46"/>
      <c r="KB289" s="46"/>
      <c r="KC289" s="46"/>
      <c r="KD289" s="46"/>
      <c r="KE289" s="46"/>
      <c r="KF289" s="46"/>
      <c r="KG289" s="46"/>
      <c r="KH289" s="46"/>
      <c r="KI289" s="46"/>
      <c r="KJ289" s="93">
        <f t="shared" si="87"/>
        <v>0</v>
      </c>
    </row>
    <row r="290" spans="1:296" ht="20.149999999999999" customHeight="1" x14ac:dyDescent="0.5">
      <c r="A290" s="11">
        <v>108</v>
      </c>
      <c r="B290" s="184" t="s">
        <v>295</v>
      </c>
      <c r="C290" s="144" t="s">
        <v>201</v>
      </c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>
        <f t="shared" si="88"/>
        <v>0</v>
      </c>
      <c r="S290" s="46">
        <f t="shared" si="89"/>
        <v>0</v>
      </c>
      <c r="T290" s="46">
        <f t="shared" si="90"/>
        <v>0</v>
      </c>
      <c r="U290" s="46">
        <f t="shared" si="91"/>
        <v>0</v>
      </c>
      <c r="V290" s="46">
        <f t="shared" si="92"/>
        <v>0</v>
      </c>
      <c r="W290" s="46">
        <f t="shared" si="93"/>
        <v>0</v>
      </c>
      <c r="X290" s="46">
        <f t="shared" si="94"/>
        <v>0</v>
      </c>
      <c r="Y290" s="46">
        <f t="shared" si="95"/>
        <v>0</v>
      </c>
      <c r="Z290" s="90">
        <f t="shared" si="101"/>
        <v>0</v>
      </c>
      <c r="AB290" s="95">
        <f>'LPLPO PROGRAM'!H121</f>
        <v>0</v>
      </c>
      <c r="AC290" s="91"/>
      <c r="AD290" s="91"/>
      <c r="AE290" s="91"/>
      <c r="AF290" s="91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93">
        <f t="shared" si="97"/>
        <v>0</v>
      </c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93">
        <f t="shared" si="83"/>
        <v>0</v>
      </c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  <c r="DK290" s="46"/>
      <c r="DL290" s="46"/>
      <c r="DM290" s="46"/>
      <c r="DN290" s="46"/>
      <c r="DO290" s="46"/>
      <c r="DP290" s="46"/>
      <c r="DQ290" s="46"/>
      <c r="DR290" s="46"/>
      <c r="DS290" s="46"/>
      <c r="DT290" s="46"/>
      <c r="DU290" s="46"/>
      <c r="DV290" s="46"/>
      <c r="DW290" s="46"/>
      <c r="DX290" s="46"/>
      <c r="DY290" s="46"/>
      <c r="DZ290" s="46"/>
      <c r="EA290" s="93">
        <f t="shared" si="98"/>
        <v>0</v>
      </c>
      <c r="EC290" s="46"/>
      <c r="ED290" s="46"/>
      <c r="EE290" s="46"/>
      <c r="EF290" s="46"/>
      <c r="EG290" s="46"/>
      <c r="EH290" s="46"/>
      <c r="EI290" s="46"/>
      <c r="EJ290" s="46"/>
      <c r="EK290" s="46"/>
      <c r="EL290" s="46"/>
      <c r="EM290" s="46"/>
      <c r="EN290" s="46"/>
      <c r="EO290" s="46"/>
      <c r="EP290" s="46"/>
      <c r="EQ290" s="46"/>
      <c r="ER290" s="46"/>
      <c r="ES290" s="46"/>
      <c r="ET290" s="46"/>
      <c r="EU290" s="46"/>
      <c r="EV290" s="46"/>
      <c r="EW290" s="46"/>
      <c r="EX290" s="46"/>
      <c r="EY290" s="46"/>
      <c r="EZ290" s="46"/>
      <c r="FA290" s="46"/>
      <c r="FB290" s="46"/>
      <c r="FC290" s="46"/>
      <c r="FD290" s="46"/>
      <c r="FE290" s="46"/>
      <c r="FF290" s="46"/>
      <c r="FG290" s="46"/>
      <c r="FH290" s="93">
        <f t="shared" si="99"/>
        <v>0</v>
      </c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6"/>
      <c r="FU290" s="46"/>
      <c r="FV290" s="46"/>
      <c r="FW290" s="46"/>
      <c r="FX290" s="46"/>
      <c r="FY290" s="46"/>
      <c r="FZ290" s="46"/>
      <c r="GA290" s="46"/>
      <c r="GB290" s="46"/>
      <c r="GC290" s="46"/>
      <c r="GD290" s="46"/>
      <c r="GE290" s="46"/>
      <c r="GF290" s="46"/>
      <c r="GG290" s="46"/>
      <c r="GH290" s="46"/>
      <c r="GI290" s="46"/>
      <c r="GJ290" s="46"/>
      <c r="GK290" s="46"/>
      <c r="GL290" s="46"/>
      <c r="GM290" s="46"/>
      <c r="GN290" s="46"/>
      <c r="GO290" s="93">
        <f t="shared" si="84"/>
        <v>0</v>
      </c>
      <c r="GQ290" s="46"/>
      <c r="GR290" s="46"/>
      <c r="GS290" s="46"/>
      <c r="GT290" s="46"/>
      <c r="GU290" s="46"/>
      <c r="GV290" s="46"/>
      <c r="GW290" s="46"/>
      <c r="GX290" s="46"/>
      <c r="GY290" s="46"/>
      <c r="GZ290" s="46"/>
      <c r="HA290" s="46"/>
      <c r="HB290" s="46"/>
      <c r="HC290" s="46"/>
      <c r="HD290" s="46"/>
      <c r="HE290" s="46"/>
      <c r="HF290" s="46"/>
      <c r="HG290" s="46"/>
      <c r="HH290" s="46"/>
      <c r="HI290" s="46"/>
      <c r="HJ290" s="46"/>
      <c r="HK290" s="46"/>
      <c r="HL290" s="46"/>
      <c r="HM290" s="46"/>
      <c r="HN290" s="46"/>
      <c r="HO290" s="46"/>
      <c r="HP290" s="46"/>
      <c r="HQ290" s="46"/>
      <c r="HR290" s="46"/>
      <c r="HS290" s="46"/>
      <c r="HT290" s="46"/>
      <c r="HU290" s="46"/>
      <c r="HV290" s="93">
        <f t="shared" si="85"/>
        <v>0</v>
      </c>
      <c r="HX290" s="46"/>
      <c r="HY290" s="46"/>
      <c r="HZ290" s="46"/>
      <c r="IA290" s="46"/>
      <c r="IB290" s="46"/>
      <c r="IC290" s="46"/>
      <c r="ID290" s="46"/>
      <c r="IE290" s="46"/>
      <c r="IF290" s="46"/>
      <c r="IG290" s="46"/>
      <c r="IH290" s="46"/>
      <c r="II290" s="46"/>
      <c r="IJ290" s="46"/>
      <c r="IK290" s="46"/>
      <c r="IL290" s="46"/>
      <c r="IM290" s="46"/>
      <c r="IN290" s="46"/>
      <c r="IO290" s="46"/>
      <c r="IP290" s="46"/>
      <c r="IQ290" s="46"/>
      <c r="IR290" s="46"/>
      <c r="IS290" s="46"/>
      <c r="IT290" s="46"/>
      <c r="IU290" s="46"/>
      <c r="IV290" s="46"/>
      <c r="IW290" s="46"/>
      <c r="IX290" s="46"/>
      <c r="IY290" s="46"/>
      <c r="IZ290" s="46"/>
      <c r="JA290" s="46"/>
      <c r="JB290" s="46"/>
      <c r="JC290" s="93">
        <f t="shared" si="86"/>
        <v>0</v>
      </c>
      <c r="JE290" s="46"/>
      <c r="JF290" s="46"/>
      <c r="JG290" s="46"/>
      <c r="JH290" s="46"/>
      <c r="JI290" s="46"/>
      <c r="JJ290" s="46"/>
      <c r="JK290" s="46"/>
      <c r="JL290" s="46"/>
      <c r="JM290" s="46"/>
      <c r="JN290" s="46"/>
      <c r="JO290" s="46"/>
      <c r="JP290" s="46"/>
      <c r="JQ290" s="46"/>
      <c r="JR290" s="46"/>
      <c r="JS290" s="46"/>
      <c r="JT290" s="46"/>
      <c r="JU290" s="46"/>
      <c r="JV290" s="46"/>
      <c r="JW290" s="46"/>
      <c r="JX290" s="46"/>
      <c r="JY290" s="46"/>
      <c r="JZ290" s="46"/>
      <c r="KA290" s="46"/>
      <c r="KB290" s="46"/>
      <c r="KC290" s="46"/>
      <c r="KD290" s="46"/>
      <c r="KE290" s="46"/>
      <c r="KF290" s="46"/>
      <c r="KG290" s="46"/>
      <c r="KH290" s="46"/>
      <c r="KI290" s="46"/>
      <c r="KJ290" s="93">
        <f t="shared" si="87"/>
        <v>0</v>
      </c>
    </row>
    <row r="291" spans="1:296" x14ac:dyDescent="0.5">
      <c r="A291" s="11">
        <v>109</v>
      </c>
      <c r="B291" s="184" t="s">
        <v>296</v>
      </c>
      <c r="C291" s="144" t="s">
        <v>201</v>
      </c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>
        <f t="shared" si="88"/>
        <v>0</v>
      </c>
      <c r="S291" s="46">
        <f t="shared" si="89"/>
        <v>0</v>
      </c>
      <c r="T291" s="46">
        <f t="shared" si="90"/>
        <v>0</v>
      </c>
      <c r="U291" s="46">
        <f t="shared" si="91"/>
        <v>0</v>
      </c>
      <c r="V291" s="46">
        <f t="shared" si="92"/>
        <v>0</v>
      </c>
      <c r="W291" s="46">
        <f t="shared" si="93"/>
        <v>0</v>
      </c>
      <c r="X291" s="46">
        <f t="shared" si="94"/>
        <v>0</v>
      </c>
      <c r="Y291" s="46">
        <f t="shared" si="95"/>
        <v>0</v>
      </c>
      <c r="Z291" s="90">
        <f t="shared" si="101"/>
        <v>0</v>
      </c>
      <c r="AB291" s="95">
        <f>'LPLPO PROGRAM'!H122</f>
        <v>0</v>
      </c>
      <c r="AC291" s="91"/>
      <c r="AD291" s="91"/>
      <c r="AE291" s="91"/>
      <c r="AF291" s="91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93">
        <f t="shared" si="97"/>
        <v>0</v>
      </c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93">
        <f t="shared" si="83"/>
        <v>0</v>
      </c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  <c r="DK291" s="46"/>
      <c r="DL291" s="46"/>
      <c r="DM291" s="46"/>
      <c r="DN291" s="46"/>
      <c r="DO291" s="46"/>
      <c r="DP291" s="46"/>
      <c r="DQ291" s="46"/>
      <c r="DR291" s="46"/>
      <c r="DS291" s="46"/>
      <c r="DT291" s="46"/>
      <c r="DU291" s="46"/>
      <c r="DV291" s="46"/>
      <c r="DW291" s="46"/>
      <c r="DX291" s="46"/>
      <c r="DY291" s="46"/>
      <c r="DZ291" s="46"/>
      <c r="EA291" s="93">
        <f t="shared" si="98"/>
        <v>0</v>
      </c>
      <c r="EC291" s="46"/>
      <c r="ED291" s="46"/>
      <c r="EE291" s="46"/>
      <c r="EF291" s="46"/>
      <c r="EG291" s="46"/>
      <c r="EH291" s="46"/>
      <c r="EI291" s="46"/>
      <c r="EJ291" s="46"/>
      <c r="EK291" s="46"/>
      <c r="EL291" s="46"/>
      <c r="EM291" s="46"/>
      <c r="EN291" s="46"/>
      <c r="EO291" s="46"/>
      <c r="EP291" s="46"/>
      <c r="EQ291" s="46"/>
      <c r="ER291" s="46"/>
      <c r="ES291" s="46"/>
      <c r="ET291" s="46"/>
      <c r="EU291" s="46"/>
      <c r="EV291" s="46"/>
      <c r="EW291" s="46"/>
      <c r="EX291" s="46"/>
      <c r="EY291" s="46"/>
      <c r="EZ291" s="46"/>
      <c r="FA291" s="46"/>
      <c r="FB291" s="46"/>
      <c r="FC291" s="46"/>
      <c r="FD291" s="46"/>
      <c r="FE291" s="46"/>
      <c r="FF291" s="46"/>
      <c r="FG291" s="46"/>
      <c r="FH291" s="93">
        <f t="shared" si="99"/>
        <v>0</v>
      </c>
      <c r="FJ291" s="46"/>
      <c r="FK291" s="46"/>
      <c r="FL291" s="46"/>
      <c r="FM291" s="46"/>
      <c r="FN291" s="46"/>
      <c r="FO291" s="46"/>
      <c r="FP291" s="46"/>
      <c r="FQ291" s="46"/>
      <c r="FR291" s="46"/>
      <c r="FS291" s="46"/>
      <c r="FT291" s="46"/>
      <c r="FU291" s="46"/>
      <c r="FV291" s="46"/>
      <c r="FW291" s="46"/>
      <c r="FX291" s="46"/>
      <c r="FY291" s="46"/>
      <c r="FZ291" s="46"/>
      <c r="GA291" s="46"/>
      <c r="GB291" s="46"/>
      <c r="GC291" s="46"/>
      <c r="GD291" s="46"/>
      <c r="GE291" s="46"/>
      <c r="GF291" s="46"/>
      <c r="GG291" s="46"/>
      <c r="GH291" s="46"/>
      <c r="GI291" s="46"/>
      <c r="GJ291" s="46"/>
      <c r="GK291" s="46"/>
      <c r="GL291" s="46"/>
      <c r="GM291" s="46"/>
      <c r="GN291" s="46"/>
      <c r="GO291" s="93">
        <f t="shared" si="84"/>
        <v>0</v>
      </c>
      <c r="GQ291" s="46"/>
      <c r="GR291" s="46"/>
      <c r="GS291" s="46"/>
      <c r="GT291" s="46"/>
      <c r="GU291" s="46"/>
      <c r="GV291" s="46"/>
      <c r="GW291" s="46"/>
      <c r="GX291" s="46"/>
      <c r="GY291" s="46"/>
      <c r="GZ291" s="46"/>
      <c r="HA291" s="46"/>
      <c r="HB291" s="46"/>
      <c r="HC291" s="46"/>
      <c r="HD291" s="46"/>
      <c r="HE291" s="46"/>
      <c r="HF291" s="46"/>
      <c r="HG291" s="46"/>
      <c r="HH291" s="46"/>
      <c r="HI291" s="46"/>
      <c r="HJ291" s="46"/>
      <c r="HK291" s="46"/>
      <c r="HL291" s="46"/>
      <c r="HM291" s="46"/>
      <c r="HN291" s="46"/>
      <c r="HO291" s="46"/>
      <c r="HP291" s="46"/>
      <c r="HQ291" s="46"/>
      <c r="HR291" s="46"/>
      <c r="HS291" s="46"/>
      <c r="HT291" s="46"/>
      <c r="HU291" s="46"/>
      <c r="HV291" s="93">
        <f t="shared" si="85"/>
        <v>0</v>
      </c>
      <c r="HX291" s="46"/>
      <c r="HY291" s="46"/>
      <c r="HZ291" s="46"/>
      <c r="IA291" s="46"/>
      <c r="IB291" s="46"/>
      <c r="IC291" s="46"/>
      <c r="ID291" s="46"/>
      <c r="IE291" s="46"/>
      <c r="IF291" s="46"/>
      <c r="IG291" s="46"/>
      <c r="IH291" s="46"/>
      <c r="II291" s="46"/>
      <c r="IJ291" s="46"/>
      <c r="IK291" s="46"/>
      <c r="IL291" s="46"/>
      <c r="IM291" s="46"/>
      <c r="IN291" s="46"/>
      <c r="IO291" s="46"/>
      <c r="IP291" s="46"/>
      <c r="IQ291" s="46"/>
      <c r="IR291" s="46"/>
      <c r="IS291" s="46"/>
      <c r="IT291" s="46"/>
      <c r="IU291" s="46"/>
      <c r="IV291" s="46"/>
      <c r="IW291" s="46"/>
      <c r="IX291" s="46"/>
      <c r="IY291" s="46"/>
      <c r="IZ291" s="46"/>
      <c r="JA291" s="46"/>
      <c r="JB291" s="46"/>
      <c r="JC291" s="93">
        <f t="shared" si="86"/>
        <v>0</v>
      </c>
      <c r="JE291" s="46"/>
      <c r="JF291" s="46"/>
      <c r="JG291" s="46"/>
      <c r="JH291" s="46"/>
      <c r="JI291" s="46"/>
      <c r="JJ291" s="46"/>
      <c r="JK291" s="46"/>
      <c r="JL291" s="46"/>
      <c r="JM291" s="46"/>
      <c r="JN291" s="46"/>
      <c r="JO291" s="46"/>
      <c r="JP291" s="46"/>
      <c r="JQ291" s="46"/>
      <c r="JR291" s="46"/>
      <c r="JS291" s="46"/>
      <c r="JT291" s="46"/>
      <c r="JU291" s="46"/>
      <c r="JV291" s="46"/>
      <c r="JW291" s="46"/>
      <c r="JX291" s="46"/>
      <c r="JY291" s="46"/>
      <c r="JZ291" s="46"/>
      <c r="KA291" s="46"/>
      <c r="KB291" s="46"/>
      <c r="KC291" s="46"/>
      <c r="KD291" s="46"/>
      <c r="KE291" s="46"/>
      <c r="KF291" s="46"/>
      <c r="KG291" s="46"/>
      <c r="KH291" s="46"/>
      <c r="KI291" s="46"/>
      <c r="KJ291" s="93">
        <f t="shared" si="87"/>
        <v>0</v>
      </c>
    </row>
    <row r="292" spans="1:296" x14ac:dyDescent="0.5">
      <c r="A292" s="11">
        <v>110</v>
      </c>
      <c r="B292" s="184" t="s">
        <v>374</v>
      </c>
      <c r="C292" s="144" t="s">
        <v>6</v>
      </c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>
        <f t="shared" si="88"/>
        <v>0</v>
      </c>
      <c r="S292" s="46">
        <f t="shared" si="89"/>
        <v>0</v>
      </c>
      <c r="T292" s="46">
        <f t="shared" si="90"/>
        <v>0</v>
      </c>
      <c r="U292" s="46">
        <f t="shared" si="91"/>
        <v>0</v>
      </c>
      <c r="V292" s="46">
        <f t="shared" si="92"/>
        <v>0</v>
      </c>
      <c r="W292" s="46">
        <f t="shared" si="93"/>
        <v>0</v>
      </c>
      <c r="X292" s="46">
        <f t="shared" si="94"/>
        <v>0</v>
      </c>
      <c r="Y292" s="46">
        <f t="shared" si="95"/>
        <v>0</v>
      </c>
      <c r="Z292" s="90">
        <f t="shared" si="101"/>
        <v>0</v>
      </c>
      <c r="AB292" s="95">
        <f>'LPLPO PROGRAM'!H123</f>
        <v>0</v>
      </c>
      <c r="AC292" s="91"/>
      <c r="AD292" s="91"/>
      <c r="AE292" s="91"/>
      <c r="AF292" s="91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93">
        <f t="shared" si="97"/>
        <v>0</v>
      </c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93">
        <f t="shared" si="83"/>
        <v>0</v>
      </c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  <c r="DK292" s="46"/>
      <c r="DL292" s="46"/>
      <c r="DM292" s="46"/>
      <c r="DN292" s="46"/>
      <c r="DO292" s="46"/>
      <c r="DP292" s="46"/>
      <c r="DQ292" s="46"/>
      <c r="DR292" s="46"/>
      <c r="DS292" s="46"/>
      <c r="DT292" s="46"/>
      <c r="DU292" s="46"/>
      <c r="DV292" s="46"/>
      <c r="DW292" s="46"/>
      <c r="DX292" s="46"/>
      <c r="DY292" s="46"/>
      <c r="DZ292" s="46"/>
      <c r="EA292" s="93">
        <f t="shared" si="98"/>
        <v>0</v>
      </c>
      <c r="EC292" s="46"/>
      <c r="ED292" s="46"/>
      <c r="EE292" s="46"/>
      <c r="EF292" s="46"/>
      <c r="EG292" s="46"/>
      <c r="EH292" s="46"/>
      <c r="EI292" s="46"/>
      <c r="EJ292" s="46"/>
      <c r="EK292" s="46"/>
      <c r="EL292" s="46"/>
      <c r="EM292" s="46"/>
      <c r="EN292" s="46"/>
      <c r="EO292" s="46"/>
      <c r="EP292" s="46"/>
      <c r="EQ292" s="46"/>
      <c r="ER292" s="46"/>
      <c r="ES292" s="46"/>
      <c r="ET292" s="46"/>
      <c r="EU292" s="46"/>
      <c r="EV292" s="46"/>
      <c r="EW292" s="46"/>
      <c r="EX292" s="46"/>
      <c r="EY292" s="46"/>
      <c r="EZ292" s="46"/>
      <c r="FA292" s="46"/>
      <c r="FB292" s="46"/>
      <c r="FC292" s="46"/>
      <c r="FD292" s="46"/>
      <c r="FE292" s="46"/>
      <c r="FF292" s="46"/>
      <c r="FG292" s="46"/>
      <c r="FH292" s="93">
        <f t="shared" si="99"/>
        <v>0</v>
      </c>
      <c r="FJ292" s="46"/>
      <c r="FK292" s="46"/>
      <c r="FL292" s="46"/>
      <c r="FM292" s="46"/>
      <c r="FN292" s="46"/>
      <c r="FO292" s="46"/>
      <c r="FP292" s="46"/>
      <c r="FQ292" s="46"/>
      <c r="FR292" s="46"/>
      <c r="FS292" s="46"/>
      <c r="FT292" s="46"/>
      <c r="FU292" s="46"/>
      <c r="FV292" s="46"/>
      <c r="FW292" s="46"/>
      <c r="FX292" s="46"/>
      <c r="FY292" s="46"/>
      <c r="FZ292" s="46"/>
      <c r="GA292" s="46"/>
      <c r="GB292" s="46"/>
      <c r="GC292" s="46"/>
      <c r="GD292" s="46"/>
      <c r="GE292" s="46"/>
      <c r="GF292" s="46"/>
      <c r="GG292" s="46"/>
      <c r="GH292" s="46"/>
      <c r="GI292" s="46"/>
      <c r="GJ292" s="46"/>
      <c r="GK292" s="46"/>
      <c r="GL292" s="46"/>
      <c r="GM292" s="46"/>
      <c r="GN292" s="46"/>
      <c r="GO292" s="93">
        <f t="shared" si="84"/>
        <v>0</v>
      </c>
      <c r="GQ292" s="46"/>
      <c r="GR292" s="46"/>
      <c r="GS292" s="46"/>
      <c r="GT292" s="46"/>
      <c r="GU292" s="46"/>
      <c r="GV292" s="46"/>
      <c r="GW292" s="46"/>
      <c r="GX292" s="46"/>
      <c r="GY292" s="46"/>
      <c r="GZ292" s="46"/>
      <c r="HA292" s="46"/>
      <c r="HB292" s="46"/>
      <c r="HC292" s="46"/>
      <c r="HD292" s="46"/>
      <c r="HE292" s="46"/>
      <c r="HF292" s="46"/>
      <c r="HG292" s="46"/>
      <c r="HH292" s="46"/>
      <c r="HI292" s="46"/>
      <c r="HJ292" s="46"/>
      <c r="HK292" s="46"/>
      <c r="HL292" s="46"/>
      <c r="HM292" s="46"/>
      <c r="HN292" s="46"/>
      <c r="HO292" s="46"/>
      <c r="HP292" s="46"/>
      <c r="HQ292" s="46"/>
      <c r="HR292" s="46"/>
      <c r="HS292" s="46"/>
      <c r="HT292" s="46"/>
      <c r="HU292" s="46"/>
      <c r="HV292" s="93">
        <f t="shared" si="85"/>
        <v>0</v>
      </c>
      <c r="HX292" s="46"/>
      <c r="HY292" s="46"/>
      <c r="HZ292" s="46"/>
      <c r="IA292" s="46"/>
      <c r="IB292" s="46"/>
      <c r="IC292" s="46"/>
      <c r="ID292" s="46"/>
      <c r="IE292" s="46"/>
      <c r="IF292" s="46"/>
      <c r="IG292" s="46"/>
      <c r="IH292" s="46"/>
      <c r="II292" s="46"/>
      <c r="IJ292" s="46"/>
      <c r="IK292" s="46"/>
      <c r="IL292" s="46"/>
      <c r="IM292" s="46"/>
      <c r="IN292" s="46"/>
      <c r="IO292" s="46"/>
      <c r="IP292" s="46"/>
      <c r="IQ292" s="46"/>
      <c r="IR292" s="46"/>
      <c r="IS292" s="46"/>
      <c r="IT292" s="46"/>
      <c r="IU292" s="46"/>
      <c r="IV292" s="46"/>
      <c r="IW292" s="46"/>
      <c r="IX292" s="46"/>
      <c r="IY292" s="46"/>
      <c r="IZ292" s="46"/>
      <c r="JA292" s="46"/>
      <c r="JB292" s="46"/>
      <c r="JC292" s="93">
        <f t="shared" si="86"/>
        <v>0</v>
      </c>
      <c r="JE292" s="46"/>
      <c r="JF292" s="46"/>
      <c r="JG292" s="46"/>
      <c r="JH292" s="46"/>
      <c r="JI292" s="46"/>
      <c r="JJ292" s="46"/>
      <c r="JK292" s="46"/>
      <c r="JL292" s="46"/>
      <c r="JM292" s="46"/>
      <c r="JN292" s="46"/>
      <c r="JO292" s="46"/>
      <c r="JP292" s="46"/>
      <c r="JQ292" s="46"/>
      <c r="JR292" s="46"/>
      <c r="JS292" s="46"/>
      <c r="JT292" s="46"/>
      <c r="JU292" s="46"/>
      <c r="JV292" s="46"/>
      <c r="JW292" s="46"/>
      <c r="JX292" s="46"/>
      <c r="JY292" s="46"/>
      <c r="JZ292" s="46"/>
      <c r="KA292" s="46"/>
      <c r="KB292" s="46"/>
      <c r="KC292" s="46"/>
      <c r="KD292" s="46"/>
      <c r="KE292" s="46"/>
      <c r="KF292" s="46"/>
      <c r="KG292" s="46"/>
      <c r="KH292" s="46"/>
      <c r="KI292" s="46"/>
      <c r="KJ292" s="93">
        <f t="shared" si="87"/>
        <v>0</v>
      </c>
    </row>
    <row r="293" spans="1:296" x14ac:dyDescent="0.5">
      <c r="A293" s="11">
        <v>111</v>
      </c>
      <c r="B293" s="184" t="s">
        <v>399</v>
      </c>
      <c r="C293" s="144" t="s">
        <v>289</v>
      </c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>
        <f t="shared" si="88"/>
        <v>0</v>
      </c>
      <c r="S293" s="46">
        <f t="shared" si="89"/>
        <v>0</v>
      </c>
      <c r="T293" s="46">
        <f t="shared" si="90"/>
        <v>0</v>
      </c>
      <c r="U293" s="46">
        <f t="shared" si="91"/>
        <v>0</v>
      </c>
      <c r="V293" s="46">
        <f t="shared" si="92"/>
        <v>0</v>
      </c>
      <c r="W293" s="46">
        <f t="shared" si="93"/>
        <v>0</v>
      </c>
      <c r="X293" s="46">
        <f t="shared" si="94"/>
        <v>0</v>
      </c>
      <c r="Y293" s="46">
        <f t="shared" si="95"/>
        <v>0</v>
      </c>
      <c r="Z293" s="90">
        <f t="shared" si="101"/>
        <v>0</v>
      </c>
      <c r="AB293" s="95">
        <f>'LPLPO PROGRAM'!H124</f>
        <v>0</v>
      </c>
      <c r="AC293" s="91"/>
      <c r="AD293" s="91"/>
      <c r="AE293" s="91"/>
      <c r="AF293" s="91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93">
        <f t="shared" si="97"/>
        <v>0</v>
      </c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93">
        <f t="shared" si="83"/>
        <v>0</v>
      </c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  <c r="DK293" s="46"/>
      <c r="DL293" s="46"/>
      <c r="DM293" s="46"/>
      <c r="DN293" s="46"/>
      <c r="DO293" s="46"/>
      <c r="DP293" s="46"/>
      <c r="DQ293" s="46"/>
      <c r="DR293" s="46"/>
      <c r="DS293" s="46"/>
      <c r="DT293" s="46"/>
      <c r="DU293" s="46"/>
      <c r="DV293" s="46"/>
      <c r="DW293" s="46"/>
      <c r="DX293" s="46"/>
      <c r="DY293" s="46"/>
      <c r="DZ293" s="46"/>
      <c r="EA293" s="93">
        <f t="shared" si="98"/>
        <v>0</v>
      </c>
      <c r="EC293" s="46"/>
      <c r="ED293" s="46"/>
      <c r="EE293" s="46"/>
      <c r="EF293" s="46"/>
      <c r="EG293" s="46"/>
      <c r="EH293" s="46"/>
      <c r="EI293" s="46"/>
      <c r="EJ293" s="46"/>
      <c r="EK293" s="46"/>
      <c r="EL293" s="46"/>
      <c r="EM293" s="46"/>
      <c r="EN293" s="46"/>
      <c r="EO293" s="46"/>
      <c r="EP293" s="46"/>
      <c r="EQ293" s="46"/>
      <c r="ER293" s="46"/>
      <c r="ES293" s="46"/>
      <c r="ET293" s="46"/>
      <c r="EU293" s="46"/>
      <c r="EV293" s="46"/>
      <c r="EW293" s="46"/>
      <c r="EX293" s="46"/>
      <c r="EY293" s="46"/>
      <c r="EZ293" s="46"/>
      <c r="FA293" s="46"/>
      <c r="FB293" s="46"/>
      <c r="FC293" s="46"/>
      <c r="FD293" s="46"/>
      <c r="FE293" s="46"/>
      <c r="FF293" s="46"/>
      <c r="FG293" s="46"/>
      <c r="FH293" s="93">
        <f t="shared" si="99"/>
        <v>0</v>
      </c>
      <c r="FJ293" s="46"/>
      <c r="FK293" s="46"/>
      <c r="FL293" s="46"/>
      <c r="FM293" s="46"/>
      <c r="FN293" s="46"/>
      <c r="FO293" s="46"/>
      <c r="FP293" s="46"/>
      <c r="FQ293" s="46"/>
      <c r="FR293" s="46"/>
      <c r="FS293" s="46"/>
      <c r="FT293" s="46"/>
      <c r="FU293" s="46"/>
      <c r="FV293" s="46"/>
      <c r="FW293" s="46"/>
      <c r="FX293" s="46"/>
      <c r="FY293" s="46"/>
      <c r="FZ293" s="46"/>
      <c r="GA293" s="46"/>
      <c r="GB293" s="46"/>
      <c r="GC293" s="46"/>
      <c r="GD293" s="46"/>
      <c r="GE293" s="46"/>
      <c r="GF293" s="46"/>
      <c r="GG293" s="46"/>
      <c r="GH293" s="46"/>
      <c r="GI293" s="46"/>
      <c r="GJ293" s="46"/>
      <c r="GK293" s="46"/>
      <c r="GL293" s="46"/>
      <c r="GM293" s="46"/>
      <c r="GN293" s="46"/>
      <c r="GO293" s="93">
        <f t="shared" si="84"/>
        <v>0</v>
      </c>
      <c r="GQ293" s="46"/>
      <c r="GR293" s="46"/>
      <c r="GS293" s="46"/>
      <c r="GT293" s="46"/>
      <c r="GU293" s="46"/>
      <c r="GV293" s="46"/>
      <c r="GW293" s="46"/>
      <c r="GX293" s="46"/>
      <c r="GY293" s="46"/>
      <c r="GZ293" s="46"/>
      <c r="HA293" s="46"/>
      <c r="HB293" s="46"/>
      <c r="HC293" s="46"/>
      <c r="HD293" s="46"/>
      <c r="HE293" s="46"/>
      <c r="HF293" s="46"/>
      <c r="HG293" s="46"/>
      <c r="HH293" s="46"/>
      <c r="HI293" s="46"/>
      <c r="HJ293" s="46"/>
      <c r="HK293" s="46"/>
      <c r="HL293" s="46"/>
      <c r="HM293" s="46"/>
      <c r="HN293" s="46"/>
      <c r="HO293" s="46"/>
      <c r="HP293" s="46"/>
      <c r="HQ293" s="46"/>
      <c r="HR293" s="46"/>
      <c r="HS293" s="46"/>
      <c r="HT293" s="46"/>
      <c r="HU293" s="46"/>
      <c r="HV293" s="93">
        <f t="shared" si="85"/>
        <v>0</v>
      </c>
      <c r="HX293" s="46"/>
      <c r="HY293" s="46"/>
      <c r="HZ293" s="46"/>
      <c r="IA293" s="46"/>
      <c r="IB293" s="46"/>
      <c r="IC293" s="46"/>
      <c r="ID293" s="46"/>
      <c r="IE293" s="46"/>
      <c r="IF293" s="46"/>
      <c r="IG293" s="46"/>
      <c r="IH293" s="46"/>
      <c r="II293" s="46"/>
      <c r="IJ293" s="46"/>
      <c r="IK293" s="46"/>
      <c r="IL293" s="46"/>
      <c r="IM293" s="46"/>
      <c r="IN293" s="46"/>
      <c r="IO293" s="46"/>
      <c r="IP293" s="46"/>
      <c r="IQ293" s="46"/>
      <c r="IR293" s="46"/>
      <c r="IS293" s="46"/>
      <c r="IT293" s="46"/>
      <c r="IU293" s="46"/>
      <c r="IV293" s="46"/>
      <c r="IW293" s="46"/>
      <c r="IX293" s="46"/>
      <c r="IY293" s="46"/>
      <c r="IZ293" s="46"/>
      <c r="JA293" s="46"/>
      <c r="JB293" s="46"/>
      <c r="JC293" s="93">
        <f t="shared" si="86"/>
        <v>0</v>
      </c>
      <c r="JE293" s="46"/>
      <c r="JF293" s="46"/>
      <c r="JG293" s="46"/>
      <c r="JH293" s="46"/>
      <c r="JI293" s="46"/>
      <c r="JJ293" s="46"/>
      <c r="JK293" s="46"/>
      <c r="JL293" s="46"/>
      <c r="JM293" s="46"/>
      <c r="JN293" s="46"/>
      <c r="JO293" s="46"/>
      <c r="JP293" s="46"/>
      <c r="JQ293" s="46"/>
      <c r="JR293" s="46"/>
      <c r="JS293" s="46"/>
      <c r="JT293" s="46"/>
      <c r="JU293" s="46"/>
      <c r="JV293" s="46"/>
      <c r="JW293" s="46"/>
      <c r="JX293" s="46"/>
      <c r="JY293" s="46"/>
      <c r="JZ293" s="46"/>
      <c r="KA293" s="46"/>
      <c r="KB293" s="46"/>
      <c r="KC293" s="46"/>
      <c r="KD293" s="46"/>
      <c r="KE293" s="46"/>
      <c r="KF293" s="46"/>
      <c r="KG293" s="46"/>
      <c r="KH293" s="46"/>
      <c r="KI293" s="46"/>
      <c r="KJ293" s="93">
        <f t="shared" si="87"/>
        <v>0</v>
      </c>
    </row>
    <row r="294" spans="1:296" x14ac:dyDescent="0.5">
      <c r="A294" s="11">
        <v>112</v>
      </c>
      <c r="B294" s="184" t="s">
        <v>400</v>
      </c>
      <c r="C294" s="144" t="s">
        <v>273</v>
      </c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>
        <f t="shared" si="88"/>
        <v>0</v>
      </c>
      <c r="S294" s="46">
        <f t="shared" si="89"/>
        <v>0</v>
      </c>
      <c r="T294" s="46">
        <f t="shared" si="90"/>
        <v>0</v>
      </c>
      <c r="U294" s="46">
        <f t="shared" si="91"/>
        <v>0</v>
      </c>
      <c r="V294" s="46">
        <f t="shared" si="92"/>
        <v>0</v>
      </c>
      <c r="W294" s="46">
        <f t="shared" si="93"/>
        <v>0</v>
      </c>
      <c r="X294" s="46">
        <f t="shared" si="94"/>
        <v>0</v>
      </c>
      <c r="Y294" s="46">
        <f t="shared" si="95"/>
        <v>0</v>
      </c>
      <c r="Z294" s="90">
        <f t="shared" si="101"/>
        <v>0</v>
      </c>
      <c r="AB294" s="95">
        <f>'LPLPO PROGRAM'!H125</f>
        <v>0</v>
      </c>
      <c r="AC294" s="91"/>
      <c r="AD294" s="91"/>
      <c r="AE294" s="91"/>
      <c r="AF294" s="91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93">
        <f t="shared" si="97"/>
        <v>0</v>
      </c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93">
        <f t="shared" si="83"/>
        <v>0</v>
      </c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  <c r="DK294" s="46"/>
      <c r="DL294" s="46"/>
      <c r="DM294" s="46"/>
      <c r="DN294" s="46"/>
      <c r="DO294" s="46"/>
      <c r="DP294" s="46"/>
      <c r="DQ294" s="46"/>
      <c r="DR294" s="46"/>
      <c r="DS294" s="46"/>
      <c r="DT294" s="46"/>
      <c r="DU294" s="46"/>
      <c r="DV294" s="46"/>
      <c r="DW294" s="46"/>
      <c r="DX294" s="46"/>
      <c r="DY294" s="46"/>
      <c r="DZ294" s="46"/>
      <c r="EA294" s="93">
        <f t="shared" si="98"/>
        <v>0</v>
      </c>
      <c r="EC294" s="46"/>
      <c r="ED294" s="46"/>
      <c r="EE294" s="46"/>
      <c r="EF294" s="46"/>
      <c r="EG294" s="46"/>
      <c r="EH294" s="46"/>
      <c r="EI294" s="46"/>
      <c r="EJ294" s="46"/>
      <c r="EK294" s="46"/>
      <c r="EL294" s="46"/>
      <c r="EM294" s="46"/>
      <c r="EN294" s="46"/>
      <c r="EO294" s="46"/>
      <c r="EP294" s="46"/>
      <c r="EQ294" s="46"/>
      <c r="ER294" s="46"/>
      <c r="ES294" s="46"/>
      <c r="ET294" s="46"/>
      <c r="EU294" s="46"/>
      <c r="EV294" s="46"/>
      <c r="EW294" s="46"/>
      <c r="EX294" s="46"/>
      <c r="EY294" s="46"/>
      <c r="EZ294" s="46"/>
      <c r="FA294" s="46"/>
      <c r="FB294" s="46"/>
      <c r="FC294" s="46"/>
      <c r="FD294" s="46"/>
      <c r="FE294" s="46"/>
      <c r="FF294" s="46"/>
      <c r="FG294" s="46"/>
      <c r="FH294" s="93">
        <f t="shared" si="99"/>
        <v>0</v>
      </c>
      <c r="FJ294" s="46"/>
      <c r="FK294" s="46"/>
      <c r="FL294" s="46"/>
      <c r="FM294" s="46"/>
      <c r="FN294" s="46"/>
      <c r="FO294" s="46"/>
      <c r="FP294" s="46"/>
      <c r="FQ294" s="46"/>
      <c r="FR294" s="46"/>
      <c r="FS294" s="46"/>
      <c r="FT294" s="46"/>
      <c r="FU294" s="46"/>
      <c r="FV294" s="46"/>
      <c r="FW294" s="46"/>
      <c r="FX294" s="46"/>
      <c r="FY294" s="46"/>
      <c r="FZ294" s="46"/>
      <c r="GA294" s="46"/>
      <c r="GB294" s="46"/>
      <c r="GC294" s="46"/>
      <c r="GD294" s="46"/>
      <c r="GE294" s="46"/>
      <c r="GF294" s="46"/>
      <c r="GG294" s="46"/>
      <c r="GH294" s="46"/>
      <c r="GI294" s="46"/>
      <c r="GJ294" s="46"/>
      <c r="GK294" s="46"/>
      <c r="GL294" s="46"/>
      <c r="GM294" s="46"/>
      <c r="GN294" s="46"/>
      <c r="GO294" s="93">
        <f t="shared" si="84"/>
        <v>0</v>
      </c>
      <c r="GQ294" s="46"/>
      <c r="GR294" s="46"/>
      <c r="GS294" s="46"/>
      <c r="GT294" s="46"/>
      <c r="GU294" s="46"/>
      <c r="GV294" s="46"/>
      <c r="GW294" s="46"/>
      <c r="GX294" s="46"/>
      <c r="GY294" s="46"/>
      <c r="GZ294" s="46"/>
      <c r="HA294" s="46"/>
      <c r="HB294" s="46"/>
      <c r="HC294" s="46"/>
      <c r="HD294" s="46"/>
      <c r="HE294" s="46"/>
      <c r="HF294" s="46"/>
      <c r="HG294" s="46"/>
      <c r="HH294" s="46"/>
      <c r="HI294" s="46"/>
      <c r="HJ294" s="46"/>
      <c r="HK294" s="46"/>
      <c r="HL294" s="46"/>
      <c r="HM294" s="46"/>
      <c r="HN294" s="46"/>
      <c r="HO294" s="46"/>
      <c r="HP294" s="46"/>
      <c r="HQ294" s="46"/>
      <c r="HR294" s="46"/>
      <c r="HS294" s="46"/>
      <c r="HT294" s="46"/>
      <c r="HU294" s="46"/>
      <c r="HV294" s="93">
        <f t="shared" si="85"/>
        <v>0</v>
      </c>
      <c r="HX294" s="46"/>
      <c r="HY294" s="46"/>
      <c r="HZ294" s="46"/>
      <c r="IA294" s="46"/>
      <c r="IB294" s="46"/>
      <c r="IC294" s="46"/>
      <c r="ID294" s="46"/>
      <c r="IE294" s="46"/>
      <c r="IF294" s="46"/>
      <c r="IG294" s="46"/>
      <c r="IH294" s="46"/>
      <c r="II294" s="46"/>
      <c r="IJ294" s="46"/>
      <c r="IK294" s="46"/>
      <c r="IL294" s="46"/>
      <c r="IM294" s="46"/>
      <c r="IN294" s="46"/>
      <c r="IO294" s="46"/>
      <c r="IP294" s="46"/>
      <c r="IQ294" s="46"/>
      <c r="IR294" s="46"/>
      <c r="IS294" s="46"/>
      <c r="IT294" s="46"/>
      <c r="IU294" s="46"/>
      <c r="IV294" s="46"/>
      <c r="IW294" s="46"/>
      <c r="IX294" s="46"/>
      <c r="IY294" s="46"/>
      <c r="IZ294" s="46"/>
      <c r="JA294" s="46"/>
      <c r="JB294" s="46"/>
      <c r="JC294" s="93">
        <f t="shared" si="86"/>
        <v>0</v>
      </c>
      <c r="JE294" s="46"/>
      <c r="JF294" s="46"/>
      <c r="JG294" s="46"/>
      <c r="JH294" s="46"/>
      <c r="JI294" s="46"/>
      <c r="JJ294" s="46"/>
      <c r="JK294" s="46"/>
      <c r="JL294" s="46"/>
      <c r="JM294" s="46"/>
      <c r="JN294" s="46"/>
      <c r="JO294" s="46"/>
      <c r="JP294" s="46"/>
      <c r="JQ294" s="46"/>
      <c r="JR294" s="46"/>
      <c r="JS294" s="46"/>
      <c r="JT294" s="46"/>
      <c r="JU294" s="46"/>
      <c r="JV294" s="46"/>
      <c r="JW294" s="46"/>
      <c r="JX294" s="46"/>
      <c r="JY294" s="46"/>
      <c r="JZ294" s="46"/>
      <c r="KA294" s="46"/>
      <c r="KB294" s="46"/>
      <c r="KC294" s="46"/>
      <c r="KD294" s="46"/>
      <c r="KE294" s="46"/>
      <c r="KF294" s="46"/>
      <c r="KG294" s="46"/>
      <c r="KH294" s="46"/>
      <c r="KI294" s="46"/>
      <c r="KJ294" s="93">
        <f t="shared" si="87"/>
        <v>0</v>
      </c>
    </row>
    <row r="295" spans="1:296" x14ac:dyDescent="0.5">
      <c r="A295" s="11">
        <v>113</v>
      </c>
      <c r="B295" s="184" t="s">
        <v>373</v>
      </c>
      <c r="C295" s="144" t="s">
        <v>6</v>
      </c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>
        <f t="shared" si="88"/>
        <v>0</v>
      </c>
      <c r="S295" s="46">
        <f t="shared" si="89"/>
        <v>0</v>
      </c>
      <c r="T295" s="46">
        <f t="shared" si="90"/>
        <v>0</v>
      </c>
      <c r="U295" s="46">
        <f t="shared" si="91"/>
        <v>0</v>
      </c>
      <c r="V295" s="46">
        <f t="shared" si="92"/>
        <v>0</v>
      </c>
      <c r="W295" s="46">
        <f t="shared" si="93"/>
        <v>0</v>
      </c>
      <c r="X295" s="46">
        <f t="shared" si="94"/>
        <v>0</v>
      </c>
      <c r="Y295" s="46">
        <f t="shared" si="95"/>
        <v>0</v>
      </c>
      <c r="Z295" s="90">
        <f t="shared" si="101"/>
        <v>0</v>
      </c>
      <c r="AB295" s="95">
        <f>'LPLPO PROGRAM'!H126</f>
        <v>0</v>
      </c>
      <c r="AC295" s="91"/>
      <c r="AD295" s="91"/>
      <c r="AE295" s="91"/>
      <c r="AF295" s="91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93">
        <f t="shared" si="97"/>
        <v>0</v>
      </c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93">
        <f t="shared" si="83"/>
        <v>0</v>
      </c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  <c r="DK295" s="46"/>
      <c r="DL295" s="46"/>
      <c r="DM295" s="46"/>
      <c r="DN295" s="46"/>
      <c r="DO295" s="46"/>
      <c r="DP295" s="46"/>
      <c r="DQ295" s="46"/>
      <c r="DR295" s="46"/>
      <c r="DS295" s="46"/>
      <c r="DT295" s="46"/>
      <c r="DU295" s="46"/>
      <c r="DV295" s="46"/>
      <c r="DW295" s="46"/>
      <c r="DX295" s="46"/>
      <c r="DY295" s="46"/>
      <c r="DZ295" s="46"/>
      <c r="EA295" s="93">
        <f t="shared" si="98"/>
        <v>0</v>
      </c>
      <c r="EC295" s="46"/>
      <c r="ED295" s="46"/>
      <c r="EE295" s="46"/>
      <c r="EF295" s="46"/>
      <c r="EG295" s="46"/>
      <c r="EH295" s="46"/>
      <c r="EI295" s="46"/>
      <c r="EJ295" s="46"/>
      <c r="EK295" s="46"/>
      <c r="EL295" s="46"/>
      <c r="EM295" s="46"/>
      <c r="EN295" s="46"/>
      <c r="EO295" s="46"/>
      <c r="EP295" s="46"/>
      <c r="EQ295" s="46"/>
      <c r="ER295" s="46"/>
      <c r="ES295" s="46"/>
      <c r="ET295" s="46"/>
      <c r="EU295" s="46"/>
      <c r="EV295" s="46"/>
      <c r="EW295" s="46"/>
      <c r="EX295" s="46"/>
      <c r="EY295" s="46"/>
      <c r="EZ295" s="46"/>
      <c r="FA295" s="46"/>
      <c r="FB295" s="46"/>
      <c r="FC295" s="46"/>
      <c r="FD295" s="46"/>
      <c r="FE295" s="46"/>
      <c r="FF295" s="46"/>
      <c r="FG295" s="46"/>
      <c r="FH295" s="93">
        <f t="shared" si="99"/>
        <v>0</v>
      </c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6"/>
      <c r="FU295" s="46"/>
      <c r="FV295" s="46"/>
      <c r="FW295" s="46"/>
      <c r="FX295" s="46"/>
      <c r="FY295" s="46"/>
      <c r="FZ295" s="46"/>
      <c r="GA295" s="46"/>
      <c r="GB295" s="46"/>
      <c r="GC295" s="46"/>
      <c r="GD295" s="46"/>
      <c r="GE295" s="46"/>
      <c r="GF295" s="46"/>
      <c r="GG295" s="46"/>
      <c r="GH295" s="46"/>
      <c r="GI295" s="46"/>
      <c r="GJ295" s="46"/>
      <c r="GK295" s="46"/>
      <c r="GL295" s="46"/>
      <c r="GM295" s="46"/>
      <c r="GN295" s="46"/>
      <c r="GO295" s="93">
        <f t="shared" si="84"/>
        <v>0</v>
      </c>
      <c r="GQ295" s="46"/>
      <c r="GR295" s="46"/>
      <c r="GS295" s="46"/>
      <c r="GT295" s="46"/>
      <c r="GU295" s="46"/>
      <c r="GV295" s="46"/>
      <c r="GW295" s="46"/>
      <c r="GX295" s="46"/>
      <c r="GY295" s="46"/>
      <c r="GZ295" s="46"/>
      <c r="HA295" s="46"/>
      <c r="HB295" s="46"/>
      <c r="HC295" s="46"/>
      <c r="HD295" s="46"/>
      <c r="HE295" s="46"/>
      <c r="HF295" s="46"/>
      <c r="HG295" s="46"/>
      <c r="HH295" s="46"/>
      <c r="HI295" s="46"/>
      <c r="HJ295" s="46"/>
      <c r="HK295" s="46"/>
      <c r="HL295" s="46"/>
      <c r="HM295" s="46"/>
      <c r="HN295" s="46"/>
      <c r="HO295" s="46"/>
      <c r="HP295" s="46"/>
      <c r="HQ295" s="46"/>
      <c r="HR295" s="46"/>
      <c r="HS295" s="46"/>
      <c r="HT295" s="46"/>
      <c r="HU295" s="46"/>
      <c r="HV295" s="93">
        <f t="shared" si="85"/>
        <v>0</v>
      </c>
      <c r="HX295" s="46"/>
      <c r="HY295" s="46"/>
      <c r="HZ295" s="46"/>
      <c r="IA295" s="46"/>
      <c r="IB295" s="46"/>
      <c r="IC295" s="46"/>
      <c r="ID295" s="46"/>
      <c r="IE295" s="46"/>
      <c r="IF295" s="46"/>
      <c r="IG295" s="46"/>
      <c r="IH295" s="46"/>
      <c r="II295" s="46"/>
      <c r="IJ295" s="46"/>
      <c r="IK295" s="46"/>
      <c r="IL295" s="46"/>
      <c r="IM295" s="46"/>
      <c r="IN295" s="46"/>
      <c r="IO295" s="46"/>
      <c r="IP295" s="46"/>
      <c r="IQ295" s="46"/>
      <c r="IR295" s="46"/>
      <c r="IS295" s="46"/>
      <c r="IT295" s="46"/>
      <c r="IU295" s="46"/>
      <c r="IV295" s="46"/>
      <c r="IW295" s="46"/>
      <c r="IX295" s="46"/>
      <c r="IY295" s="46"/>
      <c r="IZ295" s="46"/>
      <c r="JA295" s="46"/>
      <c r="JB295" s="46"/>
      <c r="JC295" s="93">
        <f t="shared" si="86"/>
        <v>0</v>
      </c>
      <c r="JE295" s="46"/>
      <c r="JF295" s="46"/>
      <c r="JG295" s="46"/>
      <c r="JH295" s="46"/>
      <c r="JI295" s="46"/>
      <c r="JJ295" s="46"/>
      <c r="JK295" s="46"/>
      <c r="JL295" s="46"/>
      <c r="JM295" s="46"/>
      <c r="JN295" s="46"/>
      <c r="JO295" s="46"/>
      <c r="JP295" s="46"/>
      <c r="JQ295" s="46"/>
      <c r="JR295" s="46"/>
      <c r="JS295" s="46"/>
      <c r="JT295" s="46"/>
      <c r="JU295" s="46"/>
      <c r="JV295" s="46"/>
      <c r="JW295" s="46"/>
      <c r="JX295" s="46"/>
      <c r="JY295" s="46"/>
      <c r="JZ295" s="46"/>
      <c r="KA295" s="46"/>
      <c r="KB295" s="46"/>
      <c r="KC295" s="46"/>
      <c r="KD295" s="46"/>
      <c r="KE295" s="46"/>
      <c r="KF295" s="46"/>
      <c r="KG295" s="46"/>
      <c r="KH295" s="46"/>
      <c r="KI295" s="46"/>
      <c r="KJ295" s="93">
        <f t="shared" si="87"/>
        <v>0</v>
      </c>
    </row>
    <row r="296" spans="1:296" x14ac:dyDescent="0.5">
      <c r="A296" s="11">
        <v>114</v>
      </c>
      <c r="B296" s="184" t="s">
        <v>378</v>
      </c>
      <c r="C296" s="144" t="s">
        <v>4</v>
      </c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>
        <f t="shared" si="88"/>
        <v>0</v>
      </c>
      <c r="S296" s="46">
        <f t="shared" si="89"/>
        <v>0</v>
      </c>
      <c r="T296" s="46">
        <f t="shared" si="90"/>
        <v>0</v>
      </c>
      <c r="U296" s="46">
        <f t="shared" si="91"/>
        <v>0</v>
      </c>
      <c r="V296" s="46">
        <f t="shared" si="92"/>
        <v>0</v>
      </c>
      <c r="W296" s="46">
        <f t="shared" si="93"/>
        <v>0</v>
      </c>
      <c r="X296" s="46">
        <f t="shared" si="94"/>
        <v>0</v>
      </c>
      <c r="Y296" s="46">
        <f t="shared" si="95"/>
        <v>0</v>
      </c>
      <c r="Z296" s="90">
        <f t="shared" si="101"/>
        <v>0</v>
      </c>
      <c r="AB296" s="95">
        <f>'LPLPO PROGRAM'!H127</f>
        <v>0</v>
      </c>
      <c r="AC296" s="91"/>
      <c r="AD296" s="91"/>
      <c r="AE296" s="91"/>
      <c r="AF296" s="91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93">
        <f t="shared" si="97"/>
        <v>0</v>
      </c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93">
        <f t="shared" si="83"/>
        <v>0</v>
      </c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  <c r="DK296" s="46"/>
      <c r="DL296" s="46"/>
      <c r="DM296" s="46"/>
      <c r="DN296" s="46"/>
      <c r="DO296" s="46"/>
      <c r="DP296" s="46"/>
      <c r="DQ296" s="46"/>
      <c r="DR296" s="46"/>
      <c r="DS296" s="46"/>
      <c r="DT296" s="46"/>
      <c r="DU296" s="46"/>
      <c r="DV296" s="46"/>
      <c r="DW296" s="46"/>
      <c r="DX296" s="46"/>
      <c r="DY296" s="46"/>
      <c r="DZ296" s="46"/>
      <c r="EA296" s="93">
        <f t="shared" si="98"/>
        <v>0</v>
      </c>
      <c r="EC296" s="46"/>
      <c r="ED296" s="46"/>
      <c r="EE296" s="46"/>
      <c r="EF296" s="46"/>
      <c r="EG296" s="46"/>
      <c r="EH296" s="46"/>
      <c r="EI296" s="46"/>
      <c r="EJ296" s="46"/>
      <c r="EK296" s="46"/>
      <c r="EL296" s="46"/>
      <c r="EM296" s="46"/>
      <c r="EN296" s="46"/>
      <c r="EO296" s="46"/>
      <c r="EP296" s="46"/>
      <c r="EQ296" s="46"/>
      <c r="ER296" s="46"/>
      <c r="ES296" s="46"/>
      <c r="ET296" s="46"/>
      <c r="EU296" s="46"/>
      <c r="EV296" s="46"/>
      <c r="EW296" s="46"/>
      <c r="EX296" s="46"/>
      <c r="EY296" s="46"/>
      <c r="EZ296" s="46"/>
      <c r="FA296" s="46"/>
      <c r="FB296" s="46"/>
      <c r="FC296" s="46"/>
      <c r="FD296" s="46"/>
      <c r="FE296" s="46"/>
      <c r="FF296" s="46"/>
      <c r="FG296" s="46"/>
      <c r="FH296" s="93">
        <f t="shared" si="99"/>
        <v>0</v>
      </c>
      <c r="FJ296" s="46"/>
      <c r="FK296" s="46"/>
      <c r="FL296" s="46"/>
      <c r="FM296" s="46"/>
      <c r="FN296" s="46"/>
      <c r="FO296" s="46"/>
      <c r="FP296" s="46"/>
      <c r="FQ296" s="46"/>
      <c r="FR296" s="46"/>
      <c r="FS296" s="46"/>
      <c r="FT296" s="46"/>
      <c r="FU296" s="46"/>
      <c r="FV296" s="46"/>
      <c r="FW296" s="46"/>
      <c r="FX296" s="46"/>
      <c r="FY296" s="46"/>
      <c r="FZ296" s="46"/>
      <c r="GA296" s="46"/>
      <c r="GB296" s="46"/>
      <c r="GC296" s="46"/>
      <c r="GD296" s="46"/>
      <c r="GE296" s="46"/>
      <c r="GF296" s="46"/>
      <c r="GG296" s="46"/>
      <c r="GH296" s="46"/>
      <c r="GI296" s="46"/>
      <c r="GJ296" s="46"/>
      <c r="GK296" s="46"/>
      <c r="GL296" s="46"/>
      <c r="GM296" s="46"/>
      <c r="GN296" s="46"/>
      <c r="GO296" s="93">
        <f t="shared" si="84"/>
        <v>0</v>
      </c>
      <c r="GQ296" s="46"/>
      <c r="GR296" s="46"/>
      <c r="GS296" s="46"/>
      <c r="GT296" s="46"/>
      <c r="GU296" s="46"/>
      <c r="GV296" s="46"/>
      <c r="GW296" s="46"/>
      <c r="GX296" s="46"/>
      <c r="GY296" s="46"/>
      <c r="GZ296" s="46"/>
      <c r="HA296" s="46"/>
      <c r="HB296" s="46"/>
      <c r="HC296" s="46"/>
      <c r="HD296" s="46"/>
      <c r="HE296" s="46"/>
      <c r="HF296" s="46"/>
      <c r="HG296" s="46"/>
      <c r="HH296" s="46"/>
      <c r="HI296" s="46"/>
      <c r="HJ296" s="46"/>
      <c r="HK296" s="46"/>
      <c r="HL296" s="46"/>
      <c r="HM296" s="46"/>
      <c r="HN296" s="46"/>
      <c r="HO296" s="46"/>
      <c r="HP296" s="46"/>
      <c r="HQ296" s="46"/>
      <c r="HR296" s="46"/>
      <c r="HS296" s="46"/>
      <c r="HT296" s="46"/>
      <c r="HU296" s="46"/>
      <c r="HV296" s="93">
        <f t="shared" si="85"/>
        <v>0</v>
      </c>
      <c r="HX296" s="46"/>
      <c r="HY296" s="46"/>
      <c r="HZ296" s="46"/>
      <c r="IA296" s="46"/>
      <c r="IB296" s="46"/>
      <c r="IC296" s="46"/>
      <c r="ID296" s="46"/>
      <c r="IE296" s="46"/>
      <c r="IF296" s="46"/>
      <c r="IG296" s="46"/>
      <c r="IH296" s="46"/>
      <c r="II296" s="46"/>
      <c r="IJ296" s="46"/>
      <c r="IK296" s="46"/>
      <c r="IL296" s="46"/>
      <c r="IM296" s="46"/>
      <c r="IN296" s="46"/>
      <c r="IO296" s="46"/>
      <c r="IP296" s="46"/>
      <c r="IQ296" s="46"/>
      <c r="IR296" s="46"/>
      <c r="IS296" s="46"/>
      <c r="IT296" s="46"/>
      <c r="IU296" s="46"/>
      <c r="IV296" s="46"/>
      <c r="IW296" s="46"/>
      <c r="IX296" s="46"/>
      <c r="IY296" s="46"/>
      <c r="IZ296" s="46"/>
      <c r="JA296" s="46"/>
      <c r="JB296" s="46"/>
      <c r="JC296" s="93">
        <f t="shared" si="86"/>
        <v>0</v>
      </c>
      <c r="JE296" s="46"/>
      <c r="JF296" s="46"/>
      <c r="JG296" s="46"/>
      <c r="JH296" s="46"/>
      <c r="JI296" s="46"/>
      <c r="JJ296" s="46"/>
      <c r="JK296" s="46"/>
      <c r="JL296" s="46"/>
      <c r="JM296" s="46"/>
      <c r="JN296" s="46"/>
      <c r="JO296" s="46"/>
      <c r="JP296" s="46"/>
      <c r="JQ296" s="46"/>
      <c r="JR296" s="46"/>
      <c r="JS296" s="46"/>
      <c r="JT296" s="46"/>
      <c r="JU296" s="46"/>
      <c r="JV296" s="46"/>
      <c r="JW296" s="46"/>
      <c r="JX296" s="46"/>
      <c r="JY296" s="46"/>
      <c r="JZ296" s="46"/>
      <c r="KA296" s="46"/>
      <c r="KB296" s="46"/>
      <c r="KC296" s="46"/>
      <c r="KD296" s="46"/>
      <c r="KE296" s="46"/>
      <c r="KF296" s="46"/>
      <c r="KG296" s="46"/>
      <c r="KH296" s="46"/>
      <c r="KI296" s="46"/>
      <c r="KJ296" s="93">
        <f t="shared" si="87"/>
        <v>0</v>
      </c>
    </row>
    <row r="297" spans="1:296" x14ac:dyDescent="0.5">
      <c r="A297" s="11">
        <v>115</v>
      </c>
      <c r="B297" s="184" t="s">
        <v>301</v>
      </c>
      <c r="C297" s="144" t="s">
        <v>6</v>
      </c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>
        <f t="shared" si="88"/>
        <v>0</v>
      </c>
      <c r="S297" s="46">
        <f t="shared" si="89"/>
        <v>0</v>
      </c>
      <c r="T297" s="46">
        <f t="shared" si="90"/>
        <v>0</v>
      </c>
      <c r="U297" s="46">
        <f t="shared" si="91"/>
        <v>0</v>
      </c>
      <c r="V297" s="46">
        <f t="shared" si="92"/>
        <v>0</v>
      </c>
      <c r="W297" s="46">
        <f t="shared" si="93"/>
        <v>0</v>
      </c>
      <c r="X297" s="46">
        <f t="shared" si="94"/>
        <v>0</v>
      </c>
      <c r="Y297" s="46">
        <f t="shared" si="95"/>
        <v>0</v>
      </c>
      <c r="Z297" s="90">
        <f t="shared" si="101"/>
        <v>0</v>
      </c>
      <c r="AB297" s="95">
        <f>'LPLPO PROGRAM'!H128</f>
        <v>0</v>
      </c>
      <c r="AC297" s="91"/>
      <c r="AD297" s="91"/>
      <c r="AE297" s="91"/>
      <c r="AF297" s="91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93">
        <f t="shared" si="97"/>
        <v>0</v>
      </c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93">
        <f t="shared" si="83"/>
        <v>0</v>
      </c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  <c r="DK297" s="46"/>
      <c r="DL297" s="46"/>
      <c r="DM297" s="46"/>
      <c r="DN297" s="46"/>
      <c r="DO297" s="46"/>
      <c r="DP297" s="46"/>
      <c r="DQ297" s="46"/>
      <c r="DR297" s="46"/>
      <c r="DS297" s="46"/>
      <c r="DT297" s="46"/>
      <c r="DU297" s="46"/>
      <c r="DV297" s="46"/>
      <c r="DW297" s="46"/>
      <c r="DX297" s="46"/>
      <c r="DY297" s="46"/>
      <c r="DZ297" s="46"/>
      <c r="EA297" s="93">
        <f t="shared" si="98"/>
        <v>0</v>
      </c>
      <c r="EC297" s="46"/>
      <c r="ED297" s="46"/>
      <c r="EE297" s="46"/>
      <c r="EF297" s="46"/>
      <c r="EG297" s="46"/>
      <c r="EH297" s="46"/>
      <c r="EI297" s="46"/>
      <c r="EJ297" s="46"/>
      <c r="EK297" s="46"/>
      <c r="EL297" s="46"/>
      <c r="EM297" s="46"/>
      <c r="EN297" s="46"/>
      <c r="EO297" s="46"/>
      <c r="EP297" s="46"/>
      <c r="EQ297" s="46"/>
      <c r="ER297" s="46"/>
      <c r="ES297" s="46"/>
      <c r="ET297" s="46"/>
      <c r="EU297" s="46"/>
      <c r="EV297" s="46"/>
      <c r="EW297" s="46"/>
      <c r="EX297" s="46"/>
      <c r="EY297" s="46"/>
      <c r="EZ297" s="46"/>
      <c r="FA297" s="46"/>
      <c r="FB297" s="46"/>
      <c r="FC297" s="46"/>
      <c r="FD297" s="46"/>
      <c r="FE297" s="46"/>
      <c r="FF297" s="46"/>
      <c r="FG297" s="46"/>
      <c r="FH297" s="93">
        <f t="shared" si="99"/>
        <v>0</v>
      </c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6"/>
      <c r="FU297" s="46"/>
      <c r="FV297" s="46"/>
      <c r="FW297" s="46"/>
      <c r="FX297" s="46"/>
      <c r="FY297" s="46"/>
      <c r="FZ297" s="46"/>
      <c r="GA297" s="46"/>
      <c r="GB297" s="46"/>
      <c r="GC297" s="46"/>
      <c r="GD297" s="46"/>
      <c r="GE297" s="46"/>
      <c r="GF297" s="46"/>
      <c r="GG297" s="46"/>
      <c r="GH297" s="46"/>
      <c r="GI297" s="46"/>
      <c r="GJ297" s="46"/>
      <c r="GK297" s="46"/>
      <c r="GL297" s="46"/>
      <c r="GM297" s="46"/>
      <c r="GN297" s="46"/>
      <c r="GO297" s="93">
        <f t="shared" si="84"/>
        <v>0</v>
      </c>
      <c r="GQ297" s="46"/>
      <c r="GR297" s="46"/>
      <c r="GS297" s="46"/>
      <c r="GT297" s="46"/>
      <c r="GU297" s="46"/>
      <c r="GV297" s="46"/>
      <c r="GW297" s="46"/>
      <c r="GX297" s="46"/>
      <c r="GY297" s="46"/>
      <c r="GZ297" s="46"/>
      <c r="HA297" s="46"/>
      <c r="HB297" s="46"/>
      <c r="HC297" s="46"/>
      <c r="HD297" s="46"/>
      <c r="HE297" s="46"/>
      <c r="HF297" s="46"/>
      <c r="HG297" s="46"/>
      <c r="HH297" s="46"/>
      <c r="HI297" s="46"/>
      <c r="HJ297" s="46"/>
      <c r="HK297" s="46"/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93">
        <f t="shared" si="85"/>
        <v>0</v>
      </c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  <c r="IT297" s="46"/>
      <c r="IU297" s="46"/>
      <c r="IV297" s="46"/>
      <c r="IW297" s="46"/>
      <c r="IX297" s="46"/>
      <c r="IY297" s="46"/>
      <c r="IZ297" s="46"/>
      <c r="JA297" s="46"/>
      <c r="JB297" s="46"/>
      <c r="JC297" s="93">
        <f t="shared" si="86"/>
        <v>0</v>
      </c>
      <c r="JE297" s="46"/>
      <c r="JF297" s="46"/>
      <c r="JG297" s="46"/>
      <c r="JH297" s="46"/>
      <c r="JI297" s="46"/>
      <c r="JJ297" s="46"/>
      <c r="JK297" s="46"/>
      <c r="JL297" s="46"/>
      <c r="JM297" s="46"/>
      <c r="JN297" s="46"/>
      <c r="JO297" s="46"/>
      <c r="JP297" s="46"/>
      <c r="JQ297" s="46"/>
      <c r="JR297" s="46"/>
      <c r="JS297" s="46"/>
      <c r="JT297" s="46"/>
      <c r="JU297" s="46"/>
      <c r="JV297" s="46"/>
      <c r="JW297" s="46"/>
      <c r="JX297" s="46"/>
      <c r="JY297" s="46"/>
      <c r="JZ297" s="46"/>
      <c r="KA297" s="46"/>
      <c r="KB297" s="46"/>
      <c r="KC297" s="46"/>
      <c r="KD297" s="46"/>
      <c r="KE297" s="46"/>
      <c r="KF297" s="46"/>
      <c r="KG297" s="46"/>
      <c r="KH297" s="46"/>
      <c r="KI297" s="46"/>
      <c r="KJ297" s="93">
        <f t="shared" si="87"/>
        <v>0</v>
      </c>
    </row>
    <row r="298" spans="1:296" x14ac:dyDescent="0.5">
      <c r="A298" s="11">
        <v>116</v>
      </c>
      <c r="B298" s="184" t="s">
        <v>375</v>
      </c>
      <c r="C298" s="144" t="s">
        <v>212</v>
      </c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>
        <f t="shared" si="88"/>
        <v>0</v>
      </c>
      <c r="S298" s="46">
        <f t="shared" si="89"/>
        <v>0</v>
      </c>
      <c r="T298" s="46">
        <f t="shared" si="90"/>
        <v>0</v>
      </c>
      <c r="U298" s="46">
        <f t="shared" si="91"/>
        <v>0</v>
      </c>
      <c r="V298" s="46">
        <f t="shared" si="92"/>
        <v>0</v>
      </c>
      <c r="W298" s="46">
        <f t="shared" si="93"/>
        <v>0</v>
      </c>
      <c r="X298" s="46">
        <f t="shared" si="94"/>
        <v>0</v>
      </c>
      <c r="Y298" s="46">
        <f t="shared" si="95"/>
        <v>0</v>
      </c>
      <c r="Z298" s="90">
        <f t="shared" si="101"/>
        <v>0</v>
      </c>
      <c r="AB298" s="95">
        <f>'LPLPO PROGRAM'!H129</f>
        <v>0</v>
      </c>
      <c r="AC298" s="91"/>
      <c r="AD298" s="91"/>
      <c r="AE298" s="91"/>
      <c r="AF298" s="91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93">
        <f t="shared" si="97"/>
        <v>0</v>
      </c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93">
        <f t="shared" si="83"/>
        <v>0</v>
      </c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  <c r="DK298" s="46"/>
      <c r="DL298" s="46"/>
      <c r="DM298" s="46"/>
      <c r="DN298" s="46"/>
      <c r="DO298" s="46"/>
      <c r="DP298" s="46"/>
      <c r="DQ298" s="46"/>
      <c r="DR298" s="46"/>
      <c r="DS298" s="46"/>
      <c r="DT298" s="46"/>
      <c r="DU298" s="46"/>
      <c r="DV298" s="46"/>
      <c r="DW298" s="46"/>
      <c r="DX298" s="46"/>
      <c r="DY298" s="46"/>
      <c r="DZ298" s="46"/>
      <c r="EA298" s="93">
        <f t="shared" si="98"/>
        <v>0</v>
      </c>
      <c r="EC298" s="46"/>
      <c r="ED298" s="46"/>
      <c r="EE298" s="46"/>
      <c r="EF298" s="46"/>
      <c r="EG298" s="46"/>
      <c r="EH298" s="46"/>
      <c r="EI298" s="46"/>
      <c r="EJ298" s="46"/>
      <c r="EK298" s="46"/>
      <c r="EL298" s="46"/>
      <c r="EM298" s="46"/>
      <c r="EN298" s="46"/>
      <c r="EO298" s="46"/>
      <c r="EP298" s="46"/>
      <c r="EQ298" s="46"/>
      <c r="ER298" s="46"/>
      <c r="ES298" s="46"/>
      <c r="ET298" s="46"/>
      <c r="EU298" s="46"/>
      <c r="EV298" s="46"/>
      <c r="EW298" s="46"/>
      <c r="EX298" s="46"/>
      <c r="EY298" s="46"/>
      <c r="EZ298" s="46"/>
      <c r="FA298" s="46"/>
      <c r="FB298" s="46"/>
      <c r="FC298" s="46"/>
      <c r="FD298" s="46"/>
      <c r="FE298" s="46"/>
      <c r="FF298" s="46"/>
      <c r="FG298" s="46"/>
      <c r="FH298" s="93">
        <f t="shared" si="99"/>
        <v>0</v>
      </c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6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46"/>
      <c r="GF298" s="46"/>
      <c r="GG298" s="46"/>
      <c r="GH298" s="46"/>
      <c r="GI298" s="46"/>
      <c r="GJ298" s="46"/>
      <c r="GK298" s="46"/>
      <c r="GL298" s="46"/>
      <c r="GM298" s="46"/>
      <c r="GN298" s="46"/>
      <c r="GO298" s="93">
        <f t="shared" si="84"/>
        <v>0</v>
      </c>
      <c r="GQ298" s="46"/>
      <c r="GR298" s="46"/>
      <c r="GS298" s="46"/>
      <c r="GT298" s="46"/>
      <c r="GU298" s="46"/>
      <c r="GV298" s="46"/>
      <c r="GW298" s="46"/>
      <c r="GX298" s="46"/>
      <c r="GY298" s="46"/>
      <c r="GZ298" s="46"/>
      <c r="HA298" s="46"/>
      <c r="HB298" s="46"/>
      <c r="HC298" s="46"/>
      <c r="HD298" s="46"/>
      <c r="HE298" s="46"/>
      <c r="HF298" s="46"/>
      <c r="HG298" s="46"/>
      <c r="HH298" s="46"/>
      <c r="HI298" s="46"/>
      <c r="HJ298" s="46"/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93">
        <f t="shared" si="85"/>
        <v>0</v>
      </c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  <c r="IT298" s="46"/>
      <c r="IU298" s="46"/>
      <c r="IV298" s="46"/>
      <c r="IW298" s="46"/>
      <c r="IX298" s="46"/>
      <c r="IY298" s="46"/>
      <c r="IZ298" s="46"/>
      <c r="JA298" s="46"/>
      <c r="JB298" s="46"/>
      <c r="JC298" s="93">
        <f t="shared" si="86"/>
        <v>0</v>
      </c>
      <c r="JE298" s="46"/>
      <c r="JF298" s="46"/>
      <c r="JG298" s="46"/>
      <c r="JH298" s="46"/>
      <c r="JI298" s="46"/>
      <c r="JJ298" s="46"/>
      <c r="JK298" s="46"/>
      <c r="JL298" s="46"/>
      <c r="JM298" s="46"/>
      <c r="JN298" s="46"/>
      <c r="JO298" s="46"/>
      <c r="JP298" s="46"/>
      <c r="JQ298" s="46"/>
      <c r="JR298" s="46"/>
      <c r="JS298" s="46"/>
      <c r="JT298" s="46"/>
      <c r="JU298" s="46"/>
      <c r="JV298" s="46"/>
      <c r="JW298" s="46"/>
      <c r="JX298" s="46"/>
      <c r="JY298" s="46"/>
      <c r="JZ298" s="46"/>
      <c r="KA298" s="46"/>
      <c r="KB298" s="46"/>
      <c r="KC298" s="46"/>
      <c r="KD298" s="46"/>
      <c r="KE298" s="46"/>
      <c r="KF298" s="46"/>
      <c r="KG298" s="46"/>
      <c r="KH298" s="46"/>
      <c r="KI298" s="46"/>
      <c r="KJ298" s="93">
        <f t="shared" si="87"/>
        <v>0</v>
      </c>
    </row>
    <row r="299" spans="1:296" x14ac:dyDescent="0.5">
      <c r="A299" s="11">
        <v>117</v>
      </c>
      <c r="B299" s="180" t="s">
        <v>297</v>
      </c>
      <c r="C299" s="144" t="s">
        <v>6</v>
      </c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>
        <f t="shared" si="88"/>
        <v>0</v>
      </c>
      <c r="S299" s="46">
        <f t="shared" si="89"/>
        <v>0</v>
      </c>
      <c r="T299" s="46">
        <f t="shared" si="90"/>
        <v>0</v>
      </c>
      <c r="U299" s="46">
        <f t="shared" si="91"/>
        <v>0</v>
      </c>
      <c r="V299" s="46">
        <f t="shared" si="92"/>
        <v>0</v>
      </c>
      <c r="W299" s="46">
        <f t="shared" si="93"/>
        <v>0</v>
      </c>
      <c r="X299" s="46">
        <f t="shared" si="94"/>
        <v>0</v>
      </c>
      <c r="Y299" s="46">
        <f t="shared" si="95"/>
        <v>0</v>
      </c>
      <c r="Z299" s="90">
        <f t="shared" si="101"/>
        <v>0</v>
      </c>
      <c r="AB299" s="95">
        <f>'LPLPO PROGRAM'!H130</f>
        <v>0</v>
      </c>
      <c r="AC299" s="91"/>
      <c r="AD299" s="91"/>
      <c r="AE299" s="91"/>
      <c r="AF299" s="91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93">
        <f t="shared" si="97"/>
        <v>0</v>
      </c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93">
        <f t="shared" si="83"/>
        <v>0</v>
      </c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  <c r="DK299" s="46"/>
      <c r="DL299" s="46"/>
      <c r="DM299" s="46"/>
      <c r="DN299" s="46"/>
      <c r="DO299" s="46"/>
      <c r="DP299" s="46"/>
      <c r="DQ299" s="46"/>
      <c r="DR299" s="46"/>
      <c r="DS299" s="46"/>
      <c r="DT299" s="46"/>
      <c r="DU299" s="46"/>
      <c r="DV299" s="46"/>
      <c r="DW299" s="46"/>
      <c r="DX299" s="46"/>
      <c r="DY299" s="46"/>
      <c r="DZ299" s="46"/>
      <c r="EA299" s="93">
        <f t="shared" si="98"/>
        <v>0</v>
      </c>
      <c r="EC299" s="46"/>
      <c r="ED299" s="46"/>
      <c r="EE299" s="46"/>
      <c r="EF299" s="46"/>
      <c r="EG299" s="46"/>
      <c r="EH299" s="46"/>
      <c r="EI299" s="46"/>
      <c r="EJ299" s="46"/>
      <c r="EK299" s="46"/>
      <c r="EL299" s="46"/>
      <c r="EM299" s="46"/>
      <c r="EN299" s="46"/>
      <c r="EO299" s="46"/>
      <c r="EP299" s="46"/>
      <c r="EQ299" s="46"/>
      <c r="ER299" s="46"/>
      <c r="ES299" s="46"/>
      <c r="ET299" s="46"/>
      <c r="EU299" s="46"/>
      <c r="EV299" s="46"/>
      <c r="EW299" s="46"/>
      <c r="EX299" s="46"/>
      <c r="EY299" s="46"/>
      <c r="EZ299" s="46"/>
      <c r="FA299" s="46"/>
      <c r="FB299" s="46"/>
      <c r="FC299" s="46"/>
      <c r="FD299" s="46"/>
      <c r="FE299" s="46"/>
      <c r="FF299" s="46"/>
      <c r="FG299" s="46"/>
      <c r="FH299" s="93">
        <f t="shared" si="99"/>
        <v>0</v>
      </c>
      <c r="FJ299" s="46"/>
      <c r="FK299" s="46"/>
      <c r="FL299" s="46"/>
      <c r="FM299" s="46"/>
      <c r="FN299" s="46"/>
      <c r="FO299" s="46"/>
      <c r="FP299" s="46"/>
      <c r="FQ299" s="46"/>
      <c r="FR299" s="46"/>
      <c r="FS299" s="46"/>
      <c r="FT299" s="46"/>
      <c r="FU299" s="46"/>
      <c r="FV299" s="46"/>
      <c r="FW299" s="46"/>
      <c r="FX299" s="46"/>
      <c r="FY299" s="46"/>
      <c r="FZ299" s="46"/>
      <c r="GA299" s="46"/>
      <c r="GB299" s="46"/>
      <c r="GC299" s="46"/>
      <c r="GD299" s="46"/>
      <c r="GE299" s="46"/>
      <c r="GF299" s="46"/>
      <c r="GG299" s="46"/>
      <c r="GH299" s="46"/>
      <c r="GI299" s="46"/>
      <c r="GJ299" s="46"/>
      <c r="GK299" s="46"/>
      <c r="GL299" s="46"/>
      <c r="GM299" s="46"/>
      <c r="GN299" s="46"/>
      <c r="GO299" s="93">
        <f t="shared" si="84"/>
        <v>0</v>
      </c>
      <c r="GQ299" s="46"/>
      <c r="GR299" s="46"/>
      <c r="GS299" s="46"/>
      <c r="GT299" s="46"/>
      <c r="GU299" s="46"/>
      <c r="GV299" s="46"/>
      <c r="GW299" s="46"/>
      <c r="GX299" s="46"/>
      <c r="GY299" s="46"/>
      <c r="GZ299" s="46"/>
      <c r="HA299" s="46"/>
      <c r="HB299" s="46"/>
      <c r="HC299" s="46"/>
      <c r="HD299" s="46"/>
      <c r="HE299" s="46"/>
      <c r="HF299" s="46"/>
      <c r="HG299" s="46"/>
      <c r="HH299" s="46"/>
      <c r="HI299" s="46"/>
      <c r="HJ299" s="46"/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93">
        <f t="shared" si="85"/>
        <v>0</v>
      </c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  <c r="IT299" s="46"/>
      <c r="IU299" s="46"/>
      <c r="IV299" s="46"/>
      <c r="IW299" s="46"/>
      <c r="IX299" s="46"/>
      <c r="IY299" s="46"/>
      <c r="IZ299" s="46"/>
      <c r="JA299" s="46"/>
      <c r="JB299" s="46"/>
      <c r="JC299" s="93">
        <f t="shared" si="86"/>
        <v>0</v>
      </c>
      <c r="JE299" s="46"/>
      <c r="JF299" s="46"/>
      <c r="JG299" s="46"/>
      <c r="JH299" s="46"/>
      <c r="JI299" s="46"/>
      <c r="JJ299" s="46"/>
      <c r="JK299" s="46"/>
      <c r="JL299" s="46"/>
      <c r="JM299" s="46"/>
      <c r="JN299" s="46"/>
      <c r="JO299" s="46"/>
      <c r="JP299" s="46"/>
      <c r="JQ299" s="46"/>
      <c r="JR299" s="46"/>
      <c r="JS299" s="46"/>
      <c r="JT299" s="46"/>
      <c r="JU299" s="46"/>
      <c r="JV299" s="46"/>
      <c r="JW299" s="46"/>
      <c r="JX299" s="46"/>
      <c r="JY299" s="46"/>
      <c r="JZ299" s="46"/>
      <c r="KA299" s="46"/>
      <c r="KB299" s="46"/>
      <c r="KC299" s="46"/>
      <c r="KD299" s="46"/>
      <c r="KE299" s="46"/>
      <c r="KF299" s="46"/>
      <c r="KG299" s="46"/>
      <c r="KH299" s="46"/>
      <c r="KI299" s="46"/>
      <c r="KJ299" s="93">
        <f t="shared" si="87"/>
        <v>0</v>
      </c>
    </row>
    <row r="300" spans="1:296" x14ac:dyDescent="0.5">
      <c r="A300" s="11">
        <v>118</v>
      </c>
      <c r="B300" s="178" t="s">
        <v>290</v>
      </c>
      <c r="C300" s="144" t="s">
        <v>274</v>
      </c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>
        <f t="shared" si="88"/>
        <v>0</v>
      </c>
      <c r="S300" s="46">
        <f t="shared" si="89"/>
        <v>0</v>
      </c>
      <c r="T300" s="46">
        <f t="shared" si="90"/>
        <v>0</v>
      </c>
      <c r="U300" s="46">
        <f t="shared" si="91"/>
        <v>0</v>
      </c>
      <c r="V300" s="46">
        <f t="shared" si="92"/>
        <v>0</v>
      </c>
      <c r="W300" s="46">
        <f t="shared" si="93"/>
        <v>0</v>
      </c>
      <c r="X300" s="46">
        <f t="shared" si="94"/>
        <v>0</v>
      </c>
      <c r="Y300" s="46">
        <f t="shared" si="95"/>
        <v>0</v>
      </c>
      <c r="Z300" s="90">
        <f t="shared" si="101"/>
        <v>0</v>
      </c>
      <c r="AB300" s="95">
        <f>'LPLPO PROGRAM'!H131</f>
        <v>0</v>
      </c>
      <c r="AC300" s="91"/>
      <c r="AD300" s="91"/>
      <c r="AE300" s="91"/>
      <c r="AF300" s="91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93">
        <f t="shared" si="97"/>
        <v>0</v>
      </c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  <c r="CK300" s="46"/>
      <c r="CL300" s="46"/>
      <c r="CM300" s="46"/>
      <c r="CN300" s="46"/>
      <c r="CO300" s="46"/>
      <c r="CP300" s="46"/>
      <c r="CQ300" s="46"/>
      <c r="CR300" s="46"/>
      <c r="CS300" s="46"/>
      <c r="CT300" s="93">
        <f t="shared" si="83"/>
        <v>0</v>
      </c>
      <c r="CV300" s="46"/>
      <c r="CW300" s="46"/>
      <c r="CX300" s="46"/>
      <c r="CY300" s="46"/>
      <c r="CZ300" s="46"/>
      <c r="DA300" s="46"/>
      <c r="DB300" s="46"/>
      <c r="DC300" s="46"/>
      <c r="DD300" s="46"/>
      <c r="DE300" s="46"/>
      <c r="DF300" s="46"/>
      <c r="DG300" s="46"/>
      <c r="DH300" s="46"/>
      <c r="DI300" s="46"/>
      <c r="DJ300" s="46"/>
      <c r="DK300" s="46"/>
      <c r="DL300" s="46"/>
      <c r="DM300" s="46"/>
      <c r="DN300" s="46"/>
      <c r="DO300" s="46"/>
      <c r="DP300" s="46"/>
      <c r="DQ300" s="46"/>
      <c r="DR300" s="46"/>
      <c r="DS300" s="46"/>
      <c r="DT300" s="46"/>
      <c r="DU300" s="46"/>
      <c r="DV300" s="46"/>
      <c r="DW300" s="46"/>
      <c r="DX300" s="46"/>
      <c r="DY300" s="46"/>
      <c r="DZ300" s="46"/>
      <c r="EA300" s="93">
        <f t="shared" si="98"/>
        <v>0</v>
      </c>
      <c r="EC300" s="46"/>
      <c r="ED300" s="46"/>
      <c r="EE300" s="46"/>
      <c r="EF300" s="46"/>
      <c r="EG300" s="46"/>
      <c r="EH300" s="46"/>
      <c r="EI300" s="46"/>
      <c r="EJ300" s="46"/>
      <c r="EK300" s="46"/>
      <c r="EL300" s="46"/>
      <c r="EM300" s="46"/>
      <c r="EN300" s="46"/>
      <c r="EO300" s="46"/>
      <c r="EP300" s="46"/>
      <c r="EQ300" s="46"/>
      <c r="ER300" s="46"/>
      <c r="ES300" s="46"/>
      <c r="ET300" s="46"/>
      <c r="EU300" s="46"/>
      <c r="EV300" s="46"/>
      <c r="EW300" s="46"/>
      <c r="EX300" s="46"/>
      <c r="EY300" s="46"/>
      <c r="EZ300" s="46"/>
      <c r="FA300" s="46"/>
      <c r="FB300" s="46"/>
      <c r="FC300" s="46"/>
      <c r="FD300" s="46"/>
      <c r="FE300" s="46"/>
      <c r="FF300" s="46"/>
      <c r="FG300" s="46"/>
      <c r="FH300" s="93">
        <f t="shared" si="99"/>
        <v>0</v>
      </c>
      <c r="FJ300" s="46"/>
      <c r="FK300" s="46"/>
      <c r="FL300" s="46"/>
      <c r="FM300" s="46"/>
      <c r="FN300" s="46"/>
      <c r="FO300" s="46"/>
      <c r="FP300" s="46"/>
      <c r="FQ300" s="46"/>
      <c r="FR300" s="46"/>
      <c r="FS300" s="46"/>
      <c r="FT300" s="46"/>
      <c r="FU300" s="46"/>
      <c r="FV300" s="46"/>
      <c r="FW300" s="46"/>
      <c r="FX300" s="46"/>
      <c r="FY300" s="46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  <c r="GL300" s="46"/>
      <c r="GM300" s="46"/>
      <c r="GN300" s="46"/>
      <c r="GO300" s="93">
        <f t="shared" si="84"/>
        <v>0</v>
      </c>
      <c r="GQ300" s="46"/>
      <c r="GR300" s="46"/>
      <c r="GS300" s="46"/>
      <c r="GT300" s="46"/>
      <c r="GU300" s="46"/>
      <c r="GV300" s="46"/>
      <c r="GW300" s="46"/>
      <c r="GX300" s="46"/>
      <c r="GY300" s="46"/>
      <c r="GZ300" s="46"/>
      <c r="HA300" s="46"/>
      <c r="HB300" s="46"/>
      <c r="HC300" s="46"/>
      <c r="HD300" s="46"/>
      <c r="HE300" s="46"/>
      <c r="HF300" s="46"/>
      <c r="HG300" s="46"/>
      <c r="HH300" s="46"/>
      <c r="HI300" s="46"/>
      <c r="HJ300" s="46"/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93">
        <f t="shared" si="85"/>
        <v>0</v>
      </c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  <c r="IT300" s="46"/>
      <c r="IU300" s="46"/>
      <c r="IV300" s="46"/>
      <c r="IW300" s="46"/>
      <c r="IX300" s="46"/>
      <c r="IY300" s="46"/>
      <c r="IZ300" s="46"/>
      <c r="JA300" s="46"/>
      <c r="JB300" s="46"/>
      <c r="JC300" s="93">
        <f t="shared" si="86"/>
        <v>0</v>
      </c>
      <c r="JE300" s="46"/>
      <c r="JF300" s="46"/>
      <c r="JG300" s="46"/>
      <c r="JH300" s="46"/>
      <c r="JI300" s="46"/>
      <c r="JJ300" s="46"/>
      <c r="JK300" s="46"/>
      <c r="JL300" s="46"/>
      <c r="JM300" s="46"/>
      <c r="JN300" s="46"/>
      <c r="JO300" s="46"/>
      <c r="JP300" s="46"/>
      <c r="JQ300" s="46"/>
      <c r="JR300" s="46"/>
      <c r="JS300" s="46"/>
      <c r="JT300" s="46"/>
      <c r="JU300" s="46"/>
      <c r="JV300" s="46"/>
      <c r="JW300" s="46"/>
      <c r="JX300" s="46"/>
      <c r="JY300" s="46"/>
      <c r="JZ300" s="46"/>
      <c r="KA300" s="46"/>
      <c r="KB300" s="46"/>
      <c r="KC300" s="46"/>
      <c r="KD300" s="46"/>
      <c r="KE300" s="46"/>
      <c r="KF300" s="46"/>
      <c r="KG300" s="46"/>
      <c r="KH300" s="46"/>
      <c r="KI300" s="46"/>
      <c r="KJ300" s="93">
        <f t="shared" si="87"/>
        <v>0</v>
      </c>
    </row>
    <row r="301" spans="1:296" x14ac:dyDescent="0.5">
      <c r="A301" s="11">
        <v>119</v>
      </c>
      <c r="B301" s="184" t="s">
        <v>292</v>
      </c>
      <c r="C301" s="144" t="s">
        <v>293</v>
      </c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>
        <f t="shared" si="88"/>
        <v>0</v>
      </c>
      <c r="S301" s="46">
        <f t="shared" si="89"/>
        <v>0</v>
      </c>
      <c r="T301" s="46">
        <f t="shared" si="90"/>
        <v>0</v>
      </c>
      <c r="U301" s="46">
        <f t="shared" si="91"/>
        <v>0</v>
      </c>
      <c r="V301" s="46">
        <f t="shared" si="92"/>
        <v>0</v>
      </c>
      <c r="W301" s="46">
        <f t="shared" si="93"/>
        <v>0</v>
      </c>
      <c r="X301" s="46">
        <f t="shared" si="94"/>
        <v>0</v>
      </c>
      <c r="Y301" s="46">
        <f t="shared" si="95"/>
        <v>0</v>
      </c>
      <c r="Z301" s="90">
        <f t="shared" si="101"/>
        <v>0</v>
      </c>
      <c r="AB301" s="95">
        <f>'LPLPO PROGRAM'!H132</f>
        <v>0</v>
      </c>
      <c r="AC301" s="91"/>
      <c r="AD301" s="91"/>
      <c r="AE301" s="91"/>
      <c r="AF301" s="91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93">
        <f t="shared" si="97"/>
        <v>0</v>
      </c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  <c r="CK301" s="46"/>
      <c r="CL301" s="46"/>
      <c r="CM301" s="46"/>
      <c r="CN301" s="46"/>
      <c r="CO301" s="46"/>
      <c r="CP301" s="46"/>
      <c r="CQ301" s="46"/>
      <c r="CR301" s="46"/>
      <c r="CS301" s="46"/>
      <c r="CT301" s="93">
        <f t="shared" si="83"/>
        <v>0</v>
      </c>
      <c r="CV301" s="46"/>
      <c r="CW301" s="46"/>
      <c r="CX301" s="46"/>
      <c r="CY301" s="46"/>
      <c r="CZ301" s="46"/>
      <c r="DA301" s="46"/>
      <c r="DB301" s="46"/>
      <c r="DC301" s="46"/>
      <c r="DD301" s="46"/>
      <c r="DE301" s="46"/>
      <c r="DF301" s="46"/>
      <c r="DG301" s="46"/>
      <c r="DH301" s="46"/>
      <c r="DI301" s="46"/>
      <c r="DJ301" s="46"/>
      <c r="DK301" s="46"/>
      <c r="DL301" s="46"/>
      <c r="DM301" s="46"/>
      <c r="DN301" s="46"/>
      <c r="DO301" s="46"/>
      <c r="DP301" s="46"/>
      <c r="DQ301" s="46"/>
      <c r="DR301" s="46"/>
      <c r="DS301" s="46"/>
      <c r="DT301" s="46"/>
      <c r="DU301" s="46"/>
      <c r="DV301" s="46"/>
      <c r="DW301" s="46"/>
      <c r="DX301" s="46"/>
      <c r="DY301" s="46"/>
      <c r="DZ301" s="46"/>
      <c r="EA301" s="93">
        <f t="shared" si="98"/>
        <v>0</v>
      </c>
      <c r="EC301" s="46"/>
      <c r="ED301" s="46"/>
      <c r="EE301" s="46"/>
      <c r="EF301" s="46"/>
      <c r="EG301" s="46"/>
      <c r="EH301" s="46"/>
      <c r="EI301" s="46"/>
      <c r="EJ301" s="46"/>
      <c r="EK301" s="46"/>
      <c r="EL301" s="46"/>
      <c r="EM301" s="46"/>
      <c r="EN301" s="46"/>
      <c r="EO301" s="46"/>
      <c r="EP301" s="46"/>
      <c r="EQ301" s="46"/>
      <c r="ER301" s="46"/>
      <c r="ES301" s="46"/>
      <c r="ET301" s="46"/>
      <c r="EU301" s="46"/>
      <c r="EV301" s="46"/>
      <c r="EW301" s="46"/>
      <c r="EX301" s="46"/>
      <c r="EY301" s="46"/>
      <c r="EZ301" s="46"/>
      <c r="FA301" s="46"/>
      <c r="FB301" s="46"/>
      <c r="FC301" s="46"/>
      <c r="FD301" s="46"/>
      <c r="FE301" s="46"/>
      <c r="FF301" s="46"/>
      <c r="FG301" s="46"/>
      <c r="FH301" s="93">
        <f t="shared" si="99"/>
        <v>0</v>
      </c>
      <c r="FJ301" s="46"/>
      <c r="FK301" s="46"/>
      <c r="FL301" s="46"/>
      <c r="FM301" s="46"/>
      <c r="FN301" s="46"/>
      <c r="FO301" s="46"/>
      <c r="FP301" s="46"/>
      <c r="FQ301" s="46"/>
      <c r="FR301" s="46"/>
      <c r="FS301" s="46"/>
      <c r="FT301" s="46"/>
      <c r="FU301" s="46"/>
      <c r="FV301" s="46"/>
      <c r="FW301" s="46"/>
      <c r="FX301" s="46"/>
      <c r="FY301" s="46"/>
      <c r="FZ301" s="46"/>
      <c r="GA301" s="46"/>
      <c r="GB301" s="46"/>
      <c r="GC301" s="46"/>
      <c r="GD301" s="46"/>
      <c r="GE301" s="46"/>
      <c r="GF301" s="46"/>
      <c r="GG301" s="46"/>
      <c r="GH301" s="46"/>
      <c r="GI301" s="46"/>
      <c r="GJ301" s="46"/>
      <c r="GK301" s="46"/>
      <c r="GL301" s="46"/>
      <c r="GM301" s="46"/>
      <c r="GN301" s="46"/>
      <c r="GO301" s="93">
        <f t="shared" si="84"/>
        <v>0</v>
      </c>
      <c r="GQ301" s="46"/>
      <c r="GR301" s="46"/>
      <c r="GS301" s="46"/>
      <c r="GT301" s="46"/>
      <c r="GU301" s="46"/>
      <c r="GV301" s="46"/>
      <c r="GW301" s="46"/>
      <c r="GX301" s="46"/>
      <c r="GY301" s="46"/>
      <c r="GZ301" s="46"/>
      <c r="HA301" s="46"/>
      <c r="HB301" s="46"/>
      <c r="HC301" s="46"/>
      <c r="HD301" s="46"/>
      <c r="HE301" s="46"/>
      <c r="HF301" s="46"/>
      <c r="HG301" s="46"/>
      <c r="HH301" s="46"/>
      <c r="HI301" s="46"/>
      <c r="HJ301" s="46"/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93">
        <f t="shared" si="85"/>
        <v>0</v>
      </c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  <c r="IT301" s="46"/>
      <c r="IU301" s="46"/>
      <c r="IV301" s="46"/>
      <c r="IW301" s="46"/>
      <c r="IX301" s="46"/>
      <c r="IY301" s="46"/>
      <c r="IZ301" s="46"/>
      <c r="JA301" s="46"/>
      <c r="JB301" s="46"/>
      <c r="JC301" s="93">
        <f t="shared" si="86"/>
        <v>0</v>
      </c>
      <c r="JE301" s="46"/>
      <c r="JF301" s="46"/>
      <c r="JG301" s="46"/>
      <c r="JH301" s="46"/>
      <c r="JI301" s="46"/>
      <c r="JJ301" s="46"/>
      <c r="JK301" s="46"/>
      <c r="JL301" s="46"/>
      <c r="JM301" s="46"/>
      <c r="JN301" s="46"/>
      <c r="JO301" s="46"/>
      <c r="JP301" s="46"/>
      <c r="JQ301" s="46"/>
      <c r="JR301" s="46"/>
      <c r="JS301" s="46"/>
      <c r="JT301" s="46"/>
      <c r="JU301" s="46"/>
      <c r="JV301" s="46"/>
      <c r="JW301" s="46"/>
      <c r="JX301" s="46"/>
      <c r="JY301" s="46"/>
      <c r="JZ301" s="46"/>
      <c r="KA301" s="46"/>
      <c r="KB301" s="46"/>
      <c r="KC301" s="46"/>
      <c r="KD301" s="46"/>
      <c r="KE301" s="46"/>
      <c r="KF301" s="46"/>
      <c r="KG301" s="46"/>
      <c r="KH301" s="46"/>
      <c r="KI301" s="46"/>
      <c r="KJ301" s="93">
        <f t="shared" si="87"/>
        <v>0</v>
      </c>
    </row>
    <row r="302" spans="1:296" x14ac:dyDescent="0.5">
      <c r="A302" s="11">
        <v>120</v>
      </c>
      <c r="B302" s="184" t="s">
        <v>376</v>
      </c>
      <c r="C302" s="144" t="s">
        <v>108</v>
      </c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>
        <f t="shared" si="88"/>
        <v>0</v>
      </c>
      <c r="S302" s="46">
        <f t="shared" si="89"/>
        <v>0</v>
      </c>
      <c r="T302" s="46">
        <f t="shared" si="90"/>
        <v>0</v>
      </c>
      <c r="U302" s="46">
        <f t="shared" si="91"/>
        <v>0</v>
      </c>
      <c r="V302" s="46">
        <f t="shared" si="92"/>
        <v>0</v>
      </c>
      <c r="W302" s="46">
        <f t="shared" si="93"/>
        <v>0</v>
      </c>
      <c r="X302" s="46">
        <f t="shared" si="94"/>
        <v>0</v>
      </c>
      <c r="Y302" s="46">
        <f t="shared" si="95"/>
        <v>0</v>
      </c>
      <c r="Z302" s="90">
        <f t="shared" si="101"/>
        <v>0</v>
      </c>
      <c r="AB302" s="95">
        <f>'LPLPO PROGRAM'!H133</f>
        <v>0</v>
      </c>
      <c r="AC302" s="91"/>
      <c r="AD302" s="91"/>
      <c r="AE302" s="91"/>
      <c r="AF302" s="91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93">
        <f t="shared" si="97"/>
        <v>0</v>
      </c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  <c r="CK302" s="46"/>
      <c r="CL302" s="46"/>
      <c r="CM302" s="46"/>
      <c r="CN302" s="46"/>
      <c r="CO302" s="46"/>
      <c r="CP302" s="46"/>
      <c r="CQ302" s="46"/>
      <c r="CR302" s="46"/>
      <c r="CS302" s="46"/>
      <c r="CT302" s="93">
        <f t="shared" si="83"/>
        <v>0</v>
      </c>
      <c r="CV302" s="46"/>
      <c r="CW302" s="46"/>
      <c r="CX302" s="46"/>
      <c r="CY302" s="46"/>
      <c r="CZ302" s="46"/>
      <c r="DA302" s="46"/>
      <c r="DB302" s="46"/>
      <c r="DC302" s="46"/>
      <c r="DD302" s="46"/>
      <c r="DE302" s="46"/>
      <c r="DF302" s="46"/>
      <c r="DG302" s="46"/>
      <c r="DH302" s="46"/>
      <c r="DI302" s="46"/>
      <c r="DJ302" s="46"/>
      <c r="DK302" s="46"/>
      <c r="DL302" s="46"/>
      <c r="DM302" s="46"/>
      <c r="DN302" s="46"/>
      <c r="DO302" s="46"/>
      <c r="DP302" s="46"/>
      <c r="DQ302" s="46"/>
      <c r="DR302" s="46"/>
      <c r="DS302" s="46"/>
      <c r="DT302" s="46"/>
      <c r="DU302" s="46"/>
      <c r="DV302" s="46"/>
      <c r="DW302" s="46"/>
      <c r="DX302" s="46"/>
      <c r="DY302" s="46"/>
      <c r="DZ302" s="46"/>
      <c r="EA302" s="93">
        <f t="shared" si="98"/>
        <v>0</v>
      </c>
      <c r="EC302" s="46"/>
      <c r="ED302" s="46"/>
      <c r="EE302" s="46"/>
      <c r="EF302" s="46"/>
      <c r="EG302" s="46"/>
      <c r="EH302" s="46"/>
      <c r="EI302" s="46"/>
      <c r="EJ302" s="46"/>
      <c r="EK302" s="46"/>
      <c r="EL302" s="46"/>
      <c r="EM302" s="46"/>
      <c r="EN302" s="46"/>
      <c r="EO302" s="46"/>
      <c r="EP302" s="46"/>
      <c r="EQ302" s="46"/>
      <c r="ER302" s="46"/>
      <c r="ES302" s="46"/>
      <c r="ET302" s="46"/>
      <c r="EU302" s="46"/>
      <c r="EV302" s="46"/>
      <c r="EW302" s="46"/>
      <c r="EX302" s="46"/>
      <c r="EY302" s="46"/>
      <c r="EZ302" s="46"/>
      <c r="FA302" s="46"/>
      <c r="FB302" s="46"/>
      <c r="FC302" s="46"/>
      <c r="FD302" s="46"/>
      <c r="FE302" s="46"/>
      <c r="FF302" s="46"/>
      <c r="FG302" s="46"/>
      <c r="FH302" s="93">
        <f t="shared" si="99"/>
        <v>0</v>
      </c>
      <c r="FJ302" s="46"/>
      <c r="FK302" s="46"/>
      <c r="FL302" s="46"/>
      <c r="FM302" s="46"/>
      <c r="FN302" s="46"/>
      <c r="FO302" s="46"/>
      <c r="FP302" s="46"/>
      <c r="FQ302" s="46"/>
      <c r="FR302" s="46"/>
      <c r="FS302" s="46"/>
      <c r="FT302" s="46"/>
      <c r="FU302" s="46"/>
      <c r="FV302" s="46"/>
      <c r="FW302" s="46"/>
      <c r="FX302" s="46"/>
      <c r="FY302" s="46"/>
      <c r="FZ302" s="46"/>
      <c r="GA302" s="46"/>
      <c r="GB302" s="46"/>
      <c r="GC302" s="46"/>
      <c r="GD302" s="46"/>
      <c r="GE302" s="46"/>
      <c r="GF302" s="46"/>
      <c r="GG302" s="46"/>
      <c r="GH302" s="46"/>
      <c r="GI302" s="46"/>
      <c r="GJ302" s="46"/>
      <c r="GK302" s="46"/>
      <c r="GL302" s="46"/>
      <c r="GM302" s="46"/>
      <c r="GN302" s="46"/>
      <c r="GO302" s="93">
        <f t="shared" si="84"/>
        <v>0</v>
      </c>
      <c r="GQ302" s="46"/>
      <c r="GR302" s="46"/>
      <c r="GS302" s="46"/>
      <c r="GT302" s="46"/>
      <c r="GU302" s="46"/>
      <c r="GV302" s="46"/>
      <c r="GW302" s="46"/>
      <c r="GX302" s="46"/>
      <c r="GY302" s="46"/>
      <c r="GZ302" s="46"/>
      <c r="HA302" s="46"/>
      <c r="HB302" s="46"/>
      <c r="HC302" s="46"/>
      <c r="HD302" s="46"/>
      <c r="HE302" s="46"/>
      <c r="HF302" s="46"/>
      <c r="HG302" s="46"/>
      <c r="HH302" s="46"/>
      <c r="HI302" s="46"/>
      <c r="HJ302" s="46"/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93">
        <f t="shared" si="85"/>
        <v>0</v>
      </c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  <c r="IT302" s="46"/>
      <c r="IU302" s="46"/>
      <c r="IV302" s="46"/>
      <c r="IW302" s="46"/>
      <c r="IX302" s="46"/>
      <c r="IY302" s="46"/>
      <c r="IZ302" s="46"/>
      <c r="JA302" s="46"/>
      <c r="JB302" s="46"/>
      <c r="JC302" s="93">
        <f t="shared" si="86"/>
        <v>0</v>
      </c>
      <c r="JE302" s="46"/>
      <c r="JF302" s="46"/>
      <c r="JG302" s="46"/>
      <c r="JH302" s="46"/>
      <c r="JI302" s="46"/>
      <c r="JJ302" s="46"/>
      <c r="JK302" s="46"/>
      <c r="JL302" s="46"/>
      <c r="JM302" s="46"/>
      <c r="JN302" s="46"/>
      <c r="JO302" s="46"/>
      <c r="JP302" s="46"/>
      <c r="JQ302" s="46"/>
      <c r="JR302" s="46"/>
      <c r="JS302" s="46"/>
      <c r="JT302" s="46"/>
      <c r="JU302" s="46"/>
      <c r="JV302" s="46"/>
      <c r="JW302" s="46"/>
      <c r="JX302" s="46"/>
      <c r="JY302" s="46"/>
      <c r="JZ302" s="46"/>
      <c r="KA302" s="46"/>
      <c r="KB302" s="46"/>
      <c r="KC302" s="46"/>
      <c r="KD302" s="46"/>
      <c r="KE302" s="46"/>
      <c r="KF302" s="46"/>
      <c r="KG302" s="46"/>
      <c r="KH302" s="46"/>
      <c r="KI302" s="46"/>
      <c r="KJ302" s="93">
        <f t="shared" si="87"/>
        <v>0</v>
      </c>
    </row>
    <row r="303" spans="1:296" x14ac:dyDescent="0.5">
      <c r="A303" s="11">
        <v>121</v>
      </c>
      <c r="B303" s="184" t="s">
        <v>298</v>
      </c>
      <c r="C303" s="144" t="s">
        <v>299</v>
      </c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>
        <f t="shared" si="88"/>
        <v>0</v>
      </c>
      <c r="S303" s="46">
        <f t="shared" si="89"/>
        <v>0</v>
      </c>
      <c r="T303" s="46">
        <f t="shared" si="90"/>
        <v>0</v>
      </c>
      <c r="U303" s="46">
        <f t="shared" si="91"/>
        <v>0</v>
      </c>
      <c r="V303" s="46">
        <f t="shared" si="92"/>
        <v>0</v>
      </c>
      <c r="W303" s="46">
        <f t="shared" si="93"/>
        <v>0</v>
      </c>
      <c r="X303" s="46">
        <f t="shared" si="94"/>
        <v>0</v>
      </c>
      <c r="Y303" s="46">
        <f t="shared" si="95"/>
        <v>0</v>
      </c>
      <c r="Z303" s="90">
        <f t="shared" si="101"/>
        <v>0</v>
      </c>
      <c r="AB303" s="95">
        <f>'LPLPO PROGRAM'!H134</f>
        <v>0</v>
      </c>
      <c r="AC303" s="91"/>
      <c r="AD303" s="91"/>
      <c r="AE303" s="91"/>
      <c r="AF303" s="91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93">
        <f t="shared" si="97"/>
        <v>0</v>
      </c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  <c r="CK303" s="46"/>
      <c r="CL303" s="46"/>
      <c r="CM303" s="46"/>
      <c r="CN303" s="46"/>
      <c r="CO303" s="46"/>
      <c r="CP303" s="46"/>
      <c r="CQ303" s="46"/>
      <c r="CR303" s="46"/>
      <c r="CS303" s="46"/>
      <c r="CT303" s="93">
        <f t="shared" si="83"/>
        <v>0</v>
      </c>
      <c r="CV303" s="46"/>
      <c r="CW303" s="46"/>
      <c r="CX303" s="46"/>
      <c r="CY303" s="46"/>
      <c r="CZ303" s="46"/>
      <c r="DA303" s="46"/>
      <c r="DB303" s="46"/>
      <c r="DC303" s="46"/>
      <c r="DD303" s="46"/>
      <c r="DE303" s="46"/>
      <c r="DF303" s="46"/>
      <c r="DG303" s="46"/>
      <c r="DH303" s="46"/>
      <c r="DI303" s="46"/>
      <c r="DJ303" s="46"/>
      <c r="DK303" s="46"/>
      <c r="DL303" s="46"/>
      <c r="DM303" s="46"/>
      <c r="DN303" s="46"/>
      <c r="DO303" s="46"/>
      <c r="DP303" s="46"/>
      <c r="DQ303" s="46"/>
      <c r="DR303" s="46"/>
      <c r="DS303" s="46"/>
      <c r="DT303" s="46"/>
      <c r="DU303" s="46"/>
      <c r="DV303" s="46"/>
      <c r="DW303" s="46"/>
      <c r="DX303" s="46"/>
      <c r="DY303" s="46"/>
      <c r="DZ303" s="46"/>
      <c r="EA303" s="93">
        <f t="shared" si="98"/>
        <v>0</v>
      </c>
      <c r="EC303" s="46"/>
      <c r="ED303" s="46"/>
      <c r="EE303" s="46"/>
      <c r="EF303" s="46"/>
      <c r="EG303" s="46"/>
      <c r="EH303" s="46"/>
      <c r="EI303" s="46"/>
      <c r="EJ303" s="46"/>
      <c r="EK303" s="46"/>
      <c r="EL303" s="46"/>
      <c r="EM303" s="46"/>
      <c r="EN303" s="46"/>
      <c r="EO303" s="46"/>
      <c r="EP303" s="46"/>
      <c r="EQ303" s="46"/>
      <c r="ER303" s="46"/>
      <c r="ES303" s="46"/>
      <c r="ET303" s="46"/>
      <c r="EU303" s="46"/>
      <c r="EV303" s="46"/>
      <c r="EW303" s="46"/>
      <c r="EX303" s="46"/>
      <c r="EY303" s="46"/>
      <c r="EZ303" s="46"/>
      <c r="FA303" s="46"/>
      <c r="FB303" s="46"/>
      <c r="FC303" s="46"/>
      <c r="FD303" s="46"/>
      <c r="FE303" s="46"/>
      <c r="FF303" s="46"/>
      <c r="FG303" s="46"/>
      <c r="FH303" s="93">
        <f t="shared" si="99"/>
        <v>0</v>
      </c>
      <c r="FJ303" s="46"/>
      <c r="FK303" s="46"/>
      <c r="FL303" s="46"/>
      <c r="FM303" s="46"/>
      <c r="FN303" s="46"/>
      <c r="FO303" s="46"/>
      <c r="FP303" s="46"/>
      <c r="FQ303" s="46"/>
      <c r="FR303" s="46"/>
      <c r="FS303" s="46"/>
      <c r="FT303" s="46"/>
      <c r="FU303" s="46"/>
      <c r="FV303" s="46"/>
      <c r="FW303" s="46"/>
      <c r="FX303" s="46"/>
      <c r="FY303" s="46"/>
      <c r="FZ303" s="46"/>
      <c r="GA303" s="46"/>
      <c r="GB303" s="46"/>
      <c r="GC303" s="46"/>
      <c r="GD303" s="46"/>
      <c r="GE303" s="46"/>
      <c r="GF303" s="46"/>
      <c r="GG303" s="46"/>
      <c r="GH303" s="46"/>
      <c r="GI303" s="46"/>
      <c r="GJ303" s="46"/>
      <c r="GK303" s="46"/>
      <c r="GL303" s="46"/>
      <c r="GM303" s="46"/>
      <c r="GN303" s="46"/>
      <c r="GO303" s="93">
        <f t="shared" si="84"/>
        <v>0</v>
      </c>
      <c r="GQ303" s="46"/>
      <c r="GR303" s="46"/>
      <c r="GS303" s="46"/>
      <c r="GT303" s="46"/>
      <c r="GU303" s="46"/>
      <c r="GV303" s="46"/>
      <c r="GW303" s="46"/>
      <c r="GX303" s="46"/>
      <c r="GY303" s="46"/>
      <c r="GZ303" s="46"/>
      <c r="HA303" s="46"/>
      <c r="HB303" s="46"/>
      <c r="HC303" s="46"/>
      <c r="HD303" s="46"/>
      <c r="HE303" s="46"/>
      <c r="HF303" s="46"/>
      <c r="HG303" s="46"/>
      <c r="HH303" s="46"/>
      <c r="HI303" s="46"/>
      <c r="HJ303" s="46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93">
        <f t="shared" si="85"/>
        <v>0</v>
      </c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  <c r="IT303" s="46"/>
      <c r="IU303" s="46"/>
      <c r="IV303" s="46"/>
      <c r="IW303" s="46"/>
      <c r="IX303" s="46"/>
      <c r="IY303" s="46"/>
      <c r="IZ303" s="46"/>
      <c r="JA303" s="46"/>
      <c r="JB303" s="46"/>
      <c r="JC303" s="93">
        <f t="shared" si="86"/>
        <v>0</v>
      </c>
      <c r="JE303" s="46"/>
      <c r="JF303" s="46"/>
      <c r="JG303" s="46"/>
      <c r="JH303" s="46"/>
      <c r="JI303" s="46"/>
      <c r="JJ303" s="46"/>
      <c r="JK303" s="46"/>
      <c r="JL303" s="46"/>
      <c r="JM303" s="46"/>
      <c r="JN303" s="46"/>
      <c r="JO303" s="46"/>
      <c r="JP303" s="46"/>
      <c r="JQ303" s="46"/>
      <c r="JR303" s="46"/>
      <c r="JS303" s="46"/>
      <c r="JT303" s="46"/>
      <c r="JU303" s="46"/>
      <c r="JV303" s="46"/>
      <c r="JW303" s="46"/>
      <c r="JX303" s="46"/>
      <c r="JY303" s="46"/>
      <c r="JZ303" s="46"/>
      <c r="KA303" s="46"/>
      <c r="KB303" s="46"/>
      <c r="KC303" s="46"/>
      <c r="KD303" s="46"/>
      <c r="KE303" s="46"/>
      <c r="KF303" s="46"/>
      <c r="KG303" s="46"/>
      <c r="KH303" s="46"/>
      <c r="KI303" s="46"/>
      <c r="KJ303" s="93">
        <f t="shared" si="87"/>
        <v>0</v>
      </c>
    </row>
    <row r="304" spans="1:296" x14ac:dyDescent="0.5">
      <c r="A304" s="11">
        <v>122</v>
      </c>
      <c r="B304" s="184" t="s">
        <v>401</v>
      </c>
      <c r="C304" s="179" t="s">
        <v>274</v>
      </c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>
        <f t="shared" si="88"/>
        <v>1</v>
      </c>
      <c r="S304" s="46">
        <f t="shared" si="89"/>
        <v>0</v>
      </c>
      <c r="T304" s="46">
        <f t="shared" si="90"/>
        <v>0</v>
      </c>
      <c r="U304" s="46">
        <f t="shared" si="91"/>
        <v>0</v>
      </c>
      <c r="V304" s="46">
        <f t="shared" si="92"/>
        <v>0</v>
      </c>
      <c r="W304" s="46">
        <f t="shared" si="93"/>
        <v>0</v>
      </c>
      <c r="X304" s="46">
        <f t="shared" si="94"/>
        <v>0</v>
      </c>
      <c r="Y304" s="46">
        <f t="shared" si="95"/>
        <v>0</v>
      </c>
      <c r="Z304" s="90">
        <f t="shared" si="101"/>
        <v>1</v>
      </c>
      <c r="AB304" s="95">
        <f>'LPLPO PROGRAM'!H135</f>
        <v>0</v>
      </c>
      <c r="AC304" s="91"/>
      <c r="AD304" s="91"/>
      <c r="AE304" s="91"/>
      <c r="AF304" s="91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>
        <v>1</v>
      </c>
      <c r="BF304" s="46"/>
      <c r="BG304" s="46"/>
      <c r="BH304" s="46"/>
      <c r="BI304" s="46"/>
      <c r="BJ304" s="46"/>
      <c r="BK304" s="46"/>
      <c r="BL304" s="46"/>
      <c r="BM304" s="93">
        <f t="shared" si="97"/>
        <v>1</v>
      </c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  <c r="CK304" s="46"/>
      <c r="CL304" s="46"/>
      <c r="CM304" s="46"/>
      <c r="CN304" s="46"/>
      <c r="CO304" s="46"/>
      <c r="CP304" s="46"/>
      <c r="CQ304" s="46"/>
      <c r="CR304" s="46"/>
      <c r="CS304" s="46"/>
      <c r="CT304" s="93">
        <f t="shared" si="83"/>
        <v>0</v>
      </c>
      <c r="CV304" s="46"/>
      <c r="CW304" s="46"/>
      <c r="CX304" s="46"/>
      <c r="CY304" s="46"/>
      <c r="CZ304" s="46"/>
      <c r="DA304" s="46"/>
      <c r="DB304" s="46"/>
      <c r="DC304" s="46"/>
      <c r="DD304" s="46"/>
      <c r="DE304" s="46"/>
      <c r="DF304" s="46"/>
      <c r="DG304" s="46"/>
      <c r="DH304" s="46"/>
      <c r="DI304" s="46"/>
      <c r="DJ304" s="46"/>
      <c r="DK304" s="46"/>
      <c r="DL304" s="46"/>
      <c r="DM304" s="46"/>
      <c r="DN304" s="46"/>
      <c r="DO304" s="46"/>
      <c r="DP304" s="46"/>
      <c r="DQ304" s="46"/>
      <c r="DR304" s="46"/>
      <c r="DS304" s="46"/>
      <c r="DT304" s="46"/>
      <c r="DU304" s="46"/>
      <c r="DV304" s="46"/>
      <c r="DW304" s="46"/>
      <c r="DX304" s="46"/>
      <c r="DY304" s="46"/>
      <c r="DZ304" s="46"/>
      <c r="EA304" s="93">
        <f t="shared" si="98"/>
        <v>0</v>
      </c>
      <c r="EC304" s="46"/>
      <c r="ED304" s="46"/>
      <c r="EE304" s="46"/>
      <c r="EF304" s="46"/>
      <c r="EG304" s="46"/>
      <c r="EH304" s="46"/>
      <c r="EI304" s="46"/>
      <c r="EJ304" s="46"/>
      <c r="EK304" s="46"/>
      <c r="EL304" s="46"/>
      <c r="EM304" s="46"/>
      <c r="EN304" s="46"/>
      <c r="EO304" s="46"/>
      <c r="EP304" s="46"/>
      <c r="EQ304" s="46"/>
      <c r="ER304" s="46"/>
      <c r="ES304" s="46"/>
      <c r="ET304" s="46"/>
      <c r="EU304" s="46"/>
      <c r="EV304" s="46"/>
      <c r="EW304" s="46"/>
      <c r="EX304" s="46"/>
      <c r="EY304" s="46"/>
      <c r="EZ304" s="46"/>
      <c r="FA304" s="46"/>
      <c r="FB304" s="46"/>
      <c r="FC304" s="46"/>
      <c r="FD304" s="46"/>
      <c r="FE304" s="46"/>
      <c r="FF304" s="46"/>
      <c r="FG304" s="46"/>
      <c r="FH304" s="93">
        <f t="shared" si="99"/>
        <v>0</v>
      </c>
      <c r="FJ304" s="46"/>
      <c r="FK304" s="46"/>
      <c r="FL304" s="46"/>
      <c r="FM304" s="46"/>
      <c r="FN304" s="46"/>
      <c r="FO304" s="46"/>
      <c r="FP304" s="46"/>
      <c r="FQ304" s="46"/>
      <c r="FR304" s="46"/>
      <c r="FS304" s="46"/>
      <c r="FT304" s="46"/>
      <c r="FU304" s="46"/>
      <c r="FV304" s="46"/>
      <c r="FW304" s="46"/>
      <c r="FX304" s="46"/>
      <c r="FY304" s="46"/>
      <c r="FZ304" s="46"/>
      <c r="GA304" s="46"/>
      <c r="GB304" s="46"/>
      <c r="GC304" s="46"/>
      <c r="GD304" s="46"/>
      <c r="GE304" s="46"/>
      <c r="GF304" s="46"/>
      <c r="GG304" s="46"/>
      <c r="GH304" s="46"/>
      <c r="GI304" s="46"/>
      <c r="GJ304" s="46"/>
      <c r="GK304" s="46"/>
      <c r="GL304" s="46"/>
      <c r="GM304" s="46"/>
      <c r="GN304" s="46"/>
      <c r="GO304" s="93">
        <f t="shared" si="84"/>
        <v>0</v>
      </c>
      <c r="GQ304" s="46"/>
      <c r="GR304" s="46"/>
      <c r="GS304" s="46"/>
      <c r="GT304" s="46"/>
      <c r="GU304" s="46"/>
      <c r="GV304" s="46"/>
      <c r="GW304" s="46"/>
      <c r="GX304" s="46"/>
      <c r="GY304" s="46"/>
      <c r="GZ304" s="46"/>
      <c r="HA304" s="46"/>
      <c r="HB304" s="46"/>
      <c r="HC304" s="46"/>
      <c r="HD304" s="46"/>
      <c r="HE304" s="46"/>
      <c r="HF304" s="46"/>
      <c r="HG304" s="46"/>
      <c r="HH304" s="46"/>
      <c r="HI304" s="46"/>
      <c r="HJ304" s="46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93">
        <f t="shared" si="85"/>
        <v>0</v>
      </c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  <c r="IT304" s="46"/>
      <c r="IU304" s="46"/>
      <c r="IV304" s="46"/>
      <c r="IW304" s="46"/>
      <c r="IX304" s="46"/>
      <c r="IY304" s="46"/>
      <c r="IZ304" s="46"/>
      <c r="JA304" s="46"/>
      <c r="JB304" s="46"/>
      <c r="JC304" s="93">
        <f t="shared" si="86"/>
        <v>0</v>
      </c>
      <c r="JE304" s="46"/>
      <c r="JF304" s="46"/>
      <c r="JG304" s="46"/>
      <c r="JH304" s="46"/>
      <c r="JI304" s="46"/>
      <c r="JJ304" s="46"/>
      <c r="JK304" s="46"/>
      <c r="JL304" s="46"/>
      <c r="JM304" s="46"/>
      <c r="JN304" s="46"/>
      <c r="JO304" s="46"/>
      <c r="JP304" s="46"/>
      <c r="JQ304" s="46"/>
      <c r="JR304" s="46"/>
      <c r="JS304" s="46"/>
      <c r="JT304" s="46"/>
      <c r="JU304" s="46"/>
      <c r="JV304" s="46"/>
      <c r="JW304" s="46"/>
      <c r="JX304" s="46"/>
      <c r="JY304" s="46"/>
      <c r="JZ304" s="46"/>
      <c r="KA304" s="46"/>
      <c r="KB304" s="46"/>
      <c r="KC304" s="46"/>
      <c r="KD304" s="46"/>
      <c r="KE304" s="46"/>
      <c r="KF304" s="46"/>
      <c r="KG304" s="46"/>
      <c r="KH304" s="46"/>
      <c r="KI304" s="46"/>
      <c r="KJ304" s="93">
        <f t="shared" si="87"/>
        <v>0</v>
      </c>
    </row>
    <row r="305" spans="1:296" x14ac:dyDescent="0.5">
      <c r="A305" s="11">
        <v>123</v>
      </c>
      <c r="B305" s="184" t="s">
        <v>300</v>
      </c>
      <c r="C305" s="179" t="s">
        <v>6</v>
      </c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>
        <f t="shared" si="88"/>
        <v>0</v>
      </c>
      <c r="S305" s="46">
        <f t="shared" si="89"/>
        <v>0</v>
      </c>
      <c r="T305" s="46">
        <f t="shared" si="90"/>
        <v>0</v>
      </c>
      <c r="U305" s="46">
        <f t="shared" si="91"/>
        <v>0</v>
      </c>
      <c r="V305" s="46">
        <f t="shared" si="92"/>
        <v>0</v>
      </c>
      <c r="W305" s="46">
        <f t="shared" si="93"/>
        <v>0</v>
      </c>
      <c r="X305" s="46">
        <f t="shared" si="94"/>
        <v>0</v>
      </c>
      <c r="Y305" s="46">
        <f t="shared" si="95"/>
        <v>0</v>
      </c>
      <c r="Z305" s="90">
        <f t="shared" si="101"/>
        <v>0</v>
      </c>
      <c r="AB305" s="95">
        <f>'LPLPO PROGRAM'!H136</f>
        <v>0</v>
      </c>
      <c r="AC305" s="91"/>
      <c r="AD305" s="91"/>
      <c r="AE305" s="91"/>
      <c r="AF305" s="91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93">
        <f t="shared" si="97"/>
        <v>0</v>
      </c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  <c r="CK305" s="46"/>
      <c r="CL305" s="46"/>
      <c r="CM305" s="46"/>
      <c r="CN305" s="46"/>
      <c r="CO305" s="46"/>
      <c r="CP305" s="46"/>
      <c r="CQ305" s="46"/>
      <c r="CR305" s="46"/>
      <c r="CS305" s="46"/>
      <c r="CT305" s="93">
        <f t="shared" si="83"/>
        <v>0</v>
      </c>
      <c r="CV305" s="46"/>
      <c r="CW305" s="46"/>
      <c r="CX305" s="46"/>
      <c r="CY305" s="46"/>
      <c r="CZ305" s="46"/>
      <c r="DA305" s="46"/>
      <c r="DB305" s="46"/>
      <c r="DC305" s="46"/>
      <c r="DD305" s="46"/>
      <c r="DE305" s="46"/>
      <c r="DF305" s="46"/>
      <c r="DG305" s="46"/>
      <c r="DH305" s="46"/>
      <c r="DI305" s="46"/>
      <c r="DJ305" s="46"/>
      <c r="DK305" s="46"/>
      <c r="DL305" s="46"/>
      <c r="DM305" s="46"/>
      <c r="DN305" s="46"/>
      <c r="DO305" s="46"/>
      <c r="DP305" s="46"/>
      <c r="DQ305" s="46"/>
      <c r="DR305" s="46"/>
      <c r="DS305" s="46"/>
      <c r="DT305" s="46"/>
      <c r="DU305" s="46"/>
      <c r="DV305" s="46"/>
      <c r="DW305" s="46"/>
      <c r="DX305" s="46"/>
      <c r="DY305" s="46"/>
      <c r="DZ305" s="46"/>
      <c r="EA305" s="93">
        <f t="shared" si="98"/>
        <v>0</v>
      </c>
      <c r="EC305" s="46"/>
      <c r="ED305" s="46"/>
      <c r="EE305" s="46"/>
      <c r="EF305" s="46"/>
      <c r="EG305" s="46"/>
      <c r="EH305" s="46"/>
      <c r="EI305" s="46"/>
      <c r="EJ305" s="46"/>
      <c r="EK305" s="46"/>
      <c r="EL305" s="46"/>
      <c r="EM305" s="46"/>
      <c r="EN305" s="46"/>
      <c r="EO305" s="46"/>
      <c r="EP305" s="46"/>
      <c r="EQ305" s="46"/>
      <c r="ER305" s="46"/>
      <c r="ES305" s="46"/>
      <c r="ET305" s="46"/>
      <c r="EU305" s="46"/>
      <c r="EV305" s="46"/>
      <c r="EW305" s="46"/>
      <c r="EX305" s="46"/>
      <c r="EY305" s="46"/>
      <c r="EZ305" s="46"/>
      <c r="FA305" s="46"/>
      <c r="FB305" s="46"/>
      <c r="FC305" s="46"/>
      <c r="FD305" s="46"/>
      <c r="FE305" s="46"/>
      <c r="FF305" s="46"/>
      <c r="FG305" s="46"/>
      <c r="FH305" s="93">
        <f t="shared" si="99"/>
        <v>0</v>
      </c>
      <c r="FJ305" s="46"/>
      <c r="FK305" s="46"/>
      <c r="FL305" s="46"/>
      <c r="FM305" s="46"/>
      <c r="FN305" s="46"/>
      <c r="FO305" s="46"/>
      <c r="FP305" s="46"/>
      <c r="FQ305" s="46"/>
      <c r="FR305" s="46"/>
      <c r="FS305" s="46"/>
      <c r="FT305" s="46"/>
      <c r="FU305" s="46"/>
      <c r="FV305" s="46"/>
      <c r="FW305" s="46"/>
      <c r="FX305" s="46"/>
      <c r="FY305" s="46"/>
      <c r="FZ305" s="46"/>
      <c r="GA305" s="46"/>
      <c r="GB305" s="46"/>
      <c r="GC305" s="46"/>
      <c r="GD305" s="46"/>
      <c r="GE305" s="46"/>
      <c r="GF305" s="46"/>
      <c r="GG305" s="46"/>
      <c r="GH305" s="46"/>
      <c r="GI305" s="46"/>
      <c r="GJ305" s="46"/>
      <c r="GK305" s="46"/>
      <c r="GL305" s="46"/>
      <c r="GM305" s="46"/>
      <c r="GN305" s="46"/>
      <c r="GO305" s="93">
        <f t="shared" si="84"/>
        <v>0</v>
      </c>
      <c r="GQ305" s="46"/>
      <c r="GR305" s="46"/>
      <c r="GS305" s="46"/>
      <c r="GT305" s="46"/>
      <c r="GU305" s="46"/>
      <c r="GV305" s="46"/>
      <c r="GW305" s="46"/>
      <c r="GX305" s="46"/>
      <c r="GY305" s="46"/>
      <c r="GZ305" s="46"/>
      <c r="HA305" s="46"/>
      <c r="HB305" s="46"/>
      <c r="HC305" s="46"/>
      <c r="HD305" s="46"/>
      <c r="HE305" s="46"/>
      <c r="HF305" s="46"/>
      <c r="HG305" s="46"/>
      <c r="HH305" s="46"/>
      <c r="HI305" s="46"/>
      <c r="HJ305" s="46"/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93">
        <f t="shared" si="85"/>
        <v>0</v>
      </c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  <c r="IT305" s="46"/>
      <c r="IU305" s="46"/>
      <c r="IV305" s="46"/>
      <c r="IW305" s="46"/>
      <c r="IX305" s="46"/>
      <c r="IY305" s="46"/>
      <c r="IZ305" s="46"/>
      <c r="JA305" s="46"/>
      <c r="JB305" s="46"/>
      <c r="JC305" s="93">
        <f t="shared" si="86"/>
        <v>0</v>
      </c>
      <c r="JE305" s="46"/>
      <c r="JF305" s="46"/>
      <c r="JG305" s="46"/>
      <c r="JH305" s="46"/>
      <c r="JI305" s="46"/>
      <c r="JJ305" s="46"/>
      <c r="JK305" s="46"/>
      <c r="JL305" s="46"/>
      <c r="JM305" s="46"/>
      <c r="JN305" s="46"/>
      <c r="JO305" s="46"/>
      <c r="JP305" s="46"/>
      <c r="JQ305" s="46"/>
      <c r="JR305" s="46"/>
      <c r="JS305" s="46"/>
      <c r="JT305" s="46"/>
      <c r="JU305" s="46"/>
      <c r="JV305" s="46"/>
      <c r="JW305" s="46"/>
      <c r="JX305" s="46"/>
      <c r="JY305" s="46"/>
      <c r="JZ305" s="46"/>
      <c r="KA305" s="46"/>
      <c r="KB305" s="46"/>
      <c r="KC305" s="46"/>
      <c r="KD305" s="46"/>
      <c r="KE305" s="46"/>
      <c r="KF305" s="46"/>
      <c r="KG305" s="46"/>
      <c r="KH305" s="46"/>
      <c r="KI305" s="46"/>
      <c r="KJ305" s="93">
        <f t="shared" si="87"/>
        <v>0</v>
      </c>
    </row>
    <row r="306" spans="1:296" x14ac:dyDescent="0.5">
      <c r="A306" s="11">
        <v>124</v>
      </c>
      <c r="B306" s="184" t="s">
        <v>402</v>
      </c>
      <c r="C306" s="179" t="s">
        <v>203</v>
      </c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>
        <f t="shared" si="88"/>
        <v>0</v>
      </c>
      <c r="S306" s="46">
        <f t="shared" si="89"/>
        <v>0</v>
      </c>
      <c r="T306" s="46">
        <f t="shared" si="90"/>
        <v>0</v>
      </c>
      <c r="U306" s="46">
        <f t="shared" si="91"/>
        <v>0</v>
      </c>
      <c r="V306" s="46">
        <f t="shared" si="92"/>
        <v>0</v>
      </c>
      <c r="W306" s="46">
        <f t="shared" si="93"/>
        <v>0</v>
      </c>
      <c r="X306" s="46">
        <f t="shared" si="94"/>
        <v>0</v>
      </c>
      <c r="Y306" s="46">
        <f t="shared" si="95"/>
        <v>0</v>
      </c>
      <c r="Z306" s="90">
        <f t="shared" si="101"/>
        <v>0</v>
      </c>
      <c r="AB306" s="95">
        <f>'LPLPO PROGRAM'!H137</f>
        <v>0</v>
      </c>
      <c r="AC306" s="91"/>
      <c r="AD306" s="91"/>
      <c r="AE306" s="91"/>
      <c r="AF306" s="91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93">
        <f t="shared" si="97"/>
        <v>0</v>
      </c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  <c r="CK306" s="46"/>
      <c r="CL306" s="46"/>
      <c r="CM306" s="46"/>
      <c r="CN306" s="46"/>
      <c r="CO306" s="46"/>
      <c r="CP306" s="46"/>
      <c r="CQ306" s="46"/>
      <c r="CR306" s="46"/>
      <c r="CS306" s="46"/>
      <c r="CT306" s="93">
        <f t="shared" si="83"/>
        <v>0</v>
      </c>
      <c r="CV306" s="46"/>
      <c r="CW306" s="46"/>
      <c r="CX306" s="46"/>
      <c r="CY306" s="46"/>
      <c r="CZ306" s="46"/>
      <c r="DA306" s="46"/>
      <c r="DB306" s="46"/>
      <c r="DC306" s="46"/>
      <c r="DD306" s="46"/>
      <c r="DE306" s="46"/>
      <c r="DF306" s="46"/>
      <c r="DG306" s="46"/>
      <c r="DH306" s="46"/>
      <c r="DI306" s="46"/>
      <c r="DJ306" s="46"/>
      <c r="DK306" s="46"/>
      <c r="DL306" s="46"/>
      <c r="DM306" s="46"/>
      <c r="DN306" s="46"/>
      <c r="DO306" s="46"/>
      <c r="DP306" s="46"/>
      <c r="DQ306" s="46"/>
      <c r="DR306" s="46"/>
      <c r="DS306" s="46"/>
      <c r="DT306" s="46"/>
      <c r="DU306" s="46"/>
      <c r="DV306" s="46"/>
      <c r="DW306" s="46"/>
      <c r="DX306" s="46"/>
      <c r="DY306" s="46"/>
      <c r="DZ306" s="46"/>
      <c r="EA306" s="93">
        <f t="shared" si="98"/>
        <v>0</v>
      </c>
      <c r="EC306" s="46"/>
      <c r="ED306" s="46"/>
      <c r="EE306" s="46"/>
      <c r="EF306" s="46"/>
      <c r="EG306" s="46"/>
      <c r="EH306" s="46"/>
      <c r="EI306" s="46"/>
      <c r="EJ306" s="46"/>
      <c r="EK306" s="46"/>
      <c r="EL306" s="46"/>
      <c r="EM306" s="46"/>
      <c r="EN306" s="46"/>
      <c r="EO306" s="46"/>
      <c r="EP306" s="46"/>
      <c r="EQ306" s="46"/>
      <c r="ER306" s="46"/>
      <c r="ES306" s="46"/>
      <c r="ET306" s="46"/>
      <c r="EU306" s="46"/>
      <c r="EV306" s="46"/>
      <c r="EW306" s="46"/>
      <c r="EX306" s="46"/>
      <c r="EY306" s="46"/>
      <c r="EZ306" s="46"/>
      <c r="FA306" s="46"/>
      <c r="FB306" s="46"/>
      <c r="FC306" s="46"/>
      <c r="FD306" s="46"/>
      <c r="FE306" s="46"/>
      <c r="FF306" s="46"/>
      <c r="FG306" s="46"/>
      <c r="FH306" s="93">
        <f t="shared" si="99"/>
        <v>0</v>
      </c>
      <c r="FJ306" s="46"/>
      <c r="FK306" s="46"/>
      <c r="FL306" s="46"/>
      <c r="FM306" s="46"/>
      <c r="FN306" s="46"/>
      <c r="FO306" s="46"/>
      <c r="FP306" s="46"/>
      <c r="FQ306" s="46"/>
      <c r="FR306" s="46"/>
      <c r="FS306" s="46"/>
      <c r="FT306" s="46"/>
      <c r="FU306" s="46"/>
      <c r="FV306" s="46"/>
      <c r="FW306" s="46"/>
      <c r="FX306" s="46"/>
      <c r="FY306" s="46"/>
      <c r="FZ306" s="46"/>
      <c r="GA306" s="46"/>
      <c r="GB306" s="46"/>
      <c r="GC306" s="46"/>
      <c r="GD306" s="46"/>
      <c r="GE306" s="46"/>
      <c r="GF306" s="46"/>
      <c r="GG306" s="46"/>
      <c r="GH306" s="46"/>
      <c r="GI306" s="46"/>
      <c r="GJ306" s="46"/>
      <c r="GK306" s="46"/>
      <c r="GL306" s="46"/>
      <c r="GM306" s="46"/>
      <c r="GN306" s="46"/>
      <c r="GO306" s="93">
        <f t="shared" si="84"/>
        <v>0</v>
      </c>
      <c r="GQ306" s="46"/>
      <c r="GR306" s="46"/>
      <c r="GS306" s="46"/>
      <c r="GT306" s="46"/>
      <c r="GU306" s="46"/>
      <c r="GV306" s="46"/>
      <c r="GW306" s="46"/>
      <c r="GX306" s="46"/>
      <c r="GY306" s="46"/>
      <c r="GZ306" s="46"/>
      <c r="HA306" s="46"/>
      <c r="HB306" s="46"/>
      <c r="HC306" s="46"/>
      <c r="HD306" s="46"/>
      <c r="HE306" s="46"/>
      <c r="HF306" s="46"/>
      <c r="HG306" s="46"/>
      <c r="HH306" s="46"/>
      <c r="HI306" s="46"/>
      <c r="HJ306" s="46"/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93">
        <f t="shared" si="85"/>
        <v>0</v>
      </c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  <c r="IT306" s="46"/>
      <c r="IU306" s="46"/>
      <c r="IV306" s="46"/>
      <c r="IW306" s="46"/>
      <c r="IX306" s="46"/>
      <c r="IY306" s="46"/>
      <c r="IZ306" s="46"/>
      <c r="JA306" s="46"/>
      <c r="JB306" s="46"/>
      <c r="JC306" s="93">
        <f t="shared" si="86"/>
        <v>0</v>
      </c>
      <c r="JE306" s="46"/>
      <c r="JF306" s="46"/>
      <c r="JG306" s="46"/>
      <c r="JH306" s="46"/>
      <c r="JI306" s="46"/>
      <c r="JJ306" s="46"/>
      <c r="JK306" s="46"/>
      <c r="JL306" s="46"/>
      <c r="JM306" s="46"/>
      <c r="JN306" s="46"/>
      <c r="JO306" s="46"/>
      <c r="JP306" s="46"/>
      <c r="JQ306" s="46"/>
      <c r="JR306" s="46"/>
      <c r="JS306" s="46"/>
      <c r="JT306" s="46"/>
      <c r="JU306" s="46"/>
      <c r="JV306" s="46"/>
      <c r="JW306" s="46"/>
      <c r="JX306" s="46"/>
      <c r="JY306" s="46"/>
      <c r="JZ306" s="46"/>
      <c r="KA306" s="46"/>
      <c r="KB306" s="46"/>
      <c r="KC306" s="46"/>
      <c r="KD306" s="46"/>
      <c r="KE306" s="46"/>
      <c r="KF306" s="46"/>
      <c r="KG306" s="46"/>
      <c r="KH306" s="46"/>
      <c r="KI306" s="46"/>
      <c r="KJ306" s="93">
        <f t="shared" si="87"/>
        <v>0</v>
      </c>
    </row>
    <row r="307" spans="1:296" x14ac:dyDescent="0.5">
      <c r="A307" s="11">
        <v>125</v>
      </c>
      <c r="B307" s="184" t="s">
        <v>403</v>
      </c>
      <c r="C307" s="179" t="s">
        <v>203</v>
      </c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>
        <f t="shared" si="88"/>
        <v>0</v>
      </c>
      <c r="S307" s="46">
        <f t="shared" si="89"/>
        <v>0</v>
      </c>
      <c r="T307" s="46">
        <f t="shared" si="90"/>
        <v>0</v>
      </c>
      <c r="U307" s="46">
        <f t="shared" si="91"/>
        <v>0</v>
      </c>
      <c r="V307" s="46">
        <f t="shared" si="92"/>
        <v>0</v>
      </c>
      <c r="W307" s="46">
        <f t="shared" si="93"/>
        <v>0</v>
      </c>
      <c r="X307" s="46">
        <f t="shared" si="94"/>
        <v>0</v>
      </c>
      <c r="Y307" s="46">
        <f t="shared" si="95"/>
        <v>0</v>
      </c>
      <c r="Z307" s="90">
        <f t="shared" si="101"/>
        <v>0</v>
      </c>
      <c r="AB307" s="95">
        <f>'LPLPO PROGRAM'!H138</f>
        <v>0</v>
      </c>
      <c r="AC307" s="91"/>
      <c r="AD307" s="91"/>
      <c r="AE307" s="91"/>
      <c r="AF307" s="91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93">
        <f t="shared" si="97"/>
        <v>0</v>
      </c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  <c r="CK307" s="46"/>
      <c r="CL307" s="46"/>
      <c r="CM307" s="46"/>
      <c r="CN307" s="46"/>
      <c r="CO307" s="46"/>
      <c r="CP307" s="46"/>
      <c r="CQ307" s="46"/>
      <c r="CR307" s="46"/>
      <c r="CS307" s="46"/>
      <c r="CT307" s="93">
        <f t="shared" si="83"/>
        <v>0</v>
      </c>
      <c r="CV307" s="46"/>
      <c r="CW307" s="46"/>
      <c r="CX307" s="46"/>
      <c r="CY307" s="46"/>
      <c r="CZ307" s="46"/>
      <c r="DA307" s="46"/>
      <c r="DB307" s="46"/>
      <c r="DC307" s="46"/>
      <c r="DD307" s="46"/>
      <c r="DE307" s="46"/>
      <c r="DF307" s="46"/>
      <c r="DG307" s="46"/>
      <c r="DH307" s="46"/>
      <c r="DI307" s="46"/>
      <c r="DJ307" s="46"/>
      <c r="DK307" s="46"/>
      <c r="DL307" s="46"/>
      <c r="DM307" s="46"/>
      <c r="DN307" s="46"/>
      <c r="DO307" s="46"/>
      <c r="DP307" s="46"/>
      <c r="DQ307" s="46"/>
      <c r="DR307" s="46"/>
      <c r="DS307" s="46"/>
      <c r="DT307" s="46"/>
      <c r="DU307" s="46"/>
      <c r="DV307" s="46"/>
      <c r="DW307" s="46"/>
      <c r="DX307" s="46"/>
      <c r="DY307" s="46"/>
      <c r="DZ307" s="46"/>
      <c r="EA307" s="93">
        <f t="shared" si="98"/>
        <v>0</v>
      </c>
      <c r="EC307" s="46"/>
      <c r="ED307" s="46"/>
      <c r="EE307" s="46"/>
      <c r="EF307" s="46"/>
      <c r="EG307" s="46"/>
      <c r="EH307" s="46"/>
      <c r="EI307" s="46"/>
      <c r="EJ307" s="46"/>
      <c r="EK307" s="46"/>
      <c r="EL307" s="46"/>
      <c r="EM307" s="46"/>
      <c r="EN307" s="46"/>
      <c r="EO307" s="46"/>
      <c r="EP307" s="46"/>
      <c r="EQ307" s="46"/>
      <c r="ER307" s="46"/>
      <c r="ES307" s="46"/>
      <c r="ET307" s="46"/>
      <c r="EU307" s="46"/>
      <c r="EV307" s="46"/>
      <c r="EW307" s="46"/>
      <c r="EX307" s="46"/>
      <c r="EY307" s="46"/>
      <c r="EZ307" s="46"/>
      <c r="FA307" s="46"/>
      <c r="FB307" s="46"/>
      <c r="FC307" s="46"/>
      <c r="FD307" s="46"/>
      <c r="FE307" s="46"/>
      <c r="FF307" s="46"/>
      <c r="FG307" s="46"/>
      <c r="FH307" s="93">
        <f t="shared" si="99"/>
        <v>0</v>
      </c>
      <c r="FJ307" s="46"/>
      <c r="FK307" s="46"/>
      <c r="FL307" s="46"/>
      <c r="FM307" s="46"/>
      <c r="FN307" s="46"/>
      <c r="FO307" s="46"/>
      <c r="FP307" s="46"/>
      <c r="FQ307" s="46"/>
      <c r="FR307" s="46"/>
      <c r="FS307" s="46"/>
      <c r="FT307" s="46"/>
      <c r="FU307" s="46"/>
      <c r="FV307" s="46"/>
      <c r="FW307" s="46"/>
      <c r="FX307" s="46"/>
      <c r="FY307" s="46"/>
      <c r="FZ307" s="46"/>
      <c r="GA307" s="46"/>
      <c r="GB307" s="46"/>
      <c r="GC307" s="46"/>
      <c r="GD307" s="46"/>
      <c r="GE307" s="46"/>
      <c r="GF307" s="46"/>
      <c r="GG307" s="46"/>
      <c r="GH307" s="46"/>
      <c r="GI307" s="46"/>
      <c r="GJ307" s="46"/>
      <c r="GK307" s="46"/>
      <c r="GL307" s="46"/>
      <c r="GM307" s="46"/>
      <c r="GN307" s="46"/>
      <c r="GO307" s="93">
        <f t="shared" si="84"/>
        <v>0</v>
      </c>
      <c r="GQ307" s="46"/>
      <c r="GR307" s="46"/>
      <c r="GS307" s="46"/>
      <c r="GT307" s="46"/>
      <c r="GU307" s="46"/>
      <c r="GV307" s="46"/>
      <c r="GW307" s="46"/>
      <c r="GX307" s="46"/>
      <c r="GY307" s="46"/>
      <c r="GZ307" s="46"/>
      <c r="HA307" s="46"/>
      <c r="HB307" s="46"/>
      <c r="HC307" s="46"/>
      <c r="HD307" s="46"/>
      <c r="HE307" s="46"/>
      <c r="HF307" s="46"/>
      <c r="HG307" s="46"/>
      <c r="HH307" s="46"/>
      <c r="HI307" s="46"/>
      <c r="HJ307" s="46"/>
      <c r="HK307" s="46"/>
      <c r="HL307" s="46"/>
      <c r="HM307" s="46"/>
      <c r="HN307" s="46"/>
      <c r="HO307" s="46"/>
      <c r="HP307" s="46"/>
      <c r="HQ307" s="46"/>
      <c r="HR307" s="46"/>
      <c r="HS307" s="46"/>
      <c r="HT307" s="46"/>
      <c r="HU307" s="46"/>
      <c r="HV307" s="93">
        <f t="shared" si="85"/>
        <v>0</v>
      </c>
      <c r="HX307" s="46"/>
      <c r="HY307" s="46"/>
      <c r="HZ307" s="46"/>
      <c r="IA307" s="46"/>
      <c r="IB307" s="46"/>
      <c r="IC307" s="46"/>
      <c r="ID307" s="46"/>
      <c r="IE307" s="46"/>
      <c r="IF307" s="46"/>
      <c r="IG307" s="46"/>
      <c r="IH307" s="46"/>
      <c r="II307" s="46"/>
      <c r="IJ307" s="46"/>
      <c r="IK307" s="46"/>
      <c r="IL307" s="46"/>
      <c r="IM307" s="46"/>
      <c r="IN307" s="46"/>
      <c r="IO307" s="46"/>
      <c r="IP307" s="46"/>
      <c r="IQ307" s="46"/>
      <c r="IR307" s="46"/>
      <c r="IS307" s="46"/>
      <c r="IT307" s="46"/>
      <c r="IU307" s="46"/>
      <c r="IV307" s="46"/>
      <c r="IW307" s="46"/>
      <c r="IX307" s="46"/>
      <c r="IY307" s="46"/>
      <c r="IZ307" s="46"/>
      <c r="JA307" s="46"/>
      <c r="JB307" s="46"/>
      <c r="JC307" s="93">
        <f t="shared" si="86"/>
        <v>0</v>
      </c>
      <c r="JE307" s="46"/>
      <c r="JF307" s="46"/>
      <c r="JG307" s="46"/>
      <c r="JH307" s="46"/>
      <c r="JI307" s="46"/>
      <c r="JJ307" s="46"/>
      <c r="JK307" s="46"/>
      <c r="JL307" s="46"/>
      <c r="JM307" s="46"/>
      <c r="JN307" s="46"/>
      <c r="JO307" s="46"/>
      <c r="JP307" s="46"/>
      <c r="JQ307" s="46"/>
      <c r="JR307" s="46"/>
      <c r="JS307" s="46"/>
      <c r="JT307" s="46"/>
      <c r="JU307" s="46"/>
      <c r="JV307" s="46"/>
      <c r="JW307" s="46"/>
      <c r="JX307" s="46"/>
      <c r="JY307" s="46"/>
      <c r="JZ307" s="46"/>
      <c r="KA307" s="46"/>
      <c r="KB307" s="46"/>
      <c r="KC307" s="46"/>
      <c r="KD307" s="46"/>
      <c r="KE307" s="46"/>
      <c r="KF307" s="46"/>
      <c r="KG307" s="46"/>
      <c r="KH307" s="46"/>
      <c r="KI307" s="46"/>
      <c r="KJ307" s="93">
        <f t="shared" si="87"/>
        <v>0</v>
      </c>
    </row>
    <row r="308" spans="1:296" x14ac:dyDescent="0.5">
      <c r="A308" s="11">
        <v>126</v>
      </c>
      <c r="B308" s="184" t="s">
        <v>404</v>
      </c>
      <c r="C308" s="179" t="s">
        <v>294</v>
      </c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>
        <f t="shared" si="88"/>
        <v>0</v>
      </c>
      <c r="S308" s="46">
        <f t="shared" si="89"/>
        <v>0</v>
      </c>
      <c r="T308" s="46">
        <f t="shared" si="90"/>
        <v>0</v>
      </c>
      <c r="U308" s="46">
        <f t="shared" si="91"/>
        <v>0</v>
      </c>
      <c r="V308" s="46">
        <f t="shared" si="92"/>
        <v>0</v>
      </c>
      <c r="W308" s="46">
        <f t="shared" si="93"/>
        <v>0</v>
      </c>
      <c r="X308" s="46">
        <f t="shared" si="94"/>
        <v>0</v>
      </c>
      <c r="Y308" s="46">
        <f t="shared" si="95"/>
        <v>0</v>
      </c>
      <c r="Z308" s="90">
        <f t="shared" si="101"/>
        <v>0</v>
      </c>
      <c r="AB308" s="95">
        <f>'LPLPO PROGRAM'!H139</f>
        <v>0</v>
      </c>
      <c r="AC308" s="91"/>
      <c r="AD308" s="91"/>
      <c r="AE308" s="91"/>
      <c r="AF308" s="91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93">
        <f t="shared" si="97"/>
        <v>0</v>
      </c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  <c r="CK308" s="46"/>
      <c r="CL308" s="46"/>
      <c r="CM308" s="46"/>
      <c r="CN308" s="46"/>
      <c r="CO308" s="46"/>
      <c r="CP308" s="46"/>
      <c r="CQ308" s="46"/>
      <c r="CR308" s="46"/>
      <c r="CS308" s="46"/>
      <c r="CT308" s="93">
        <f t="shared" ref="CT308:CT362" si="102">SUM(BO308:CS308)</f>
        <v>0</v>
      </c>
      <c r="CV308" s="46"/>
      <c r="CW308" s="46"/>
      <c r="CX308" s="46"/>
      <c r="CY308" s="46"/>
      <c r="CZ308" s="46"/>
      <c r="DA308" s="46"/>
      <c r="DB308" s="46"/>
      <c r="DC308" s="46"/>
      <c r="DD308" s="46"/>
      <c r="DE308" s="46"/>
      <c r="DF308" s="46"/>
      <c r="DG308" s="46"/>
      <c r="DH308" s="46"/>
      <c r="DI308" s="46"/>
      <c r="DJ308" s="46"/>
      <c r="DK308" s="46"/>
      <c r="DL308" s="46"/>
      <c r="DM308" s="46"/>
      <c r="DN308" s="46"/>
      <c r="DO308" s="46"/>
      <c r="DP308" s="46"/>
      <c r="DQ308" s="46"/>
      <c r="DR308" s="46"/>
      <c r="DS308" s="46"/>
      <c r="DT308" s="46"/>
      <c r="DU308" s="46"/>
      <c r="DV308" s="46"/>
      <c r="DW308" s="46"/>
      <c r="DX308" s="46"/>
      <c r="DY308" s="46"/>
      <c r="DZ308" s="46"/>
      <c r="EA308" s="93">
        <f t="shared" si="98"/>
        <v>0</v>
      </c>
      <c r="EC308" s="46"/>
      <c r="ED308" s="46"/>
      <c r="EE308" s="46"/>
      <c r="EF308" s="46"/>
      <c r="EG308" s="46"/>
      <c r="EH308" s="46"/>
      <c r="EI308" s="46"/>
      <c r="EJ308" s="46"/>
      <c r="EK308" s="46"/>
      <c r="EL308" s="46"/>
      <c r="EM308" s="46"/>
      <c r="EN308" s="46"/>
      <c r="EO308" s="46"/>
      <c r="EP308" s="46"/>
      <c r="EQ308" s="46"/>
      <c r="ER308" s="46"/>
      <c r="ES308" s="46"/>
      <c r="ET308" s="46"/>
      <c r="EU308" s="46"/>
      <c r="EV308" s="46"/>
      <c r="EW308" s="46"/>
      <c r="EX308" s="46"/>
      <c r="EY308" s="46"/>
      <c r="EZ308" s="46"/>
      <c r="FA308" s="46"/>
      <c r="FB308" s="46"/>
      <c r="FC308" s="46"/>
      <c r="FD308" s="46"/>
      <c r="FE308" s="46"/>
      <c r="FF308" s="46"/>
      <c r="FG308" s="46"/>
      <c r="FH308" s="93">
        <f t="shared" si="99"/>
        <v>0</v>
      </c>
      <c r="FJ308" s="46"/>
      <c r="FK308" s="46"/>
      <c r="FL308" s="46"/>
      <c r="FM308" s="46"/>
      <c r="FN308" s="46"/>
      <c r="FO308" s="46"/>
      <c r="FP308" s="46"/>
      <c r="FQ308" s="46"/>
      <c r="FR308" s="46"/>
      <c r="FS308" s="46"/>
      <c r="FT308" s="46"/>
      <c r="FU308" s="46"/>
      <c r="FV308" s="46"/>
      <c r="FW308" s="46"/>
      <c r="FX308" s="46"/>
      <c r="FY308" s="46"/>
      <c r="FZ308" s="46"/>
      <c r="GA308" s="46"/>
      <c r="GB308" s="46"/>
      <c r="GC308" s="46"/>
      <c r="GD308" s="46"/>
      <c r="GE308" s="46"/>
      <c r="GF308" s="46"/>
      <c r="GG308" s="46"/>
      <c r="GH308" s="46"/>
      <c r="GI308" s="46"/>
      <c r="GJ308" s="46"/>
      <c r="GK308" s="46"/>
      <c r="GL308" s="46"/>
      <c r="GM308" s="46"/>
      <c r="GN308" s="46"/>
      <c r="GO308" s="93">
        <f t="shared" ref="GO308:GO364" si="103">SUM(FJ308:GN308)</f>
        <v>0</v>
      </c>
      <c r="GQ308" s="46"/>
      <c r="GR308" s="46"/>
      <c r="GS308" s="46"/>
      <c r="GT308" s="46"/>
      <c r="GU308" s="46"/>
      <c r="GV308" s="46"/>
      <c r="GW308" s="46"/>
      <c r="GX308" s="46"/>
      <c r="GY308" s="46"/>
      <c r="GZ308" s="46"/>
      <c r="HA308" s="46"/>
      <c r="HB308" s="46"/>
      <c r="HC308" s="46"/>
      <c r="HD308" s="46"/>
      <c r="HE308" s="46"/>
      <c r="HF308" s="46"/>
      <c r="HG308" s="46"/>
      <c r="HH308" s="46"/>
      <c r="HI308" s="46"/>
      <c r="HJ308" s="46"/>
      <c r="HK308" s="46"/>
      <c r="HL308" s="46"/>
      <c r="HM308" s="46"/>
      <c r="HN308" s="46"/>
      <c r="HO308" s="46"/>
      <c r="HP308" s="46"/>
      <c r="HQ308" s="46"/>
      <c r="HR308" s="46"/>
      <c r="HS308" s="46"/>
      <c r="HT308" s="46"/>
      <c r="HU308" s="46"/>
      <c r="HV308" s="93">
        <f t="shared" ref="HV308:HV360" si="104">SUM(GQ308:HU308)</f>
        <v>0</v>
      </c>
      <c r="HX308" s="46"/>
      <c r="HY308" s="46"/>
      <c r="HZ308" s="46"/>
      <c r="IA308" s="46"/>
      <c r="IB308" s="46"/>
      <c r="IC308" s="46"/>
      <c r="ID308" s="46"/>
      <c r="IE308" s="46"/>
      <c r="IF308" s="46"/>
      <c r="IG308" s="46"/>
      <c r="IH308" s="46"/>
      <c r="II308" s="46"/>
      <c r="IJ308" s="46"/>
      <c r="IK308" s="46"/>
      <c r="IL308" s="46"/>
      <c r="IM308" s="46"/>
      <c r="IN308" s="46"/>
      <c r="IO308" s="46"/>
      <c r="IP308" s="46"/>
      <c r="IQ308" s="46"/>
      <c r="IR308" s="46"/>
      <c r="IS308" s="46"/>
      <c r="IT308" s="46"/>
      <c r="IU308" s="46"/>
      <c r="IV308" s="46"/>
      <c r="IW308" s="46"/>
      <c r="IX308" s="46"/>
      <c r="IY308" s="46"/>
      <c r="IZ308" s="46"/>
      <c r="JA308" s="46"/>
      <c r="JB308" s="46"/>
      <c r="JC308" s="93">
        <f t="shared" ref="JC308:JC329" si="105">SUM(HX308:JB308)</f>
        <v>0</v>
      </c>
      <c r="JE308" s="46"/>
      <c r="JF308" s="46"/>
      <c r="JG308" s="46"/>
      <c r="JH308" s="46"/>
      <c r="JI308" s="46"/>
      <c r="JJ308" s="46"/>
      <c r="JK308" s="46"/>
      <c r="JL308" s="46"/>
      <c r="JM308" s="46"/>
      <c r="JN308" s="46"/>
      <c r="JO308" s="46"/>
      <c r="JP308" s="46"/>
      <c r="JQ308" s="46"/>
      <c r="JR308" s="46"/>
      <c r="JS308" s="46"/>
      <c r="JT308" s="46"/>
      <c r="JU308" s="46"/>
      <c r="JV308" s="46"/>
      <c r="JW308" s="46"/>
      <c r="JX308" s="46"/>
      <c r="JY308" s="46"/>
      <c r="JZ308" s="46"/>
      <c r="KA308" s="46"/>
      <c r="KB308" s="46"/>
      <c r="KC308" s="46"/>
      <c r="KD308" s="46"/>
      <c r="KE308" s="46"/>
      <c r="KF308" s="46"/>
      <c r="KG308" s="46"/>
      <c r="KH308" s="46"/>
      <c r="KI308" s="46"/>
      <c r="KJ308" s="93">
        <f t="shared" ref="KJ308:KJ329" si="106">SUM(JE308:KI308)</f>
        <v>0</v>
      </c>
    </row>
    <row r="309" spans="1:296" x14ac:dyDescent="0.5">
      <c r="A309" s="11">
        <v>127</v>
      </c>
      <c r="B309" s="184" t="s">
        <v>372</v>
      </c>
      <c r="C309" s="179" t="s">
        <v>371</v>
      </c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>
        <f t="shared" si="88"/>
        <v>0</v>
      </c>
      <c r="S309" s="46">
        <f t="shared" si="89"/>
        <v>0</v>
      </c>
      <c r="T309" s="46">
        <f t="shared" si="90"/>
        <v>0</v>
      </c>
      <c r="U309" s="46">
        <f t="shared" si="91"/>
        <v>0</v>
      </c>
      <c r="V309" s="46">
        <f t="shared" si="92"/>
        <v>0</v>
      </c>
      <c r="W309" s="46">
        <f t="shared" si="93"/>
        <v>0</v>
      </c>
      <c r="X309" s="46">
        <f t="shared" si="94"/>
        <v>0</v>
      </c>
      <c r="Y309" s="46">
        <f t="shared" si="95"/>
        <v>0</v>
      </c>
      <c r="Z309" s="90">
        <f t="shared" si="101"/>
        <v>0</v>
      </c>
      <c r="AB309" s="95">
        <f>'LPLPO PROGRAM'!H140</f>
        <v>0</v>
      </c>
      <c r="AC309" s="91"/>
      <c r="AD309" s="91"/>
      <c r="AE309" s="91"/>
      <c r="AF309" s="91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93">
        <f t="shared" si="97"/>
        <v>0</v>
      </c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  <c r="CK309" s="46"/>
      <c r="CL309" s="46"/>
      <c r="CM309" s="46"/>
      <c r="CN309" s="46"/>
      <c r="CO309" s="46"/>
      <c r="CP309" s="46"/>
      <c r="CQ309" s="46"/>
      <c r="CR309" s="46"/>
      <c r="CS309" s="46"/>
      <c r="CT309" s="93">
        <f t="shared" si="102"/>
        <v>0</v>
      </c>
      <c r="CV309" s="46"/>
      <c r="CW309" s="46"/>
      <c r="CX309" s="46"/>
      <c r="CY309" s="46"/>
      <c r="CZ309" s="46"/>
      <c r="DA309" s="46"/>
      <c r="DB309" s="46"/>
      <c r="DC309" s="46"/>
      <c r="DD309" s="46"/>
      <c r="DE309" s="46"/>
      <c r="DF309" s="46"/>
      <c r="DG309" s="46"/>
      <c r="DH309" s="46"/>
      <c r="DI309" s="46"/>
      <c r="DJ309" s="46"/>
      <c r="DK309" s="46"/>
      <c r="DL309" s="46"/>
      <c r="DM309" s="46"/>
      <c r="DN309" s="46"/>
      <c r="DO309" s="46"/>
      <c r="DP309" s="46"/>
      <c r="DQ309" s="46"/>
      <c r="DR309" s="46"/>
      <c r="DS309" s="46"/>
      <c r="DT309" s="46"/>
      <c r="DU309" s="46"/>
      <c r="DV309" s="46"/>
      <c r="DW309" s="46"/>
      <c r="DX309" s="46"/>
      <c r="DY309" s="46"/>
      <c r="DZ309" s="46"/>
      <c r="EA309" s="93">
        <f t="shared" si="98"/>
        <v>0</v>
      </c>
      <c r="EC309" s="46"/>
      <c r="ED309" s="46"/>
      <c r="EE309" s="46"/>
      <c r="EF309" s="46"/>
      <c r="EG309" s="46"/>
      <c r="EH309" s="46"/>
      <c r="EI309" s="46"/>
      <c r="EJ309" s="46"/>
      <c r="EK309" s="46"/>
      <c r="EL309" s="46"/>
      <c r="EM309" s="46"/>
      <c r="EN309" s="46"/>
      <c r="EO309" s="46"/>
      <c r="EP309" s="46"/>
      <c r="EQ309" s="46"/>
      <c r="ER309" s="46"/>
      <c r="ES309" s="46"/>
      <c r="ET309" s="46"/>
      <c r="EU309" s="46"/>
      <c r="EV309" s="46"/>
      <c r="EW309" s="46"/>
      <c r="EX309" s="46"/>
      <c r="EY309" s="46"/>
      <c r="EZ309" s="46"/>
      <c r="FA309" s="46"/>
      <c r="FB309" s="46"/>
      <c r="FC309" s="46"/>
      <c r="FD309" s="46"/>
      <c r="FE309" s="46"/>
      <c r="FF309" s="46"/>
      <c r="FG309" s="46"/>
      <c r="FH309" s="93">
        <f t="shared" si="99"/>
        <v>0</v>
      </c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6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46"/>
      <c r="GF309" s="46"/>
      <c r="GG309" s="46"/>
      <c r="GH309" s="46"/>
      <c r="GI309" s="46"/>
      <c r="GJ309" s="46"/>
      <c r="GK309" s="46"/>
      <c r="GL309" s="46"/>
      <c r="GM309" s="46"/>
      <c r="GN309" s="46"/>
      <c r="GO309" s="93">
        <f t="shared" si="103"/>
        <v>0</v>
      </c>
      <c r="GQ309" s="46"/>
      <c r="GR309" s="46"/>
      <c r="GS309" s="46"/>
      <c r="GT309" s="46"/>
      <c r="GU309" s="46"/>
      <c r="GV309" s="46"/>
      <c r="GW309" s="46"/>
      <c r="GX309" s="46"/>
      <c r="GY309" s="46"/>
      <c r="GZ309" s="46"/>
      <c r="HA309" s="46"/>
      <c r="HB309" s="46"/>
      <c r="HC309" s="46"/>
      <c r="HD309" s="46"/>
      <c r="HE309" s="46"/>
      <c r="HF309" s="46"/>
      <c r="HG309" s="46"/>
      <c r="HH309" s="46"/>
      <c r="HI309" s="46"/>
      <c r="HJ309" s="46"/>
      <c r="HK309" s="46"/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93">
        <f t="shared" si="104"/>
        <v>0</v>
      </c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  <c r="IT309" s="46"/>
      <c r="IU309" s="46"/>
      <c r="IV309" s="46"/>
      <c r="IW309" s="46"/>
      <c r="IX309" s="46"/>
      <c r="IY309" s="46"/>
      <c r="IZ309" s="46"/>
      <c r="JA309" s="46"/>
      <c r="JB309" s="46"/>
      <c r="JC309" s="93">
        <f t="shared" si="105"/>
        <v>0</v>
      </c>
      <c r="JE309" s="46"/>
      <c r="JF309" s="46"/>
      <c r="JG309" s="46"/>
      <c r="JH309" s="46"/>
      <c r="JI309" s="46"/>
      <c r="JJ309" s="46"/>
      <c r="JK309" s="46"/>
      <c r="JL309" s="46"/>
      <c r="JM309" s="46"/>
      <c r="JN309" s="46"/>
      <c r="JO309" s="46"/>
      <c r="JP309" s="46"/>
      <c r="JQ309" s="46"/>
      <c r="JR309" s="46"/>
      <c r="JS309" s="46"/>
      <c r="JT309" s="46"/>
      <c r="JU309" s="46"/>
      <c r="JV309" s="46"/>
      <c r="JW309" s="46"/>
      <c r="JX309" s="46"/>
      <c r="JY309" s="46"/>
      <c r="JZ309" s="46"/>
      <c r="KA309" s="46"/>
      <c r="KB309" s="46"/>
      <c r="KC309" s="46"/>
      <c r="KD309" s="46"/>
      <c r="KE309" s="46"/>
      <c r="KF309" s="46"/>
      <c r="KG309" s="46"/>
      <c r="KH309" s="46"/>
      <c r="KI309" s="46"/>
      <c r="KJ309" s="93">
        <f t="shared" si="106"/>
        <v>0</v>
      </c>
    </row>
    <row r="310" spans="1:296" x14ac:dyDescent="0.5">
      <c r="A310" s="11">
        <v>128</v>
      </c>
      <c r="B310" s="184" t="s">
        <v>377</v>
      </c>
      <c r="C310" s="179" t="s">
        <v>212</v>
      </c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>
        <f t="shared" si="88"/>
        <v>0</v>
      </c>
      <c r="S310" s="46">
        <f t="shared" si="89"/>
        <v>0</v>
      </c>
      <c r="T310" s="46">
        <f t="shared" si="90"/>
        <v>0</v>
      </c>
      <c r="U310" s="46">
        <f t="shared" si="91"/>
        <v>0</v>
      </c>
      <c r="V310" s="46">
        <f t="shared" si="92"/>
        <v>0</v>
      </c>
      <c r="W310" s="46">
        <f t="shared" si="93"/>
        <v>0</v>
      </c>
      <c r="X310" s="46">
        <f t="shared" si="94"/>
        <v>0</v>
      </c>
      <c r="Y310" s="46">
        <f t="shared" si="95"/>
        <v>0</v>
      </c>
      <c r="Z310" s="90">
        <f t="shared" si="101"/>
        <v>0</v>
      </c>
      <c r="AB310" s="95">
        <f>'LPLPO PROGRAM'!H141</f>
        <v>0</v>
      </c>
      <c r="AC310" s="91"/>
      <c r="AD310" s="91"/>
      <c r="AE310" s="91"/>
      <c r="AF310" s="91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93">
        <f t="shared" si="97"/>
        <v>0</v>
      </c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  <c r="CK310" s="46"/>
      <c r="CL310" s="46"/>
      <c r="CM310" s="46"/>
      <c r="CN310" s="46"/>
      <c r="CO310" s="46"/>
      <c r="CP310" s="46"/>
      <c r="CQ310" s="46"/>
      <c r="CR310" s="46"/>
      <c r="CS310" s="46"/>
      <c r="CT310" s="93">
        <f t="shared" si="102"/>
        <v>0</v>
      </c>
      <c r="CV310" s="46"/>
      <c r="CW310" s="46"/>
      <c r="CX310" s="46"/>
      <c r="CY310" s="46"/>
      <c r="CZ310" s="46"/>
      <c r="DA310" s="46"/>
      <c r="DB310" s="46"/>
      <c r="DC310" s="46"/>
      <c r="DD310" s="46"/>
      <c r="DE310" s="46"/>
      <c r="DF310" s="46"/>
      <c r="DG310" s="46"/>
      <c r="DH310" s="46"/>
      <c r="DI310" s="46"/>
      <c r="DJ310" s="46"/>
      <c r="DK310" s="46"/>
      <c r="DL310" s="46"/>
      <c r="DM310" s="46"/>
      <c r="DN310" s="46"/>
      <c r="DO310" s="46"/>
      <c r="DP310" s="46"/>
      <c r="DQ310" s="46"/>
      <c r="DR310" s="46"/>
      <c r="DS310" s="46"/>
      <c r="DT310" s="46"/>
      <c r="DU310" s="46"/>
      <c r="DV310" s="46"/>
      <c r="DW310" s="46"/>
      <c r="DX310" s="46"/>
      <c r="DY310" s="46"/>
      <c r="DZ310" s="46"/>
      <c r="EA310" s="93">
        <f t="shared" si="98"/>
        <v>0</v>
      </c>
      <c r="EC310" s="46"/>
      <c r="ED310" s="46"/>
      <c r="EE310" s="46"/>
      <c r="EF310" s="46"/>
      <c r="EG310" s="46"/>
      <c r="EH310" s="46"/>
      <c r="EI310" s="46"/>
      <c r="EJ310" s="46"/>
      <c r="EK310" s="46"/>
      <c r="EL310" s="46"/>
      <c r="EM310" s="46"/>
      <c r="EN310" s="46"/>
      <c r="EO310" s="46"/>
      <c r="EP310" s="46"/>
      <c r="EQ310" s="46"/>
      <c r="ER310" s="46"/>
      <c r="ES310" s="46"/>
      <c r="ET310" s="46"/>
      <c r="EU310" s="46"/>
      <c r="EV310" s="46"/>
      <c r="EW310" s="46"/>
      <c r="EX310" s="46"/>
      <c r="EY310" s="46"/>
      <c r="EZ310" s="46"/>
      <c r="FA310" s="46"/>
      <c r="FB310" s="46"/>
      <c r="FC310" s="46"/>
      <c r="FD310" s="46"/>
      <c r="FE310" s="46"/>
      <c r="FF310" s="46"/>
      <c r="FG310" s="46"/>
      <c r="FH310" s="93">
        <f t="shared" si="99"/>
        <v>0</v>
      </c>
      <c r="FJ310" s="46"/>
      <c r="FK310" s="46"/>
      <c r="FL310" s="46"/>
      <c r="FM310" s="46"/>
      <c r="FN310" s="46"/>
      <c r="FO310" s="46"/>
      <c r="FP310" s="46"/>
      <c r="FQ310" s="46"/>
      <c r="FR310" s="46"/>
      <c r="FS310" s="46"/>
      <c r="FT310" s="46"/>
      <c r="FU310" s="46"/>
      <c r="FV310" s="46"/>
      <c r="FW310" s="46"/>
      <c r="FX310" s="46"/>
      <c r="FY310" s="46"/>
      <c r="FZ310" s="46"/>
      <c r="GA310" s="46"/>
      <c r="GB310" s="46"/>
      <c r="GC310" s="46"/>
      <c r="GD310" s="46"/>
      <c r="GE310" s="46"/>
      <c r="GF310" s="46"/>
      <c r="GG310" s="46"/>
      <c r="GH310" s="46"/>
      <c r="GI310" s="46"/>
      <c r="GJ310" s="46"/>
      <c r="GK310" s="46"/>
      <c r="GL310" s="46"/>
      <c r="GM310" s="46"/>
      <c r="GN310" s="46"/>
      <c r="GO310" s="93">
        <f t="shared" si="103"/>
        <v>0</v>
      </c>
      <c r="GQ310" s="46"/>
      <c r="GR310" s="46"/>
      <c r="GS310" s="46"/>
      <c r="GT310" s="46"/>
      <c r="GU310" s="46"/>
      <c r="GV310" s="46"/>
      <c r="GW310" s="46"/>
      <c r="GX310" s="46"/>
      <c r="GY310" s="46"/>
      <c r="GZ310" s="46"/>
      <c r="HA310" s="46"/>
      <c r="HB310" s="46"/>
      <c r="HC310" s="46"/>
      <c r="HD310" s="46"/>
      <c r="HE310" s="46"/>
      <c r="HF310" s="46"/>
      <c r="HG310" s="46"/>
      <c r="HH310" s="46"/>
      <c r="HI310" s="46"/>
      <c r="HJ310" s="46"/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93">
        <f t="shared" si="104"/>
        <v>0</v>
      </c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  <c r="IT310" s="46"/>
      <c r="IU310" s="46"/>
      <c r="IV310" s="46"/>
      <c r="IW310" s="46"/>
      <c r="IX310" s="46"/>
      <c r="IY310" s="46"/>
      <c r="IZ310" s="46"/>
      <c r="JA310" s="46"/>
      <c r="JB310" s="46"/>
      <c r="JC310" s="93">
        <f t="shared" si="105"/>
        <v>0</v>
      </c>
      <c r="JE310" s="46"/>
      <c r="JF310" s="46"/>
      <c r="JG310" s="46"/>
      <c r="JH310" s="46"/>
      <c r="JI310" s="46"/>
      <c r="JJ310" s="46"/>
      <c r="JK310" s="46"/>
      <c r="JL310" s="46"/>
      <c r="JM310" s="46"/>
      <c r="JN310" s="46"/>
      <c r="JO310" s="46"/>
      <c r="JP310" s="46"/>
      <c r="JQ310" s="46"/>
      <c r="JR310" s="46"/>
      <c r="JS310" s="46"/>
      <c r="JT310" s="46"/>
      <c r="JU310" s="46"/>
      <c r="JV310" s="46"/>
      <c r="JW310" s="46"/>
      <c r="JX310" s="46"/>
      <c r="JY310" s="46"/>
      <c r="JZ310" s="46"/>
      <c r="KA310" s="46"/>
      <c r="KB310" s="46"/>
      <c r="KC310" s="46"/>
      <c r="KD310" s="46"/>
      <c r="KE310" s="46"/>
      <c r="KF310" s="46"/>
      <c r="KG310" s="46"/>
      <c r="KH310" s="46"/>
      <c r="KI310" s="46"/>
      <c r="KJ310" s="93">
        <f t="shared" si="106"/>
        <v>0</v>
      </c>
    </row>
    <row r="311" spans="1:296" ht="30" x14ac:dyDescent="0.5">
      <c r="A311" s="11">
        <v>129</v>
      </c>
      <c r="B311" s="180" t="s">
        <v>288</v>
      </c>
      <c r="C311" s="179" t="s">
        <v>273</v>
      </c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>
        <f t="shared" si="88"/>
        <v>6</v>
      </c>
      <c r="S311" s="46">
        <f t="shared" si="89"/>
        <v>0</v>
      </c>
      <c r="T311" s="46">
        <f t="shared" si="90"/>
        <v>0</v>
      </c>
      <c r="U311" s="46">
        <f t="shared" si="91"/>
        <v>0</v>
      </c>
      <c r="V311" s="46">
        <f t="shared" si="92"/>
        <v>0</v>
      </c>
      <c r="W311" s="46">
        <f t="shared" si="93"/>
        <v>0</v>
      </c>
      <c r="X311" s="46">
        <f t="shared" si="94"/>
        <v>0</v>
      </c>
      <c r="Y311" s="46">
        <f t="shared" si="95"/>
        <v>0</v>
      </c>
      <c r="Z311" s="90">
        <f t="shared" si="101"/>
        <v>6</v>
      </c>
      <c r="AB311" s="95">
        <f>'LPLPO PROGRAM'!H142</f>
        <v>0</v>
      </c>
      <c r="AC311" s="91"/>
      <c r="AD311" s="91"/>
      <c r="AE311" s="91"/>
      <c r="AF311" s="91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>
        <v>6</v>
      </c>
      <c r="BF311" s="46"/>
      <c r="BG311" s="46"/>
      <c r="BH311" s="46"/>
      <c r="BI311" s="46"/>
      <c r="BJ311" s="46"/>
      <c r="BK311" s="46"/>
      <c r="BL311" s="46"/>
      <c r="BM311" s="93">
        <f t="shared" si="97"/>
        <v>6</v>
      </c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  <c r="CK311" s="46"/>
      <c r="CL311" s="46"/>
      <c r="CM311" s="46"/>
      <c r="CN311" s="46"/>
      <c r="CO311" s="46"/>
      <c r="CP311" s="46"/>
      <c r="CQ311" s="46"/>
      <c r="CR311" s="46"/>
      <c r="CS311" s="46"/>
      <c r="CT311" s="93">
        <f t="shared" si="102"/>
        <v>0</v>
      </c>
      <c r="CV311" s="46"/>
      <c r="CW311" s="46"/>
      <c r="CX311" s="46"/>
      <c r="CY311" s="46"/>
      <c r="CZ311" s="46"/>
      <c r="DA311" s="46"/>
      <c r="DB311" s="46"/>
      <c r="DC311" s="46"/>
      <c r="DD311" s="46"/>
      <c r="DE311" s="46"/>
      <c r="DF311" s="46"/>
      <c r="DG311" s="46"/>
      <c r="DH311" s="46"/>
      <c r="DI311" s="46"/>
      <c r="DJ311" s="46"/>
      <c r="DK311" s="46"/>
      <c r="DL311" s="46"/>
      <c r="DM311" s="46"/>
      <c r="DN311" s="46"/>
      <c r="DO311" s="46"/>
      <c r="DP311" s="46"/>
      <c r="DQ311" s="46"/>
      <c r="DR311" s="46"/>
      <c r="DS311" s="46"/>
      <c r="DT311" s="46"/>
      <c r="DU311" s="46"/>
      <c r="DV311" s="46"/>
      <c r="DW311" s="46"/>
      <c r="DX311" s="46"/>
      <c r="DY311" s="46"/>
      <c r="DZ311" s="46"/>
      <c r="EA311" s="93">
        <f t="shared" si="98"/>
        <v>0</v>
      </c>
      <c r="EC311" s="46"/>
      <c r="ED311" s="46"/>
      <c r="EE311" s="46"/>
      <c r="EF311" s="46"/>
      <c r="EG311" s="46"/>
      <c r="EH311" s="46"/>
      <c r="EI311" s="46"/>
      <c r="EJ311" s="46"/>
      <c r="EK311" s="46"/>
      <c r="EL311" s="46"/>
      <c r="EM311" s="46"/>
      <c r="EN311" s="46"/>
      <c r="EO311" s="46"/>
      <c r="EP311" s="46"/>
      <c r="EQ311" s="46"/>
      <c r="ER311" s="46"/>
      <c r="ES311" s="46"/>
      <c r="ET311" s="46"/>
      <c r="EU311" s="46"/>
      <c r="EV311" s="46"/>
      <c r="EW311" s="46"/>
      <c r="EX311" s="46"/>
      <c r="EY311" s="46"/>
      <c r="EZ311" s="46"/>
      <c r="FA311" s="46"/>
      <c r="FB311" s="46"/>
      <c r="FC311" s="46"/>
      <c r="FD311" s="46"/>
      <c r="FE311" s="46"/>
      <c r="FF311" s="46"/>
      <c r="FG311" s="46"/>
      <c r="FH311" s="93">
        <f t="shared" si="99"/>
        <v>0</v>
      </c>
      <c r="FJ311" s="46"/>
      <c r="FK311" s="46"/>
      <c r="FL311" s="46"/>
      <c r="FM311" s="46"/>
      <c r="FN311" s="46"/>
      <c r="FO311" s="46"/>
      <c r="FP311" s="46"/>
      <c r="FQ311" s="46"/>
      <c r="FR311" s="46"/>
      <c r="FS311" s="46"/>
      <c r="FT311" s="46"/>
      <c r="FU311" s="46"/>
      <c r="FV311" s="46"/>
      <c r="FW311" s="46"/>
      <c r="FX311" s="46"/>
      <c r="FY311" s="46"/>
      <c r="FZ311" s="46"/>
      <c r="GA311" s="46"/>
      <c r="GB311" s="46"/>
      <c r="GC311" s="46"/>
      <c r="GD311" s="46"/>
      <c r="GE311" s="46"/>
      <c r="GF311" s="46"/>
      <c r="GG311" s="46"/>
      <c r="GH311" s="46"/>
      <c r="GI311" s="46"/>
      <c r="GJ311" s="46"/>
      <c r="GK311" s="46"/>
      <c r="GL311" s="46"/>
      <c r="GM311" s="46"/>
      <c r="GN311" s="46"/>
      <c r="GO311" s="93">
        <f t="shared" si="103"/>
        <v>0</v>
      </c>
      <c r="GQ311" s="46"/>
      <c r="GR311" s="46"/>
      <c r="GS311" s="46"/>
      <c r="GT311" s="46"/>
      <c r="GU311" s="46"/>
      <c r="GV311" s="46"/>
      <c r="GW311" s="46"/>
      <c r="GX311" s="46"/>
      <c r="GY311" s="46"/>
      <c r="GZ311" s="46"/>
      <c r="HA311" s="46"/>
      <c r="HB311" s="46"/>
      <c r="HC311" s="46"/>
      <c r="HD311" s="46"/>
      <c r="HE311" s="46"/>
      <c r="HF311" s="46"/>
      <c r="HG311" s="46"/>
      <c r="HH311" s="46"/>
      <c r="HI311" s="46"/>
      <c r="HJ311" s="46"/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93">
        <f t="shared" si="104"/>
        <v>0</v>
      </c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  <c r="IT311" s="46"/>
      <c r="IU311" s="46"/>
      <c r="IV311" s="46"/>
      <c r="IW311" s="46"/>
      <c r="IX311" s="46"/>
      <c r="IY311" s="46"/>
      <c r="IZ311" s="46"/>
      <c r="JA311" s="46"/>
      <c r="JB311" s="46"/>
      <c r="JC311" s="93">
        <f t="shared" si="105"/>
        <v>0</v>
      </c>
      <c r="JE311" s="46"/>
      <c r="JF311" s="46"/>
      <c r="JG311" s="46"/>
      <c r="JH311" s="46"/>
      <c r="JI311" s="46"/>
      <c r="JJ311" s="46"/>
      <c r="JK311" s="46"/>
      <c r="JL311" s="46"/>
      <c r="JM311" s="46"/>
      <c r="JN311" s="46"/>
      <c r="JO311" s="46"/>
      <c r="JP311" s="46"/>
      <c r="JQ311" s="46"/>
      <c r="JR311" s="46"/>
      <c r="JS311" s="46"/>
      <c r="JT311" s="46"/>
      <c r="JU311" s="46"/>
      <c r="JV311" s="46"/>
      <c r="JW311" s="46"/>
      <c r="JX311" s="46"/>
      <c r="JY311" s="46"/>
      <c r="JZ311" s="46"/>
      <c r="KA311" s="46"/>
      <c r="KB311" s="46"/>
      <c r="KC311" s="46"/>
      <c r="KD311" s="46"/>
      <c r="KE311" s="46"/>
      <c r="KF311" s="46"/>
      <c r="KG311" s="46"/>
      <c r="KH311" s="46"/>
      <c r="KI311" s="46"/>
      <c r="KJ311" s="93">
        <f t="shared" si="106"/>
        <v>0</v>
      </c>
    </row>
    <row r="312" spans="1:296" ht="30" x14ac:dyDescent="0.5">
      <c r="A312" s="11">
        <v>130</v>
      </c>
      <c r="B312" s="180" t="s">
        <v>287</v>
      </c>
      <c r="C312" s="179" t="s">
        <v>274</v>
      </c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>
        <f t="shared" si="88"/>
        <v>5</v>
      </c>
      <c r="S312" s="46">
        <f t="shared" si="89"/>
        <v>0</v>
      </c>
      <c r="T312" s="46">
        <f t="shared" si="90"/>
        <v>0</v>
      </c>
      <c r="U312" s="46">
        <f t="shared" si="91"/>
        <v>0</v>
      </c>
      <c r="V312" s="46">
        <f t="shared" si="92"/>
        <v>0</v>
      </c>
      <c r="W312" s="46">
        <f t="shared" si="93"/>
        <v>0</v>
      </c>
      <c r="X312" s="46">
        <f t="shared" si="94"/>
        <v>0</v>
      </c>
      <c r="Y312" s="46">
        <f t="shared" si="95"/>
        <v>0</v>
      </c>
      <c r="Z312" s="90">
        <f t="shared" si="101"/>
        <v>5</v>
      </c>
      <c r="AB312" s="95">
        <f>'LPLPO PROGRAM'!H143</f>
        <v>0</v>
      </c>
      <c r="AC312" s="91"/>
      <c r="AD312" s="91"/>
      <c r="AE312" s="91"/>
      <c r="AF312" s="91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>
        <v>5</v>
      </c>
      <c r="BF312" s="46"/>
      <c r="BG312" s="46"/>
      <c r="BH312" s="46"/>
      <c r="BI312" s="46"/>
      <c r="BJ312" s="46"/>
      <c r="BK312" s="46"/>
      <c r="BL312" s="46"/>
      <c r="BM312" s="93">
        <f t="shared" si="97"/>
        <v>5</v>
      </c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  <c r="CK312" s="46"/>
      <c r="CL312" s="46"/>
      <c r="CM312" s="46"/>
      <c r="CN312" s="46"/>
      <c r="CO312" s="46"/>
      <c r="CP312" s="46"/>
      <c r="CQ312" s="46"/>
      <c r="CR312" s="46"/>
      <c r="CS312" s="46"/>
      <c r="CT312" s="93">
        <f t="shared" si="102"/>
        <v>0</v>
      </c>
      <c r="CV312" s="46"/>
      <c r="CW312" s="46"/>
      <c r="CX312" s="46"/>
      <c r="CY312" s="46"/>
      <c r="CZ312" s="46"/>
      <c r="DA312" s="46"/>
      <c r="DB312" s="46"/>
      <c r="DC312" s="46"/>
      <c r="DD312" s="46"/>
      <c r="DE312" s="46"/>
      <c r="DF312" s="46"/>
      <c r="DG312" s="46"/>
      <c r="DH312" s="46"/>
      <c r="DI312" s="46"/>
      <c r="DJ312" s="46"/>
      <c r="DK312" s="46"/>
      <c r="DL312" s="46"/>
      <c r="DM312" s="46"/>
      <c r="DN312" s="46"/>
      <c r="DO312" s="46"/>
      <c r="DP312" s="46"/>
      <c r="DQ312" s="46"/>
      <c r="DR312" s="46"/>
      <c r="DS312" s="46"/>
      <c r="DT312" s="46"/>
      <c r="DU312" s="46"/>
      <c r="DV312" s="46"/>
      <c r="DW312" s="46"/>
      <c r="DX312" s="46"/>
      <c r="DY312" s="46"/>
      <c r="DZ312" s="46"/>
      <c r="EA312" s="93">
        <f t="shared" si="98"/>
        <v>0</v>
      </c>
      <c r="EC312" s="46"/>
      <c r="ED312" s="46"/>
      <c r="EE312" s="46"/>
      <c r="EF312" s="46"/>
      <c r="EG312" s="46"/>
      <c r="EH312" s="46"/>
      <c r="EI312" s="46"/>
      <c r="EJ312" s="46"/>
      <c r="EK312" s="46"/>
      <c r="EL312" s="46"/>
      <c r="EM312" s="46"/>
      <c r="EN312" s="46"/>
      <c r="EO312" s="46"/>
      <c r="EP312" s="46"/>
      <c r="EQ312" s="46"/>
      <c r="ER312" s="46"/>
      <c r="ES312" s="46"/>
      <c r="ET312" s="46"/>
      <c r="EU312" s="46"/>
      <c r="EV312" s="46"/>
      <c r="EW312" s="46"/>
      <c r="EX312" s="46"/>
      <c r="EY312" s="46"/>
      <c r="EZ312" s="46"/>
      <c r="FA312" s="46"/>
      <c r="FB312" s="46"/>
      <c r="FC312" s="46"/>
      <c r="FD312" s="46"/>
      <c r="FE312" s="46"/>
      <c r="FF312" s="46"/>
      <c r="FG312" s="46"/>
      <c r="FH312" s="93">
        <f t="shared" si="99"/>
        <v>0</v>
      </c>
      <c r="FJ312" s="46"/>
      <c r="FK312" s="46"/>
      <c r="FL312" s="46"/>
      <c r="FM312" s="46"/>
      <c r="FN312" s="46"/>
      <c r="FO312" s="46"/>
      <c r="FP312" s="46"/>
      <c r="FQ312" s="46"/>
      <c r="FR312" s="46"/>
      <c r="FS312" s="46"/>
      <c r="FT312" s="46"/>
      <c r="FU312" s="46"/>
      <c r="FV312" s="46"/>
      <c r="FW312" s="46"/>
      <c r="FX312" s="46"/>
      <c r="FY312" s="46"/>
      <c r="FZ312" s="46"/>
      <c r="GA312" s="46"/>
      <c r="GB312" s="46"/>
      <c r="GC312" s="46"/>
      <c r="GD312" s="46"/>
      <c r="GE312" s="46"/>
      <c r="GF312" s="46"/>
      <c r="GG312" s="46"/>
      <c r="GH312" s="46"/>
      <c r="GI312" s="46"/>
      <c r="GJ312" s="46"/>
      <c r="GK312" s="46"/>
      <c r="GL312" s="46"/>
      <c r="GM312" s="46"/>
      <c r="GN312" s="46"/>
      <c r="GO312" s="93">
        <f t="shared" si="103"/>
        <v>0</v>
      </c>
      <c r="GQ312" s="46"/>
      <c r="GR312" s="46"/>
      <c r="GS312" s="46"/>
      <c r="GT312" s="46"/>
      <c r="GU312" s="46"/>
      <c r="GV312" s="46"/>
      <c r="GW312" s="46"/>
      <c r="GX312" s="46"/>
      <c r="GY312" s="46"/>
      <c r="GZ312" s="46"/>
      <c r="HA312" s="46"/>
      <c r="HB312" s="46"/>
      <c r="HC312" s="46"/>
      <c r="HD312" s="46"/>
      <c r="HE312" s="46"/>
      <c r="HF312" s="46"/>
      <c r="HG312" s="46"/>
      <c r="HH312" s="46"/>
      <c r="HI312" s="46"/>
      <c r="HJ312" s="46"/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93">
        <f t="shared" si="104"/>
        <v>0</v>
      </c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  <c r="IT312" s="46"/>
      <c r="IU312" s="46"/>
      <c r="IV312" s="46"/>
      <c r="IW312" s="46"/>
      <c r="IX312" s="46"/>
      <c r="IY312" s="46"/>
      <c r="IZ312" s="46"/>
      <c r="JA312" s="46"/>
      <c r="JB312" s="46"/>
      <c r="JC312" s="93">
        <f t="shared" si="105"/>
        <v>0</v>
      </c>
      <c r="JE312" s="46"/>
      <c r="JF312" s="46"/>
      <c r="JG312" s="46"/>
      <c r="JH312" s="46"/>
      <c r="JI312" s="46"/>
      <c r="JJ312" s="46"/>
      <c r="JK312" s="46"/>
      <c r="JL312" s="46"/>
      <c r="JM312" s="46"/>
      <c r="JN312" s="46"/>
      <c r="JO312" s="46"/>
      <c r="JP312" s="46"/>
      <c r="JQ312" s="46"/>
      <c r="JR312" s="46"/>
      <c r="JS312" s="46"/>
      <c r="JT312" s="46"/>
      <c r="JU312" s="46"/>
      <c r="JV312" s="46"/>
      <c r="JW312" s="46"/>
      <c r="JX312" s="46"/>
      <c r="JY312" s="46"/>
      <c r="JZ312" s="46"/>
      <c r="KA312" s="46"/>
      <c r="KB312" s="46"/>
      <c r="KC312" s="46"/>
      <c r="KD312" s="46"/>
      <c r="KE312" s="46"/>
      <c r="KF312" s="46"/>
      <c r="KG312" s="46"/>
      <c r="KH312" s="46"/>
      <c r="KI312" s="46"/>
      <c r="KJ312" s="93">
        <f t="shared" si="106"/>
        <v>0</v>
      </c>
    </row>
    <row r="313" spans="1:296" x14ac:dyDescent="0.5">
      <c r="A313" s="11">
        <v>131</v>
      </c>
      <c r="B313" s="184" t="s">
        <v>291</v>
      </c>
      <c r="C313" s="179" t="s">
        <v>273</v>
      </c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>
        <f t="shared" si="88"/>
        <v>0</v>
      </c>
      <c r="S313" s="46">
        <f t="shared" si="89"/>
        <v>0</v>
      </c>
      <c r="T313" s="46">
        <f t="shared" si="90"/>
        <v>0</v>
      </c>
      <c r="U313" s="46">
        <f t="shared" si="91"/>
        <v>0</v>
      </c>
      <c r="V313" s="46">
        <f t="shared" si="92"/>
        <v>0</v>
      </c>
      <c r="W313" s="46">
        <f t="shared" si="93"/>
        <v>0</v>
      </c>
      <c r="X313" s="46">
        <f t="shared" si="94"/>
        <v>0</v>
      </c>
      <c r="Y313" s="46">
        <f t="shared" si="95"/>
        <v>0</v>
      </c>
      <c r="Z313" s="90">
        <f t="shared" si="101"/>
        <v>0</v>
      </c>
      <c r="AB313" s="95">
        <f>'LPLPO PROGRAM'!H144</f>
        <v>0</v>
      </c>
      <c r="AC313" s="91"/>
      <c r="AD313" s="91"/>
      <c r="AE313" s="91"/>
      <c r="AF313" s="91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93">
        <f t="shared" si="97"/>
        <v>0</v>
      </c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  <c r="CK313" s="46"/>
      <c r="CL313" s="46"/>
      <c r="CM313" s="46"/>
      <c r="CN313" s="46"/>
      <c r="CO313" s="46"/>
      <c r="CP313" s="46"/>
      <c r="CQ313" s="46"/>
      <c r="CR313" s="46"/>
      <c r="CS313" s="46"/>
      <c r="CT313" s="93">
        <f t="shared" si="102"/>
        <v>0</v>
      </c>
      <c r="CV313" s="46"/>
      <c r="CW313" s="46"/>
      <c r="CX313" s="46"/>
      <c r="CY313" s="46"/>
      <c r="CZ313" s="46"/>
      <c r="DA313" s="46"/>
      <c r="DB313" s="46"/>
      <c r="DC313" s="46"/>
      <c r="DD313" s="46"/>
      <c r="DE313" s="46"/>
      <c r="DF313" s="46"/>
      <c r="DG313" s="46"/>
      <c r="DH313" s="46"/>
      <c r="DI313" s="46"/>
      <c r="DJ313" s="46"/>
      <c r="DK313" s="46"/>
      <c r="DL313" s="46"/>
      <c r="DM313" s="46"/>
      <c r="DN313" s="46"/>
      <c r="DO313" s="46"/>
      <c r="DP313" s="46"/>
      <c r="DQ313" s="46"/>
      <c r="DR313" s="46"/>
      <c r="DS313" s="46"/>
      <c r="DT313" s="46"/>
      <c r="DU313" s="46"/>
      <c r="DV313" s="46"/>
      <c r="DW313" s="46"/>
      <c r="DX313" s="46"/>
      <c r="DY313" s="46"/>
      <c r="DZ313" s="46"/>
      <c r="EA313" s="93">
        <f t="shared" si="98"/>
        <v>0</v>
      </c>
      <c r="EC313" s="46"/>
      <c r="ED313" s="46"/>
      <c r="EE313" s="46"/>
      <c r="EF313" s="46"/>
      <c r="EG313" s="46"/>
      <c r="EH313" s="46"/>
      <c r="EI313" s="46"/>
      <c r="EJ313" s="46"/>
      <c r="EK313" s="46"/>
      <c r="EL313" s="46"/>
      <c r="EM313" s="46"/>
      <c r="EN313" s="46"/>
      <c r="EO313" s="46"/>
      <c r="EP313" s="46"/>
      <c r="EQ313" s="46"/>
      <c r="ER313" s="46"/>
      <c r="ES313" s="46"/>
      <c r="ET313" s="46"/>
      <c r="EU313" s="46"/>
      <c r="EV313" s="46"/>
      <c r="EW313" s="46"/>
      <c r="EX313" s="46"/>
      <c r="EY313" s="46"/>
      <c r="EZ313" s="46"/>
      <c r="FA313" s="46"/>
      <c r="FB313" s="46"/>
      <c r="FC313" s="46"/>
      <c r="FD313" s="46"/>
      <c r="FE313" s="46"/>
      <c r="FF313" s="46"/>
      <c r="FG313" s="46"/>
      <c r="FH313" s="93">
        <f t="shared" si="99"/>
        <v>0</v>
      </c>
      <c r="FJ313" s="46"/>
      <c r="FK313" s="46"/>
      <c r="FL313" s="46"/>
      <c r="FM313" s="46"/>
      <c r="FN313" s="46"/>
      <c r="FO313" s="46"/>
      <c r="FP313" s="46"/>
      <c r="FQ313" s="46"/>
      <c r="FR313" s="46"/>
      <c r="FS313" s="46"/>
      <c r="FT313" s="46"/>
      <c r="FU313" s="46"/>
      <c r="FV313" s="46"/>
      <c r="FW313" s="46"/>
      <c r="FX313" s="46"/>
      <c r="FY313" s="46"/>
      <c r="FZ313" s="46"/>
      <c r="GA313" s="46"/>
      <c r="GB313" s="46"/>
      <c r="GC313" s="46"/>
      <c r="GD313" s="46"/>
      <c r="GE313" s="46"/>
      <c r="GF313" s="46"/>
      <c r="GG313" s="46"/>
      <c r="GH313" s="46"/>
      <c r="GI313" s="46"/>
      <c r="GJ313" s="46"/>
      <c r="GK313" s="46"/>
      <c r="GL313" s="46"/>
      <c r="GM313" s="46"/>
      <c r="GN313" s="46"/>
      <c r="GO313" s="93">
        <f t="shared" si="103"/>
        <v>0</v>
      </c>
      <c r="GQ313" s="46"/>
      <c r="GR313" s="46"/>
      <c r="GS313" s="46"/>
      <c r="GT313" s="46"/>
      <c r="GU313" s="46"/>
      <c r="GV313" s="46"/>
      <c r="GW313" s="46"/>
      <c r="GX313" s="46"/>
      <c r="GY313" s="46"/>
      <c r="GZ313" s="46"/>
      <c r="HA313" s="46"/>
      <c r="HB313" s="46"/>
      <c r="HC313" s="46"/>
      <c r="HD313" s="46"/>
      <c r="HE313" s="46"/>
      <c r="HF313" s="46"/>
      <c r="HG313" s="46"/>
      <c r="HH313" s="46"/>
      <c r="HI313" s="46"/>
      <c r="HJ313" s="46"/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93">
        <f t="shared" si="104"/>
        <v>0</v>
      </c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  <c r="IT313" s="46"/>
      <c r="IU313" s="46"/>
      <c r="IV313" s="46"/>
      <c r="IW313" s="46"/>
      <c r="IX313" s="46"/>
      <c r="IY313" s="46"/>
      <c r="IZ313" s="46"/>
      <c r="JA313" s="46"/>
      <c r="JB313" s="46"/>
      <c r="JC313" s="93">
        <f t="shared" si="105"/>
        <v>0</v>
      </c>
      <c r="JE313" s="46"/>
      <c r="JF313" s="46"/>
      <c r="JG313" s="46"/>
      <c r="JH313" s="46"/>
      <c r="JI313" s="46"/>
      <c r="JJ313" s="46"/>
      <c r="JK313" s="46"/>
      <c r="JL313" s="46"/>
      <c r="JM313" s="46"/>
      <c r="JN313" s="46"/>
      <c r="JO313" s="46"/>
      <c r="JP313" s="46"/>
      <c r="JQ313" s="46"/>
      <c r="JR313" s="46"/>
      <c r="JS313" s="46"/>
      <c r="JT313" s="46"/>
      <c r="JU313" s="46"/>
      <c r="JV313" s="46"/>
      <c r="JW313" s="46"/>
      <c r="JX313" s="46"/>
      <c r="JY313" s="46"/>
      <c r="JZ313" s="46"/>
      <c r="KA313" s="46"/>
      <c r="KB313" s="46"/>
      <c r="KC313" s="46"/>
      <c r="KD313" s="46"/>
      <c r="KE313" s="46"/>
      <c r="KF313" s="46"/>
      <c r="KG313" s="46"/>
      <c r="KH313" s="46"/>
      <c r="KI313" s="46"/>
      <c r="KJ313" s="93">
        <f t="shared" si="106"/>
        <v>0</v>
      </c>
    </row>
    <row r="314" spans="1:296" x14ac:dyDescent="0.5">
      <c r="A314" s="11">
        <v>132</v>
      </c>
      <c r="B314" s="184" t="s">
        <v>405</v>
      </c>
      <c r="C314" s="179" t="s">
        <v>203</v>
      </c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>
        <f t="shared" si="88"/>
        <v>0</v>
      </c>
      <c r="S314" s="46">
        <f t="shared" si="89"/>
        <v>0</v>
      </c>
      <c r="T314" s="46">
        <f t="shared" si="90"/>
        <v>0</v>
      </c>
      <c r="U314" s="46">
        <f t="shared" si="91"/>
        <v>0</v>
      </c>
      <c r="V314" s="46">
        <f t="shared" si="92"/>
        <v>0</v>
      </c>
      <c r="W314" s="46">
        <f t="shared" si="93"/>
        <v>0</v>
      </c>
      <c r="X314" s="46">
        <f t="shared" si="94"/>
        <v>0</v>
      </c>
      <c r="Y314" s="46">
        <f t="shared" si="95"/>
        <v>0</v>
      </c>
      <c r="Z314" s="90">
        <f t="shared" si="101"/>
        <v>0</v>
      </c>
      <c r="AB314" s="95">
        <f>'LPLPO PROGRAM'!H145</f>
        <v>0</v>
      </c>
      <c r="AC314" s="91"/>
      <c r="AD314" s="91"/>
      <c r="AE314" s="91"/>
      <c r="AF314" s="91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93">
        <f t="shared" si="97"/>
        <v>0</v>
      </c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  <c r="CK314" s="46"/>
      <c r="CL314" s="46"/>
      <c r="CM314" s="46"/>
      <c r="CN314" s="46"/>
      <c r="CO314" s="46"/>
      <c r="CP314" s="46"/>
      <c r="CQ314" s="46"/>
      <c r="CR314" s="46"/>
      <c r="CS314" s="46"/>
      <c r="CT314" s="93">
        <f t="shared" si="102"/>
        <v>0</v>
      </c>
      <c r="CV314" s="46"/>
      <c r="CW314" s="46"/>
      <c r="CX314" s="46"/>
      <c r="CY314" s="46"/>
      <c r="CZ314" s="46"/>
      <c r="DA314" s="46"/>
      <c r="DB314" s="46"/>
      <c r="DC314" s="46"/>
      <c r="DD314" s="46"/>
      <c r="DE314" s="46"/>
      <c r="DF314" s="46"/>
      <c r="DG314" s="46"/>
      <c r="DH314" s="46"/>
      <c r="DI314" s="46"/>
      <c r="DJ314" s="46"/>
      <c r="DK314" s="46"/>
      <c r="DL314" s="46"/>
      <c r="DM314" s="46"/>
      <c r="DN314" s="46"/>
      <c r="DO314" s="46"/>
      <c r="DP314" s="46"/>
      <c r="DQ314" s="46"/>
      <c r="DR314" s="46"/>
      <c r="DS314" s="46"/>
      <c r="DT314" s="46"/>
      <c r="DU314" s="46"/>
      <c r="DV314" s="46"/>
      <c r="DW314" s="46"/>
      <c r="DX314" s="46"/>
      <c r="DY314" s="46"/>
      <c r="DZ314" s="46"/>
      <c r="EA314" s="93">
        <f t="shared" si="98"/>
        <v>0</v>
      </c>
      <c r="EC314" s="46"/>
      <c r="ED314" s="46"/>
      <c r="EE314" s="46"/>
      <c r="EF314" s="46"/>
      <c r="EG314" s="46"/>
      <c r="EH314" s="46"/>
      <c r="EI314" s="46"/>
      <c r="EJ314" s="46"/>
      <c r="EK314" s="46"/>
      <c r="EL314" s="46"/>
      <c r="EM314" s="46"/>
      <c r="EN314" s="46"/>
      <c r="EO314" s="46"/>
      <c r="EP314" s="46"/>
      <c r="EQ314" s="46"/>
      <c r="ER314" s="46"/>
      <c r="ES314" s="46"/>
      <c r="ET314" s="46"/>
      <c r="EU314" s="46"/>
      <c r="EV314" s="46"/>
      <c r="EW314" s="46"/>
      <c r="EX314" s="46"/>
      <c r="EY314" s="46"/>
      <c r="EZ314" s="46"/>
      <c r="FA314" s="46"/>
      <c r="FB314" s="46"/>
      <c r="FC314" s="46"/>
      <c r="FD314" s="46"/>
      <c r="FE314" s="46"/>
      <c r="FF314" s="46"/>
      <c r="FG314" s="46"/>
      <c r="FH314" s="93">
        <f t="shared" si="99"/>
        <v>0</v>
      </c>
      <c r="FJ314" s="46"/>
      <c r="FK314" s="46"/>
      <c r="FL314" s="46"/>
      <c r="FM314" s="46"/>
      <c r="FN314" s="46"/>
      <c r="FO314" s="46"/>
      <c r="FP314" s="46"/>
      <c r="FQ314" s="46"/>
      <c r="FR314" s="46"/>
      <c r="FS314" s="46"/>
      <c r="FT314" s="46"/>
      <c r="FU314" s="46"/>
      <c r="FV314" s="46"/>
      <c r="FW314" s="46"/>
      <c r="FX314" s="46"/>
      <c r="FY314" s="46"/>
      <c r="FZ314" s="46"/>
      <c r="GA314" s="46"/>
      <c r="GB314" s="46"/>
      <c r="GC314" s="46"/>
      <c r="GD314" s="46"/>
      <c r="GE314" s="46"/>
      <c r="GF314" s="46"/>
      <c r="GG314" s="46"/>
      <c r="GH314" s="46"/>
      <c r="GI314" s="46"/>
      <c r="GJ314" s="46"/>
      <c r="GK314" s="46"/>
      <c r="GL314" s="46"/>
      <c r="GM314" s="46"/>
      <c r="GN314" s="46"/>
      <c r="GO314" s="93">
        <f t="shared" si="103"/>
        <v>0</v>
      </c>
      <c r="GQ314" s="46"/>
      <c r="GR314" s="46"/>
      <c r="GS314" s="46"/>
      <c r="GT314" s="46"/>
      <c r="GU314" s="46"/>
      <c r="GV314" s="46"/>
      <c r="GW314" s="46"/>
      <c r="GX314" s="46"/>
      <c r="GY314" s="46"/>
      <c r="GZ314" s="46"/>
      <c r="HA314" s="46"/>
      <c r="HB314" s="46"/>
      <c r="HC314" s="46"/>
      <c r="HD314" s="46"/>
      <c r="HE314" s="46"/>
      <c r="HF314" s="46"/>
      <c r="HG314" s="46"/>
      <c r="HH314" s="46"/>
      <c r="HI314" s="46"/>
      <c r="HJ314" s="46"/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93">
        <f t="shared" si="104"/>
        <v>0</v>
      </c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  <c r="IT314" s="46"/>
      <c r="IU314" s="46"/>
      <c r="IV314" s="46"/>
      <c r="IW314" s="46"/>
      <c r="IX314" s="46"/>
      <c r="IY314" s="46"/>
      <c r="IZ314" s="46"/>
      <c r="JA314" s="46"/>
      <c r="JB314" s="46"/>
      <c r="JC314" s="93">
        <f t="shared" si="105"/>
        <v>0</v>
      </c>
      <c r="JE314" s="46"/>
      <c r="JF314" s="46"/>
      <c r="JG314" s="46"/>
      <c r="JH314" s="46"/>
      <c r="JI314" s="46"/>
      <c r="JJ314" s="46"/>
      <c r="JK314" s="46"/>
      <c r="JL314" s="46"/>
      <c r="JM314" s="46"/>
      <c r="JN314" s="46"/>
      <c r="JO314" s="46"/>
      <c r="JP314" s="46"/>
      <c r="JQ314" s="46"/>
      <c r="JR314" s="46"/>
      <c r="JS314" s="46"/>
      <c r="JT314" s="46"/>
      <c r="JU314" s="46"/>
      <c r="JV314" s="46"/>
      <c r="JW314" s="46"/>
      <c r="JX314" s="46"/>
      <c r="JY314" s="46"/>
      <c r="JZ314" s="46"/>
      <c r="KA314" s="46"/>
      <c r="KB314" s="46"/>
      <c r="KC314" s="46"/>
      <c r="KD314" s="46"/>
      <c r="KE314" s="46"/>
      <c r="KF314" s="46"/>
      <c r="KG314" s="46"/>
      <c r="KH314" s="46"/>
      <c r="KI314" s="46"/>
      <c r="KJ314" s="93">
        <f t="shared" si="106"/>
        <v>0</v>
      </c>
    </row>
    <row r="315" spans="1:296" x14ac:dyDescent="0.5">
      <c r="A315" s="11">
        <v>133</v>
      </c>
      <c r="B315" s="184" t="s">
        <v>406</v>
      </c>
      <c r="C315" s="179" t="s">
        <v>201</v>
      </c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>
        <f t="shared" si="88"/>
        <v>0</v>
      </c>
      <c r="S315" s="46">
        <f t="shared" si="89"/>
        <v>0</v>
      </c>
      <c r="T315" s="46">
        <f t="shared" si="90"/>
        <v>0</v>
      </c>
      <c r="U315" s="46">
        <f t="shared" si="91"/>
        <v>0</v>
      </c>
      <c r="V315" s="46">
        <f t="shared" si="92"/>
        <v>0</v>
      </c>
      <c r="W315" s="46">
        <f t="shared" si="93"/>
        <v>0</v>
      </c>
      <c r="X315" s="46">
        <f t="shared" si="94"/>
        <v>0</v>
      </c>
      <c r="Y315" s="46">
        <f t="shared" si="95"/>
        <v>0</v>
      </c>
      <c r="Z315" s="90">
        <f t="shared" si="101"/>
        <v>0</v>
      </c>
      <c r="AB315" s="95">
        <f>'LPLPO PROGRAM'!H146</f>
        <v>0</v>
      </c>
      <c r="AC315" s="91"/>
      <c r="AD315" s="91"/>
      <c r="AE315" s="91"/>
      <c r="AF315" s="91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93">
        <f t="shared" si="97"/>
        <v>0</v>
      </c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  <c r="CK315" s="46"/>
      <c r="CL315" s="46"/>
      <c r="CM315" s="46"/>
      <c r="CN315" s="46"/>
      <c r="CO315" s="46"/>
      <c r="CP315" s="46"/>
      <c r="CQ315" s="46"/>
      <c r="CR315" s="46"/>
      <c r="CS315" s="46"/>
      <c r="CT315" s="93">
        <f t="shared" si="102"/>
        <v>0</v>
      </c>
      <c r="CV315" s="46"/>
      <c r="CW315" s="46"/>
      <c r="CX315" s="46"/>
      <c r="CY315" s="46"/>
      <c r="CZ315" s="46"/>
      <c r="DA315" s="46"/>
      <c r="DB315" s="46"/>
      <c r="DC315" s="46"/>
      <c r="DD315" s="46"/>
      <c r="DE315" s="46"/>
      <c r="DF315" s="46"/>
      <c r="DG315" s="46"/>
      <c r="DH315" s="46"/>
      <c r="DI315" s="46"/>
      <c r="DJ315" s="46"/>
      <c r="DK315" s="46"/>
      <c r="DL315" s="46"/>
      <c r="DM315" s="46"/>
      <c r="DN315" s="46"/>
      <c r="DO315" s="46"/>
      <c r="DP315" s="46"/>
      <c r="DQ315" s="46"/>
      <c r="DR315" s="46"/>
      <c r="DS315" s="46"/>
      <c r="DT315" s="46"/>
      <c r="DU315" s="46"/>
      <c r="DV315" s="46"/>
      <c r="DW315" s="46"/>
      <c r="DX315" s="46"/>
      <c r="DY315" s="46"/>
      <c r="DZ315" s="46"/>
      <c r="EA315" s="93">
        <f t="shared" si="98"/>
        <v>0</v>
      </c>
      <c r="EC315" s="46"/>
      <c r="ED315" s="46"/>
      <c r="EE315" s="46"/>
      <c r="EF315" s="46"/>
      <c r="EG315" s="46"/>
      <c r="EH315" s="46"/>
      <c r="EI315" s="46"/>
      <c r="EJ315" s="46"/>
      <c r="EK315" s="46"/>
      <c r="EL315" s="46"/>
      <c r="EM315" s="46"/>
      <c r="EN315" s="46"/>
      <c r="EO315" s="46"/>
      <c r="EP315" s="46"/>
      <c r="EQ315" s="46"/>
      <c r="ER315" s="46"/>
      <c r="ES315" s="46"/>
      <c r="ET315" s="46"/>
      <c r="EU315" s="46"/>
      <c r="EV315" s="46"/>
      <c r="EW315" s="46"/>
      <c r="EX315" s="46"/>
      <c r="EY315" s="46"/>
      <c r="EZ315" s="46"/>
      <c r="FA315" s="46"/>
      <c r="FB315" s="46"/>
      <c r="FC315" s="46"/>
      <c r="FD315" s="46"/>
      <c r="FE315" s="46"/>
      <c r="FF315" s="46"/>
      <c r="FG315" s="46"/>
      <c r="FH315" s="93">
        <f t="shared" si="99"/>
        <v>0</v>
      </c>
      <c r="FJ315" s="46"/>
      <c r="FK315" s="46"/>
      <c r="FL315" s="46"/>
      <c r="FM315" s="46"/>
      <c r="FN315" s="46"/>
      <c r="FO315" s="46"/>
      <c r="FP315" s="46"/>
      <c r="FQ315" s="46"/>
      <c r="FR315" s="46"/>
      <c r="FS315" s="46"/>
      <c r="FT315" s="46"/>
      <c r="FU315" s="46"/>
      <c r="FV315" s="46"/>
      <c r="FW315" s="46"/>
      <c r="FX315" s="46"/>
      <c r="FY315" s="46"/>
      <c r="FZ315" s="46"/>
      <c r="GA315" s="46"/>
      <c r="GB315" s="46"/>
      <c r="GC315" s="46"/>
      <c r="GD315" s="46"/>
      <c r="GE315" s="46"/>
      <c r="GF315" s="46"/>
      <c r="GG315" s="46"/>
      <c r="GH315" s="46"/>
      <c r="GI315" s="46"/>
      <c r="GJ315" s="46"/>
      <c r="GK315" s="46"/>
      <c r="GL315" s="46"/>
      <c r="GM315" s="46"/>
      <c r="GN315" s="46"/>
      <c r="GO315" s="93">
        <f t="shared" si="103"/>
        <v>0</v>
      </c>
      <c r="GQ315" s="46"/>
      <c r="GR315" s="46"/>
      <c r="GS315" s="46"/>
      <c r="GT315" s="46"/>
      <c r="GU315" s="46"/>
      <c r="GV315" s="46"/>
      <c r="GW315" s="46"/>
      <c r="GX315" s="46"/>
      <c r="GY315" s="46"/>
      <c r="GZ315" s="46"/>
      <c r="HA315" s="46"/>
      <c r="HB315" s="46"/>
      <c r="HC315" s="46"/>
      <c r="HD315" s="46"/>
      <c r="HE315" s="46"/>
      <c r="HF315" s="46"/>
      <c r="HG315" s="46"/>
      <c r="HH315" s="46"/>
      <c r="HI315" s="46"/>
      <c r="HJ315" s="46"/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93">
        <f t="shared" si="104"/>
        <v>0</v>
      </c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  <c r="IT315" s="46"/>
      <c r="IU315" s="46"/>
      <c r="IV315" s="46"/>
      <c r="IW315" s="46"/>
      <c r="IX315" s="46"/>
      <c r="IY315" s="46"/>
      <c r="IZ315" s="46"/>
      <c r="JA315" s="46"/>
      <c r="JB315" s="46"/>
      <c r="JC315" s="93">
        <f t="shared" si="105"/>
        <v>0</v>
      </c>
      <c r="JE315" s="46"/>
      <c r="JF315" s="46"/>
      <c r="JG315" s="46"/>
      <c r="JH315" s="46"/>
      <c r="JI315" s="46"/>
      <c r="JJ315" s="46"/>
      <c r="JK315" s="46"/>
      <c r="JL315" s="46"/>
      <c r="JM315" s="46"/>
      <c r="JN315" s="46"/>
      <c r="JO315" s="46"/>
      <c r="JP315" s="46"/>
      <c r="JQ315" s="46"/>
      <c r="JR315" s="46"/>
      <c r="JS315" s="46"/>
      <c r="JT315" s="46"/>
      <c r="JU315" s="46"/>
      <c r="JV315" s="46"/>
      <c r="JW315" s="46"/>
      <c r="JX315" s="46"/>
      <c r="JY315" s="46"/>
      <c r="JZ315" s="46"/>
      <c r="KA315" s="46"/>
      <c r="KB315" s="46"/>
      <c r="KC315" s="46"/>
      <c r="KD315" s="46"/>
      <c r="KE315" s="46"/>
      <c r="KF315" s="46"/>
      <c r="KG315" s="46"/>
      <c r="KH315" s="46"/>
      <c r="KI315" s="46"/>
      <c r="KJ315" s="93">
        <f t="shared" si="106"/>
        <v>0</v>
      </c>
    </row>
    <row r="316" spans="1:296" x14ac:dyDescent="0.5">
      <c r="A316" s="11">
        <v>134</v>
      </c>
      <c r="B316" s="184" t="s">
        <v>407</v>
      </c>
      <c r="C316" s="179" t="s">
        <v>273</v>
      </c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>
        <f t="shared" si="88"/>
        <v>0</v>
      </c>
      <c r="S316" s="46">
        <f t="shared" si="89"/>
        <v>0</v>
      </c>
      <c r="T316" s="46">
        <f t="shared" si="90"/>
        <v>0</v>
      </c>
      <c r="U316" s="46">
        <f t="shared" si="91"/>
        <v>0</v>
      </c>
      <c r="V316" s="46">
        <f t="shared" si="92"/>
        <v>0</v>
      </c>
      <c r="W316" s="46">
        <f t="shared" si="93"/>
        <v>0</v>
      </c>
      <c r="X316" s="46">
        <f t="shared" si="94"/>
        <v>0</v>
      </c>
      <c r="Y316" s="46">
        <f t="shared" si="95"/>
        <v>0</v>
      </c>
      <c r="Z316" s="90">
        <f t="shared" si="101"/>
        <v>0</v>
      </c>
      <c r="AB316" s="95">
        <f>'LPLPO PROGRAM'!H147</f>
        <v>0</v>
      </c>
      <c r="AC316" s="91"/>
      <c r="AD316" s="91"/>
      <c r="AE316" s="91"/>
      <c r="AF316" s="91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93">
        <f t="shared" si="97"/>
        <v>0</v>
      </c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  <c r="CK316" s="46"/>
      <c r="CL316" s="46"/>
      <c r="CM316" s="46"/>
      <c r="CN316" s="46"/>
      <c r="CO316" s="46"/>
      <c r="CP316" s="46"/>
      <c r="CQ316" s="46"/>
      <c r="CR316" s="46"/>
      <c r="CS316" s="46"/>
      <c r="CT316" s="93">
        <f t="shared" si="102"/>
        <v>0</v>
      </c>
      <c r="CV316" s="46"/>
      <c r="CW316" s="46"/>
      <c r="CX316" s="46"/>
      <c r="CY316" s="46"/>
      <c r="CZ316" s="46"/>
      <c r="DA316" s="46"/>
      <c r="DB316" s="46"/>
      <c r="DC316" s="46"/>
      <c r="DD316" s="46"/>
      <c r="DE316" s="46"/>
      <c r="DF316" s="46"/>
      <c r="DG316" s="46"/>
      <c r="DH316" s="46"/>
      <c r="DI316" s="46"/>
      <c r="DJ316" s="46"/>
      <c r="DK316" s="46"/>
      <c r="DL316" s="46"/>
      <c r="DM316" s="46"/>
      <c r="DN316" s="46"/>
      <c r="DO316" s="46"/>
      <c r="DP316" s="46"/>
      <c r="DQ316" s="46"/>
      <c r="DR316" s="46"/>
      <c r="DS316" s="46"/>
      <c r="DT316" s="46"/>
      <c r="DU316" s="46"/>
      <c r="DV316" s="46"/>
      <c r="DW316" s="46"/>
      <c r="DX316" s="46"/>
      <c r="DY316" s="46"/>
      <c r="DZ316" s="46"/>
      <c r="EA316" s="93">
        <f t="shared" si="98"/>
        <v>0</v>
      </c>
      <c r="EC316" s="46"/>
      <c r="ED316" s="46"/>
      <c r="EE316" s="46"/>
      <c r="EF316" s="46"/>
      <c r="EG316" s="46"/>
      <c r="EH316" s="46"/>
      <c r="EI316" s="46"/>
      <c r="EJ316" s="46"/>
      <c r="EK316" s="46"/>
      <c r="EL316" s="46"/>
      <c r="EM316" s="46"/>
      <c r="EN316" s="46"/>
      <c r="EO316" s="46"/>
      <c r="EP316" s="46"/>
      <c r="EQ316" s="46"/>
      <c r="ER316" s="46"/>
      <c r="ES316" s="46"/>
      <c r="ET316" s="46"/>
      <c r="EU316" s="46"/>
      <c r="EV316" s="46"/>
      <c r="EW316" s="46"/>
      <c r="EX316" s="46"/>
      <c r="EY316" s="46"/>
      <c r="EZ316" s="46"/>
      <c r="FA316" s="46"/>
      <c r="FB316" s="46"/>
      <c r="FC316" s="46"/>
      <c r="FD316" s="46"/>
      <c r="FE316" s="46"/>
      <c r="FF316" s="46"/>
      <c r="FG316" s="46"/>
      <c r="FH316" s="93">
        <f t="shared" si="99"/>
        <v>0</v>
      </c>
      <c r="FJ316" s="46"/>
      <c r="FK316" s="46"/>
      <c r="FL316" s="46"/>
      <c r="FM316" s="46"/>
      <c r="FN316" s="46"/>
      <c r="FO316" s="46"/>
      <c r="FP316" s="46"/>
      <c r="FQ316" s="46"/>
      <c r="FR316" s="46"/>
      <c r="FS316" s="46"/>
      <c r="FT316" s="46"/>
      <c r="FU316" s="46"/>
      <c r="FV316" s="46"/>
      <c r="FW316" s="46"/>
      <c r="FX316" s="46"/>
      <c r="FY316" s="46"/>
      <c r="FZ316" s="46"/>
      <c r="GA316" s="46"/>
      <c r="GB316" s="46"/>
      <c r="GC316" s="46"/>
      <c r="GD316" s="46"/>
      <c r="GE316" s="46"/>
      <c r="GF316" s="46"/>
      <c r="GG316" s="46"/>
      <c r="GH316" s="46"/>
      <c r="GI316" s="46"/>
      <c r="GJ316" s="46"/>
      <c r="GK316" s="46"/>
      <c r="GL316" s="46"/>
      <c r="GM316" s="46"/>
      <c r="GN316" s="46"/>
      <c r="GO316" s="93">
        <f t="shared" si="103"/>
        <v>0</v>
      </c>
      <c r="GQ316" s="46"/>
      <c r="GR316" s="46"/>
      <c r="GS316" s="46"/>
      <c r="GT316" s="46"/>
      <c r="GU316" s="46"/>
      <c r="GV316" s="46"/>
      <c r="GW316" s="46"/>
      <c r="GX316" s="46"/>
      <c r="GY316" s="46"/>
      <c r="GZ316" s="46"/>
      <c r="HA316" s="46"/>
      <c r="HB316" s="46"/>
      <c r="HC316" s="46"/>
      <c r="HD316" s="46"/>
      <c r="HE316" s="46"/>
      <c r="HF316" s="46"/>
      <c r="HG316" s="46"/>
      <c r="HH316" s="46"/>
      <c r="HI316" s="46"/>
      <c r="HJ316" s="46"/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93">
        <f t="shared" si="104"/>
        <v>0</v>
      </c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  <c r="IT316" s="46"/>
      <c r="IU316" s="46"/>
      <c r="IV316" s="46"/>
      <c r="IW316" s="46"/>
      <c r="IX316" s="46"/>
      <c r="IY316" s="46"/>
      <c r="IZ316" s="46"/>
      <c r="JA316" s="46"/>
      <c r="JB316" s="46"/>
      <c r="JC316" s="93">
        <f t="shared" si="105"/>
        <v>0</v>
      </c>
      <c r="JE316" s="46"/>
      <c r="JF316" s="46"/>
      <c r="JG316" s="46"/>
      <c r="JH316" s="46"/>
      <c r="JI316" s="46"/>
      <c r="JJ316" s="46"/>
      <c r="JK316" s="46"/>
      <c r="JL316" s="46"/>
      <c r="JM316" s="46"/>
      <c r="JN316" s="46"/>
      <c r="JO316" s="46"/>
      <c r="JP316" s="46"/>
      <c r="JQ316" s="46"/>
      <c r="JR316" s="46"/>
      <c r="JS316" s="46"/>
      <c r="JT316" s="46"/>
      <c r="JU316" s="46"/>
      <c r="JV316" s="46"/>
      <c r="JW316" s="46"/>
      <c r="JX316" s="46"/>
      <c r="JY316" s="46"/>
      <c r="JZ316" s="46"/>
      <c r="KA316" s="46"/>
      <c r="KB316" s="46"/>
      <c r="KC316" s="46"/>
      <c r="KD316" s="46"/>
      <c r="KE316" s="46"/>
      <c r="KF316" s="46"/>
      <c r="KG316" s="46"/>
      <c r="KH316" s="46"/>
      <c r="KI316" s="46"/>
      <c r="KJ316" s="93">
        <f t="shared" si="106"/>
        <v>0</v>
      </c>
    </row>
    <row r="317" spans="1:296" x14ac:dyDescent="0.5">
      <c r="A317" s="11">
        <v>135</v>
      </c>
      <c r="B317" s="184" t="s">
        <v>408</v>
      </c>
      <c r="C317" s="179" t="s">
        <v>274</v>
      </c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>
        <f t="shared" si="88"/>
        <v>1</v>
      </c>
      <c r="S317" s="46">
        <f t="shared" si="89"/>
        <v>0</v>
      </c>
      <c r="T317" s="46">
        <f t="shared" si="90"/>
        <v>0</v>
      </c>
      <c r="U317" s="46">
        <f t="shared" si="91"/>
        <v>0</v>
      </c>
      <c r="V317" s="46">
        <f t="shared" si="92"/>
        <v>0</v>
      </c>
      <c r="W317" s="46">
        <f t="shared" si="93"/>
        <v>0</v>
      </c>
      <c r="X317" s="46">
        <f t="shared" si="94"/>
        <v>0</v>
      </c>
      <c r="Y317" s="46">
        <f t="shared" si="95"/>
        <v>0</v>
      </c>
      <c r="Z317" s="90">
        <f t="shared" si="101"/>
        <v>1</v>
      </c>
      <c r="AB317" s="95">
        <f>'LPLPO PROGRAM'!H148</f>
        <v>0</v>
      </c>
      <c r="AC317" s="91"/>
      <c r="AD317" s="91"/>
      <c r="AE317" s="91"/>
      <c r="AF317" s="91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>
        <v>1</v>
      </c>
      <c r="BF317" s="46"/>
      <c r="BG317" s="46"/>
      <c r="BH317" s="46"/>
      <c r="BI317" s="46"/>
      <c r="BJ317" s="46"/>
      <c r="BK317" s="46"/>
      <c r="BL317" s="46"/>
      <c r="BM317" s="93">
        <f t="shared" si="97"/>
        <v>1</v>
      </c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  <c r="CK317" s="46"/>
      <c r="CL317" s="46"/>
      <c r="CM317" s="46"/>
      <c r="CN317" s="46"/>
      <c r="CO317" s="46"/>
      <c r="CP317" s="46"/>
      <c r="CQ317" s="46"/>
      <c r="CR317" s="46"/>
      <c r="CS317" s="46"/>
      <c r="CT317" s="93">
        <f t="shared" si="102"/>
        <v>0</v>
      </c>
      <c r="CV317" s="46"/>
      <c r="CW317" s="46"/>
      <c r="CX317" s="46"/>
      <c r="CY317" s="46"/>
      <c r="CZ317" s="46"/>
      <c r="DA317" s="46"/>
      <c r="DB317" s="46"/>
      <c r="DC317" s="46"/>
      <c r="DD317" s="46"/>
      <c r="DE317" s="46"/>
      <c r="DF317" s="46"/>
      <c r="DG317" s="46"/>
      <c r="DH317" s="46"/>
      <c r="DI317" s="46"/>
      <c r="DJ317" s="46"/>
      <c r="DK317" s="46"/>
      <c r="DL317" s="46"/>
      <c r="DM317" s="46"/>
      <c r="DN317" s="46"/>
      <c r="DO317" s="46"/>
      <c r="DP317" s="46"/>
      <c r="DQ317" s="46"/>
      <c r="DR317" s="46"/>
      <c r="DS317" s="46"/>
      <c r="DT317" s="46"/>
      <c r="DU317" s="46"/>
      <c r="DV317" s="46"/>
      <c r="DW317" s="46"/>
      <c r="DX317" s="46"/>
      <c r="DY317" s="46"/>
      <c r="DZ317" s="46"/>
      <c r="EA317" s="93">
        <f t="shared" si="98"/>
        <v>0</v>
      </c>
      <c r="EC317" s="46"/>
      <c r="ED317" s="46"/>
      <c r="EE317" s="46"/>
      <c r="EF317" s="46"/>
      <c r="EG317" s="46"/>
      <c r="EH317" s="46"/>
      <c r="EI317" s="46"/>
      <c r="EJ317" s="46"/>
      <c r="EK317" s="46"/>
      <c r="EL317" s="46"/>
      <c r="EM317" s="46"/>
      <c r="EN317" s="46"/>
      <c r="EO317" s="46"/>
      <c r="EP317" s="46"/>
      <c r="EQ317" s="46"/>
      <c r="ER317" s="46"/>
      <c r="ES317" s="46"/>
      <c r="ET317" s="46"/>
      <c r="EU317" s="46"/>
      <c r="EV317" s="46"/>
      <c r="EW317" s="46"/>
      <c r="EX317" s="46"/>
      <c r="EY317" s="46"/>
      <c r="EZ317" s="46"/>
      <c r="FA317" s="46"/>
      <c r="FB317" s="46"/>
      <c r="FC317" s="46"/>
      <c r="FD317" s="46"/>
      <c r="FE317" s="46"/>
      <c r="FF317" s="46"/>
      <c r="FG317" s="46"/>
      <c r="FH317" s="93">
        <f t="shared" si="99"/>
        <v>0</v>
      </c>
      <c r="FJ317" s="46"/>
      <c r="FK317" s="46"/>
      <c r="FL317" s="46"/>
      <c r="FM317" s="46"/>
      <c r="FN317" s="46"/>
      <c r="FO317" s="46"/>
      <c r="FP317" s="46"/>
      <c r="FQ317" s="46"/>
      <c r="FR317" s="46"/>
      <c r="FS317" s="46"/>
      <c r="FT317" s="46"/>
      <c r="FU317" s="46"/>
      <c r="FV317" s="46"/>
      <c r="FW317" s="46"/>
      <c r="FX317" s="46"/>
      <c r="FY317" s="46"/>
      <c r="FZ317" s="46"/>
      <c r="GA317" s="46"/>
      <c r="GB317" s="46"/>
      <c r="GC317" s="46"/>
      <c r="GD317" s="46"/>
      <c r="GE317" s="46"/>
      <c r="GF317" s="46"/>
      <c r="GG317" s="46"/>
      <c r="GH317" s="46"/>
      <c r="GI317" s="46"/>
      <c r="GJ317" s="46"/>
      <c r="GK317" s="46"/>
      <c r="GL317" s="46"/>
      <c r="GM317" s="46"/>
      <c r="GN317" s="46"/>
      <c r="GO317" s="93">
        <f t="shared" si="103"/>
        <v>0</v>
      </c>
      <c r="GQ317" s="46"/>
      <c r="GR317" s="46"/>
      <c r="GS317" s="46"/>
      <c r="GT317" s="46"/>
      <c r="GU317" s="46"/>
      <c r="GV317" s="46"/>
      <c r="GW317" s="46"/>
      <c r="GX317" s="46"/>
      <c r="GY317" s="46"/>
      <c r="GZ317" s="46"/>
      <c r="HA317" s="46"/>
      <c r="HB317" s="46"/>
      <c r="HC317" s="46"/>
      <c r="HD317" s="46"/>
      <c r="HE317" s="46"/>
      <c r="HF317" s="46"/>
      <c r="HG317" s="46"/>
      <c r="HH317" s="46"/>
      <c r="HI317" s="46"/>
      <c r="HJ317" s="46"/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93">
        <f t="shared" si="104"/>
        <v>0</v>
      </c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  <c r="IT317" s="46"/>
      <c r="IU317" s="46"/>
      <c r="IV317" s="46"/>
      <c r="IW317" s="46"/>
      <c r="IX317" s="46"/>
      <c r="IY317" s="46"/>
      <c r="IZ317" s="46"/>
      <c r="JA317" s="46"/>
      <c r="JB317" s="46"/>
      <c r="JC317" s="93">
        <f t="shared" si="105"/>
        <v>0</v>
      </c>
      <c r="JE317" s="46"/>
      <c r="JF317" s="46"/>
      <c r="JG317" s="46"/>
      <c r="JH317" s="46"/>
      <c r="JI317" s="46"/>
      <c r="JJ317" s="46"/>
      <c r="JK317" s="46"/>
      <c r="JL317" s="46"/>
      <c r="JM317" s="46"/>
      <c r="JN317" s="46"/>
      <c r="JO317" s="46"/>
      <c r="JP317" s="46"/>
      <c r="JQ317" s="46"/>
      <c r="JR317" s="46"/>
      <c r="JS317" s="46"/>
      <c r="JT317" s="46"/>
      <c r="JU317" s="46"/>
      <c r="JV317" s="46"/>
      <c r="JW317" s="46"/>
      <c r="JX317" s="46"/>
      <c r="JY317" s="46"/>
      <c r="JZ317" s="46"/>
      <c r="KA317" s="46"/>
      <c r="KB317" s="46"/>
      <c r="KC317" s="46"/>
      <c r="KD317" s="46"/>
      <c r="KE317" s="46"/>
      <c r="KF317" s="46"/>
      <c r="KG317" s="46"/>
      <c r="KH317" s="46"/>
      <c r="KI317" s="46"/>
      <c r="KJ317" s="93">
        <f t="shared" si="106"/>
        <v>0</v>
      </c>
    </row>
    <row r="318" spans="1:296" x14ac:dyDescent="0.5">
      <c r="A318" s="11">
        <v>136</v>
      </c>
      <c r="B318" s="184" t="s">
        <v>409</v>
      </c>
      <c r="C318" s="179" t="s">
        <v>48</v>
      </c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>
        <f t="shared" si="88"/>
        <v>0</v>
      </c>
      <c r="S318" s="46">
        <f t="shared" si="89"/>
        <v>0</v>
      </c>
      <c r="T318" s="46">
        <f t="shared" si="90"/>
        <v>0</v>
      </c>
      <c r="U318" s="46">
        <f t="shared" si="91"/>
        <v>0</v>
      </c>
      <c r="V318" s="46">
        <f t="shared" si="92"/>
        <v>0</v>
      </c>
      <c r="W318" s="46">
        <f t="shared" si="93"/>
        <v>0</v>
      </c>
      <c r="X318" s="46">
        <f t="shared" si="94"/>
        <v>0</v>
      </c>
      <c r="Y318" s="46">
        <f t="shared" si="95"/>
        <v>0</v>
      </c>
      <c r="Z318" s="90">
        <f t="shared" si="101"/>
        <v>0</v>
      </c>
      <c r="AB318" s="95">
        <f>'LPLPO PROGRAM'!H149</f>
        <v>0</v>
      </c>
      <c r="AC318" s="91"/>
      <c r="AD318" s="91"/>
      <c r="AE318" s="91"/>
      <c r="AF318" s="91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93">
        <f t="shared" si="97"/>
        <v>0</v>
      </c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  <c r="CK318" s="46"/>
      <c r="CL318" s="46"/>
      <c r="CM318" s="46"/>
      <c r="CN318" s="46"/>
      <c r="CO318" s="46"/>
      <c r="CP318" s="46"/>
      <c r="CQ318" s="46"/>
      <c r="CR318" s="46"/>
      <c r="CS318" s="46"/>
      <c r="CT318" s="93">
        <f t="shared" si="102"/>
        <v>0</v>
      </c>
      <c r="CV318" s="46"/>
      <c r="CW318" s="46"/>
      <c r="CX318" s="46"/>
      <c r="CY318" s="46"/>
      <c r="CZ318" s="46"/>
      <c r="DA318" s="46"/>
      <c r="DB318" s="46"/>
      <c r="DC318" s="46"/>
      <c r="DD318" s="46"/>
      <c r="DE318" s="46"/>
      <c r="DF318" s="46"/>
      <c r="DG318" s="46"/>
      <c r="DH318" s="46"/>
      <c r="DI318" s="46"/>
      <c r="DJ318" s="46"/>
      <c r="DK318" s="46"/>
      <c r="DL318" s="46"/>
      <c r="DM318" s="46"/>
      <c r="DN318" s="46"/>
      <c r="DO318" s="46"/>
      <c r="DP318" s="46"/>
      <c r="DQ318" s="46"/>
      <c r="DR318" s="46"/>
      <c r="DS318" s="46"/>
      <c r="DT318" s="46"/>
      <c r="DU318" s="46"/>
      <c r="DV318" s="46"/>
      <c r="DW318" s="46"/>
      <c r="DX318" s="46"/>
      <c r="DY318" s="46"/>
      <c r="DZ318" s="46"/>
      <c r="EA318" s="93">
        <f t="shared" si="98"/>
        <v>0</v>
      </c>
      <c r="EC318" s="46"/>
      <c r="ED318" s="46"/>
      <c r="EE318" s="46"/>
      <c r="EF318" s="46"/>
      <c r="EG318" s="46"/>
      <c r="EH318" s="46"/>
      <c r="EI318" s="46"/>
      <c r="EJ318" s="46"/>
      <c r="EK318" s="46"/>
      <c r="EL318" s="46"/>
      <c r="EM318" s="46"/>
      <c r="EN318" s="46"/>
      <c r="EO318" s="46"/>
      <c r="EP318" s="46"/>
      <c r="EQ318" s="46"/>
      <c r="ER318" s="46"/>
      <c r="ES318" s="46"/>
      <c r="ET318" s="46"/>
      <c r="EU318" s="46"/>
      <c r="EV318" s="46"/>
      <c r="EW318" s="46"/>
      <c r="EX318" s="46"/>
      <c r="EY318" s="46"/>
      <c r="EZ318" s="46"/>
      <c r="FA318" s="46"/>
      <c r="FB318" s="46"/>
      <c r="FC318" s="46"/>
      <c r="FD318" s="46"/>
      <c r="FE318" s="46"/>
      <c r="FF318" s="46"/>
      <c r="FG318" s="46"/>
      <c r="FH318" s="93">
        <f t="shared" si="99"/>
        <v>0</v>
      </c>
      <c r="FJ318" s="46"/>
      <c r="FK318" s="46"/>
      <c r="FL318" s="46"/>
      <c r="FM318" s="46"/>
      <c r="FN318" s="46"/>
      <c r="FO318" s="46"/>
      <c r="FP318" s="46"/>
      <c r="FQ318" s="46"/>
      <c r="FR318" s="46"/>
      <c r="FS318" s="46"/>
      <c r="FT318" s="46"/>
      <c r="FU318" s="46"/>
      <c r="FV318" s="46"/>
      <c r="FW318" s="46"/>
      <c r="FX318" s="46"/>
      <c r="FY318" s="46"/>
      <c r="FZ318" s="46"/>
      <c r="GA318" s="46"/>
      <c r="GB318" s="46"/>
      <c r="GC318" s="46"/>
      <c r="GD318" s="46"/>
      <c r="GE318" s="46"/>
      <c r="GF318" s="46"/>
      <c r="GG318" s="46"/>
      <c r="GH318" s="46"/>
      <c r="GI318" s="46"/>
      <c r="GJ318" s="46"/>
      <c r="GK318" s="46"/>
      <c r="GL318" s="46"/>
      <c r="GM318" s="46"/>
      <c r="GN318" s="46"/>
      <c r="GO318" s="93">
        <f t="shared" si="103"/>
        <v>0</v>
      </c>
      <c r="GQ318" s="46"/>
      <c r="GR318" s="46"/>
      <c r="GS318" s="46"/>
      <c r="GT318" s="46"/>
      <c r="GU318" s="46"/>
      <c r="GV318" s="46"/>
      <c r="GW318" s="46"/>
      <c r="GX318" s="46"/>
      <c r="GY318" s="46"/>
      <c r="GZ318" s="46"/>
      <c r="HA318" s="46"/>
      <c r="HB318" s="46"/>
      <c r="HC318" s="46"/>
      <c r="HD318" s="46"/>
      <c r="HE318" s="46"/>
      <c r="HF318" s="46"/>
      <c r="HG318" s="46"/>
      <c r="HH318" s="46"/>
      <c r="HI318" s="46"/>
      <c r="HJ318" s="46"/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93">
        <f t="shared" si="104"/>
        <v>0</v>
      </c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  <c r="IT318" s="46"/>
      <c r="IU318" s="46"/>
      <c r="IV318" s="46"/>
      <c r="IW318" s="46"/>
      <c r="IX318" s="46"/>
      <c r="IY318" s="46"/>
      <c r="IZ318" s="46"/>
      <c r="JA318" s="46"/>
      <c r="JB318" s="46"/>
      <c r="JC318" s="93">
        <f t="shared" si="105"/>
        <v>0</v>
      </c>
      <c r="JE318" s="46"/>
      <c r="JF318" s="46"/>
      <c r="JG318" s="46"/>
      <c r="JH318" s="46"/>
      <c r="JI318" s="46"/>
      <c r="JJ318" s="46"/>
      <c r="JK318" s="46"/>
      <c r="JL318" s="46"/>
      <c r="JM318" s="46"/>
      <c r="JN318" s="46"/>
      <c r="JO318" s="46"/>
      <c r="JP318" s="46"/>
      <c r="JQ318" s="46"/>
      <c r="JR318" s="46"/>
      <c r="JS318" s="46"/>
      <c r="JT318" s="46"/>
      <c r="JU318" s="46"/>
      <c r="JV318" s="46"/>
      <c r="JW318" s="46"/>
      <c r="JX318" s="46"/>
      <c r="JY318" s="46"/>
      <c r="JZ318" s="46"/>
      <c r="KA318" s="46"/>
      <c r="KB318" s="46"/>
      <c r="KC318" s="46"/>
      <c r="KD318" s="46"/>
      <c r="KE318" s="46"/>
      <c r="KF318" s="46"/>
      <c r="KG318" s="46"/>
      <c r="KH318" s="46"/>
      <c r="KI318" s="46"/>
      <c r="KJ318" s="93">
        <f t="shared" si="106"/>
        <v>0</v>
      </c>
    </row>
    <row r="319" spans="1:296" x14ac:dyDescent="0.5">
      <c r="A319" s="11">
        <v>137</v>
      </c>
      <c r="B319" s="184" t="s">
        <v>434</v>
      </c>
      <c r="C319" s="179" t="s">
        <v>212</v>
      </c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>
        <f t="shared" si="88"/>
        <v>0</v>
      </c>
      <c r="S319" s="46">
        <f t="shared" si="89"/>
        <v>0</v>
      </c>
      <c r="T319" s="46">
        <f t="shared" si="90"/>
        <v>0</v>
      </c>
      <c r="U319" s="46">
        <f t="shared" si="91"/>
        <v>0</v>
      </c>
      <c r="V319" s="46">
        <f t="shared" si="92"/>
        <v>0</v>
      </c>
      <c r="W319" s="46">
        <f t="shared" si="93"/>
        <v>0</v>
      </c>
      <c r="X319" s="46">
        <f t="shared" si="94"/>
        <v>0</v>
      </c>
      <c r="Y319" s="46">
        <f t="shared" si="95"/>
        <v>0</v>
      </c>
      <c r="Z319" s="90">
        <f t="shared" si="101"/>
        <v>0</v>
      </c>
      <c r="AB319" s="95">
        <f>'LPLPO PROGRAM'!H150</f>
        <v>0</v>
      </c>
      <c r="AC319" s="91"/>
      <c r="AD319" s="91"/>
      <c r="AE319" s="91"/>
      <c r="AF319" s="91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93">
        <f t="shared" si="97"/>
        <v>0</v>
      </c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  <c r="CK319" s="46"/>
      <c r="CL319" s="46"/>
      <c r="CM319" s="46"/>
      <c r="CN319" s="46"/>
      <c r="CO319" s="46"/>
      <c r="CP319" s="46"/>
      <c r="CQ319" s="46"/>
      <c r="CR319" s="46"/>
      <c r="CS319" s="46"/>
      <c r="CT319" s="93">
        <f t="shared" si="102"/>
        <v>0</v>
      </c>
      <c r="CV319" s="46"/>
      <c r="CW319" s="46"/>
      <c r="CX319" s="46"/>
      <c r="CY319" s="46"/>
      <c r="CZ319" s="46"/>
      <c r="DA319" s="46"/>
      <c r="DB319" s="46"/>
      <c r="DC319" s="46"/>
      <c r="DD319" s="46"/>
      <c r="DE319" s="46"/>
      <c r="DF319" s="46"/>
      <c r="DG319" s="46"/>
      <c r="DH319" s="46"/>
      <c r="DI319" s="46"/>
      <c r="DJ319" s="46"/>
      <c r="DK319" s="46"/>
      <c r="DL319" s="46"/>
      <c r="DM319" s="46"/>
      <c r="DN319" s="46"/>
      <c r="DO319" s="46"/>
      <c r="DP319" s="46"/>
      <c r="DQ319" s="46"/>
      <c r="DR319" s="46"/>
      <c r="DS319" s="46"/>
      <c r="DT319" s="46"/>
      <c r="DU319" s="46"/>
      <c r="DV319" s="46"/>
      <c r="DW319" s="46"/>
      <c r="DX319" s="46"/>
      <c r="DY319" s="46"/>
      <c r="DZ319" s="46"/>
      <c r="EA319" s="93">
        <f t="shared" si="98"/>
        <v>0</v>
      </c>
      <c r="EC319" s="46"/>
      <c r="ED319" s="46"/>
      <c r="EE319" s="46"/>
      <c r="EF319" s="46"/>
      <c r="EG319" s="46"/>
      <c r="EH319" s="46"/>
      <c r="EI319" s="46"/>
      <c r="EJ319" s="46"/>
      <c r="EK319" s="46"/>
      <c r="EL319" s="46"/>
      <c r="EM319" s="46"/>
      <c r="EN319" s="46"/>
      <c r="EO319" s="46"/>
      <c r="EP319" s="46"/>
      <c r="EQ319" s="46"/>
      <c r="ER319" s="46"/>
      <c r="ES319" s="46"/>
      <c r="ET319" s="46"/>
      <c r="EU319" s="46"/>
      <c r="EV319" s="46"/>
      <c r="EW319" s="46"/>
      <c r="EX319" s="46"/>
      <c r="EY319" s="46"/>
      <c r="EZ319" s="46"/>
      <c r="FA319" s="46"/>
      <c r="FB319" s="46"/>
      <c r="FC319" s="46"/>
      <c r="FD319" s="46"/>
      <c r="FE319" s="46"/>
      <c r="FF319" s="46"/>
      <c r="FG319" s="46"/>
      <c r="FH319" s="93">
        <f t="shared" si="99"/>
        <v>0</v>
      </c>
      <c r="FJ319" s="46"/>
      <c r="FK319" s="46"/>
      <c r="FL319" s="46"/>
      <c r="FM319" s="46"/>
      <c r="FN319" s="46"/>
      <c r="FO319" s="46"/>
      <c r="FP319" s="46"/>
      <c r="FQ319" s="46"/>
      <c r="FR319" s="46"/>
      <c r="FS319" s="46"/>
      <c r="FT319" s="46"/>
      <c r="FU319" s="46"/>
      <c r="FV319" s="46"/>
      <c r="FW319" s="46"/>
      <c r="FX319" s="46"/>
      <c r="FY319" s="46"/>
      <c r="FZ319" s="46"/>
      <c r="GA319" s="46"/>
      <c r="GB319" s="46"/>
      <c r="GC319" s="46"/>
      <c r="GD319" s="46"/>
      <c r="GE319" s="46"/>
      <c r="GF319" s="46"/>
      <c r="GG319" s="46"/>
      <c r="GH319" s="46"/>
      <c r="GI319" s="46"/>
      <c r="GJ319" s="46"/>
      <c r="GK319" s="46"/>
      <c r="GL319" s="46"/>
      <c r="GM319" s="46"/>
      <c r="GN319" s="46"/>
      <c r="GO319" s="93">
        <f t="shared" si="103"/>
        <v>0</v>
      </c>
      <c r="GQ319" s="46"/>
      <c r="GR319" s="46"/>
      <c r="GS319" s="46"/>
      <c r="GT319" s="46"/>
      <c r="GU319" s="46"/>
      <c r="GV319" s="46"/>
      <c r="GW319" s="46"/>
      <c r="GX319" s="46"/>
      <c r="GY319" s="46"/>
      <c r="GZ319" s="46"/>
      <c r="HA319" s="46"/>
      <c r="HB319" s="46"/>
      <c r="HC319" s="46"/>
      <c r="HD319" s="46"/>
      <c r="HE319" s="46"/>
      <c r="HF319" s="46"/>
      <c r="HG319" s="46"/>
      <c r="HH319" s="46"/>
      <c r="HI319" s="46"/>
      <c r="HJ319" s="46"/>
      <c r="HK319" s="46"/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93">
        <f t="shared" si="104"/>
        <v>0</v>
      </c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  <c r="IT319" s="46"/>
      <c r="IU319" s="46"/>
      <c r="IV319" s="46"/>
      <c r="IW319" s="46"/>
      <c r="IX319" s="46"/>
      <c r="IY319" s="46"/>
      <c r="IZ319" s="46"/>
      <c r="JA319" s="46"/>
      <c r="JB319" s="46"/>
      <c r="JC319" s="93">
        <f t="shared" si="105"/>
        <v>0</v>
      </c>
      <c r="JE319" s="46"/>
      <c r="JF319" s="46"/>
      <c r="JG319" s="46"/>
      <c r="JH319" s="46"/>
      <c r="JI319" s="46"/>
      <c r="JJ319" s="46"/>
      <c r="JK319" s="46"/>
      <c r="JL319" s="46"/>
      <c r="JM319" s="46"/>
      <c r="JN319" s="46"/>
      <c r="JO319" s="46"/>
      <c r="JP319" s="46"/>
      <c r="JQ319" s="46"/>
      <c r="JR319" s="46"/>
      <c r="JS319" s="46"/>
      <c r="JT319" s="46"/>
      <c r="JU319" s="46"/>
      <c r="JV319" s="46"/>
      <c r="JW319" s="46"/>
      <c r="JX319" s="46"/>
      <c r="JY319" s="46"/>
      <c r="JZ319" s="46"/>
      <c r="KA319" s="46"/>
      <c r="KB319" s="46"/>
      <c r="KC319" s="46"/>
      <c r="KD319" s="46"/>
      <c r="KE319" s="46"/>
      <c r="KF319" s="46"/>
      <c r="KG319" s="46"/>
      <c r="KH319" s="46"/>
      <c r="KI319" s="46"/>
      <c r="KJ319" s="93">
        <f t="shared" si="106"/>
        <v>0</v>
      </c>
    </row>
    <row r="320" spans="1:296" x14ac:dyDescent="0.5">
      <c r="A320" s="11">
        <v>138</v>
      </c>
      <c r="B320" s="184"/>
      <c r="C320" s="179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>
        <f t="shared" si="88"/>
        <v>0</v>
      </c>
      <c r="S320" s="46">
        <f t="shared" si="89"/>
        <v>0</v>
      </c>
      <c r="T320" s="46">
        <f t="shared" si="90"/>
        <v>0</v>
      </c>
      <c r="U320" s="46">
        <f t="shared" si="91"/>
        <v>0</v>
      </c>
      <c r="V320" s="46">
        <f t="shared" si="92"/>
        <v>0</v>
      </c>
      <c r="W320" s="46">
        <f t="shared" si="93"/>
        <v>0</v>
      </c>
      <c r="X320" s="46">
        <f t="shared" si="94"/>
        <v>0</v>
      </c>
      <c r="Y320" s="46">
        <f t="shared" si="95"/>
        <v>0</v>
      </c>
      <c r="Z320" s="90">
        <f t="shared" si="101"/>
        <v>0</v>
      </c>
      <c r="AB320" s="95">
        <f>'LPLPO PROGRAM'!H151</f>
        <v>0</v>
      </c>
      <c r="AC320" s="91"/>
      <c r="AD320" s="91"/>
      <c r="AE320" s="91"/>
      <c r="AF320" s="91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93">
        <f t="shared" si="97"/>
        <v>0</v>
      </c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  <c r="CK320" s="46"/>
      <c r="CL320" s="46"/>
      <c r="CM320" s="46"/>
      <c r="CN320" s="46"/>
      <c r="CO320" s="46"/>
      <c r="CP320" s="46"/>
      <c r="CQ320" s="46"/>
      <c r="CR320" s="46"/>
      <c r="CS320" s="46"/>
      <c r="CT320" s="93">
        <f t="shared" si="102"/>
        <v>0</v>
      </c>
      <c r="CV320" s="46"/>
      <c r="CW320" s="46"/>
      <c r="CX320" s="46"/>
      <c r="CY320" s="46"/>
      <c r="CZ320" s="46"/>
      <c r="DA320" s="46"/>
      <c r="DB320" s="46"/>
      <c r="DC320" s="46"/>
      <c r="DD320" s="46"/>
      <c r="DE320" s="46"/>
      <c r="DF320" s="46"/>
      <c r="DG320" s="46"/>
      <c r="DH320" s="46"/>
      <c r="DI320" s="46"/>
      <c r="DJ320" s="46"/>
      <c r="DK320" s="46"/>
      <c r="DL320" s="46"/>
      <c r="DM320" s="46"/>
      <c r="DN320" s="46"/>
      <c r="DO320" s="46"/>
      <c r="DP320" s="46"/>
      <c r="DQ320" s="46"/>
      <c r="DR320" s="46"/>
      <c r="DS320" s="46"/>
      <c r="DT320" s="46"/>
      <c r="DU320" s="46"/>
      <c r="DV320" s="46"/>
      <c r="DW320" s="46"/>
      <c r="DX320" s="46"/>
      <c r="DY320" s="46"/>
      <c r="DZ320" s="46"/>
      <c r="EA320" s="93">
        <f t="shared" si="98"/>
        <v>0</v>
      </c>
      <c r="EC320" s="46"/>
      <c r="ED320" s="46"/>
      <c r="EE320" s="46"/>
      <c r="EF320" s="46"/>
      <c r="EG320" s="46"/>
      <c r="EH320" s="46"/>
      <c r="EI320" s="46"/>
      <c r="EJ320" s="46"/>
      <c r="EK320" s="46"/>
      <c r="EL320" s="46"/>
      <c r="EM320" s="46"/>
      <c r="EN320" s="46"/>
      <c r="EO320" s="46"/>
      <c r="EP320" s="46"/>
      <c r="EQ320" s="46"/>
      <c r="ER320" s="46"/>
      <c r="ES320" s="46"/>
      <c r="ET320" s="46"/>
      <c r="EU320" s="46"/>
      <c r="EV320" s="46"/>
      <c r="EW320" s="46"/>
      <c r="EX320" s="46"/>
      <c r="EY320" s="46"/>
      <c r="EZ320" s="46"/>
      <c r="FA320" s="46"/>
      <c r="FB320" s="46"/>
      <c r="FC320" s="46"/>
      <c r="FD320" s="46"/>
      <c r="FE320" s="46"/>
      <c r="FF320" s="46"/>
      <c r="FG320" s="46"/>
      <c r="FH320" s="93">
        <f t="shared" si="99"/>
        <v>0</v>
      </c>
      <c r="FJ320" s="46"/>
      <c r="FK320" s="46"/>
      <c r="FL320" s="46"/>
      <c r="FM320" s="46"/>
      <c r="FN320" s="46"/>
      <c r="FO320" s="46"/>
      <c r="FP320" s="46"/>
      <c r="FQ320" s="46"/>
      <c r="FR320" s="46"/>
      <c r="FS320" s="46"/>
      <c r="FT320" s="46"/>
      <c r="FU320" s="46"/>
      <c r="FV320" s="46"/>
      <c r="FW320" s="46"/>
      <c r="FX320" s="46"/>
      <c r="FY320" s="46"/>
      <c r="FZ320" s="46"/>
      <c r="GA320" s="46"/>
      <c r="GB320" s="46"/>
      <c r="GC320" s="46"/>
      <c r="GD320" s="46"/>
      <c r="GE320" s="46"/>
      <c r="GF320" s="46"/>
      <c r="GG320" s="46"/>
      <c r="GH320" s="46"/>
      <c r="GI320" s="46"/>
      <c r="GJ320" s="46"/>
      <c r="GK320" s="46"/>
      <c r="GL320" s="46"/>
      <c r="GM320" s="46"/>
      <c r="GN320" s="46"/>
      <c r="GO320" s="93">
        <f t="shared" si="103"/>
        <v>0</v>
      </c>
      <c r="GQ320" s="46"/>
      <c r="GR320" s="46"/>
      <c r="GS320" s="46"/>
      <c r="GT320" s="46"/>
      <c r="GU320" s="46"/>
      <c r="GV320" s="46"/>
      <c r="GW320" s="46"/>
      <c r="GX320" s="46"/>
      <c r="GY320" s="46"/>
      <c r="GZ320" s="46"/>
      <c r="HA320" s="46"/>
      <c r="HB320" s="46"/>
      <c r="HC320" s="46"/>
      <c r="HD320" s="46"/>
      <c r="HE320" s="46"/>
      <c r="HF320" s="46"/>
      <c r="HG320" s="46"/>
      <c r="HH320" s="46"/>
      <c r="HI320" s="46"/>
      <c r="HJ320" s="46"/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93">
        <f t="shared" si="104"/>
        <v>0</v>
      </c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  <c r="IT320" s="46"/>
      <c r="IU320" s="46"/>
      <c r="IV320" s="46"/>
      <c r="IW320" s="46"/>
      <c r="IX320" s="46"/>
      <c r="IY320" s="46"/>
      <c r="IZ320" s="46"/>
      <c r="JA320" s="46"/>
      <c r="JB320" s="46"/>
      <c r="JC320" s="93">
        <f t="shared" si="105"/>
        <v>0</v>
      </c>
      <c r="JE320" s="46"/>
      <c r="JF320" s="46"/>
      <c r="JG320" s="46"/>
      <c r="JH320" s="46"/>
      <c r="JI320" s="46"/>
      <c r="JJ320" s="46"/>
      <c r="JK320" s="46"/>
      <c r="JL320" s="46"/>
      <c r="JM320" s="46"/>
      <c r="JN320" s="46"/>
      <c r="JO320" s="46"/>
      <c r="JP320" s="46"/>
      <c r="JQ320" s="46"/>
      <c r="JR320" s="46"/>
      <c r="JS320" s="46"/>
      <c r="JT320" s="46"/>
      <c r="JU320" s="46"/>
      <c r="JV320" s="46"/>
      <c r="JW320" s="46"/>
      <c r="JX320" s="46"/>
      <c r="JY320" s="46"/>
      <c r="JZ320" s="46"/>
      <c r="KA320" s="46"/>
      <c r="KB320" s="46"/>
      <c r="KC320" s="46"/>
      <c r="KD320" s="46"/>
      <c r="KE320" s="46"/>
      <c r="KF320" s="46"/>
      <c r="KG320" s="46"/>
      <c r="KH320" s="46"/>
      <c r="KI320" s="46"/>
      <c r="KJ320" s="93">
        <f t="shared" si="106"/>
        <v>0</v>
      </c>
    </row>
    <row r="321" spans="1:296" x14ac:dyDescent="0.5">
      <c r="A321" s="11">
        <v>139</v>
      </c>
      <c r="B321" s="184"/>
      <c r="C321" s="179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>
        <f t="shared" si="88"/>
        <v>0</v>
      </c>
      <c r="S321" s="46">
        <f t="shared" si="89"/>
        <v>0</v>
      </c>
      <c r="T321" s="46">
        <f t="shared" si="90"/>
        <v>0</v>
      </c>
      <c r="U321" s="46">
        <f t="shared" si="91"/>
        <v>0</v>
      </c>
      <c r="V321" s="46">
        <f t="shared" si="92"/>
        <v>0</v>
      </c>
      <c r="W321" s="46">
        <f t="shared" si="93"/>
        <v>0</v>
      </c>
      <c r="X321" s="46">
        <f t="shared" si="94"/>
        <v>0</v>
      </c>
      <c r="Y321" s="46">
        <f t="shared" si="95"/>
        <v>0</v>
      </c>
      <c r="Z321" s="90">
        <f t="shared" si="101"/>
        <v>0</v>
      </c>
      <c r="AB321" s="95">
        <f>'LPLPO PROGRAM'!H152</f>
        <v>0</v>
      </c>
      <c r="AC321" s="91"/>
      <c r="AD321" s="91"/>
      <c r="AE321" s="91"/>
      <c r="AF321" s="91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93">
        <f t="shared" si="97"/>
        <v>0</v>
      </c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  <c r="CK321" s="46"/>
      <c r="CL321" s="46"/>
      <c r="CM321" s="46"/>
      <c r="CN321" s="46"/>
      <c r="CO321" s="46"/>
      <c r="CP321" s="46"/>
      <c r="CQ321" s="46"/>
      <c r="CR321" s="46"/>
      <c r="CS321" s="46"/>
      <c r="CT321" s="93">
        <f t="shared" si="102"/>
        <v>0</v>
      </c>
      <c r="CV321" s="46"/>
      <c r="CW321" s="46"/>
      <c r="CX321" s="46"/>
      <c r="CY321" s="46"/>
      <c r="CZ321" s="46"/>
      <c r="DA321" s="46"/>
      <c r="DB321" s="46"/>
      <c r="DC321" s="46"/>
      <c r="DD321" s="46"/>
      <c r="DE321" s="46"/>
      <c r="DF321" s="46"/>
      <c r="DG321" s="46"/>
      <c r="DH321" s="46"/>
      <c r="DI321" s="46"/>
      <c r="DJ321" s="46"/>
      <c r="DK321" s="46"/>
      <c r="DL321" s="46"/>
      <c r="DM321" s="46"/>
      <c r="DN321" s="46"/>
      <c r="DO321" s="46"/>
      <c r="DP321" s="46"/>
      <c r="DQ321" s="46"/>
      <c r="DR321" s="46"/>
      <c r="DS321" s="46"/>
      <c r="DT321" s="46"/>
      <c r="DU321" s="46"/>
      <c r="DV321" s="46"/>
      <c r="DW321" s="46"/>
      <c r="DX321" s="46"/>
      <c r="DY321" s="46"/>
      <c r="DZ321" s="46"/>
      <c r="EA321" s="93">
        <f t="shared" si="98"/>
        <v>0</v>
      </c>
      <c r="EC321" s="46"/>
      <c r="ED321" s="46"/>
      <c r="EE321" s="46"/>
      <c r="EF321" s="46"/>
      <c r="EG321" s="46"/>
      <c r="EH321" s="46"/>
      <c r="EI321" s="46"/>
      <c r="EJ321" s="46"/>
      <c r="EK321" s="46"/>
      <c r="EL321" s="46"/>
      <c r="EM321" s="46"/>
      <c r="EN321" s="46"/>
      <c r="EO321" s="46"/>
      <c r="EP321" s="46"/>
      <c r="EQ321" s="46"/>
      <c r="ER321" s="46"/>
      <c r="ES321" s="46"/>
      <c r="ET321" s="46"/>
      <c r="EU321" s="46"/>
      <c r="EV321" s="46"/>
      <c r="EW321" s="46"/>
      <c r="EX321" s="46"/>
      <c r="EY321" s="46"/>
      <c r="EZ321" s="46"/>
      <c r="FA321" s="46"/>
      <c r="FB321" s="46"/>
      <c r="FC321" s="46"/>
      <c r="FD321" s="46"/>
      <c r="FE321" s="46"/>
      <c r="FF321" s="46"/>
      <c r="FG321" s="46"/>
      <c r="FH321" s="93">
        <f t="shared" si="99"/>
        <v>0</v>
      </c>
      <c r="FJ321" s="46"/>
      <c r="FK321" s="46"/>
      <c r="FL321" s="46"/>
      <c r="FM321" s="46"/>
      <c r="FN321" s="46"/>
      <c r="FO321" s="46"/>
      <c r="FP321" s="46"/>
      <c r="FQ321" s="46"/>
      <c r="FR321" s="46"/>
      <c r="FS321" s="46"/>
      <c r="FT321" s="46"/>
      <c r="FU321" s="46"/>
      <c r="FV321" s="46"/>
      <c r="FW321" s="46"/>
      <c r="FX321" s="46"/>
      <c r="FY321" s="46"/>
      <c r="FZ321" s="46"/>
      <c r="GA321" s="46"/>
      <c r="GB321" s="46"/>
      <c r="GC321" s="46"/>
      <c r="GD321" s="46"/>
      <c r="GE321" s="46"/>
      <c r="GF321" s="46"/>
      <c r="GG321" s="46"/>
      <c r="GH321" s="46"/>
      <c r="GI321" s="46"/>
      <c r="GJ321" s="46"/>
      <c r="GK321" s="46"/>
      <c r="GL321" s="46"/>
      <c r="GM321" s="46"/>
      <c r="GN321" s="46"/>
      <c r="GO321" s="93">
        <f t="shared" si="103"/>
        <v>0</v>
      </c>
      <c r="GQ321" s="46"/>
      <c r="GR321" s="46"/>
      <c r="GS321" s="46"/>
      <c r="GT321" s="46"/>
      <c r="GU321" s="46"/>
      <c r="GV321" s="46"/>
      <c r="GW321" s="46"/>
      <c r="GX321" s="46"/>
      <c r="GY321" s="46"/>
      <c r="GZ321" s="46"/>
      <c r="HA321" s="46"/>
      <c r="HB321" s="46"/>
      <c r="HC321" s="46"/>
      <c r="HD321" s="46"/>
      <c r="HE321" s="46"/>
      <c r="HF321" s="46"/>
      <c r="HG321" s="46"/>
      <c r="HH321" s="46"/>
      <c r="HI321" s="46"/>
      <c r="HJ321" s="46"/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93">
        <f t="shared" si="104"/>
        <v>0</v>
      </c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  <c r="IT321" s="46"/>
      <c r="IU321" s="46"/>
      <c r="IV321" s="46"/>
      <c r="IW321" s="46"/>
      <c r="IX321" s="46"/>
      <c r="IY321" s="46"/>
      <c r="IZ321" s="46"/>
      <c r="JA321" s="46"/>
      <c r="JB321" s="46"/>
      <c r="JC321" s="93">
        <f t="shared" si="105"/>
        <v>0</v>
      </c>
      <c r="JE321" s="46"/>
      <c r="JF321" s="46"/>
      <c r="JG321" s="46"/>
      <c r="JH321" s="46"/>
      <c r="JI321" s="46"/>
      <c r="JJ321" s="46"/>
      <c r="JK321" s="46"/>
      <c r="JL321" s="46"/>
      <c r="JM321" s="46"/>
      <c r="JN321" s="46"/>
      <c r="JO321" s="46"/>
      <c r="JP321" s="46"/>
      <c r="JQ321" s="46"/>
      <c r="JR321" s="46"/>
      <c r="JS321" s="46"/>
      <c r="JT321" s="46"/>
      <c r="JU321" s="46"/>
      <c r="JV321" s="46"/>
      <c r="JW321" s="46"/>
      <c r="JX321" s="46"/>
      <c r="JY321" s="46"/>
      <c r="JZ321" s="46"/>
      <c r="KA321" s="46"/>
      <c r="KB321" s="46"/>
      <c r="KC321" s="46"/>
      <c r="KD321" s="46"/>
      <c r="KE321" s="46"/>
      <c r="KF321" s="46"/>
      <c r="KG321" s="46"/>
      <c r="KH321" s="46"/>
      <c r="KI321" s="46"/>
      <c r="KJ321" s="93">
        <f t="shared" si="106"/>
        <v>0</v>
      </c>
    </row>
    <row r="322" spans="1:296" x14ac:dyDescent="0.5">
      <c r="A322" s="11">
        <v>140</v>
      </c>
      <c r="B322" s="184"/>
      <c r="C322" s="179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>
        <f t="shared" si="88"/>
        <v>0</v>
      </c>
      <c r="S322" s="46">
        <f t="shared" si="89"/>
        <v>0</v>
      </c>
      <c r="T322" s="46">
        <f t="shared" si="90"/>
        <v>0</v>
      </c>
      <c r="U322" s="46">
        <f t="shared" si="91"/>
        <v>0</v>
      </c>
      <c r="V322" s="46">
        <f t="shared" si="92"/>
        <v>0</v>
      </c>
      <c r="W322" s="46">
        <f t="shared" si="93"/>
        <v>0</v>
      </c>
      <c r="X322" s="46">
        <f t="shared" si="94"/>
        <v>0</v>
      </c>
      <c r="Y322" s="46">
        <f t="shared" si="95"/>
        <v>0</v>
      </c>
      <c r="Z322" s="90">
        <f t="shared" si="101"/>
        <v>0</v>
      </c>
      <c r="AB322" s="95">
        <f>'LPLPO PROGRAM'!H153</f>
        <v>0</v>
      </c>
      <c r="AC322" s="91"/>
      <c r="AD322" s="91"/>
      <c r="AE322" s="91"/>
      <c r="AF322" s="91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93">
        <f t="shared" si="97"/>
        <v>0</v>
      </c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  <c r="CK322" s="46"/>
      <c r="CL322" s="46"/>
      <c r="CM322" s="46"/>
      <c r="CN322" s="46"/>
      <c r="CO322" s="46"/>
      <c r="CP322" s="46"/>
      <c r="CQ322" s="46"/>
      <c r="CR322" s="46"/>
      <c r="CS322" s="46"/>
      <c r="CT322" s="93">
        <f t="shared" si="102"/>
        <v>0</v>
      </c>
      <c r="CV322" s="46"/>
      <c r="CW322" s="46"/>
      <c r="CX322" s="46"/>
      <c r="CY322" s="46"/>
      <c r="CZ322" s="46"/>
      <c r="DA322" s="46"/>
      <c r="DB322" s="46"/>
      <c r="DC322" s="46"/>
      <c r="DD322" s="46"/>
      <c r="DE322" s="46"/>
      <c r="DF322" s="46"/>
      <c r="DG322" s="46"/>
      <c r="DH322" s="46"/>
      <c r="DI322" s="46"/>
      <c r="DJ322" s="46"/>
      <c r="DK322" s="46"/>
      <c r="DL322" s="46"/>
      <c r="DM322" s="46"/>
      <c r="DN322" s="46"/>
      <c r="DO322" s="46"/>
      <c r="DP322" s="46"/>
      <c r="DQ322" s="46"/>
      <c r="DR322" s="46"/>
      <c r="DS322" s="46"/>
      <c r="DT322" s="46"/>
      <c r="DU322" s="46"/>
      <c r="DV322" s="46"/>
      <c r="DW322" s="46"/>
      <c r="DX322" s="46"/>
      <c r="DY322" s="46"/>
      <c r="DZ322" s="46"/>
      <c r="EA322" s="93">
        <f t="shared" si="98"/>
        <v>0</v>
      </c>
      <c r="EC322" s="46"/>
      <c r="ED322" s="46"/>
      <c r="EE322" s="46"/>
      <c r="EF322" s="46"/>
      <c r="EG322" s="46"/>
      <c r="EH322" s="46"/>
      <c r="EI322" s="46"/>
      <c r="EJ322" s="46"/>
      <c r="EK322" s="46"/>
      <c r="EL322" s="46"/>
      <c r="EM322" s="46"/>
      <c r="EN322" s="46"/>
      <c r="EO322" s="46"/>
      <c r="EP322" s="46"/>
      <c r="EQ322" s="46"/>
      <c r="ER322" s="46"/>
      <c r="ES322" s="46"/>
      <c r="ET322" s="46"/>
      <c r="EU322" s="46"/>
      <c r="EV322" s="46"/>
      <c r="EW322" s="46"/>
      <c r="EX322" s="46"/>
      <c r="EY322" s="46"/>
      <c r="EZ322" s="46"/>
      <c r="FA322" s="46"/>
      <c r="FB322" s="46"/>
      <c r="FC322" s="46"/>
      <c r="FD322" s="46"/>
      <c r="FE322" s="46"/>
      <c r="FF322" s="46"/>
      <c r="FG322" s="46"/>
      <c r="FH322" s="93">
        <f t="shared" si="99"/>
        <v>0</v>
      </c>
      <c r="FJ322" s="46"/>
      <c r="FK322" s="46"/>
      <c r="FL322" s="46"/>
      <c r="FM322" s="46"/>
      <c r="FN322" s="46"/>
      <c r="FO322" s="46"/>
      <c r="FP322" s="46"/>
      <c r="FQ322" s="46"/>
      <c r="FR322" s="46"/>
      <c r="FS322" s="46"/>
      <c r="FT322" s="46"/>
      <c r="FU322" s="46"/>
      <c r="FV322" s="46"/>
      <c r="FW322" s="46"/>
      <c r="FX322" s="46"/>
      <c r="FY322" s="46"/>
      <c r="FZ322" s="46"/>
      <c r="GA322" s="46"/>
      <c r="GB322" s="46"/>
      <c r="GC322" s="46"/>
      <c r="GD322" s="46"/>
      <c r="GE322" s="46"/>
      <c r="GF322" s="46"/>
      <c r="GG322" s="46"/>
      <c r="GH322" s="46"/>
      <c r="GI322" s="46"/>
      <c r="GJ322" s="46"/>
      <c r="GK322" s="46"/>
      <c r="GL322" s="46"/>
      <c r="GM322" s="46"/>
      <c r="GN322" s="46"/>
      <c r="GO322" s="93">
        <f t="shared" si="103"/>
        <v>0</v>
      </c>
      <c r="GQ322" s="46"/>
      <c r="GR322" s="46"/>
      <c r="GS322" s="46"/>
      <c r="GT322" s="46"/>
      <c r="GU322" s="46"/>
      <c r="GV322" s="46"/>
      <c r="GW322" s="46"/>
      <c r="GX322" s="46"/>
      <c r="GY322" s="46"/>
      <c r="GZ322" s="46"/>
      <c r="HA322" s="46"/>
      <c r="HB322" s="46"/>
      <c r="HC322" s="46"/>
      <c r="HD322" s="46"/>
      <c r="HE322" s="46"/>
      <c r="HF322" s="46"/>
      <c r="HG322" s="46"/>
      <c r="HH322" s="46"/>
      <c r="HI322" s="46"/>
      <c r="HJ322" s="46"/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93">
        <f t="shared" si="104"/>
        <v>0</v>
      </c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  <c r="IT322" s="46"/>
      <c r="IU322" s="46"/>
      <c r="IV322" s="46"/>
      <c r="IW322" s="46"/>
      <c r="IX322" s="46"/>
      <c r="IY322" s="46"/>
      <c r="IZ322" s="46"/>
      <c r="JA322" s="46"/>
      <c r="JB322" s="46"/>
      <c r="JC322" s="93">
        <f t="shared" si="105"/>
        <v>0</v>
      </c>
      <c r="JE322" s="46"/>
      <c r="JF322" s="46"/>
      <c r="JG322" s="46"/>
      <c r="JH322" s="46"/>
      <c r="JI322" s="46"/>
      <c r="JJ322" s="46"/>
      <c r="JK322" s="46"/>
      <c r="JL322" s="46"/>
      <c r="JM322" s="46"/>
      <c r="JN322" s="46"/>
      <c r="JO322" s="46"/>
      <c r="JP322" s="46"/>
      <c r="JQ322" s="46"/>
      <c r="JR322" s="46"/>
      <c r="JS322" s="46"/>
      <c r="JT322" s="46"/>
      <c r="JU322" s="46"/>
      <c r="JV322" s="46"/>
      <c r="JW322" s="46"/>
      <c r="JX322" s="46"/>
      <c r="JY322" s="46"/>
      <c r="JZ322" s="46"/>
      <c r="KA322" s="46"/>
      <c r="KB322" s="46"/>
      <c r="KC322" s="46"/>
      <c r="KD322" s="46"/>
      <c r="KE322" s="46"/>
      <c r="KF322" s="46"/>
      <c r="KG322" s="46"/>
      <c r="KH322" s="46"/>
      <c r="KI322" s="46"/>
      <c r="KJ322" s="93">
        <f t="shared" si="106"/>
        <v>0</v>
      </c>
    </row>
    <row r="323" spans="1:296" x14ac:dyDescent="0.5">
      <c r="A323" s="187">
        <v>141</v>
      </c>
      <c r="B323" s="189" t="s">
        <v>275</v>
      </c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46">
        <f t="shared" si="88"/>
        <v>0</v>
      </c>
      <c r="S323" s="46">
        <f t="shared" si="89"/>
        <v>0</v>
      </c>
      <c r="T323" s="46">
        <f t="shared" si="90"/>
        <v>0</v>
      </c>
      <c r="U323" s="46">
        <f t="shared" si="91"/>
        <v>0</v>
      </c>
      <c r="V323" s="46">
        <f t="shared" si="92"/>
        <v>0</v>
      </c>
      <c r="W323" s="46">
        <f t="shared" si="93"/>
        <v>0</v>
      </c>
      <c r="X323" s="46">
        <f t="shared" si="94"/>
        <v>0</v>
      </c>
      <c r="Y323" s="46">
        <f t="shared" si="95"/>
        <v>0</v>
      </c>
      <c r="Z323" s="146"/>
      <c r="AB323" s="95">
        <f>'LPLPO PROGRAM'!H154</f>
        <v>0</v>
      </c>
      <c r="AC323" s="91"/>
      <c r="AD323" s="91"/>
      <c r="AE323" s="91"/>
      <c r="AF323" s="91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93">
        <f t="shared" si="97"/>
        <v>0</v>
      </c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  <c r="CK323" s="46"/>
      <c r="CL323" s="46"/>
      <c r="CM323" s="46"/>
      <c r="CN323" s="46"/>
      <c r="CO323" s="46"/>
      <c r="CP323" s="46"/>
      <c r="CQ323" s="46"/>
      <c r="CR323" s="46"/>
      <c r="CS323" s="46"/>
      <c r="CT323" s="93">
        <f t="shared" si="102"/>
        <v>0</v>
      </c>
      <c r="CV323" s="46"/>
      <c r="CW323" s="46"/>
      <c r="CX323" s="46"/>
      <c r="CY323" s="46"/>
      <c r="CZ323" s="46"/>
      <c r="DA323" s="46"/>
      <c r="DB323" s="46"/>
      <c r="DC323" s="46"/>
      <c r="DD323" s="46"/>
      <c r="DE323" s="46"/>
      <c r="DF323" s="46"/>
      <c r="DG323" s="46"/>
      <c r="DH323" s="46"/>
      <c r="DI323" s="46"/>
      <c r="DJ323" s="46"/>
      <c r="DK323" s="46"/>
      <c r="DL323" s="46"/>
      <c r="DM323" s="46"/>
      <c r="DN323" s="46"/>
      <c r="DO323" s="46"/>
      <c r="DP323" s="46"/>
      <c r="DQ323" s="46"/>
      <c r="DR323" s="46"/>
      <c r="DS323" s="46"/>
      <c r="DT323" s="46"/>
      <c r="DU323" s="46"/>
      <c r="DV323" s="46"/>
      <c r="DW323" s="46"/>
      <c r="DX323" s="46"/>
      <c r="DY323" s="46"/>
      <c r="DZ323" s="46"/>
      <c r="EA323" s="93">
        <f t="shared" si="98"/>
        <v>0</v>
      </c>
      <c r="EC323" s="46"/>
      <c r="ED323" s="46"/>
      <c r="EE323" s="46"/>
      <c r="EF323" s="46"/>
      <c r="EG323" s="46"/>
      <c r="EH323" s="46"/>
      <c r="EI323" s="46"/>
      <c r="EJ323" s="46"/>
      <c r="EK323" s="46"/>
      <c r="EL323" s="46"/>
      <c r="EM323" s="46"/>
      <c r="EN323" s="46"/>
      <c r="EO323" s="46"/>
      <c r="EP323" s="46"/>
      <c r="EQ323" s="46"/>
      <c r="ER323" s="46"/>
      <c r="ES323" s="46"/>
      <c r="ET323" s="46"/>
      <c r="EU323" s="46"/>
      <c r="EV323" s="46"/>
      <c r="EW323" s="46"/>
      <c r="EX323" s="46"/>
      <c r="EY323" s="46"/>
      <c r="EZ323" s="46"/>
      <c r="FA323" s="46"/>
      <c r="FB323" s="46"/>
      <c r="FC323" s="46"/>
      <c r="FD323" s="46"/>
      <c r="FE323" s="46"/>
      <c r="FF323" s="46"/>
      <c r="FG323" s="46"/>
      <c r="FH323" s="93">
        <f t="shared" si="99"/>
        <v>0</v>
      </c>
      <c r="FJ323" s="46"/>
      <c r="FK323" s="46"/>
      <c r="FL323" s="46"/>
      <c r="FM323" s="46"/>
      <c r="FN323" s="46"/>
      <c r="FO323" s="46"/>
      <c r="FP323" s="46"/>
      <c r="FQ323" s="46"/>
      <c r="FR323" s="46"/>
      <c r="FS323" s="46"/>
      <c r="FT323" s="46"/>
      <c r="FU323" s="46"/>
      <c r="FV323" s="46"/>
      <c r="FW323" s="46"/>
      <c r="FX323" s="46"/>
      <c r="FY323" s="46"/>
      <c r="FZ323" s="46"/>
      <c r="GA323" s="46"/>
      <c r="GB323" s="46"/>
      <c r="GC323" s="46"/>
      <c r="GD323" s="46"/>
      <c r="GE323" s="46"/>
      <c r="GF323" s="46"/>
      <c r="GG323" s="46"/>
      <c r="GH323" s="46"/>
      <c r="GI323" s="46"/>
      <c r="GJ323" s="46"/>
      <c r="GK323" s="46"/>
      <c r="GL323" s="46"/>
      <c r="GM323" s="46"/>
      <c r="GN323" s="46"/>
      <c r="GO323" s="93">
        <f t="shared" si="103"/>
        <v>0</v>
      </c>
      <c r="GQ323" s="46"/>
      <c r="GR323" s="46"/>
      <c r="GS323" s="46"/>
      <c r="GT323" s="46"/>
      <c r="GU323" s="46"/>
      <c r="GV323" s="46"/>
      <c r="GW323" s="46"/>
      <c r="GX323" s="46"/>
      <c r="GY323" s="46"/>
      <c r="GZ323" s="46"/>
      <c r="HA323" s="46"/>
      <c r="HB323" s="46"/>
      <c r="HC323" s="46"/>
      <c r="HD323" s="46"/>
      <c r="HE323" s="46"/>
      <c r="HF323" s="46"/>
      <c r="HG323" s="46"/>
      <c r="HH323" s="46"/>
      <c r="HI323" s="46"/>
      <c r="HJ323" s="46"/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93">
        <f t="shared" si="104"/>
        <v>0</v>
      </c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  <c r="IT323" s="46"/>
      <c r="IU323" s="46"/>
      <c r="IV323" s="46"/>
      <c r="IW323" s="46"/>
      <c r="IX323" s="46"/>
      <c r="IY323" s="46"/>
      <c r="IZ323" s="46"/>
      <c r="JA323" s="46"/>
      <c r="JB323" s="46"/>
      <c r="JC323" s="93">
        <f t="shared" si="105"/>
        <v>0</v>
      </c>
      <c r="JE323" s="46"/>
      <c r="JF323" s="46"/>
      <c r="JG323" s="46"/>
      <c r="JH323" s="46"/>
      <c r="JI323" s="46"/>
      <c r="JJ323" s="46"/>
      <c r="JK323" s="46"/>
      <c r="JL323" s="46"/>
      <c r="JM323" s="46"/>
      <c r="JN323" s="46"/>
      <c r="JO323" s="46"/>
      <c r="JP323" s="46"/>
      <c r="JQ323" s="46"/>
      <c r="JR323" s="46"/>
      <c r="JS323" s="46"/>
      <c r="JT323" s="46"/>
      <c r="JU323" s="46"/>
      <c r="JV323" s="46"/>
      <c r="JW323" s="46"/>
      <c r="JX323" s="46"/>
      <c r="JY323" s="46"/>
      <c r="JZ323" s="46"/>
      <c r="KA323" s="46"/>
      <c r="KB323" s="46"/>
      <c r="KC323" s="46"/>
      <c r="KD323" s="46"/>
      <c r="KE323" s="46"/>
      <c r="KF323" s="46"/>
      <c r="KG323" s="46"/>
      <c r="KH323" s="46"/>
      <c r="KI323" s="46"/>
      <c r="KJ323" s="93">
        <f t="shared" si="106"/>
        <v>0</v>
      </c>
    </row>
    <row r="324" spans="1:296" x14ac:dyDescent="0.5">
      <c r="A324" s="11">
        <v>142</v>
      </c>
      <c r="B324" s="184" t="s">
        <v>380</v>
      </c>
      <c r="C324" s="179" t="s">
        <v>294</v>
      </c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>
        <f t="shared" si="88"/>
        <v>0</v>
      </c>
      <c r="S324" s="46">
        <f t="shared" si="89"/>
        <v>0</v>
      </c>
      <c r="T324" s="46">
        <f t="shared" si="90"/>
        <v>0</v>
      </c>
      <c r="U324" s="46">
        <f t="shared" si="91"/>
        <v>0</v>
      </c>
      <c r="V324" s="46">
        <f t="shared" si="92"/>
        <v>0</v>
      </c>
      <c r="W324" s="46">
        <f t="shared" si="93"/>
        <v>0</v>
      </c>
      <c r="X324" s="46">
        <f t="shared" si="94"/>
        <v>0</v>
      </c>
      <c r="Y324" s="46">
        <f t="shared" si="95"/>
        <v>0</v>
      </c>
      <c r="Z324" s="90">
        <f t="shared" ref="Z324:Z329" si="107">SUM(D324:Y324)</f>
        <v>0</v>
      </c>
      <c r="AB324" s="95">
        <f>'LPLPO PROGRAM'!H155</f>
        <v>0</v>
      </c>
      <c r="AC324" s="91"/>
      <c r="AD324" s="91"/>
      <c r="AE324" s="91"/>
      <c r="AF324" s="91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93">
        <f t="shared" si="97"/>
        <v>0</v>
      </c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  <c r="CK324" s="46"/>
      <c r="CL324" s="46"/>
      <c r="CM324" s="46"/>
      <c r="CN324" s="46"/>
      <c r="CO324" s="46"/>
      <c r="CP324" s="46"/>
      <c r="CQ324" s="46"/>
      <c r="CR324" s="46"/>
      <c r="CS324" s="46"/>
      <c r="CT324" s="93">
        <f t="shared" si="102"/>
        <v>0</v>
      </c>
      <c r="CV324" s="46"/>
      <c r="CW324" s="46"/>
      <c r="CX324" s="46"/>
      <c r="CY324" s="46"/>
      <c r="CZ324" s="46"/>
      <c r="DA324" s="46"/>
      <c r="DB324" s="46"/>
      <c r="DC324" s="46"/>
      <c r="DD324" s="46"/>
      <c r="DE324" s="46"/>
      <c r="DF324" s="46"/>
      <c r="DG324" s="46"/>
      <c r="DH324" s="46"/>
      <c r="DI324" s="46"/>
      <c r="DJ324" s="46"/>
      <c r="DK324" s="46"/>
      <c r="DL324" s="46"/>
      <c r="DM324" s="46"/>
      <c r="DN324" s="46"/>
      <c r="DO324" s="46"/>
      <c r="DP324" s="46"/>
      <c r="DQ324" s="46"/>
      <c r="DR324" s="46"/>
      <c r="DS324" s="46"/>
      <c r="DT324" s="46"/>
      <c r="DU324" s="46"/>
      <c r="DV324" s="46"/>
      <c r="DW324" s="46"/>
      <c r="DX324" s="46"/>
      <c r="DY324" s="46"/>
      <c r="DZ324" s="46"/>
      <c r="EA324" s="93">
        <f t="shared" si="98"/>
        <v>0</v>
      </c>
      <c r="EC324" s="46"/>
      <c r="ED324" s="46"/>
      <c r="EE324" s="46"/>
      <c r="EF324" s="46"/>
      <c r="EG324" s="46"/>
      <c r="EH324" s="46"/>
      <c r="EI324" s="46"/>
      <c r="EJ324" s="46"/>
      <c r="EK324" s="46"/>
      <c r="EL324" s="46"/>
      <c r="EM324" s="46"/>
      <c r="EN324" s="46"/>
      <c r="EO324" s="46"/>
      <c r="EP324" s="46"/>
      <c r="EQ324" s="46"/>
      <c r="ER324" s="46"/>
      <c r="ES324" s="46"/>
      <c r="ET324" s="46"/>
      <c r="EU324" s="46"/>
      <c r="EV324" s="46"/>
      <c r="EW324" s="46"/>
      <c r="EX324" s="46"/>
      <c r="EY324" s="46"/>
      <c r="EZ324" s="46"/>
      <c r="FA324" s="46"/>
      <c r="FB324" s="46"/>
      <c r="FC324" s="46"/>
      <c r="FD324" s="46"/>
      <c r="FE324" s="46"/>
      <c r="FF324" s="46"/>
      <c r="FG324" s="46"/>
      <c r="FH324" s="93">
        <f t="shared" si="99"/>
        <v>0</v>
      </c>
      <c r="FJ324" s="46"/>
      <c r="FK324" s="46"/>
      <c r="FL324" s="46"/>
      <c r="FM324" s="46"/>
      <c r="FN324" s="46"/>
      <c r="FO324" s="46"/>
      <c r="FP324" s="46"/>
      <c r="FQ324" s="46"/>
      <c r="FR324" s="46"/>
      <c r="FS324" s="46"/>
      <c r="FT324" s="46"/>
      <c r="FU324" s="46"/>
      <c r="FV324" s="46"/>
      <c r="FW324" s="46"/>
      <c r="FX324" s="46"/>
      <c r="FY324" s="46"/>
      <c r="FZ324" s="46"/>
      <c r="GA324" s="46"/>
      <c r="GB324" s="46"/>
      <c r="GC324" s="46"/>
      <c r="GD324" s="46"/>
      <c r="GE324" s="46"/>
      <c r="GF324" s="46"/>
      <c r="GG324" s="46"/>
      <c r="GH324" s="46"/>
      <c r="GI324" s="46"/>
      <c r="GJ324" s="46"/>
      <c r="GK324" s="46"/>
      <c r="GL324" s="46"/>
      <c r="GM324" s="46"/>
      <c r="GN324" s="46"/>
      <c r="GO324" s="93">
        <f t="shared" si="103"/>
        <v>0</v>
      </c>
      <c r="GQ324" s="46"/>
      <c r="GR324" s="46"/>
      <c r="GS324" s="46"/>
      <c r="GT324" s="46"/>
      <c r="GU324" s="46"/>
      <c r="GV324" s="46"/>
      <c r="GW324" s="46"/>
      <c r="GX324" s="46"/>
      <c r="GY324" s="46"/>
      <c r="GZ324" s="46"/>
      <c r="HA324" s="46"/>
      <c r="HB324" s="46"/>
      <c r="HC324" s="46"/>
      <c r="HD324" s="46"/>
      <c r="HE324" s="46"/>
      <c r="HF324" s="46"/>
      <c r="HG324" s="46"/>
      <c r="HH324" s="46"/>
      <c r="HI324" s="46"/>
      <c r="HJ324" s="46"/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93">
        <f t="shared" si="104"/>
        <v>0</v>
      </c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  <c r="IT324" s="46"/>
      <c r="IU324" s="46"/>
      <c r="IV324" s="46"/>
      <c r="IW324" s="46"/>
      <c r="IX324" s="46"/>
      <c r="IY324" s="46"/>
      <c r="IZ324" s="46"/>
      <c r="JA324" s="46"/>
      <c r="JB324" s="46"/>
      <c r="JC324" s="93">
        <f t="shared" si="105"/>
        <v>0</v>
      </c>
      <c r="JE324" s="46"/>
      <c r="JF324" s="46"/>
      <c r="JG324" s="46"/>
      <c r="JH324" s="46"/>
      <c r="JI324" s="46"/>
      <c r="JJ324" s="46"/>
      <c r="JK324" s="46"/>
      <c r="JL324" s="46"/>
      <c r="JM324" s="46"/>
      <c r="JN324" s="46"/>
      <c r="JO324" s="46"/>
      <c r="JP324" s="46"/>
      <c r="JQ324" s="46"/>
      <c r="JR324" s="46"/>
      <c r="JS324" s="46"/>
      <c r="JT324" s="46"/>
      <c r="JU324" s="46"/>
      <c r="JV324" s="46"/>
      <c r="JW324" s="46"/>
      <c r="JX324" s="46"/>
      <c r="JY324" s="46"/>
      <c r="JZ324" s="46"/>
      <c r="KA324" s="46"/>
      <c r="KB324" s="46"/>
      <c r="KC324" s="46"/>
      <c r="KD324" s="46"/>
      <c r="KE324" s="46"/>
      <c r="KF324" s="46"/>
      <c r="KG324" s="46"/>
      <c r="KH324" s="46"/>
      <c r="KI324" s="46"/>
      <c r="KJ324" s="93">
        <f t="shared" si="106"/>
        <v>0</v>
      </c>
    </row>
    <row r="325" spans="1:296" x14ac:dyDescent="0.5">
      <c r="A325" s="11">
        <v>143</v>
      </c>
      <c r="B325" s="184" t="s">
        <v>381</v>
      </c>
      <c r="C325" s="179" t="s">
        <v>382</v>
      </c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>
        <f t="shared" si="88"/>
        <v>0</v>
      </c>
      <c r="S325" s="46">
        <f t="shared" si="89"/>
        <v>0</v>
      </c>
      <c r="T325" s="46">
        <f t="shared" si="90"/>
        <v>0</v>
      </c>
      <c r="U325" s="46">
        <f t="shared" si="91"/>
        <v>0</v>
      </c>
      <c r="V325" s="46">
        <f t="shared" si="92"/>
        <v>0</v>
      </c>
      <c r="W325" s="46">
        <f t="shared" si="93"/>
        <v>0</v>
      </c>
      <c r="X325" s="46">
        <f t="shared" si="94"/>
        <v>0</v>
      </c>
      <c r="Y325" s="46">
        <f t="shared" si="95"/>
        <v>0</v>
      </c>
      <c r="Z325" s="90">
        <f t="shared" si="107"/>
        <v>0</v>
      </c>
      <c r="AB325" s="95">
        <f>'LPLPO PROGRAM'!H156</f>
        <v>0</v>
      </c>
      <c r="AC325" s="91"/>
      <c r="AD325" s="91"/>
      <c r="AE325" s="91"/>
      <c r="AF325" s="91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93">
        <f t="shared" si="97"/>
        <v>0</v>
      </c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  <c r="CK325" s="46"/>
      <c r="CL325" s="46"/>
      <c r="CM325" s="46"/>
      <c r="CN325" s="46"/>
      <c r="CO325" s="46"/>
      <c r="CP325" s="46"/>
      <c r="CQ325" s="46"/>
      <c r="CR325" s="46"/>
      <c r="CS325" s="46"/>
      <c r="CT325" s="93">
        <f t="shared" si="102"/>
        <v>0</v>
      </c>
      <c r="CV325" s="46"/>
      <c r="CW325" s="46"/>
      <c r="CX325" s="46"/>
      <c r="CY325" s="46"/>
      <c r="CZ325" s="46"/>
      <c r="DA325" s="46"/>
      <c r="DB325" s="46"/>
      <c r="DC325" s="46"/>
      <c r="DD325" s="46"/>
      <c r="DE325" s="46"/>
      <c r="DF325" s="46"/>
      <c r="DG325" s="46"/>
      <c r="DH325" s="46"/>
      <c r="DI325" s="46"/>
      <c r="DJ325" s="46"/>
      <c r="DK325" s="46"/>
      <c r="DL325" s="46"/>
      <c r="DM325" s="46"/>
      <c r="DN325" s="46"/>
      <c r="DO325" s="46"/>
      <c r="DP325" s="46"/>
      <c r="DQ325" s="46"/>
      <c r="DR325" s="46"/>
      <c r="DS325" s="46"/>
      <c r="DT325" s="46"/>
      <c r="DU325" s="46"/>
      <c r="DV325" s="46"/>
      <c r="DW325" s="46"/>
      <c r="DX325" s="46"/>
      <c r="DY325" s="46"/>
      <c r="DZ325" s="46"/>
      <c r="EA325" s="93">
        <f t="shared" si="98"/>
        <v>0</v>
      </c>
      <c r="EC325" s="46"/>
      <c r="ED325" s="46"/>
      <c r="EE325" s="46"/>
      <c r="EF325" s="46"/>
      <c r="EG325" s="46"/>
      <c r="EH325" s="46"/>
      <c r="EI325" s="46"/>
      <c r="EJ325" s="46"/>
      <c r="EK325" s="46"/>
      <c r="EL325" s="46"/>
      <c r="EM325" s="46"/>
      <c r="EN325" s="46"/>
      <c r="EO325" s="46"/>
      <c r="EP325" s="46"/>
      <c r="EQ325" s="46"/>
      <c r="ER325" s="46"/>
      <c r="ES325" s="46"/>
      <c r="ET325" s="46"/>
      <c r="EU325" s="46"/>
      <c r="EV325" s="46"/>
      <c r="EW325" s="46"/>
      <c r="EX325" s="46"/>
      <c r="EY325" s="46"/>
      <c r="EZ325" s="46"/>
      <c r="FA325" s="46"/>
      <c r="FB325" s="46"/>
      <c r="FC325" s="46"/>
      <c r="FD325" s="46"/>
      <c r="FE325" s="46"/>
      <c r="FF325" s="46"/>
      <c r="FG325" s="46"/>
      <c r="FH325" s="93">
        <f t="shared" si="99"/>
        <v>0</v>
      </c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93">
        <f t="shared" si="103"/>
        <v>0</v>
      </c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93">
        <f t="shared" si="104"/>
        <v>0</v>
      </c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  <c r="IT325" s="46"/>
      <c r="IU325" s="46"/>
      <c r="IV325" s="46"/>
      <c r="IW325" s="46"/>
      <c r="IX325" s="46"/>
      <c r="IY325" s="46"/>
      <c r="IZ325" s="46"/>
      <c r="JA325" s="46"/>
      <c r="JB325" s="46"/>
      <c r="JC325" s="93">
        <f t="shared" si="105"/>
        <v>0</v>
      </c>
      <c r="JE325" s="46"/>
      <c r="JF325" s="46"/>
      <c r="JG325" s="46"/>
      <c r="JH325" s="46"/>
      <c r="JI325" s="46"/>
      <c r="JJ325" s="46"/>
      <c r="JK325" s="46"/>
      <c r="JL325" s="46"/>
      <c r="JM325" s="46"/>
      <c r="JN325" s="46"/>
      <c r="JO325" s="46"/>
      <c r="JP325" s="46"/>
      <c r="JQ325" s="46"/>
      <c r="JR325" s="46"/>
      <c r="JS325" s="46"/>
      <c r="JT325" s="46"/>
      <c r="JU325" s="46"/>
      <c r="JV325" s="46"/>
      <c r="JW325" s="46"/>
      <c r="JX325" s="46"/>
      <c r="JY325" s="46"/>
      <c r="JZ325" s="46"/>
      <c r="KA325" s="46"/>
      <c r="KB325" s="46"/>
      <c r="KC325" s="46"/>
      <c r="KD325" s="46"/>
      <c r="KE325" s="46"/>
      <c r="KF325" s="46"/>
      <c r="KG325" s="46"/>
      <c r="KH325" s="46"/>
      <c r="KI325" s="46"/>
      <c r="KJ325" s="93">
        <f t="shared" si="106"/>
        <v>0</v>
      </c>
    </row>
    <row r="326" spans="1:296" x14ac:dyDescent="0.5">
      <c r="A326" s="11">
        <v>144</v>
      </c>
      <c r="B326" s="184" t="s">
        <v>276</v>
      </c>
      <c r="C326" s="179" t="s">
        <v>212</v>
      </c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>
        <f t="shared" si="88"/>
        <v>0</v>
      </c>
      <c r="S326" s="46">
        <f t="shared" si="89"/>
        <v>0</v>
      </c>
      <c r="T326" s="46">
        <f t="shared" si="90"/>
        <v>0</v>
      </c>
      <c r="U326" s="46">
        <f t="shared" si="91"/>
        <v>0</v>
      </c>
      <c r="V326" s="46">
        <f t="shared" si="92"/>
        <v>0</v>
      </c>
      <c r="W326" s="46">
        <f t="shared" si="93"/>
        <v>0</v>
      </c>
      <c r="X326" s="46">
        <f t="shared" si="94"/>
        <v>150</v>
      </c>
      <c r="Y326" s="46">
        <f t="shared" si="95"/>
        <v>0</v>
      </c>
      <c r="Z326" s="90">
        <f t="shared" si="107"/>
        <v>150</v>
      </c>
      <c r="AB326" s="95">
        <f>'LPLPO PROGRAM'!H157</f>
        <v>0</v>
      </c>
      <c r="AC326" s="91"/>
      <c r="AD326" s="91"/>
      <c r="AE326" s="91"/>
      <c r="AF326" s="91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93">
        <f t="shared" si="97"/>
        <v>0</v>
      </c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/>
      <c r="CP326" s="46"/>
      <c r="CQ326" s="46"/>
      <c r="CR326" s="46"/>
      <c r="CS326" s="46"/>
      <c r="CT326" s="93">
        <f t="shared" si="102"/>
        <v>0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/>
      <c r="DF326" s="46"/>
      <c r="DG326" s="46"/>
      <c r="DH326" s="46"/>
      <c r="DI326" s="46"/>
      <c r="DJ326" s="46"/>
      <c r="DK326" s="46"/>
      <c r="DL326" s="46"/>
      <c r="DM326" s="46"/>
      <c r="DN326" s="46"/>
      <c r="DO326" s="46"/>
      <c r="DP326" s="46"/>
      <c r="DQ326" s="46"/>
      <c r="DR326" s="46"/>
      <c r="DS326" s="46"/>
      <c r="DT326" s="46"/>
      <c r="DU326" s="46"/>
      <c r="DV326" s="46"/>
      <c r="DW326" s="46"/>
      <c r="DX326" s="46"/>
      <c r="DY326" s="46"/>
      <c r="DZ326" s="46"/>
      <c r="EA326" s="93">
        <f t="shared" si="98"/>
        <v>0</v>
      </c>
      <c r="EC326" s="46"/>
      <c r="ED326" s="46"/>
      <c r="EE326" s="46"/>
      <c r="EF326" s="46"/>
      <c r="EG326" s="46"/>
      <c r="EH326" s="46"/>
      <c r="EI326" s="46"/>
      <c r="EJ326" s="46"/>
      <c r="EK326" s="46"/>
      <c r="EL326" s="46"/>
      <c r="EM326" s="46"/>
      <c r="EN326" s="46"/>
      <c r="EO326" s="46"/>
      <c r="EP326" s="46"/>
      <c r="EQ326" s="46"/>
      <c r="ER326" s="46"/>
      <c r="ES326" s="46"/>
      <c r="ET326" s="46"/>
      <c r="EU326" s="46"/>
      <c r="EV326" s="46"/>
      <c r="EW326" s="46"/>
      <c r="EX326" s="46"/>
      <c r="EY326" s="46"/>
      <c r="EZ326" s="46"/>
      <c r="FA326" s="46"/>
      <c r="FB326" s="46"/>
      <c r="FC326" s="46"/>
      <c r="FD326" s="46"/>
      <c r="FE326" s="46"/>
      <c r="FF326" s="46"/>
      <c r="FG326" s="46"/>
      <c r="FH326" s="93">
        <f t="shared" si="99"/>
        <v>0</v>
      </c>
      <c r="FJ326" s="46"/>
      <c r="FK326" s="46"/>
      <c r="FL326" s="46"/>
      <c r="FM326" s="46"/>
      <c r="FN326" s="46"/>
      <c r="FO326" s="46"/>
      <c r="FP326" s="46"/>
      <c r="FQ326" s="46"/>
      <c r="FR326" s="46"/>
      <c r="FS326" s="46"/>
      <c r="FT326" s="46"/>
      <c r="FU326" s="46"/>
      <c r="FV326" s="46"/>
      <c r="FW326" s="46"/>
      <c r="FX326" s="46"/>
      <c r="FY326" s="46"/>
      <c r="FZ326" s="46"/>
      <c r="GA326" s="46"/>
      <c r="GB326" s="46"/>
      <c r="GC326" s="46"/>
      <c r="GD326" s="46"/>
      <c r="GE326" s="46"/>
      <c r="GF326" s="46"/>
      <c r="GG326" s="46"/>
      <c r="GH326" s="46"/>
      <c r="GI326" s="46"/>
      <c r="GJ326" s="46"/>
      <c r="GK326" s="46"/>
      <c r="GL326" s="46"/>
      <c r="GM326" s="46"/>
      <c r="GN326" s="46"/>
      <c r="GO326" s="93">
        <f t="shared" si="103"/>
        <v>0</v>
      </c>
      <c r="GQ326" s="46"/>
      <c r="GR326" s="46"/>
      <c r="GS326" s="46"/>
      <c r="GT326" s="46"/>
      <c r="GU326" s="46"/>
      <c r="GV326" s="46"/>
      <c r="GW326" s="46"/>
      <c r="GX326" s="46"/>
      <c r="GY326" s="46"/>
      <c r="GZ326" s="46"/>
      <c r="HA326" s="46"/>
      <c r="HB326" s="46"/>
      <c r="HC326" s="46"/>
      <c r="HD326" s="46"/>
      <c r="HE326" s="46"/>
      <c r="HF326" s="46"/>
      <c r="HG326" s="46"/>
      <c r="HH326" s="46"/>
      <c r="HI326" s="46"/>
      <c r="HJ326" s="46"/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93">
        <f t="shared" si="104"/>
        <v>0</v>
      </c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>
        <v>150</v>
      </c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  <c r="IT326" s="46"/>
      <c r="IU326" s="46"/>
      <c r="IV326" s="46"/>
      <c r="IW326" s="46"/>
      <c r="IX326" s="46"/>
      <c r="IY326" s="46"/>
      <c r="IZ326" s="46"/>
      <c r="JA326" s="46"/>
      <c r="JB326" s="46"/>
      <c r="JC326" s="93">
        <f t="shared" si="105"/>
        <v>150</v>
      </c>
      <c r="JE326" s="46"/>
      <c r="JF326" s="46"/>
      <c r="JG326" s="46"/>
      <c r="JH326" s="46"/>
      <c r="JI326" s="46"/>
      <c r="JJ326" s="46"/>
      <c r="JK326" s="46"/>
      <c r="JL326" s="46"/>
      <c r="JM326" s="46"/>
      <c r="JN326" s="46"/>
      <c r="JO326" s="46"/>
      <c r="JP326" s="46"/>
      <c r="JQ326" s="46"/>
      <c r="JR326" s="46"/>
      <c r="JS326" s="46"/>
      <c r="JT326" s="46"/>
      <c r="JU326" s="46"/>
      <c r="JV326" s="46"/>
      <c r="JW326" s="46"/>
      <c r="JX326" s="46"/>
      <c r="JY326" s="46"/>
      <c r="JZ326" s="46"/>
      <c r="KA326" s="46"/>
      <c r="KB326" s="46"/>
      <c r="KC326" s="46"/>
      <c r="KD326" s="46"/>
      <c r="KE326" s="46"/>
      <c r="KF326" s="46"/>
      <c r="KG326" s="46"/>
      <c r="KH326" s="46"/>
      <c r="KI326" s="46"/>
      <c r="KJ326" s="93">
        <f t="shared" si="106"/>
        <v>0</v>
      </c>
    </row>
    <row r="327" spans="1:296" x14ac:dyDescent="0.5">
      <c r="A327" s="11">
        <v>145</v>
      </c>
      <c r="B327" s="184" t="s">
        <v>379</v>
      </c>
      <c r="C327" s="179" t="s">
        <v>212</v>
      </c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>
        <f t="shared" si="88"/>
        <v>0</v>
      </c>
      <c r="S327" s="46">
        <f t="shared" si="89"/>
        <v>0</v>
      </c>
      <c r="T327" s="46">
        <f t="shared" si="90"/>
        <v>0</v>
      </c>
      <c r="U327" s="46">
        <f t="shared" si="91"/>
        <v>0</v>
      </c>
      <c r="V327" s="46">
        <f t="shared" si="92"/>
        <v>0</v>
      </c>
      <c r="W327" s="46">
        <f t="shared" si="93"/>
        <v>0</v>
      </c>
      <c r="X327" s="46">
        <f t="shared" si="94"/>
        <v>0</v>
      </c>
      <c r="Y327" s="46">
        <f t="shared" si="95"/>
        <v>0</v>
      </c>
      <c r="Z327" s="90">
        <f t="shared" si="107"/>
        <v>0</v>
      </c>
      <c r="AB327" s="95">
        <f>'LPLPO PROGRAM'!H158</f>
        <v>0</v>
      </c>
      <c r="AC327" s="91"/>
      <c r="AD327" s="91"/>
      <c r="AE327" s="91"/>
      <c r="AF327" s="91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93">
        <f t="shared" si="97"/>
        <v>0</v>
      </c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93">
        <f t="shared" si="102"/>
        <v>0</v>
      </c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  <c r="DK327" s="46"/>
      <c r="DL327" s="46"/>
      <c r="DM327" s="46"/>
      <c r="DN327" s="46"/>
      <c r="DO327" s="46"/>
      <c r="DP327" s="46"/>
      <c r="DQ327" s="46"/>
      <c r="DR327" s="46"/>
      <c r="DS327" s="46"/>
      <c r="DT327" s="46"/>
      <c r="DU327" s="46"/>
      <c r="DV327" s="46"/>
      <c r="DW327" s="46"/>
      <c r="DX327" s="46"/>
      <c r="DY327" s="46"/>
      <c r="DZ327" s="46"/>
      <c r="EA327" s="93">
        <f t="shared" si="98"/>
        <v>0</v>
      </c>
      <c r="EC327" s="46"/>
      <c r="ED327" s="46"/>
      <c r="EE327" s="46"/>
      <c r="EF327" s="46"/>
      <c r="EG327" s="46"/>
      <c r="EH327" s="46"/>
      <c r="EI327" s="46"/>
      <c r="EJ327" s="46"/>
      <c r="EK327" s="46"/>
      <c r="EL327" s="46"/>
      <c r="EM327" s="46"/>
      <c r="EN327" s="46"/>
      <c r="EO327" s="46"/>
      <c r="EP327" s="46"/>
      <c r="EQ327" s="46"/>
      <c r="ER327" s="46"/>
      <c r="ES327" s="46"/>
      <c r="ET327" s="46"/>
      <c r="EU327" s="46"/>
      <c r="EV327" s="46"/>
      <c r="EW327" s="46"/>
      <c r="EX327" s="46"/>
      <c r="EY327" s="46"/>
      <c r="EZ327" s="46"/>
      <c r="FA327" s="46"/>
      <c r="FB327" s="46"/>
      <c r="FC327" s="46"/>
      <c r="FD327" s="46"/>
      <c r="FE327" s="46"/>
      <c r="FF327" s="46"/>
      <c r="FG327" s="46"/>
      <c r="FH327" s="93">
        <f t="shared" si="99"/>
        <v>0</v>
      </c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93">
        <f t="shared" si="103"/>
        <v>0</v>
      </c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93">
        <f t="shared" si="104"/>
        <v>0</v>
      </c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  <c r="IT327" s="46"/>
      <c r="IU327" s="46"/>
      <c r="IV327" s="46"/>
      <c r="IW327" s="46"/>
      <c r="IX327" s="46"/>
      <c r="IY327" s="46"/>
      <c r="IZ327" s="46"/>
      <c r="JA327" s="46"/>
      <c r="JB327" s="46"/>
      <c r="JC327" s="93">
        <f t="shared" si="105"/>
        <v>0</v>
      </c>
      <c r="JE327" s="46"/>
      <c r="JF327" s="46"/>
      <c r="JG327" s="46"/>
      <c r="JH327" s="46"/>
      <c r="JI327" s="46"/>
      <c r="JJ327" s="46"/>
      <c r="JK327" s="46"/>
      <c r="JL327" s="46"/>
      <c r="JM327" s="46"/>
      <c r="JN327" s="46"/>
      <c r="JO327" s="46"/>
      <c r="JP327" s="46"/>
      <c r="JQ327" s="46"/>
      <c r="JR327" s="46"/>
      <c r="JS327" s="46"/>
      <c r="JT327" s="46"/>
      <c r="JU327" s="46"/>
      <c r="JV327" s="46"/>
      <c r="JW327" s="46"/>
      <c r="JX327" s="46"/>
      <c r="JY327" s="46"/>
      <c r="JZ327" s="46"/>
      <c r="KA327" s="46"/>
      <c r="KB327" s="46"/>
      <c r="KC327" s="46"/>
      <c r="KD327" s="46"/>
      <c r="KE327" s="46"/>
      <c r="KF327" s="46"/>
      <c r="KG327" s="46"/>
      <c r="KH327" s="46"/>
      <c r="KI327" s="46"/>
      <c r="KJ327" s="93">
        <f t="shared" si="106"/>
        <v>0</v>
      </c>
    </row>
    <row r="328" spans="1:296" x14ac:dyDescent="0.5">
      <c r="A328" s="11">
        <v>146</v>
      </c>
      <c r="B328" s="184"/>
      <c r="C328" s="179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46">
        <f t="shared" si="88"/>
        <v>0</v>
      </c>
      <c r="S328" s="46">
        <f t="shared" si="89"/>
        <v>0</v>
      </c>
      <c r="T328" s="46">
        <f t="shared" si="90"/>
        <v>0</v>
      </c>
      <c r="U328" s="46">
        <f t="shared" si="91"/>
        <v>0</v>
      </c>
      <c r="V328" s="46">
        <f t="shared" si="92"/>
        <v>0</v>
      </c>
      <c r="W328" s="46">
        <f t="shared" si="93"/>
        <v>0</v>
      </c>
      <c r="X328" s="46">
        <f t="shared" si="94"/>
        <v>0</v>
      </c>
      <c r="Y328" s="46">
        <f t="shared" si="95"/>
        <v>0</v>
      </c>
      <c r="Z328" s="90">
        <f t="shared" si="107"/>
        <v>0</v>
      </c>
      <c r="AB328" s="95">
        <f>'LPLPO PROGRAM'!H159</f>
        <v>0</v>
      </c>
      <c r="AC328" s="91"/>
      <c r="AD328" s="91"/>
      <c r="AE328" s="91"/>
      <c r="AF328" s="91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93">
        <f t="shared" si="97"/>
        <v>0</v>
      </c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  <c r="CK328" s="46"/>
      <c r="CL328" s="46"/>
      <c r="CM328" s="46"/>
      <c r="CN328" s="46"/>
      <c r="CO328" s="46"/>
      <c r="CP328" s="46"/>
      <c r="CQ328" s="46"/>
      <c r="CR328" s="46"/>
      <c r="CS328" s="46"/>
      <c r="CT328" s="93">
        <f t="shared" si="102"/>
        <v>0</v>
      </c>
      <c r="CV328" s="46"/>
      <c r="CW328" s="46"/>
      <c r="CX328" s="46"/>
      <c r="CY328" s="46"/>
      <c r="CZ328" s="46"/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  <c r="DK328" s="46"/>
      <c r="DL328" s="46"/>
      <c r="DM328" s="46"/>
      <c r="DN328" s="46"/>
      <c r="DO328" s="46"/>
      <c r="DP328" s="46"/>
      <c r="DQ328" s="46"/>
      <c r="DR328" s="46"/>
      <c r="DS328" s="46"/>
      <c r="DT328" s="46"/>
      <c r="DU328" s="46"/>
      <c r="DV328" s="46"/>
      <c r="DW328" s="46"/>
      <c r="DX328" s="46"/>
      <c r="DY328" s="46"/>
      <c r="DZ328" s="46"/>
      <c r="EA328" s="93">
        <f t="shared" si="98"/>
        <v>0</v>
      </c>
      <c r="EC328" s="46"/>
      <c r="ED328" s="46"/>
      <c r="EE328" s="46"/>
      <c r="EF328" s="46"/>
      <c r="EG328" s="46"/>
      <c r="EH328" s="46"/>
      <c r="EI328" s="46"/>
      <c r="EJ328" s="46"/>
      <c r="EK328" s="46"/>
      <c r="EL328" s="46"/>
      <c r="EM328" s="46"/>
      <c r="EN328" s="46"/>
      <c r="EO328" s="46"/>
      <c r="EP328" s="46"/>
      <c r="EQ328" s="46"/>
      <c r="ER328" s="46"/>
      <c r="ES328" s="46"/>
      <c r="ET328" s="46"/>
      <c r="EU328" s="46"/>
      <c r="EV328" s="46"/>
      <c r="EW328" s="46"/>
      <c r="EX328" s="46"/>
      <c r="EY328" s="46"/>
      <c r="EZ328" s="46"/>
      <c r="FA328" s="46"/>
      <c r="FB328" s="46"/>
      <c r="FC328" s="46"/>
      <c r="FD328" s="46"/>
      <c r="FE328" s="46"/>
      <c r="FF328" s="46"/>
      <c r="FG328" s="46"/>
      <c r="FH328" s="93">
        <f t="shared" si="99"/>
        <v>0</v>
      </c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93">
        <f t="shared" si="103"/>
        <v>0</v>
      </c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93">
        <f t="shared" si="104"/>
        <v>0</v>
      </c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  <c r="IT328" s="46"/>
      <c r="IU328" s="46"/>
      <c r="IV328" s="46"/>
      <c r="IW328" s="46"/>
      <c r="IX328" s="46"/>
      <c r="IY328" s="46"/>
      <c r="IZ328" s="46"/>
      <c r="JA328" s="46"/>
      <c r="JB328" s="46"/>
      <c r="JC328" s="93">
        <f t="shared" si="105"/>
        <v>0</v>
      </c>
      <c r="JE328" s="46"/>
      <c r="JF328" s="46"/>
      <c r="JG328" s="46"/>
      <c r="JH328" s="46"/>
      <c r="JI328" s="46"/>
      <c r="JJ328" s="46"/>
      <c r="JK328" s="46"/>
      <c r="JL328" s="46"/>
      <c r="JM328" s="46"/>
      <c r="JN328" s="46"/>
      <c r="JO328" s="46"/>
      <c r="JP328" s="46"/>
      <c r="JQ328" s="46"/>
      <c r="JR328" s="46"/>
      <c r="JS328" s="46"/>
      <c r="JT328" s="46"/>
      <c r="JU328" s="46"/>
      <c r="JV328" s="46"/>
      <c r="JW328" s="46"/>
      <c r="JX328" s="46"/>
      <c r="JY328" s="46"/>
      <c r="JZ328" s="46"/>
      <c r="KA328" s="46"/>
      <c r="KB328" s="46"/>
      <c r="KC328" s="46"/>
      <c r="KD328" s="46"/>
      <c r="KE328" s="46"/>
      <c r="KF328" s="46"/>
      <c r="KG328" s="46"/>
      <c r="KH328" s="46"/>
      <c r="KI328" s="46"/>
      <c r="KJ328" s="93">
        <f t="shared" si="106"/>
        <v>0</v>
      </c>
    </row>
    <row r="329" spans="1:296" x14ac:dyDescent="0.5">
      <c r="A329" s="11">
        <v>147</v>
      </c>
      <c r="B329" s="184"/>
      <c r="C329" s="179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46">
        <f t="shared" si="88"/>
        <v>0</v>
      </c>
      <c r="S329" s="46">
        <f t="shared" si="89"/>
        <v>0</v>
      </c>
      <c r="T329" s="46">
        <f t="shared" si="90"/>
        <v>0</v>
      </c>
      <c r="U329" s="46">
        <f t="shared" si="91"/>
        <v>0</v>
      </c>
      <c r="V329" s="46">
        <f t="shared" si="92"/>
        <v>0</v>
      </c>
      <c r="W329" s="46">
        <f t="shared" si="93"/>
        <v>0</v>
      </c>
      <c r="X329" s="46">
        <f t="shared" si="94"/>
        <v>0</v>
      </c>
      <c r="Y329" s="46">
        <f t="shared" si="95"/>
        <v>0</v>
      </c>
      <c r="Z329" s="90">
        <f t="shared" si="107"/>
        <v>0</v>
      </c>
      <c r="AB329" s="95">
        <f>'LPLPO PROGRAM'!H160</f>
        <v>0</v>
      </c>
      <c r="AC329" s="91"/>
      <c r="AD329" s="91"/>
      <c r="AE329" s="91"/>
      <c r="AF329" s="91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93">
        <f t="shared" si="97"/>
        <v>0</v>
      </c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93">
        <f t="shared" si="102"/>
        <v>0</v>
      </c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  <c r="DK329" s="46"/>
      <c r="DL329" s="46"/>
      <c r="DM329" s="46"/>
      <c r="DN329" s="46"/>
      <c r="DO329" s="46"/>
      <c r="DP329" s="46"/>
      <c r="DQ329" s="46"/>
      <c r="DR329" s="46"/>
      <c r="DS329" s="46"/>
      <c r="DT329" s="46"/>
      <c r="DU329" s="46"/>
      <c r="DV329" s="46"/>
      <c r="DW329" s="46"/>
      <c r="DX329" s="46"/>
      <c r="DY329" s="46"/>
      <c r="DZ329" s="46"/>
      <c r="EA329" s="93">
        <f t="shared" si="98"/>
        <v>0</v>
      </c>
      <c r="EC329" s="46"/>
      <c r="ED329" s="46"/>
      <c r="EE329" s="46"/>
      <c r="EF329" s="46"/>
      <c r="EG329" s="46"/>
      <c r="EH329" s="46"/>
      <c r="EI329" s="46"/>
      <c r="EJ329" s="46"/>
      <c r="EK329" s="46"/>
      <c r="EL329" s="46"/>
      <c r="EM329" s="46"/>
      <c r="EN329" s="46"/>
      <c r="EO329" s="46"/>
      <c r="EP329" s="46"/>
      <c r="EQ329" s="46"/>
      <c r="ER329" s="46"/>
      <c r="ES329" s="46"/>
      <c r="ET329" s="46"/>
      <c r="EU329" s="46"/>
      <c r="EV329" s="46"/>
      <c r="EW329" s="46"/>
      <c r="EX329" s="46"/>
      <c r="EY329" s="46"/>
      <c r="EZ329" s="46"/>
      <c r="FA329" s="46"/>
      <c r="FB329" s="46"/>
      <c r="FC329" s="46"/>
      <c r="FD329" s="46"/>
      <c r="FE329" s="46"/>
      <c r="FF329" s="46"/>
      <c r="FG329" s="46"/>
      <c r="FH329" s="93">
        <f t="shared" si="99"/>
        <v>0</v>
      </c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93">
        <f t="shared" si="103"/>
        <v>0</v>
      </c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93">
        <f t="shared" si="104"/>
        <v>0</v>
      </c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  <c r="IT329" s="46"/>
      <c r="IU329" s="46"/>
      <c r="IV329" s="46"/>
      <c r="IW329" s="46"/>
      <c r="IX329" s="46"/>
      <c r="IY329" s="46"/>
      <c r="IZ329" s="46"/>
      <c r="JA329" s="46"/>
      <c r="JB329" s="46"/>
      <c r="JC329" s="93">
        <f t="shared" si="105"/>
        <v>0</v>
      </c>
      <c r="JE329" s="46"/>
      <c r="JF329" s="46"/>
      <c r="JG329" s="46"/>
      <c r="JH329" s="46"/>
      <c r="JI329" s="46"/>
      <c r="JJ329" s="46"/>
      <c r="JK329" s="46"/>
      <c r="JL329" s="46"/>
      <c r="JM329" s="46"/>
      <c r="JN329" s="46"/>
      <c r="JO329" s="46"/>
      <c r="JP329" s="46"/>
      <c r="JQ329" s="46"/>
      <c r="JR329" s="46"/>
      <c r="JS329" s="46"/>
      <c r="JT329" s="46"/>
      <c r="JU329" s="46"/>
      <c r="JV329" s="46"/>
      <c r="JW329" s="46"/>
      <c r="JX329" s="46"/>
      <c r="JY329" s="46"/>
      <c r="JZ329" s="46"/>
      <c r="KA329" s="46"/>
      <c r="KB329" s="46"/>
      <c r="KC329" s="46"/>
      <c r="KD329" s="46"/>
      <c r="KE329" s="46"/>
      <c r="KF329" s="46"/>
      <c r="KG329" s="46"/>
      <c r="KH329" s="46"/>
      <c r="KI329" s="46"/>
      <c r="KJ329" s="93">
        <f t="shared" si="106"/>
        <v>0</v>
      </c>
    </row>
    <row r="330" spans="1:296" x14ac:dyDescent="0.5">
      <c r="A330" s="148">
        <v>148</v>
      </c>
      <c r="B330" s="148" t="s">
        <v>435</v>
      </c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46">
        <f t="shared" si="88"/>
        <v>0</v>
      </c>
      <c r="S330" s="46">
        <f t="shared" si="89"/>
        <v>0</v>
      </c>
      <c r="T330" s="46">
        <f t="shared" si="90"/>
        <v>0</v>
      </c>
      <c r="U330" s="46">
        <f t="shared" si="91"/>
        <v>0</v>
      </c>
      <c r="V330" s="46">
        <f t="shared" si="92"/>
        <v>0</v>
      </c>
      <c r="W330" s="46">
        <f t="shared" si="93"/>
        <v>0</v>
      </c>
      <c r="X330" s="46">
        <f t="shared" si="94"/>
        <v>0</v>
      </c>
      <c r="Y330" s="46">
        <f t="shared" si="95"/>
        <v>0</v>
      </c>
      <c r="Z330" s="148"/>
      <c r="AB330" s="95">
        <f>'LPLPO PROGRAM'!H161</f>
        <v>0</v>
      </c>
      <c r="BM330" s="93">
        <f t="shared" si="97"/>
        <v>0</v>
      </c>
      <c r="CT330" s="93">
        <f t="shared" si="102"/>
        <v>0</v>
      </c>
      <c r="EA330" s="93">
        <f t="shared" si="98"/>
        <v>0</v>
      </c>
      <c r="FH330" s="93">
        <f t="shared" si="99"/>
        <v>0</v>
      </c>
      <c r="GO330" s="93">
        <f t="shared" si="103"/>
        <v>0</v>
      </c>
      <c r="HV330" s="93">
        <f t="shared" si="104"/>
        <v>0</v>
      </c>
    </row>
    <row r="331" spans="1:296" x14ac:dyDescent="0.5">
      <c r="A331" s="148">
        <v>149</v>
      </c>
      <c r="B331" s="148" t="s">
        <v>436</v>
      </c>
      <c r="C331" s="148" t="s">
        <v>6</v>
      </c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>
        <f t="shared" ref="R331:R348" si="108">BM331</f>
        <v>0</v>
      </c>
      <c r="S331" s="46">
        <f t="shared" ref="S331:S360" si="109">CT331</f>
        <v>0</v>
      </c>
      <c r="T331" s="46">
        <f t="shared" ref="T331:T360" si="110">EA331</f>
        <v>0</v>
      </c>
      <c r="U331" s="46">
        <f t="shared" ref="U331:U360" si="111">FH331</f>
        <v>0</v>
      </c>
      <c r="V331" s="46">
        <f t="shared" ref="V331:V360" si="112">GO331</f>
        <v>0</v>
      </c>
      <c r="W331" s="46">
        <f t="shared" ref="W331:W360" si="113">HV331</f>
        <v>0</v>
      </c>
      <c r="X331" s="46">
        <f t="shared" ref="X331:X360" si="114">JC331</f>
        <v>0</v>
      </c>
      <c r="Y331" s="46">
        <f t="shared" ref="Y331:Y360" si="115">KJ331</f>
        <v>0</v>
      </c>
      <c r="Z331" s="90">
        <f t="shared" ref="Z331:Z337" si="116">SUM(D331:Y331)</f>
        <v>0</v>
      </c>
      <c r="AB331" s="95">
        <f>'LPLPO PROGRAM'!H162</f>
        <v>0</v>
      </c>
      <c r="AH331" s="82"/>
      <c r="BM331" s="93">
        <f t="shared" ref="BM331:BM360" si="117">SUM(AH331:BL331)</f>
        <v>0</v>
      </c>
      <c r="BO331" s="82"/>
      <c r="CT331" s="93">
        <f t="shared" si="102"/>
        <v>0</v>
      </c>
      <c r="CV331" s="82"/>
      <c r="EA331" s="93">
        <f t="shared" ref="EA331:EA362" si="118">SUM(CV331:DZ331)</f>
        <v>0</v>
      </c>
      <c r="EC331" s="82"/>
      <c r="FH331" s="93">
        <f t="shared" ref="FH331:FH355" si="119">SUM(EC331:FG331)</f>
        <v>0</v>
      </c>
      <c r="FJ331" s="82"/>
      <c r="GO331" s="93">
        <f t="shared" si="103"/>
        <v>0</v>
      </c>
      <c r="GQ331" s="82"/>
      <c r="HV331" s="93">
        <f t="shared" si="104"/>
        <v>0</v>
      </c>
      <c r="HX331" s="82"/>
      <c r="JE331" s="82"/>
    </row>
    <row r="332" spans="1:296" x14ac:dyDescent="0.5">
      <c r="A332" s="148">
        <v>150</v>
      </c>
      <c r="B332" s="148" t="s">
        <v>437</v>
      </c>
      <c r="C332" s="148" t="s">
        <v>6</v>
      </c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>
        <f t="shared" si="108"/>
        <v>0</v>
      </c>
      <c r="S332" s="46">
        <f t="shared" si="109"/>
        <v>0</v>
      </c>
      <c r="T332" s="46">
        <f t="shared" si="110"/>
        <v>0</v>
      </c>
      <c r="U332" s="46">
        <f t="shared" si="111"/>
        <v>0</v>
      </c>
      <c r="V332" s="46">
        <f t="shared" si="112"/>
        <v>0</v>
      </c>
      <c r="W332" s="46">
        <f t="shared" si="113"/>
        <v>0</v>
      </c>
      <c r="X332" s="46">
        <f t="shared" si="114"/>
        <v>0</v>
      </c>
      <c r="Y332" s="46">
        <f t="shared" si="115"/>
        <v>0</v>
      </c>
      <c r="Z332" s="90">
        <f t="shared" si="116"/>
        <v>0</v>
      </c>
      <c r="AB332" s="95">
        <f>'LPLPO PROGRAM'!H163</f>
        <v>0</v>
      </c>
      <c r="BM332" s="93">
        <f t="shared" si="117"/>
        <v>0</v>
      </c>
      <c r="CT332" s="93">
        <f t="shared" si="102"/>
        <v>0</v>
      </c>
      <c r="EA332" s="93">
        <f t="shared" si="118"/>
        <v>0</v>
      </c>
      <c r="FH332" s="93">
        <f t="shared" si="119"/>
        <v>0</v>
      </c>
      <c r="GO332" s="93">
        <f t="shared" si="103"/>
        <v>0</v>
      </c>
      <c r="HV332" s="93">
        <f t="shared" si="104"/>
        <v>0</v>
      </c>
    </row>
    <row r="333" spans="1:296" x14ac:dyDescent="0.5">
      <c r="A333" s="148">
        <v>151</v>
      </c>
      <c r="B333" s="148" t="s">
        <v>438</v>
      </c>
      <c r="C333" s="148" t="s">
        <v>6</v>
      </c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>
        <f t="shared" si="108"/>
        <v>0</v>
      </c>
      <c r="S333" s="46">
        <f t="shared" si="109"/>
        <v>0</v>
      </c>
      <c r="T333" s="46">
        <f t="shared" si="110"/>
        <v>0</v>
      </c>
      <c r="U333" s="46">
        <f t="shared" si="111"/>
        <v>0</v>
      </c>
      <c r="V333" s="46">
        <f t="shared" si="112"/>
        <v>0</v>
      </c>
      <c r="W333" s="46">
        <f t="shared" si="113"/>
        <v>0</v>
      </c>
      <c r="X333" s="46">
        <f t="shared" si="114"/>
        <v>0</v>
      </c>
      <c r="Y333" s="46">
        <f t="shared" si="115"/>
        <v>0</v>
      </c>
      <c r="Z333" s="90">
        <f t="shared" si="116"/>
        <v>0</v>
      </c>
      <c r="AB333" s="95">
        <f>'LPLPO PROGRAM'!H164</f>
        <v>0</v>
      </c>
      <c r="BM333" s="93">
        <f t="shared" si="117"/>
        <v>0</v>
      </c>
      <c r="CT333" s="93">
        <f t="shared" si="102"/>
        <v>0</v>
      </c>
      <c r="EA333" s="93">
        <f t="shared" si="118"/>
        <v>0</v>
      </c>
      <c r="FH333" s="93">
        <f t="shared" si="119"/>
        <v>0</v>
      </c>
      <c r="GO333" s="93">
        <f t="shared" si="103"/>
        <v>0</v>
      </c>
      <c r="HV333" s="93">
        <f t="shared" si="104"/>
        <v>0</v>
      </c>
    </row>
    <row r="334" spans="1:296" x14ac:dyDescent="0.5">
      <c r="A334" s="148">
        <v>152</v>
      </c>
      <c r="B334" s="148" t="s">
        <v>439</v>
      </c>
      <c r="C334" s="148" t="s">
        <v>6</v>
      </c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>
        <f t="shared" si="108"/>
        <v>0</v>
      </c>
      <c r="S334" s="46">
        <f t="shared" si="109"/>
        <v>0</v>
      </c>
      <c r="T334" s="46">
        <f t="shared" si="110"/>
        <v>0</v>
      </c>
      <c r="U334" s="46">
        <f t="shared" si="111"/>
        <v>0</v>
      </c>
      <c r="V334" s="46">
        <f t="shared" si="112"/>
        <v>0</v>
      </c>
      <c r="W334" s="46">
        <f t="shared" si="113"/>
        <v>0</v>
      </c>
      <c r="X334" s="46">
        <f t="shared" si="114"/>
        <v>0</v>
      </c>
      <c r="Y334" s="46">
        <f t="shared" si="115"/>
        <v>0</v>
      </c>
      <c r="Z334" s="90">
        <f t="shared" si="116"/>
        <v>0</v>
      </c>
      <c r="AB334" s="95">
        <f>'LPLPO PROGRAM'!H165</f>
        <v>0</v>
      </c>
      <c r="BM334" s="93">
        <f t="shared" si="117"/>
        <v>0</v>
      </c>
      <c r="CT334" s="93">
        <f t="shared" si="102"/>
        <v>0</v>
      </c>
      <c r="EA334" s="93">
        <f t="shared" si="118"/>
        <v>0</v>
      </c>
      <c r="FH334" s="93">
        <f t="shared" si="119"/>
        <v>0</v>
      </c>
      <c r="GO334" s="93">
        <f t="shared" si="103"/>
        <v>0</v>
      </c>
      <c r="HV334" s="93">
        <f t="shared" si="104"/>
        <v>0</v>
      </c>
    </row>
    <row r="335" spans="1:296" x14ac:dyDescent="0.5">
      <c r="A335" s="148">
        <v>153</v>
      </c>
      <c r="B335" s="148" t="s">
        <v>440</v>
      </c>
      <c r="C335" s="148" t="s">
        <v>6</v>
      </c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>
        <f t="shared" si="108"/>
        <v>0</v>
      </c>
      <c r="S335" s="46">
        <f t="shared" si="109"/>
        <v>0</v>
      </c>
      <c r="T335" s="46">
        <f t="shared" si="110"/>
        <v>0</v>
      </c>
      <c r="U335" s="46">
        <f t="shared" si="111"/>
        <v>0</v>
      </c>
      <c r="V335" s="46">
        <f t="shared" si="112"/>
        <v>0</v>
      </c>
      <c r="W335" s="46">
        <f t="shared" si="113"/>
        <v>0</v>
      </c>
      <c r="X335" s="46">
        <f t="shared" si="114"/>
        <v>0</v>
      </c>
      <c r="Y335" s="46">
        <f t="shared" si="115"/>
        <v>0</v>
      </c>
      <c r="Z335" s="90">
        <f t="shared" si="116"/>
        <v>0</v>
      </c>
      <c r="AB335" s="95">
        <f>'LPLPO PROGRAM'!H166</f>
        <v>0</v>
      </c>
      <c r="BM335" s="93">
        <f t="shared" si="117"/>
        <v>0</v>
      </c>
      <c r="CT335" s="93">
        <f t="shared" si="102"/>
        <v>0</v>
      </c>
      <c r="EA335" s="93">
        <f t="shared" si="118"/>
        <v>0</v>
      </c>
      <c r="FH335" s="93">
        <f t="shared" si="119"/>
        <v>0</v>
      </c>
      <c r="GO335" s="93">
        <f t="shared" si="103"/>
        <v>0</v>
      </c>
      <c r="HV335" s="93">
        <f t="shared" si="104"/>
        <v>0</v>
      </c>
    </row>
    <row r="336" spans="1:296" x14ac:dyDescent="0.5">
      <c r="A336" s="148">
        <v>154</v>
      </c>
      <c r="B336" s="148" t="s">
        <v>441</v>
      </c>
      <c r="C336" s="148" t="s">
        <v>6</v>
      </c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>
        <f t="shared" si="108"/>
        <v>0</v>
      </c>
      <c r="S336" s="46">
        <f t="shared" si="109"/>
        <v>0</v>
      </c>
      <c r="T336" s="46">
        <f t="shared" si="110"/>
        <v>0</v>
      </c>
      <c r="U336" s="46">
        <f t="shared" si="111"/>
        <v>0</v>
      </c>
      <c r="V336" s="46">
        <f t="shared" si="112"/>
        <v>0</v>
      </c>
      <c r="W336" s="46">
        <f t="shared" si="113"/>
        <v>0</v>
      </c>
      <c r="X336" s="46">
        <f t="shared" si="114"/>
        <v>0</v>
      </c>
      <c r="Y336" s="46">
        <f t="shared" si="115"/>
        <v>0</v>
      </c>
      <c r="Z336" s="90">
        <f t="shared" si="116"/>
        <v>0</v>
      </c>
      <c r="AB336" s="95">
        <f>'LPLPO PROGRAM'!H167</f>
        <v>0</v>
      </c>
      <c r="BM336" s="93">
        <f t="shared" si="117"/>
        <v>0</v>
      </c>
      <c r="CT336" s="93">
        <f t="shared" si="102"/>
        <v>0</v>
      </c>
      <c r="EA336" s="93">
        <f t="shared" si="118"/>
        <v>0</v>
      </c>
      <c r="FH336" s="93">
        <f t="shared" si="119"/>
        <v>0</v>
      </c>
      <c r="GO336" s="93">
        <f t="shared" si="103"/>
        <v>0</v>
      </c>
      <c r="HV336" s="93">
        <f t="shared" si="104"/>
        <v>0</v>
      </c>
    </row>
    <row r="337" spans="1:230" x14ac:dyDescent="0.5">
      <c r="A337" s="148">
        <v>155</v>
      </c>
      <c r="B337" s="148" t="s">
        <v>442</v>
      </c>
      <c r="C337" s="148" t="s">
        <v>6</v>
      </c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>
        <f t="shared" si="108"/>
        <v>0</v>
      </c>
      <c r="S337" s="46">
        <f t="shared" si="109"/>
        <v>0</v>
      </c>
      <c r="T337" s="46">
        <f t="shared" si="110"/>
        <v>0</v>
      </c>
      <c r="U337" s="46">
        <f t="shared" si="111"/>
        <v>0</v>
      </c>
      <c r="V337" s="46">
        <f t="shared" si="112"/>
        <v>0</v>
      </c>
      <c r="W337" s="46">
        <f t="shared" si="113"/>
        <v>0</v>
      </c>
      <c r="X337" s="46">
        <f t="shared" si="114"/>
        <v>0</v>
      </c>
      <c r="Y337" s="46">
        <f t="shared" si="115"/>
        <v>0</v>
      </c>
      <c r="Z337" s="90">
        <f t="shared" si="116"/>
        <v>0</v>
      </c>
      <c r="AB337" s="95">
        <f>'LPLPO PROGRAM'!H168</f>
        <v>0</v>
      </c>
      <c r="BM337" s="93">
        <f t="shared" si="117"/>
        <v>0</v>
      </c>
      <c r="CT337" s="93">
        <f t="shared" si="102"/>
        <v>0</v>
      </c>
      <c r="EA337" s="93">
        <f t="shared" si="118"/>
        <v>0</v>
      </c>
      <c r="FH337" s="93">
        <f t="shared" si="119"/>
        <v>0</v>
      </c>
      <c r="GO337" s="93">
        <f t="shared" si="103"/>
        <v>0</v>
      </c>
      <c r="HV337" s="93">
        <f t="shared" si="104"/>
        <v>0</v>
      </c>
    </row>
    <row r="338" spans="1:230" x14ac:dyDescent="0.5">
      <c r="A338" s="148">
        <v>156</v>
      </c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46">
        <f t="shared" si="108"/>
        <v>0</v>
      </c>
      <c r="S338" s="46">
        <f t="shared" si="109"/>
        <v>0</v>
      </c>
      <c r="T338" s="46">
        <f t="shared" si="110"/>
        <v>0</v>
      </c>
      <c r="U338" s="46">
        <f t="shared" si="111"/>
        <v>0</v>
      </c>
      <c r="V338" s="46">
        <f t="shared" si="112"/>
        <v>0</v>
      </c>
      <c r="W338" s="46">
        <f t="shared" si="113"/>
        <v>0</v>
      </c>
      <c r="X338" s="46">
        <f t="shared" si="114"/>
        <v>0</v>
      </c>
      <c r="Y338" s="46">
        <f t="shared" si="115"/>
        <v>0</v>
      </c>
      <c r="Z338" s="148"/>
      <c r="AB338" s="95">
        <f>'LPLPO PROGRAM'!H169</f>
        <v>0</v>
      </c>
      <c r="BM338" s="93">
        <f t="shared" si="117"/>
        <v>0</v>
      </c>
      <c r="CT338" s="93">
        <f t="shared" si="102"/>
        <v>0</v>
      </c>
      <c r="EA338" s="93">
        <f t="shared" si="118"/>
        <v>0</v>
      </c>
      <c r="FH338" s="93">
        <f t="shared" si="119"/>
        <v>0</v>
      </c>
      <c r="GO338" s="93">
        <f t="shared" si="103"/>
        <v>0</v>
      </c>
      <c r="HV338" s="93">
        <f t="shared" si="104"/>
        <v>0</v>
      </c>
    </row>
    <row r="339" spans="1:230" ht="19.5" x14ac:dyDescent="0.6">
      <c r="A339" s="148">
        <v>157</v>
      </c>
      <c r="B339" s="262" t="s">
        <v>170</v>
      </c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46">
        <f t="shared" si="108"/>
        <v>0</v>
      </c>
      <c r="S339" s="46">
        <f t="shared" si="109"/>
        <v>0</v>
      </c>
      <c r="T339" s="46">
        <f t="shared" si="110"/>
        <v>0</v>
      </c>
      <c r="U339" s="46">
        <f t="shared" si="111"/>
        <v>0</v>
      </c>
      <c r="V339" s="46">
        <f t="shared" si="112"/>
        <v>0</v>
      </c>
      <c r="W339" s="46">
        <f t="shared" si="113"/>
        <v>0</v>
      </c>
      <c r="X339" s="46">
        <f t="shared" si="114"/>
        <v>0</v>
      </c>
      <c r="Y339" s="46">
        <f t="shared" si="115"/>
        <v>0</v>
      </c>
      <c r="Z339" s="148"/>
      <c r="AB339" s="95">
        <f>'LPLPO PROGRAM'!H170</f>
        <v>0</v>
      </c>
      <c r="BM339" s="93">
        <f t="shared" si="117"/>
        <v>0</v>
      </c>
      <c r="CT339" s="93">
        <f t="shared" si="102"/>
        <v>0</v>
      </c>
      <c r="EA339" s="93">
        <f t="shared" si="118"/>
        <v>0</v>
      </c>
      <c r="FH339" s="93">
        <f t="shared" si="119"/>
        <v>0</v>
      </c>
      <c r="GO339" s="93">
        <f t="shared" si="103"/>
        <v>0</v>
      </c>
      <c r="HV339" s="93">
        <f t="shared" si="104"/>
        <v>0</v>
      </c>
    </row>
    <row r="340" spans="1:230" x14ac:dyDescent="0.5">
      <c r="A340" s="148">
        <v>158</v>
      </c>
      <c r="B340" s="141" t="s">
        <v>13</v>
      </c>
      <c r="C340" s="148"/>
      <c r="D340" s="148">
        <v>100</v>
      </c>
      <c r="E340" s="148"/>
      <c r="F340" s="148"/>
      <c r="G340" s="148"/>
      <c r="H340" s="148">
        <v>100</v>
      </c>
      <c r="I340" s="148">
        <v>100</v>
      </c>
      <c r="J340" s="148">
        <v>100</v>
      </c>
      <c r="K340" s="148">
        <v>100</v>
      </c>
      <c r="L340" s="148"/>
      <c r="M340" s="148"/>
      <c r="N340" s="148"/>
      <c r="O340" s="148"/>
      <c r="P340" s="148"/>
      <c r="Q340" s="148"/>
      <c r="R340" s="46">
        <f t="shared" si="108"/>
        <v>0</v>
      </c>
      <c r="S340" s="46">
        <f t="shared" si="109"/>
        <v>0</v>
      </c>
      <c r="T340" s="46">
        <f t="shared" si="110"/>
        <v>0</v>
      </c>
      <c r="U340" s="46">
        <f t="shared" si="111"/>
        <v>0</v>
      </c>
      <c r="V340" s="46">
        <f t="shared" si="112"/>
        <v>0</v>
      </c>
      <c r="W340" s="46">
        <f t="shared" si="113"/>
        <v>0</v>
      </c>
      <c r="X340" s="46">
        <f t="shared" si="114"/>
        <v>0</v>
      </c>
      <c r="Y340" s="46">
        <f t="shared" si="115"/>
        <v>0</v>
      </c>
      <c r="Z340" s="148"/>
      <c r="AB340" s="95">
        <f>'LPLPO PROGRAM'!H171</f>
        <v>0</v>
      </c>
      <c r="BM340" s="93">
        <f t="shared" si="117"/>
        <v>0</v>
      </c>
      <c r="CT340" s="93">
        <f t="shared" si="102"/>
        <v>0</v>
      </c>
      <c r="EA340" s="93">
        <f t="shared" si="118"/>
        <v>0</v>
      </c>
      <c r="FH340" s="93">
        <f t="shared" si="119"/>
        <v>0</v>
      </c>
      <c r="GO340" s="93">
        <f t="shared" si="103"/>
        <v>0</v>
      </c>
      <c r="HV340" s="93">
        <f t="shared" si="104"/>
        <v>0</v>
      </c>
    </row>
    <row r="341" spans="1:230" x14ac:dyDescent="0.5">
      <c r="A341" s="148"/>
      <c r="B341" s="141" t="s">
        <v>101</v>
      </c>
      <c r="C341" s="148"/>
      <c r="D341" s="148"/>
      <c r="E341" s="148"/>
      <c r="F341" s="148"/>
      <c r="G341" s="148"/>
      <c r="H341" s="148">
        <v>100</v>
      </c>
      <c r="I341" s="148"/>
      <c r="J341" s="148"/>
      <c r="K341" s="148">
        <v>100</v>
      </c>
      <c r="L341" s="148"/>
      <c r="M341" s="148"/>
      <c r="N341" s="148"/>
      <c r="O341" s="148"/>
      <c r="P341" s="148">
        <v>100</v>
      </c>
      <c r="Q341" s="148"/>
      <c r="R341" s="46">
        <f t="shared" si="108"/>
        <v>0</v>
      </c>
      <c r="S341" s="46"/>
      <c r="T341" s="46"/>
      <c r="U341" s="46"/>
      <c r="V341" s="46"/>
      <c r="W341" s="46"/>
      <c r="X341" s="46"/>
      <c r="Y341" s="46"/>
      <c r="Z341" s="148"/>
      <c r="AB341" s="95"/>
      <c r="BM341" s="93">
        <f t="shared" si="117"/>
        <v>0</v>
      </c>
      <c r="CT341" s="93">
        <f t="shared" si="102"/>
        <v>0</v>
      </c>
      <c r="EA341" s="93">
        <f t="shared" si="118"/>
        <v>0</v>
      </c>
      <c r="FH341" s="93">
        <f t="shared" si="119"/>
        <v>0</v>
      </c>
      <c r="GO341" s="93">
        <f t="shared" si="103"/>
        <v>0</v>
      </c>
      <c r="HV341" s="93">
        <f t="shared" si="104"/>
        <v>0</v>
      </c>
    </row>
    <row r="342" spans="1:230" x14ac:dyDescent="0.5">
      <c r="A342" s="148"/>
      <c r="B342" s="141" t="s">
        <v>476</v>
      </c>
      <c r="C342" s="148"/>
      <c r="D342" s="148"/>
      <c r="E342" s="148"/>
      <c r="F342" s="148"/>
      <c r="G342" s="148"/>
      <c r="H342" s="148"/>
      <c r="I342" s="148">
        <v>1</v>
      </c>
      <c r="J342" s="148"/>
      <c r="K342" s="148"/>
      <c r="L342" s="148"/>
      <c r="M342" s="148"/>
      <c r="N342" s="148"/>
      <c r="O342" s="148"/>
      <c r="P342" s="148"/>
      <c r="Q342" s="148"/>
      <c r="R342" s="46">
        <f t="shared" si="108"/>
        <v>0</v>
      </c>
      <c r="S342" s="46"/>
      <c r="T342" s="46"/>
      <c r="U342" s="46"/>
      <c r="V342" s="46"/>
      <c r="W342" s="46"/>
      <c r="X342" s="46"/>
      <c r="Y342" s="46"/>
      <c r="Z342" s="148"/>
      <c r="AB342" s="95"/>
      <c r="BM342" s="93">
        <f t="shared" si="117"/>
        <v>0</v>
      </c>
      <c r="CI342" s="38">
        <v>1</v>
      </c>
      <c r="CT342" s="93">
        <f t="shared" si="102"/>
        <v>1</v>
      </c>
      <c r="EA342" s="93">
        <f t="shared" si="118"/>
        <v>0</v>
      </c>
      <c r="FH342" s="93">
        <f t="shared" si="119"/>
        <v>0</v>
      </c>
      <c r="GO342" s="93">
        <f t="shared" si="103"/>
        <v>0</v>
      </c>
      <c r="HH342" s="38">
        <v>2</v>
      </c>
      <c r="HV342" s="93">
        <f t="shared" si="104"/>
        <v>2</v>
      </c>
    </row>
    <row r="343" spans="1:230" x14ac:dyDescent="0.5">
      <c r="A343" s="148"/>
      <c r="B343" s="141" t="s">
        <v>3</v>
      </c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46">
        <f t="shared" si="108"/>
        <v>50</v>
      </c>
      <c r="S343" s="46"/>
      <c r="T343" s="46"/>
      <c r="U343" s="46"/>
      <c r="V343" s="46"/>
      <c r="W343" s="46"/>
      <c r="X343" s="46"/>
      <c r="Y343" s="46"/>
      <c r="Z343" s="148"/>
      <c r="AB343" s="95"/>
      <c r="AZ343" s="38">
        <v>50</v>
      </c>
      <c r="BM343" s="93">
        <f t="shared" si="117"/>
        <v>50</v>
      </c>
      <c r="CI343" s="38">
        <v>20</v>
      </c>
      <c r="CT343" s="93">
        <f t="shared" si="102"/>
        <v>20</v>
      </c>
      <c r="EA343" s="93">
        <f t="shared" si="118"/>
        <v>0</v>
      </c>
      <c r="FH343" s="93">
        <f t="shared" si="119"/>
        <v>0</v>
      </c>
      <c r="GO343" s="93">
        <f t="shared" si="103"/>
        <v>0</v>
      </c>
      <c r="HV343" s="93">
        <f t="shared" si="104"/>
        <v>0</v>
      </c>
    </row>
    <row r="344" spans="1:230" x14ac:dyDescent="0.5">
      <c r="A344" s="148"/>
      <c r="B344" s="141" t="s">
        <v>263</v>
      </c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46">
        <f t="shared" si="108"/>
        <v>25</v>
      </c>
      <c r="S344" s="46"/>
      <c r="T344" s="46"/>
      <c r="U344" s="46"/>
      <c r="V344" s="46"/>
      <c r="W344" s="46"/>
      <c r="X344" s="46"/>
      <c r="Y344" s="46"/>
      <c r="Z344" s="148"/>
      <c r="AB344" s="95"/>
      <c r="AZ344" s="38">
        <v>25</v>
      </c>
      <c r="BM344" s="93">
        <f t="shared" si="117"/>
        <v>25</v>
      </c>
      <c r="CT344" s="93">
        <f t="shared" si="102"/>
        <v>0</v>
      </c>
      <c r="EA344" s="93">
        <f t="shared" si="118"/>
        <v>0</v>
      </c>
      <c r="FH344" s="93">
        <f t="shared" si="119"/>
        <v>0</v>
      </c>
      <c r="GO344" s="93">
        <f t="shared" si="103"/>
        <v>0</v>
      </c>
      <c r="HV344" s="93">
        <f t="shared" si="104"/>
        <v>0</v>
      </c>
    </row>
    <row r="345" spans="1:230" x14ac:dyDescent="0.5">
      <c r="A345" s="148"/>
      <c r="B345" s="141" t="s">
        <v>136</v>
      </c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46">
        <f t="shared" si="108"/>
        <v>0</v>
      </c>
      <c r="S345" s="46"/>
      <c r="T345" s="46"/>
      <c r="U345" s="46"/>
      <c r="V345" s="46"/>
      <c r="W345" s="46"/>
      <c r="X345" s="46"/>
      <c r="Y345" s="46"/>
      <c r="Z345" s="148"/>
      <c r="AB345" s="95"/>
      <c r="BM345" s="93">
        <f t="shared" si="117"/>
        <v>0</v>
      </c>
      <c r="BQ345" s="38">
        <v>2</v>
      </c>
      <c r="CI345" s="38">
        <v>2</v>
      </c>
      <c r="CT345" s="93">
        <f t="shared" si="102"/>
        <v>4</v>
      </c>
      <c r="DG345" s="38">
        <v>1</v>
      </c>
      <c r="EA345" s="93">
        <f t="shared" si="118"/>
        <v>1</v>
      </c>
      <c r="FH345" s="93">
        <f t="shared" si="119"/>
        <v>0</v>
      </c>
      <c r="FU345" s="38">
        <v>2</v>
      </c>
      <c r="GO345" s="93">
        <f t="shared" si="103"/>
        <v>2</v>
      </c>
      <c r="HV345" s="93">
        <f t="shared" si="104"/>
        <v>0</v>
      </c>
    </row>
    <row r="346" spans="1:230" x14ac:dyDescent="0.5">
      <c r="A346" s="148"/>
      <c r="B346" s="141" t="s">
        <v>478</v>
      </c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46">
        <f t="shared" si="108"/>
        <v>0</v>
      </c>
      <c r="S346" s="46"/>
      <c r="T346" s="46"/>
      <c r="U346" s="46"/>
      <c r="V346" s="46"/>
      <c r="W346" s="46"/>
      <c r="X346" s="46"/>
      <c r="Y346" s="46"/>
      <c r="Z346" s="148"/>
      <c r="AB346" s="95"/>
      <c r="BM346" s="93">
        <f t="shared" si="117"/>
        <v>0</v>
      </c>
      <c r="CI346" s="38">
        <v>10</v>
      </c>
      <c r="CT346" s="93">
        <f t="shared" si="102"/>
        <v>10</v>
      </c>
      <c r="EA346" s="93">
        <f t="shared" si="118"/>
        <v>0</v>
      </c>
      <c r="FH346" s="93">
        <f t="shared" si="119"/>
        <v>0</v>
      </c>
      <c r="GO346" s="93">
        <f t="shared" si="103"/>
        <v>0</v>
      </c>
      <c r="HV346" s="93">
        <f t="shared" si="104"/>
        <v>0</v>
      </c>
    </row>
    <row r="347" spans="1:230" x14ac:dyDescent="0.5">
      <c r="A347" s="148"/>
      <c r="B347" s="141" t="s">
        <v>480</v>
      </c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46">
        <f t="shared" si="108"/>
        <v>0</v>
      </c>
      <c r="S347" s="46"/>
      <c r="T347" s="46"/>
      <c r="U347" s="46"/>
      <c r="V347" s="46"/>
      <c r="W347" s="46"/>
      <c r="X347" s="46"/>
      <c r="Y347" s="46"/>
      <c r="Z347" s="148"/>
      <c r="AB347" s="95"/>
      <c r="BM347" s="93">
        <f t="shared" si="117"/>
        <v>0</v>
      </c>
      <c r="CT347" s="93">
        <f t="shared" si="102"/>
        <v>0</v>
      </c>
      <c r="EA347" s="93">
        <f t="shared" si="118"/>
        <v>0</v>
      </c>
      <c r="FH347" s="93">
        <f t="shared" si="119"/>
        <v>0</v>
      </c>
      <c r="FU347" s="38">
        <v>200</v>
      </c>
      <c r="GO347" s="93">
        <f t="shared" si="103"/>
        <v>200</v>
      </c>
      <c r="HV347" s="93">
        <f t="shared" si="104"/>
        <v>0</v>
      </c>
    </row>
    <row r="348" spans="1:230" x14ac:dyDescent="0.5">
      <c r="A348" s="148"/>
      <c r="B348" s="141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46">
        <f t="shared" si="108"/>
        <v>0</v>
      </c>
      <c r="S348" s="46"/>
      <c r="T348" s="46"/>
      <c r="U348" s="46"/>
      <c r="V348" s="46"/>
      <c r="W348" s="46"/>
      <c r="X348" s="46"/>
      <c r="Y348" s="46"/>
      <c r="Z348" s="148"/>
      <c r="AB348" s="95"/>
      <c r="BM348" s="93">
        <f t="shared" si="117"/>
        <v>0</v>
      </c>
      <c r="CT348" s="93">
        <f t="shared" si="102"/>
        <v>0</v>
      </c>
      <c r="EA348" s="93">
        <f t="shared" si="118"/>
        <v>0</v>
      </c>
      <c r="FH348" s="93">
        <f t="shared" si="119"/>
        <v>0</v>
      </c>
      <c r="GO348" s="93">
        <f t="shared" si="103"/>
        <v>0</v>
      </c>
      <c r="HV348" s="93">
        <f t="shared" si="104"/>
        <v>0</v>
      </c>
    </row>
    <row r="349" spans="1:230" x14ac:dyDescent="0.5">
      <c r="A349" s="148"/>
      <c r="B349" s="141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46"/>
      <c r="T349" s="46"/>
      <c r="U349" s="46"/>
      <c r="V349" s="46"/>
      <c r="W349" s="46"/>
      <c r="X349" s="46"/>
      <c r="Y349" s="46"/>
      <c r="Z349" s="148"/>
      <c r="AB349" s="95"/>
      <c r="BM349" s="93">
        <f t="shared" si="117"/>
        <v>0</v>
      </c>
      <c r="CT349" s="93">
        <f t="shared" si="102"/>
        <v>0</v>
      </c>
      <c r="EA349" s="93">
        <f t="shared" si="118"/>
        <v>0</v>
      </c>
      <c r="FH349" s="93">
        <f t="shared" si="119"/>
        <v>0</v>
      </c>
      <c r="GO349" s="93">
        <f t="shared" si="103"/>
        <v>0</v>
      </c>
      <c r="HV349" s="93">
        <f t="shared" si="104"/>
        <v>0</v>
      </c>
    </row>
    <row r="350" spans="1:230" x14ac:dyDescent="0.5">
      <c r="A350" s="148"/>
      <c r="B350" s="141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46"/>
      <c r="T350" s="46"/>
      <c r="U350" s="46"/>
      <c r="V350" s="46"/>
      <c r="W350" s="46"/>
      <c r="X350" s="46"/>
      <c r="Y350" s="46"/>
      <c r="Z350" s="148"/>
      <c r="AB350" s="95"/>
      <c r="BM350" s="93">
        <f t="shared" si="117"/>
        <v>0</v>
      </c>
      <c r="CT350" s="93">
        <f t="shared" si="102"/>
        <v>0</v>
      </c>
      <c r="EA350" s="93">
        <f t="shared" si="118"/>
        <v>0</v>
      </c>
      <c r="FH350" s="93">
        <f t="shared" si="119"/>
        <v>0</v>
      </c>
      <c r="GO350" s="93">
        <f t="shared" si="103"/>
        <v>0</v>
      </c>
      <c r="HV350" s="93">
        <f t="shared" si="104"/>
        <v>0</v>
      </c>
    </row>
    <row r="351" spans="1:230" x14ac:dyDescent="0.5">
      <c r="A351" s="148"/>
      <c r="B351" s="141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46"/>
      <c r="T351" s="46"/>
      <c r="U351" s="46"/>
      <c r="V351" s="46"/>
      <c r="W351" s="46"/>
      <c r="X351" s="46"/>
      <c r="Y351" s="46"/>
      <c r="Z351" s="148"/>
      <c r="AB351" s="95"/>
      <c r="BM351" s="93">
        <f t="shared" si="117"/>
        <v>0</v>
      </c>
      <c r="CT351" s="93">
        <f t="shared" si="102"/>
        <v>0</v>
      </c>
      <c r="EA351" s="93">
        <f t="shared" si="118"/>
        <v>0</v>
      </c>
      <c r="FH351" s="93">
        <f t="shared" si="119"/>
        <v>0</v>
      </c>
      <c r="GO351" s="93">
        <f t="shared" si="103"/>
        <v>0</v>
      </c>
      <c r="HV351" s="93">
        <f t="shared" si="104"/>
        <v>0</v>
      </c>
    </row>
    <row r="352" spans="1:230" x14ac:dyDescent="0.5">
      <c r="A352" s="148"/>
      <c r="B352" s="141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46"/>
      <c r="T352" s="46"/>
      <c r="U352" s="46"/>
      <c r="V352" s="46"/>
      <c r="W352" s="46"/>
      <c r="X352" s="46"/>
      <c r="Y352" s="46"/>
      <c r="Z352" s="148"/>
      <c r="AB352" s="95"/>
      <c r="BM352" s="93">
        <f t="shared" si="117"/>
        <v>0</v>
      </c>
      <c r="CT352" s="93">
        <f t="shared" si="102"/>
        <v>0</v>
      </c>
      <c r="EA352" s="93">
        <f t="shared" si="118"/>
        <v>0</v>
      </c>
      <c r="FH352" s="93">
        <f t="shared" si="119"/>
        <v>0</v>
      </c>
      <c r="GO352" s="93">
        <f t="shared" si="103"/>
        <v>0</v>
      </c>
      <c r="HV352" s="93">
        <f t="shared" si="104"/>
        <v>0</v>
      </c>
    </row>
    <row r="353" spans="1:230" x14ac:dyDescent="0.5">
      <c r="A353" s="148"/>
      <c r="B353" s="141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46"/>
      <c r="T353" s="46"/>
      <c r="U353" s="46"/>
      <c r="V353" s="46"/>
      <c r="W353" s="46"/>
      <c r="X353" s="46"/>
      <c r="Y353" s="46"/>
      <c r="Z353" s="148"/>
      <c r="AB353" s="95"/>
      <c r="BM353" s="93">
        <f t="shared" si="117"/>
        <v>0</v>
      </c>
      <c r="CT353" s="93">
        <f t="shared" si="102"/>
        <v>0</v>
      </c>
      <c r="EA353" s="93">
        <f t="shared" si="118"/>
        <v>0</v>
      </c>
      <c r="FH353" s="93">
        <f t="shared" si="119"/>
        <v>0</v>
      </c>
      <c r="GO353" s="93">
        <f t="shared" si="103"/>
        <v>0</v>
      </c>
      <c r="HV353" s="93">
        <f t="shared" si="104"/>
        <v>0</v>
      </c>
    </row>
    <row r="354" spans="1:230" x14ac:dyDescent="0.5">
      <c r="A354" s="148"/>
      <c r="B354" s="141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46"/>
      <c r="T354" s="46"/>
      <c r="U354" s="46"/>
      <c r="V354" s="46"/>
      <c r="W354" s="46"/>
      <c r="X354" s="46"/>
      <c r="Y354" s="46"/>
      <c r="Z354" s="148"/>
      <c r="AB354" s="95"/>
      <c r="BM354" s="93">
        <f t="shared" si="117"/>
        <v>0</v>
      </c>
      <c r="CT354" s="93">
        <f t="shared" si="102"/>
        <v>0</v>
      </c>
      <c r="EA354" s="93">
        <f t="shared" si="118"/>
        <v>0</v>
      </c>
      <c r="FH354" s="93">
        <f t="shared" si="119"/>
        <v>0</v>
      </c>
      <c r="GO354" s="93">
        <f t="shared" si="103"/>
        <v>0</v>
      </c>
      <c r="HV354" s="93">
        <f t="shared" si="104"/>
        <v>0</v>
      </c>
    </row>
    <row r="355" spans="1:230" x14ac:dyDescent="0.5">
      <c r="A355" s="148"/>
      <c r="B355" s="141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46"/>
      <c r="T355" s="46"/>
      <c r="U355" s="46"/>
      <c r="V355" s="46"/>
      <c r="W355" s="46"/>
      <c r="X355" s="46"/>
      <c r="Y355" s="46"/>
      <c r="Z355" s="148"/>
      <c r="AB355" s="95"/>
      <c r="BM355" s="93">
        <f t="shared" si="117"/>
        <v>0</v>
      </c>
      <c r="CT355" s="93">
        <f t="shared" si="102"/>
        <v>0</v>
      </c>
      <c r="EA355" s="93">
        <f t="shared" si="118"/>
        <v>0</v>
      </c>
      <c r="FH355" s="93">
        <f t="shared" si="119"/>
        <v>0</v>
      </c>
      <c r="GO355" s="93">
        <f t="shared" si="103"/>
        <v>0</v>
      </c>
      <c r="HV355" s="93">
        <f t="shared" si="104"/>
        <v>0</v>
      </c>
    </row>
    <row r="356" spans="1:230" x14ac:dyDescent="0.5">
      <c r="A356" s="148"/>
      <c r="B356" s="141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46"/>
      <c r="T356" s="46"/>
      <c r="U356" s="46"/>
      <c r="V356" s="46"/>
      <c r="W356" s="46"/>
      <c r="X356" s="46"/>
      <c r="Y356" s="46"/>
      <c r="Z356" s="148"/>
      <c r="AB356" s="95"/>
      <c r="BM356" s="93">
        <f t="shared" si="117"/>
        <v>0</v>
      </c>
      <c r="CT356" s="93">
        <f t="shared" si="102"/>
        <v>0</v>
      </c>
      <c r="EA356" s="93">
        <f t="shared" si="118"/>
        <v>0</v>
      </c>
      <c r="GO356" s="93">
        <f t="shared" si="103"/>
        <v>0</v>
      </c>
      <c r="HV356" s="93">
        <f t="shared" si="104"/>
        <v>0</v>
      </c>
    </row>
    <row r="357" spans="1:230" x14ac:dyDescent="0.5">
      <c r="A357" s="148"/>
      <c r="B357" s="141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46"/>
      <c r="T357" s="46"/>
      <c r="U357" s="46"/>
      <c r="V357" s="46"/>
      <c r="W357" s="46"/>
      <c r="X357" s="46"/>
      <c r="Y357" s="46"/>
      <c r="Z357" s="148"/>
      <c r="AB357" s="95"/>
      <c r="BM357" s="93">
        <f t="shared" si="117"/>
        <v>0</v>
      </c>
      <c r="CT357" s="93">
        <f t="shared" si="102"/>
        <v>0</v>
      </c>
      <c r="EA357" s="93">
        <f t="shared" si="118"/>
        <v>0</v>
      </c>
      <c r="GO357" s="93">
        <f t="shared" si="103"/>
        <v>0</v>
      </c>
      <c r="HV357" s="93">
        <f t="shared" si="104"/>
        <v>0</v>
      </c>
    </row>
    <row r="358" spans="1:230" x14ac:dyDescent="0.5">
      <c r="A358" s="148"/>
      <c r="B358" s="141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46"/>
      <c r="T358" s="46"/>
      <c r="U358" s="46"/>
      <c r="V358" s="46"/>
      <c r="W358" s="46"/>
      <c r="X358" s="46"/>
      <c r="Y358" s="46"/>
      <c r="Z358" s="148"/>
      <c r="AB358" s="95"/>
      <c r="BM358" s="93">
        <f t="shared" si="117"/>
        <v>0</v>
      </c>
      <c r="CT358" s="93">
        <f t="shared" si="102"/>
        <v>0</v>
      </c>
      <c r="EA358" s="93">
        <f t="shared" si="118"/>
        <v>0</v>
      </c>
      <c r="GO358" s="93">
        <f t="shared" si="103"/>
        <v>0</v>
      </c>
      <c r="HV358" s="93">
        <f t="shared" si="104"/>
        <v>0</v>
      </c>
    </row>
    <row r="359" spans="1:230" x14ac:dyDescent="0.5">
      <c r="A359" s="148">
        <v>159</v>
      </c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46">
        <f t="shared" si="109"/>
        <v>0</v>
      </c>
      <c r="T359" s="46">
        <f t="shared" si="110"/>
        <v>0</v>
      </c>
      <c r="U359" s="46">
        <f t="shared" si="111"/>
        <v>0</v>
      </c>
      <c r="V359" s="46">
        <f t="shared" si="112"/>
        <v>0</v>
      </c>
      <c r="W359" s="46">
        <f t="shared" si="113"/>
        <v>0</v>
      </c>
      <c r="X359" s="46">
        <f t="shared" si="114"/>
        <v>0</v>
      </c>
      <c r="Y359" s="46">
        <f t="shared" si="115"/>
        <v>0</v>
      </c>
      <c r="Z359" s="148"/>
      <c r="AB359" s="95">
        <f>'LPLPO PROGRAM'!H172</f>
        <v>0</v>
      </c>
      <c r="BM359" s="93">
        <f t="shared" si="117"/>
        <v>0</v>
      </c>
      <c r="CT359" s="93">
        <f t="shared" si="102"/>
        <v>0</v>
      </c>
      <c r="EA359" s="93">
        <f t="shared" si="118"/>
        <v>0</v>
      </c>
      <c r="GO359" s="93">
        <f t="shared" si="103"/>
        <v>0</v>
      </c>
      <c r="HV359" s="93">
        <f t="shared" si="104"/>
        <v>0</v>
      </c>
    </row>
    <row r="360" spans="1:230" x14ac:dyDescent="0.5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46">
        <f t="shared" si="109"/>
        <v>0</v>
      </c>
      <c r="T360" s="46">
        <f t="shared" si="110"/>
        <v>0</v>
      </c>
      <c r="U360" s="46">
        <f t="shared" si="111"/>
        <v>0</v>
      </c>
      <c r="V360" s="46">
        <f t="shared" si="112"/>
        <v>0</v>
      </c>
      <c r="W360" s="46">
        <f t="shared" si="113"/>
        <v>0</v>
      </c>
      <c r="X360" s="46">
        <f t="shared" si="114"/>
        <v>0</v>
      </c>
      <c r="Y360" s="46">
        <f t="shared" si="115"/>
        <v>0</v>
      </c>
      <c r="Z360" s="148"/>
      <c r="AB360" s="95">
        <f>'LPLPO PROGRAM'!H173</f>
        <v>0</v>
      </c>
      <c r="BM360" s="93">
        <f t="shared" si="117"/>
        <v>0</v>
      </c>
      <c r="CT360" s="93">
        <f t="shared" si="102"/>
        <v>0</v>
      </c>
      <c r="EA360" s="93">
        <f t="shared" si="118"/>
        <v>0</v>
      </c>
      <c r="GO360" s="93">
        <f t="shared" si="103"/>
        <v>0</v>
      </c>
      <c r="HV360" s="93">
        <f t="shared" si="104"/>
        <v>0</v>
      </c>
    </row>
    <row r="361" spans="1:230" x14ac:dyDescent="0.5">
      <c r="Z361" s="41"/>
      <c r="CT361" s="93">
        <f t="shared" si="102"/>
        <v>0</v>
      </c>
      <c r="EA361" s="93">
        <f t="shared" si="118"/>
        <v>0</v>
      </c>
      <c r="GO361" s="93">
        <f t="shared" si="103"/>
        <v>0</v>
      </c>
    </row>
    <row r="362" spans="1:230" x14ac:dyDescent="0.5">
      <c r="Z362" s="41"/>
      <c r="CT362" s="93">
        <f t="shared" si="102"/>
        <v>0</v>
      </c>
      <c r="EA362" s="93">
        <f t="shared" si="118"/>
        <v>0</v>
      </c>
      <c r="GO362" s="93">
        <f t="shared" si="103"/>
        <v>0</v>
      </c>
    </row>
    <row r="363" spans="1:230" x14ac:dyDescent="0.5">
      <c r="Z363" s="41"/>
      <c r="GO363" s="93">
        <f t="shared" si="103"/>
        <v>0</v>
      </c>
    </row>
    <row r="364" spans="1:230" x14ac:dyDescent="0.5">
      <c r="Z364" s="41"/>
      <c r="GO364" s="93">
        <f t="shared" si="103"/>
        <v>0</v>
      </c>
    </row>
  </sheetData>
  <mergeCells count="49">
    <mergeCell ref="A4:B4"/>
    <mergeCell ref="R4:Y4"/>
    <mergeCell ref="A5:B5"/>
    <mergeCell ref="R7:R8"/>
    <mergeCell ref="S7:S8"/>
    <mergeCell ref="K7:K8"/>
    <mergeCell ref="L7:L8"/>
    <mergeCell ref="M7:M8"/>
    <mergeCell ref="F7:F8"/>
    <mergeCell ref="G7:G8"/>
    <mergeCell ref="H7:H8"/>
    <mergeCell ref="I7:I8"/>
    <mergeCell ref="D7:D8"/>
    <mergeCell ref="E7:E8"/>
    <mergeCell ref="V7:V8"/>
    <mergeCell ref="W7:W8"/>
    <mergeCell ref="AH7:BL8"/>
    <mergeCell ref="BM7:BM9"/>
    <mergeCell ref="AB7:AB9"/>
    <mergeCell ref="AC7:AC9"/>
    <mergeCell ref="Z7:Z8"/>
    <mergeCell ref="X7:X8"/>
    <mergeCell ref="Y7:Y8"/>
    <mergeCell ref="A7:A8"/>
    <mergeCell ref="B7:B8"/>
    <mergeCell ref="C7:C8"/>
    <mergeCell ref="J7:J8"/>
    <mergeCell ref="N7:N8"/>
    <mergeCell ref="O7:O8"/>
    <mergeCell ref="P7:P8"/>
    <mergeCell ref="Q7:Q8"/>
    <mergeCell ref="T7:T8"/>
    <mergeCell ref="U7:U8"/>
    <mergeCell ref="BO7:CS8"/>
    <mergeCell ref="CT7:CT9"/>
    <mergeCell ref="CV7:DZ8"/>
    <mergeCell ref="EA7:EA9"/>
    <mergeCell ref="EC7:FG8"/>
    <mergeCell ref="FH7:FH9"/>
    <mergeCell ref="FJ7:GN8"/>
    <mergeCell ref="GO7:GO9"/>
    <mergeCell ref="CU7:CU8"/>
    <mergeCell ref="EB7:EB8"/>
    <mergeCell ref="KJ7:KJ9"/>
    <mergeCell ref="GQ7:HU8"/>
    <mergeCell ref="HV7:HV9"/>
    <mergeCell ref="HX7:JB8"/>
    <mergeCell ref="JC7:JC9"/>
    <mergeCell ref="JE7:KI8"/>
  </mergeCells>
  <pageMargins left="0.23622047244094499" right="0.23622047244094499" top="0.74803149606299202" bottom="0.74803149606299202" header="0.31496062992126" footer="0.31496062992126"/>
  <pageSetup paperSize="5" scale="75" orientation="landscape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174"/>
  <sheetViews>
    <sheetView zoomScale="98" zoomScaleNormal="98" zoomScaleSheetLayoutView="110" workbookViewId="0">
      <selection activeCell="A2" sqref="A2:D2"/>
    </sheetView>
  </sheetViews>
  <sheetFormatPr defaultColWidth="9.1796875" defaultRowHeight="16.5" x14ac:dyDescent="0.45"/>
  <cols>
    <col min="1" max="1" width="5.453125" style="65" customWidth="1"/>
    <col min="2" max="2" width="43.7265625" style="65" customWidth="1"/>
    <col min="3" max="3" width="17.7265625" style="65" customWidth="1"/>
    <col min="4" max="4" width="20.7265625" style="65" customWidth="1"/>
    <col min="5" max="5" width="9.54296875" style="68" bestFit="1" customWidth="1"/>
    <col min="6" max="13" width="9.1796875" style="68"/>
    <col min="14" max="16384" width="9.1796875" style="65"/>
  </cols>
  <sheetData>
    <row r="1" spans="1:52" s="38" customFormat="1" ht="18" x14ac:dyDescent="0.5">
      <c r="A1" s="317" t="s">
        <v>315</v>
      </c>
      <c r="B1" s="317"/>
      <c r="C1" s="317"/>
      <c r="D1" s="317"/>
      <c r="E1" s="41"/>
      <c r="F1" s="41"/>
      <c r="G1" s="41"/>
      <c r="H1" s="41"/>
      <c r="I1" s="41"/>
      <c r="J1" s="41"/>
      <c r="K1" s="41"/>
      <c r="L1" s="41"/>
      <c r="M1" s="41"/>
      <c r="AB1" s="39"/>
    </row>
    <row r="2" spans="1:52" s="38" customFormat="1" ht="18" x14ac:dyDescent="0.5">
      <c r="A2" s="317" t="s">
        <v>451</v>
      </c>
      <c r="B2" s="317"/>
      <c r="C2" s="317"/>
      <c r="D2" s="317"/>
      <c r="E2" s="41"/>
      <c r="F2" s="41"/>
      <c r="G2" s="41"/>
      <c r="H2" s="41"/>
      <c r="I2" s="41"/>
      <c r="J2" s="41"/>
      <c r="K2" s="41"/>
      <c r="L2" s="41"/>
      <c r="M2" s="41"/>
      <c r="AB2" s="39"/>
    </row>
    <row r="3" spans="1:52" s="38" customFormat="1" ht="19.5" x14ac:dyDescent="0.6">
      <c r="A3" s="314"/>
      <c r="B3" s="314"/>
      <c r="C3" s="40"/>
      <c r="D3" s="62"/>
      <c r="E3" s="41"/>
      <c r="F3" s="41"/>
      <c r="G3" s="41"/>
      <c r="H3" s="41"/>
      <c r="I3" s="41"/>
      <c r="J3" s="41"/>
      <c r="K3" s="41"/>
      <c r="L3" s="41"/>
      <c r="M3" s="41"/>
      <c r="AB3" s="39"/>
    </row>
    <row r="4" spans="1:52" s="38" customFormat="1" ht="19.5" x14ac:dyDescent="0.6">
      <c r="A4" s="63" t="s">
        <v>444</v>
      </c>
      <c r="B4" s="63"/>
      <c r="C4" s="40"/>
      <c r="D4" s="62"/>
      <c r="E4" s="41"/>
      <c r="F4" s="41"/>
      <c r="G4" s="41"/>
      <c r="H4" s="41"/>
      <c r="I4" s="41"/>
      <c r="J4" s="41"/>
      <c r="K4" s="41"/>
      <c r="L4" s="41"/>
      <c r="M4" s="41"/>
      <c r="AB4" s="39"/>
    </row>
    <row r="5" spans="1:52" ht="19.5" customHeight="1" x14ac:dyDescent="0.45">
      <c r="A5" s="292" t="s">
        <v>0</v>
      </c>
      <c r="B5" s="293" t="s">
        <v>1</v>
      </c>
      <c r="C5" s="294" t="s">
        <v>2</v>
      </c>
      <c r="D5" s="318" t="s">
        <v>445</v>
      </c>
    </row>
    <row r="6" spans="1:52" ht="16.5" customHeight="1" x14ac:dyDescent="0.45">
      <c r="A6" s="292"/>
      <c r="B6" s="293"/>
      <c r="C6" s="294"/>
      <c r="D6" s="319"/>
    </row>
    <row r="7" spans="1:52" ht="19" x14ac:dyDescent="0.45">
      <c r="A7" s="99">
        <v>1</v>
      </c>
      <c r="B7" s="99">
        <v>2</v>
      </c>
      <c r="C7" s="99">
        <v>3</v>
      </c>
      <c r="D7" s="99">
        <v>4</v>
      </c>
    </row>
    <row r="8" spans="1:52" ht="20.149999999999999" customHeight="1" x14ac:dyDescent="0.45">
      <c r="A8" s="59">
        <v>1</v>
      </c>
      <c r="B8" s="141" t="s">
        <v>3</v>
      </c>
      <c r="C8" s="143" t="s">
        <v>4</v>
      </c>
      <c r="D8" s="46">
        <f>'LPLPO GUDANG'!H15</f>
        <v>0</v>
      </c>
      <c r="E8" s="86"/>
    </row>
    <row r="9" spans="1:52" ht="20.149999999999999" customHeight="1" x14ac:dyDescent="0.45">
      <c r="A9" s="59">
        <f>A8+1</f>
        <v>2</v>
      </c>
      <c r="B9" s="141" t="s">
        <v>5</v>
      </c>
      <c r="C9" s="143" t="s">
        <v>327</v>
      </c>
      <c r="D9" s="46">
        <f>'LPLPO GUDANG'!H16</f>
        <v>500</v>
      </c>
      <c r="E9" s="86"/>
    </row>
    <row r="10" spans="1:52" s="68" customFormat="1" ht="20.149999999999999" customHeight="1" x14ac:dyDescent="0.45">
      <c r="A10" s="59">
        <f t="shared" ref="A10:A73" si="0">A9+1</f>
        <v>3</v>
      </c>
      <c r="B10" s="141" t="s">
        <v>262</v>
      </c>
      <c r="C10" s="143" t="s">
        <v>48</v>
      </c>
      <c r="D10" s="46">
        <f>'LPLPO GUDANG'!H17</f>
        <v>15</v>
      </c>
      <c r="E10" s="8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</row>
    <row r="11" spans="1:52" s="68" customFormat="1" ht="20.149999999999999" customHeight="1" x14ac:dyDescent="0.45">
      <c r="A11" s="59">
        <f t="shared" si="0"/>
        <v>4</v>
      </c>
      <c r="B11" s="141" t="s">
        <v>7</v>
      </c>
      <c r="C11" s="143" t="s">
        <v>328</v>
      </c>
      <c r="D11" s="46">
        <f>'LPLPO GUDANG'!H18</f>
        <v>1800</v>
      </c>
      <c r="E11" s="86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</row>
    <row r="12" spans="1:52" s="68" customFormat="1" ht="20.149999999999999" customHeight="1" x14ac:dyDescent="0.45">
      <c r="A12" s="59">
        <f t="shared" si="0"/>
        <v>5</v>
      </c>
      <c r="B12" s="141" t="s">
        <v>317</v>
      </c>
      <c r="C12" s="143" t="s">
        <v>6</v>
      </c>
      <c r="D12" s="46">
        <f>'LPLPO GUDANG'!H19</f>
        <v>1800</v>
      </c>
      <c r="E12" s="86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</row>
    <row r="13" spans="1:52" s="68" customFormat="1" ht="20.149999999999999" customHeight="1" x14ac:dyDescent="0.45">
      <c r="A13" s="59">
        <f t="shared" si="0"/>
        <v>6</v>
      </c>
      <c r="B13" s="141" t="s">
        <v>8</v>
      </c>
      <c r="C13" s="143" t="s">
        <v>48</v>
      </c>
      <c r="D13" s="46">
        <f>'LPLPO GUDANG'!H20</f>
        <v>135</v>
      </c>
      <c r="E13" s="86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</row>
    <row r="14" spans="1:52" s="68" customFormat="1" ht="20.149999999999999" customHeight="1" x14ac:dyDescent="0.45">
      <c r="A14" s="59">
        <f t="shared" si="0"/>
        <v>7</v>
      </c>
      <c r="B14" s="141" t="s">
        <v>9</v>
      </c>
      <c r="C14" s="143" t="s">
        <v>329</v>
      </c>
      <c r="D14" s="46">
        <f>'LPLPO GUDANG'!H21</f>
        <v>3100</v>
      </c>
      <c r="E14" s="86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</row>
    <row r="15" spans="1:52" s="68" customFormat="1" ht="20.149999999999999" customHeight="1" x14ac:dyDescent="0.45">
      <c r="A15" s="59">
        <f t="shared" si="0"/>
        <v>8</v>
      </c>
      <c r="B15" s="141" t="s">
        <v>250</v>
      </c>
      <c r="C15" s="143" t="s">
        <v>4</v>
      </c>
      <c r="D15" s="46">
        <f>'LPLPO GUDANG'!H22</f>
        <v>0</v>
      </c>
      <c r="E15" s="86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</row>
    <row r="16" spans="1:52" s="68" customFormat="1" ht="30" x14ac:dyDescent="0.45">
      <c r="A16" s="59">
        <f t="shared" si="0"/>
        <v>9</v>
      </c>
      <c r="B16" s="141" t="s">
        <v>10</v>
      </c>
      <c r="C16" s="143" t="s">
        <v>319</v>
      </c>
      <c r="D16" s="46">
        <f>'LPLPO GUDANG'!H23</f>
        <v>80</v>
      </c>
      <c r="E16" s="86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</row>
    <row r="17" spans="1:52" s="68" customFormat="1" ht="30" x14ac:dyDescent="0.45">
      <c r="A17" s="59">
        <f t="shared" si="0"/>
        <v>10</v>
      </c>
      <c r="B17" s="141" t="s">
        <v>10</v>
      </c>
      <c r="C17" s="143" t="s">
        <v>327</v>
      </c>
      <c r="D17" s="46">
        <f>'LPLPO GUDANG'!H24</f>
        <v>1900</v>
      </c>
      <c r="E17" s="86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</row>
    <row r="18" spans="1:52" s="68" customFormat="1" ht="18" x14ac:dyDescent="0.45">
      <c r="A18" s="59">
        <f t="shared" si="0"/>
        <v>11</v>
      </c>
      <c r="B18" s="141" t="s">
        <v>259</v>
      </c>
      <c r="C18" s="143" t="s">
        <v>4</v>
      </c>
      <c r="D18" s="46">
        <f>'LPLPO GUDANG'!H25</f>
        <v>0</v>
      </c>
      <c r="E18" s="86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</row>
    <row r="19" spans="1:52" s="68" customFormat="1" ht="45" x14ac:dyDescent="0.45">
      <c r="A19" s="59">
        <f t="shared" si="0"/>
        <v>12</v>
      </c>
      <c r="B19" s="141" t="s">
        <v>11</v>
      </c>
      <c r="C19" s="143" t="s">
        <v>330</v>
      </c>
      <c r="D19" s="46">
        <f>'LPLPO GUDANG'!H26</f>
        <v>20</v>
      </c>
      <c r="E19" s="86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</row>
    <row r="20" spans="1:52" s="68" customFormat="1" ht="20.149999999999999" customHeight="1" x14ac:dyDescent="0.45">
      <c r="A20" s="59">
        <f t="shared" si="0"/>
        <v>13</v>
      </c>
      <c r="B20" s="141" t="s">
        <v>12</v>
      </c>
      <c r="C20" s="143" t="s">
        <v>327</v>
      </c>
      <c r="D20" s="46">
        <f>'LPLPO GUDANG'!H27</f>
        <v>0</v>
      </c>
      <c r="E20" s="86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</row>
    <row r="21" spans="1:52" s="68" customFormat="1" ht="20.149999999999999" customHeight="1" x14ac:dyDescent="0.45">
      <c r="A21" s="59">
        <f t="shared" si="0"/>
        <v>14</v>
      </c>
      <c r="B21" s="141" t="s">
        <v>277</v>
      </c>
      <c r="C21" s="143" t="s">
        <v>327</v>
      </c>
      <c r="D21" s="46">
        <f>'LPLPO GUDANG'!H28</f>
        <v>0</v>
      </c>
      <c r="E21" s="86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</row>
    <row r="22" spans="1:52" s="68" customFormat="1" ht="20.149999999999999" customHeight="1" x14ac:dyDescent="0.45">
      <c r="A22" s="59">
        <f t="shared" si="0"/>
        <v>15</v>
      </c>
      <c r="B22" s="141" t="s">
        <v>13</v>
      </c>
      <c r="C22" s="143" t="s">
        <v>327</v>
      </c>
      <c r="D22" s="46">
        <f>'LPLPO GUDANG'!H29</f>
        <v>0</v>
      </c>
      <c r="E22" s="86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</row>
    <row r="23" spans="1:52" s="68" customFormat="1" ht="20.149999999999999" customHeight="1" x14ac:dyDescent="0.45">
      <c r="A23" s="59">
        <f t="shared" si="0"/>
        <v>16</v>
      </c>
      <c r="B23" s="141" t="s">
        <v>14</v>
      </c>
      <c r="C23" s="143" t="s">
        <v>327</v>
      </c>
      <c r="D23" s="46">
        <f>'LPLPO GUDANG'!H30</f>
        <v>1000</v>
      </c>
      <c r="E23" s="86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</row>
    <row r="24" spans="1:52" s="68" customFormat="1" ht="20.149999999999999" customHeight="1" x14ac:dyDescent="0.45">
      <c r="A24" s="59">
        <f t="shared" si="0"/>
        <v>17</v>
      </c>
      <c r="B24" s="141" t="s">
        <v>15</v>
      </c>
      <c r="C24" s="143" t="s">
        <v>4</v>
      </c>
      <c r="D24" s="46">
        <f>'LPLPO GUDANG'!H31</f>
        <v>0</v>
      </c>
      <c r="E24" s="86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</row>
    <row r="25" spans="1:52" s="68" customFormat="1" ht="20.149999999999999" customHeight="1" x14ac:dyDescent="0.45">
      <c r="A25" s="59">
        <f t="shared" si="0"/>
        <v>18</v>
      </c>
      <c r="B25" s="141" t="s">
        <v>320</v>
      </c>
      <c r="C25" s="143" t="s">
        <v>331</v>
      </c>
      <c r="D25" s="46">
        <f>'LPLPO GUDANG'!H32</f>
        <v>25</v>
      </c>
      <c r="E25" s="86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</row>
    <row r="26" spans="1:52" s="68" customFormat="1" ht="20.149999999999999" customHeight="1" x14ac:dyDescent="0.45">
      <c r="A26" s="59">
        <f t="shared" si="0"/>
        <v>19</v>
      </c>
      <c r="B26" s="141" t="s">
        <v>17</v>
      </c>
      <c r="C26" s="143" t="s">
        <v>332</v>
      </c>
      <c r="D26" s="46">
        <f>'LPLPO GUDANG'!H33</f>
        <v>1000</v>
      </c>
      <c r="E26" s="86"/>
    </row>
    <row r="27" spans="1:52" s="68" customFormat="1" ht="20.149999999999999" customHeight="1" x14ac:dyDescent="0.45">
      <c r="A27" s="59">
        <f t="shared" si="0"/>
        <v>20</v>
      </c>
      <c r="B27" s="141" t="s">
        <v>18</v>
      </c>
      <c r="C27" s="143" t="s">
        <v>333</v>
      </c>
      <c r="D27" s="46">
        <f>'LPLPO GUDANG'!H34</f>
        <v>800</v>
      </c>
      <c r="E27" s="86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</row>
    <row r="28" spans="1:52" s="68" customFormat="1" ht="20.149999999999999" customHeight="1" x14ac:dyDescent="0.45">
      <c r="A28" s="59">
        <f t="shared" si="0"/>
        <v>21</v>
      </c>
      <c r="B28" s="60" t="s">
        <v>412</v>
      </c>
      <c r="C28" s="213" t="s">
        <v>6</v>
      </c>
      <c r="D28" s="46">
        <f>'LPLPO GUDANG'!H35</f>
        <v>3000</v>
      </c>
      <c r="E28" s="86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</row>
    <row r="29" spans="1:52" s="68" customFormat="1" ht="20.149999999999999" customHeight="1" x14ac:dyDescent="0.45">
      <c r="A29" s="59">
        <f t="shared" si="0"/>
        <v>22</v>
      </c>
      <c r="B29" s="141" t="s">
        <v>19</v>
      </c>
      <c r="C29" s="143" t="s">
        <v>4</v>
      </c>
      <c r="D29" s="46">
        <f>'LPLPO GUDANG'!H36</f>
        <v>0</v>
      </c>
      <c r="E29" s="86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</row>
    <row r="30" spans="1:52" s="68" customFormat="1" ht="20.149999999999999" customHeight="1" x14ac:dyDescent="0.45">
      <c r="A30" s="59">
        <f t="shared" si="0"/>
        <v>23</v>
      </c>
      <c r="B30" s="141" t="s">
        <v>260</v>
      </c>
      <c r="C30" s="143" t="s">
        <v>254</v>
      </c>
      <c r="D30" s="46">
        <f>'LPLPO GUDANG'!H37</f>
        <v>0</v>
      </c>
      <c r="E30" s="86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</row>
    <row r="31" spans="1:52" s="68" customFormat="1" ht="20.149999999999999" customHeight="1" x14ac:dyDescent="0.45">
      <c r="A31" s="59">
        <f t="shared" si="0"/>
        <v>24</v>
      </c>
      <c r="B31" s="141" t="s">
        <v>104</v>
      </c>
      <c r="C31" s="143" t="s">
        <v>334</v>
      </c>
      <c r="D31" s="46">
        <f>'LPLPO GUDANG'!H38</f>
        <v>0</v>
      </c>
      <c r="E31" s="86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</row>
    <row r="32" spans="1:52" s="68" customFormat="1" ht="20.149999999999999" customHeight="1" x14ac:dyDescent="0.45">
      <c r="A32" s="59">
        <f t="shared" si="0"/>
        <v>25</v>
      </c>
      <c r="B32" s="141" t="s">
        <v>20</v>
      </c>
      <c r="C32" s="143" t="s">
        <v>335</v>
      </c>
      <c r="D32" s="46">
        <f>'LPLPO GUDANG'!H39</f>
        <v>60</v>
      </c>
      <c r="E32" s="86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</row>
    <row r="33" spans="1:52" s="68" customFormat="1" ht="20.149999999999999" customHeight="1" x14ac:dyDescent="0.45">
      <c r="A33" s="59">
        <f t="shared" si="0"/>
        <v>26</v>
      </c>
      <c r="B33" s="141" t="s">
        <v>22</v>
      </c>
      <c r="C33" s="143" t="s">
        <v>330</v>
      </c>
      <c r="D33" s="46">
        <f>'LPLPO GUDANG'!H40</f>
        <v>0</v>
      </c>
      <c r="E33" s="86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</row>
    <row r="34" spans="1:52" s="68" customFormat="1" ht="20.149999999999999" customHeight="1" x14ac:dyDescent="0.45">
      <c r="A34" s="59">
        <f t="shared" si="0"/>
        <v>27</v>
      </c>
      <c r="B34" s="141" t="s">
        <v>21</v>
      </c>
      <c r="C34" s="143" t="s">
        <v>330</v>
      </c>
      <c r="D34" s="46">
        <f>'LPLPO GUDANG'!H41</f>
        <v>0</v>
      </c>
      <c r="E34" s="86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</row>
    <row r="35" spans="1:52" s="68" customFormat="1" ht="20.149999999999999" customHeight="1" x14ac:dyDescent="0.45">
      <c r="A35" s="59">
        <f t="shared" si="0"/>
        <v>28</v>
      </c>
      <c r="B35" s="141" t="s">
        <v>23</v>
      </c>
      <c r="C35" s="143" t="s">
        <v>336</v>
      </c>
      <c r="D35" s="46">
        <f>'LPLPO GUDANG'!H42</f>
        <v>0</v>
      </c>
      <c r="E35" s="86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</row>
    <row r="36" spans="1:52" s="68" customFormat="1" ht="20.149999999999999" customHeight="1" x14ac:dyDescent="0.45">
      <c r="A36" s="59">
        <f t="shared" si="0"/>
        <v>29</v>
      </c>
      <c r="B36" s="141" t="s">
        <v>25</v>
      </c>
      <c r="C36" s="143" t="s">
        <v>327</v>
      </c>
      <c r="D36" s="46">
        <f>'LPLPO GUDANG'!H43</f>
        <v>0</v>
      </c>
      <c r="E36" s="86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</row>
    <row r="37" spans="1:52" s="68" customFormat="1" ht="20.149999999999999" customHeight="1" x14ac:dyDescent="0.45">
      <c r="A37" s="59">
        <f t="shared" si="0"/>
        <v>30</v>
      </c>
      <c r="B37" s="141" t="s">
        <v>24</v>
      </c>
      <c r="C37" s="143" t="s">
        <v>4</v>
      </c>
      <c r="D37" s="46">
        <f>'LPLPO GUDANG'!H44</f>
        <v>100</v>
      </c>
      <c r="E37" s="86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</row>
    <row r="38" spans="1:52" s="68" customFormat="1" ht="20.149999999999999" customHeight="1" x14ac:dyDescent="0.45">
      <c r="A38" s="59">
        <f t="shared" si="0"/>
        <v>31</v>
      </c>
      <c r="B38" s="141" t="s">
        <v>26</v>
      </c>
      <c r="C38" s="143" t="s">
        <v>48</v>
      </c>
      <c r="D38" s="46">
        <f>'LPLPO GUDANG'!H45</f>
        <v>0</v>
      </c>
      <c r="E38" s="86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</row>
    <row r="39" spans="1:52" s="68" customFormat="1" ht="20.149999999999999" customHeight="1" x14ac:dyDescent="0.45">
      <c r="A39" s="59">
        <f t="shared" si="0"/>
        <v>32</v>
      </c>
      <c r="B39" s="141" t="s">
        <v>27</v>
      </c>
      <c r="C39" s="143" t="s">
        <v>337</v>
      </c>
      <c r="D39" s="46">
        <f>'LPLPO GUDANG'!H46</f>
        <v>5</v>
      </c>
      <c r="E39" s="86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</row>
    <row r="40" spans="1:52" s="68" customFormat="1" ht="20.149999999999999" customHeight="1" x14ac:dyDescent="0.45">
      <c r="A40" s="59">
        <f t="shared" si="0"/>
        <v>33</v>
      </c>
      <c r="B40" s="141" t="s">
        <v>28</v>
      </c>
      <c r="C40" s="143" t="s">
        <v>338</v>
      </c>
      <c r="D40" s="46">
        <f>'LPLPO GUDANG'!H47</f>
        <v>0</v>
      </c>
      <c r="E40" s="86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</row>
    <row r="41" spans="1:52" s="68" customFormat="1" ht="20.149999999999999" customHeight="1" x14ac:dyDescent="0.45">
      <c r="A41" s="59">
        <f t="shared" si="0"/>
        <v>34</v>
      </c>
      <c r="B41" s="141" t="s">
        <v>29</v>
      </c>
      <c r="C41" s="143" t="s">
        <v>339</v>
      </c>
      <c r="D41" s="46">
        <f>'LPLPO GUDANG'!H48</f>
        <v>0</v>
      </c>
      <c r="E41" s="86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</row>
    <row r="42" spans="1:52" s="68" customFormat="1" ht="20.149999999999999" customHeight="1" x14ac:dyDescent="0.45">
      <c r="A42" s="59">
        <f t="shared" si="0"/>
        <v>35</v>
      </c>
      <c r="B42" s="141" t="s">
        <v>30</v>
      </c>
      <c r="C42" s="143" t="s">
        <v>337</v>
      </c>
      <c r="D42" s="46">
        <f>'LPLPO GUDANG'!H49</f>
        <v>20</v>
      </c>
      <c r="E42" s="86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</row>
    <row r="43" spans="1:52" s="68" customFormat="1" ht="20.149999999999999" customHeight="1" x14ac:dyDescent="0.45">
      <c r="A43" s="59">
        <f t="shared" si="0"/>
        <v>36</v>
      </c>
      <c r="B43" s="141" t="s">
        <v>31</v>
      </c>
      <c r="C43" s="143" t="s">
        <v>327</v>
      </c>
      <c r="D43" s="46">
        <f>'LPLPO GUDANG'!H50</f>
        <v>0</v>
      </c>
      <c r="E43" s="86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</row>
    <row r="44" spans="1:52" s="68" customFormat="1" ht="20.149999999999999" customHeight="1" x14ac:dyDescent="0.45">
      <c r="A44" s="59">
        <f t="shared" si="0"/>
        <v>37</v>
      </c>
      <c r="B44" s="141" t="s">
        <v>32</v>
      </c>
      <c r="C44" s="143" t="s">
        <v>340</v>
      </c>
      <c r="D44" s="46">
        <f>'LPLPO GUDANG'!H51</f>
        <v>200</v>
      </c>
      <c r="E44" s="86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</row>
    <row r="45" spans="1:52" s="68" customFormat="1" ht="20.149999999999999" customHeight="1" x14ac:dyDescent="0.45">
      <c r="A45" s="59">
        <f t="shared" si="0"/>
        <v>38</v>
      </c>
      <c r="B45" s="141" t="s">
        <v>34</v>
      </c>
      <c r="C45" s="143" t="s">
        <v>48</v>
      </c>
      <c r="D45" s="46">
        <f>'LPLPO GUDANG'!H52</f>
        <v>85</v>
      </c>
      <c r="E45" s="86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</row>
    <row r="46" spans="1:52" s="68" customFormat="1" ht="20.149999999999999" customHeight="1" x14ac:dyDescent="0.45">
      <c r="A46" s="59">
        <f t="shared" si="0"/>
        <v>39</v>
      </c>
      <c r="B46" s="141" t="s">
        <v>35</v>
      </c>
      <c r="C46" s="143" t="s">
        <v>4</v>
      </c>
      <c r="D46" s="46">
        <f>'LPLPO GUDANG'!H53</f>
        <v>15</v>
      </c>
      <c r="E46" s="86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</row>
    <row r="47" spans="1:52" s="68" customFormat="1" ht="20.149999999999999" customHeight="1" x14ac:dyDescent="0.45">
      <c r="A47" s="59">
        <f t="shared" si="0"/>
        <v>40</v>
      </c>
      <c r="B47" s="141" t="s">
        <v>282</v>
      </c>
      <c r="C47" s="143" t="s">
        <v>48</v>
      </c>
      <c r="D47" s="46">
        <f>'LPLPO GUDANG'!H54</f>
        <v>0</v>
      </c>
      <c r="E47" s="86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</row>
    <row r="48" spans="1:52" s="68" customFormat="1" ht="20.149999999999999" customHeight="1" x14ac:dyDescent="0.45">
      <c r="A48" s="59">
        <f t="shared" si="0"/>
        <v>41</v>
      </c>
      <c r="B48" s="141" t="s">
        <v>36</v>
      </c>
      <c r="C48" s="143" t="s">
        <v>341</v>
      </c>
      <c r="D48" s="46">
        <f>'LPLPO GUDANG'!H55</f>
        <v>0</v>
      </c>
      <c r="E48" s="86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</row>
    <row r="49" spans="1:52" s="68" customFormat="1" ht="20.149999999999999" customHeight="1" x14ac:dyDescent="0.45">
      <c r="A49" s="59">
        <f t="shared" si="0"/>
        <v>42</v>
      </c>
      <c r="B49" s="141" t="s">
        <v>38</v>
      </c>
      <c r="C49" s="143" t="s">
        <v>337</v>
      </c>
      <c r="D49" s="46">
        <f>'LPLPO GUDANG'!H56</f>
        <v>0</v>
      </c>
      <c r="E49" s="86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</row>
    <row r="50" spans="1:52" s="68" customFormat="1" ht="20.149999999999999" customHeight="1" x14ac:dyDescent="0.45">
      <c r="A50" s="59">
        <f t="shared" si="0"/>
        <v>43</v>
      </c>
      <c r="B50" s="141" t="s">
        <v>37</v>
      </c>
      <c r="C50" s="143" t="s">
        <v>327</v>
      </c>
      <c r="D50" s="46">
        <f>'LPLPO GUDANG'!H57</f>
        <v>500</v>
      </c>
      <c r="E50" s="86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</row>
    <row r="51" spans="1:52" s="68" customFormat="1" ht="20.149999999999999" customHeight="1" x14ac:dyDescent="0.45">
      <c r="A51" s="59">
        <f t="shared" si="0"/>
        <v>44</v>
      </c>
      <c r="B51" s="141" t="s">
        <v>261</v>
      </c>
      <c r="C51" s="143" t="s">
        <v>337</v>
      </c>
      <c r="D51" s="46">
        <f>'LPLPO GUDANG'!H58</f>
        <v>0</v>
      </c>
      <c r="E51" s="86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</row>
    <row r="52" spans="1:52" s="68" customFormat="1" ht="20.149999999999999" customHeight="1" x14ac:dyDescent="0.45">
      <c r="A52" s="59">
        <f t="shared" si="0"/>
        <v>45</v>
      </c>
      <c r="B52" s="141" t="s">
        <v>39</v>
      </c>
      <c r="C52" s="143" t="s">
        <v>342</v>
      </c>
      <c r="D52" s="46">
        <f>'LPLPO GUDANG'!H59</f>
        <v>0</v>
      </c>
      <c r="E52" s="86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</row>
    <row r="53" spans="1:52" s="68" customFormat="1" ht="20.149999999999999" customHeight="1" x14ac:dyDescent="0.45">
      <c r="A53" s="59">
        <f t="shared" si="0"/>
        <v>46</v>
      </c>
      <c r="B53" s="141" t="s">
        <v>40</v>
      </c>
      <c r="C53" s="143" t="s">
        <v>177</v>
      </c>
      <c r="D53" s="46">
        <f>'LPLPO GUDANG'!H60</f>
        <v>0</v>
      </c>
      <c r="E53" s="86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</row>
    <row r="54" spans="1:52" s="68" customFormat="1" ht="20.149999999999999" customHeight="1" x14ac:dyDescent="0.45">
      <c r="A54" s="59">
        <f t="shared" si="0"/>
        <v>47</v>
      </c>
      <c r="B54" s="141" t="s">
        <v>265</v>
      </c>
      <c r="C54" s="143" t="s">
        <v>343</v>
      </c>
      <c r="D54" s="46">
        <f>'LPLPO GUDANG'!H61</f>
        <v>0</v>
      </c>
      <c r="E54" s="86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</row>
    <row r="55" spans="1:52" s="68" customFormat="1" ht="18" x14ac:dyDescent="0.45">
      <c r="A55" s="59">
        <f t="shared" si="0"/>
        <v>48</v>
      </c>
      <c r="B55" s="141" t="s">
        <v>41</v>
      </c>
      <c r="C55" s="143" t="s">
        <v>327</v>
      </c>
      <c r="D55" s="46">
        <f>'LPLPO GUDANG'!H62</f>
        <v>500</v>
      </c>
      <c r="E55" s="86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</row>
    <row r="56" spans="1:52" s="68" customFormat="1" ht="20.149999999999999" customHeight="1" x14ac:dyDescent="0.45">
      <c r="A56" s="59">
        <f t="shared" si="0"/>
        <v>49</v>
      </c>
      <c r="B56" s="141" t="s">
        <v>105</v>
      </c>
      <c r="C56" s="143" t="s">
        <v>327</v>
      </c>
      <c r="D56" s="46">
        <f>'LPLPO GUDANG'!H63</f>
        <v>0</v>
      </c>
      <c r="E56" s="86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</row>
    <row r="57" spans="1:52" s="68" customFormat="1" ht="20.149999999999999" customHeight="1" x14ac:dyDescent="0.45">
      <c r="A57" s="59">
        <f t="shared" si="0"/>
        <v>50</v>
      </c>
      <c r="B57" s="141" t="s">
        <v>42</v>
      </c>
      <c r="C57" s="143" t="s">
        <v>321</v>
      </c>
      <c r="D57" s="46">
        <f>'LPLPO GUDANG'!H64</f>
        <v>40</v>
      </c>
      <c r="E57" s="86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</row>
    <row r="58" spans="1:52" s="68" customFormat="1" ht="20.149999999999999" customHeight="1" x14ac:dyDescent="0.45">
      <c r="A58" s="59">
        <f t="shared" si="0"/>
        <v>51</v>
      </c>
      <c r="B58" s="141" t="s">
        <v>43</v>
      </c>
      <c r="C58" s="143" t="s">
        <v>327</v>
      </c>
      <c r="D58" s="46">
        <f>'LPLPO GUDANG'!H65</f>
        <v>1000</v>
      </c>
      <c r="E58" s="86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</row>
    <row r="59" spans="1:52" s="68" customFormat="1" ht="20.149999999999999" customHeight="1" x14ac:dyDescent="0.45">
      <c r="A59" s="59">
        <f t="shared" si="0"/>
        <v>52</v>
      </c>
      <c r="B59" s="141" t="s">
        <v>44</v>
      </c>
      <c r="C59" s="143" t="s">
        <v>327</v>
      </c>
      <c r="D59" s="46">
        <f>'LPLPO GUDANG'!H66</f>
        <v>0</v>
      </c>
      <c r="E59" s="86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</row>
    <row r="60" spans="1:52" s="68" customFormat="1" ht="20.149999999999999" customHeight="1" x14ac:dyDescent="0.45">
      <c r="A60" s="59">
        <f t="shared" si="0"/>
        <v>53</v>
      </c>
      <c r="B60" s="141" t="s">
        <v>45</v>
      </c>
      <c r="C60" s="143" t="s">
        <v>335</v>
      </c>
      <c r="D60" s="46">
        <f>'LPLPO GUDANG'!H67</f>
        <v>72</v>
      </c>
      <c r="E60" s="86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</row>
    <row r="61" spans="1:52" s="68" customFormat="1" ht="20.149999999999999" customHeight="1" x14ac:dyDescent="0.45">
      <c r="A61" s="59">
        <f t="shared" si="0"/>
        <v>54</v>
      </c>
      <c r="B61" s="141" t="s">
        <v>46</v>
      </c>
      <c r="C61" s="143" t="s">
        <v>344</v>
      </c>
      <c r="D61" s="46">
        <f>'LPLPO GUDANG'!H68</f>
        <v>0</v>
      </c>
      <c r="E61" s="86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</row>
    <row r="62" spans="1:52" s="68" customFormat="1" ht="18" x14ac:dyDescent="0.45">
      <c r="A62" s="59">
        <f t="shared" si="0"/>
        <v>55</v>
      </c>
      <c r="B62" s="141" t="s">
        <v>47</v>
      </c>
      <c r="C62" s="143" t="s">
        <v>48</v>
      </c>
      <c r="D62" s="46">
        <f>'LPLPO GUDANG'!H69</f>
        <v>90</v>
      </c>
      <c r="E62" s="86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</row>
    <row r="63" spans="1:52" s="68" customFormat="1" ht="20.149999999999999" customHeight="1" x14ac:dyDescent="0.45">
      <c r="A63" s="59">
        <f t="shared" si="0"/>
        <v>56</v>
      </c>
      <c r="B63" s="141" t="s">
        <v>49</v>
      </c>
      <c r="C63" s="143" t="s">
        <v>341</v>
      </c>
      <c r="D63" s="46">
        <f>'LPLPO GUDANG'!H70</f>
        <v>500</v>
      </c>
      <c r="E63" s="86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</row>
    <row r="64" spans="1:52" s="68" customFormat="1" ht="20.149999999999999" customHeight="1" x14ac:dyDescent="0.45">
      <c r="A64" s="59">
        <f t="shared" si="0"/>
        <v>57</v>
      </c>
      <c r="B64" s="141" t="s">
        <v>50</v>
      </c>
      <c r="C64" s="143" t="s">
        <v>327</v>
      </c>
      <c r="D64" s="46">
        <f>'LPLPO GUDANG'!H71</f>
        <v>0</v>
      </c>
      <c r="E64" s="86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</row>
    <row r="65" spans="1:52" s="68" customFormat="1" ht="20.149999999999999" customHeight="1" x14ac:dyDescent="0.45">
      <c r="A65" s="59">
        <f t="shared" si="0"/>
        <v>58</v>
      </c>
      <c r="B65" s="141" t="s">
        <v>51</v>
      </c>
      <c r="C65" s="143" t="s">
        <v>327</v>
      </c>
      <c r="D65" s="46">
        <f>'LPLPO GUDANG'!H72</f>
        <v>0</v>
      </c>
      <c r="E65" s="86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</row>
    <row r="66" spans="1:52" s="68" customFormat="1" ht="20.149999999999999" customHeight="1" x14ac:dyDescent="0.45">
      <c r="A66" s="59">
        <f t="shared" si="0"/>
        <v>59</v>
      </c>
      <c r="B66" s="141" t="s">
        <v>251</v>
      </c>
      <c r="C66" s="143" t="s">
        <v>327</v>
      </c>
      <c r="D66" s="46">
        <f>'LPLPO GUDANG'!H73</f>
        <v>0</v>
      </c>
      <c r="E66" s="86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</row>
    <row r="67" spans="1:52" s="68" customFormat="1" ht="20.149999999999999" customHeight="1" x14ac:dyDescent="0.45">
      <c r="A67" s="59">
        <f t="shared" si="0"/>
        <v>60</v>
      </c>
      <c r="B67" s="141" t="s">
        <v>52</v>
      </c>
      <c r="C67" s="143" t="s">
        <v>327</v>
      </c>
      <c r="D67" s="46">
        <f>'LPLPO GUDANG'!H74</f>
        <v>500</v>
      </c>
      <c r="E67" s="86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</row>
    <row r="68" spans="1:52" s="68" customFormat="1" ht="20.149999999999999" customHeight="1" x14ac:dyDescent="0.45">
      <c r="A68" s="59">
        <f t="shared" si="0"/>
        <v>61</v>
      </c>
      <c r="B68" s="141" t="s">
        <v>53</v>
      </c>
      <c r="C68" s="143" t="s">
        <v>48</v>
      </c>
      <c r="D68" s="46">
        <f>'LPLPO GUDANG'!H75</f>
        <v>24</v>
      </c>
      <c r="E68" s="86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</row>
    <row r="69" spans="1:52" s="68" customFormat="1" ht="18" x14ac:dyDescent="0.45">
      <c r="A69" s="59">
        <f t="shared" si="0"/>
        <v>62</v>
      </c>
      <c r="B69" s="141" t="s">
        <v>54</v>
      </c>
      <c r="C69" s="143" t="s">
        <v>332</v>
      </c>
      <c r="D69" s="46">
        <f>'LPLPO GUDANG'!H76</f>
        <v>400</v>
      </c>
      <c r="E69" s="86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</row>
    <row r="70" spans="1:52" s="68" customFormat="1" ht="20.149999999999999" customHeight="1" x14ac:dyDescent="0.45">
      <c r="A70" s="59">
        <f t="shared" si="0"/>
        <v>63</v>
      </c>
      <c r="B70" s="141" t="s">
        <v>252</v>
      </c>
      <c r="C70" s="143" t="s">
        <v>340</v>
      </c>
      <c r="D70" s="46">
        <f>'LPLPO GUDANG'!H77</f>
        <v>200</v>
      </c>
      <c r="E70" s="86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</row>
    <row r="71" spans="1:52" s="68" customFormat="1" ht="20.149999999999999" customHeight="1" x14ac:dyDescent="0.45">
      <c r="A71" s="59">
        <f t="shared" si="0"/>
        <v>64</v>
      </c>
      <c r="B71" s="141" t="s">
        <v>55</v>
      </c>
      <c r="C71" s="143" t="s">
        <v>346</v>
      </c>
      <c r="D71" s="46">
        <f>'LPLPO GUDANG'!H78</f>
        <v>65</v>
      </c>
      <c r="E71" s="86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</row>
    <row r="72" spans="1:52" s="68" customFormat="1" ht="18" x14ac:dyDescent="0.45">
      <c r="A72" s="59">
        <f t="shared" si="0"/>
        <v>65</v>
      </c>
      <c r="B72" s="141" t="s">
        <v>56</v>
      </c>
      <c r="C72" s="143" t="s">
        <v>347</v>
      </c>
      <c r="D72" s="46">
        <f>'LPLPO GUDANG'!H79</f>
        <v>24</v>
      </c>
      <c r="E72" s="86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</row>
    <row r="73" spans="1:52" s="68" customFormat="1" ht="18" x14ac:dyDescent="0.45">
      <c r="A73" s="59">
        <f t="shared" si="0"/>
        <v>66</v>
      </c>
      <c r="B73" s="141" t="s">
        <v>57</v>
      </c>
      <c r="C73" s="143" t="s">
        <v>48</v>
      </c>
      <c r="D73" s="46">
        <f>'LPLPO GUDANG'!H80</f>
        <v>0</v>
      </c>
      <c r="E73" s="86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</row>
    <row r="74" spans="1:52" s="68" customFormat="1" ht="18" x14ac:dyDescent="0.45">
      <c r="A74" s="59">
        <f t="shared" ref="A74:A137" si="1">A73+1</f>
        <v>67</v>
      </c>
      <c r="B74" s="141" t="s">
        <v>59</v>
      </c>
      <c r="C74" s="143" t="s">
        <v>48</v>
      </c>
      <c r="D74" s="46">
        <f>'LPLPO GUDANG'!H81</f>
        <v>0</v>
      </c>
      <c r="E74" s="86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</row>
    <row r="75" spans="1:52" s="68" customFormat="1" ht="20.149999999999999" customHeight="1" x14ac:dyDescent="0.45">
      <c r="A75" s="59">
        <f t="shared" si="1"/>
        <v>68</v>
      </c>
      <c r="B75" s="141" t="s">
        <v>58</v>
      </c>
      <c r="C75" s="143" t="s">
        <v>48</v>
      </c>
      <c r="D75" s="46">
        <f>'LPLPO GUDANG'!H82</f>
        <v>0</v>
      </c>
      <c r="E75" s="86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</row>
    <row r="76" spans="1:52" s="68" customFormat="1" ht="18" x14ac:dyDescent="0.45">
      <c r="A76" s="59">
        <f t="shared" si="1"/>
        <v>69</v>
      </c>
      <c r="B76" s="141" t="s">
        <v>60</v>
      </c>
      <c r="C76" s="143" t="s">
        <v>327</v>
      </c>
      <c r="D76" s="46">
        <f>'LPLPO GUDANG'!H83</f>
        <v>1000</v>
      </c>
      <c r="E76" s="86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</row>
    <row r="77" spans="1:52" s="68" customFormat="1" ht="18" x14ac:dyDescent="0.45">
      <c r="A77" s="59">
        <f t="shared" si="1"/>
        <v>70</v>
      </c>
      <c r="B77" s="141" t="s">
        <v>280</v>
      </c>
      <c r="C77" s="143" t="s">
        <v>327</v>
      </c>
      <c r="D77" s="46">
        <f>'LPLPO GUDANG'!H84</f>
        <v>1000</v>
      </c>
      <c r="E77" s="86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</row>
    <row r="78" spans="1:52" s="68" customFormat="1" ht="20.149999999999999" customHeight="1" x14ac:dyDescent="0.45">
      <c r="A78" s="59">
        <f t="shared" si="1"/>
        <v>71</v>
      </c>
      <c r="B78" s="141" t="s">
        <v>61</v>
      </c>
      <c r="C78" s="143" t="s">
        <v>327</v>
      </c>
      <c r="D78" s="46">
        <f>'LPLPO GUDANG'!H85</f>
        <v>0</v>
      </c>
      <c r="E78" s="86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</row>
    <row r="79" spans="1:52" s="68" customFormat="1" ht="20.149999999999999" customHeight="1" x14ac:dyDescent="0.45">
      <c r="A79" s="59">
        <f t="shared" si="1"/>
        <v>72</v>
      </c>
      <c r="B79" s="141" t="s">
        <v>253</v>
      </c>
      <c r="C79" s="143" t="s">
        <v>327</v>
      </c>
      <c r="D79" s="46">
        <f>'LPLPO GUDANG'!H86</f>
        <v>500</v>
      </c>
      <c r="E79" s="86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</row>
    <row r="80" spans="1:52" s="68" customFormat="1" ht="20.149999999999999" customHeight="1" x14ac:dyDescent="0.45">
      <c r="A80" s="59">
        <f t="shared" si="1"/>
        <v>73</v>
      </c>
      <c r="B80" s="141" t="s">
        <v>62</v>
      </c>
      <c r="C80" s="143" t="s">
        <v>319</v>
      </c>
      <c r="D80" s="46">
        <f>'LPLPO GUDANG'!H87</f>
        <v>30</v>
      </c>
      <c r="E80" s="86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</row>
    <row r="81" spans="1:52" s="68" customFormat="1" ht="20.149999999999999" customHeight="1" x14ac:dyDescent="0.45">
      <c r="A81" s="59">
        <f t="shared" si="1"/>
        <v>74</v>
      </c>
      <c r="B81" s="141" t="s">
        <v>63</v>
      </c>
      <c r="C81" s="143" t="s">
        <v>348</v>
      </c>
      <c r="D81" s="46">
        <f>'LPLPO GUDANG'!H88</f>
        <v>85</v>
      </c>
      <c r="E81" s="86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</row>
    <row r="82" spans="1:52" s="68" customFormat="1" ht="18" x14ac:dyDescent="0.45">
      <c r="A82" s="59">
        <f t="shared" si="1"/>
        <v>75</v>
      </c>
      <c r="B82" s="141" t="s">
        <v>106</v>
      </c>
      <c r="C82" s="143" t="s">
        <v>4</v>
      </c>
      <c r="D82" s="46">
        <f>'LPLPO GUDANG'!H89</f>
        <v>0</v>
      </c>
      <c r="E82" s="86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</row>
    <row r="83" spans="1:52" s="68" customFormat="1" ht="18" x14ac:dyDescent="0.45">
      <c r="A83" s="59">
        <f t="shared" si="1"/>
        <v>76</v>
      </c>
      <c r="B83" s="141" t="s">
        <v>65</v>
      </c>
      <c r="C83" s="143" t="s">
        <v>344</v>
      </c>
      <c r="D83" s="46">
        <f>'LPLPO GUDANG'!H90</f>
        <v>0</v>
      </c>
      <c r="E83" s="86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</row>
    <row r="84" spans="1:52" s="68" customFormat="1" ht="18" x14ac:dyDescent="0.45">
      <c r="A84" s="59">
        <f t="shared" si="1"/>
        <v>77</v>
      </c>
      <c r="B84" s="141" t="s">
        <v>264</v>
      </c>
      <c r="C84" s="143" t="s">
        <v>4</v>
      </c>
      <c r="D84" s="46">
        <f>'LPLPO GUDANG'!H91</f>
        <v>0</v>
      </c>
      <c r="E84" s="86"/>
    </row>
    <row r="85" spans="1:52" s="68" customFormat="1" ht="18" x14ac:dyDescent="0.45">
      <c r="A85" s="59">
        <f t="shared" si="1"/>
        <v>78</v>
      </c>
      <c r="B85" s="141" t="s">
        <v>66</v>
      </c>
      <c r="C85" s="143" t="s">
        <v>327</v>
      </c>
      <c r="D85" s="46">
        <f>'LPLPO GUDANG'!H92</f>
        <v>400</v>
      </c>
      <c r="E85" s="86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</row>
    <row r="86" spans="1:52" s="68" customFormat="1" ht="20.149999999999999" customHeight="1" x14ac:dyDescent="0.45">
      <c r="A86" s="59">
        <f t="shared" si="1"/>
        <v>79</v>
      </c>
      <c r="B86" s="141" t="s">
        <v>67</v>
      </c>
      <c r="C86" s="143" t="s">
        <v>327</v>
      </c>
      <c r="D86" s="46">
        <f>'LPLPO GUDANG'!H93</f>
        <v>500</v>
      </c>
      <c r="E86" s="86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</row>
    <row r="87" spans="1:52" s="68" customFormat="1" ht="20.149999999999999" customHeight="1" x14ac:dyDescent="0.45">
      <c r="A87" s="59">
        <f t="shared" si="1"/>
        <v>80</v>
      </c>
      <c r="B87" s="141" t="s">
        <v>68</v>
      </c>
      <c r="C87" s="143" t="s">
        <v>327</v>
      </c>
      <c r="D87" s="46">
        <f>'LPLPO GUDANG'!H94</f>
        <v>0</v>
      </c>
      <c r="E87" s="86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</row>
    <row r="88" spans="1:52" s="68" customFormat="1" ht="20.149999999999999" customHeight="1" x14ac:dyDescent="0.45">
      <c r="A88" s="59">
        <f t="shared" si="1"/>
        <v>81</v>
      </c>
      <c r="B88" s="141" t="s">
        <v>69</v>
      </c>
      <c r="C88" s="143" t="s">
        <v>327</v>
      </c>
      <c r="D88" s="46">
        <f>'LPLPO GUDANG'!H95</f>
        <v>500</v>
      </c>
      <c r="E88" s="86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</row>
    <row r="89" spans="1:52" s="68" customFormat="1" ht="20.149999999999999" customHeight="1" x14ac:dyDescent="0.45">
      <c r="A89" s="59">
        <f t="shared" si="1"/>
        <v>82</v>
      </c>
      <c r="B89" s="141" t="s">
        <v>257</v>
      </c>
      <c r="C89" s="143" t="s">
        <v>48</v>
      </c>
      <c r="D89" s="46">
        <f>'LPLPO GUDANG'!H96</f>
        <v>0</v>
      </c>
      <c r="E89" s="86"/>
    </row>
    <row r="90" spans="1:52" s="68" customFormat="1" ht="20.149999999999999" customHeight="1" x14ac:dyDescent="0.45">
      <c r="A90" s="59">
        <f t="shared" si="1"/>
        <v>83</v>
      </c>
      <c r="B90" s="141" t="s">
        <v>70</v>
      </c>
      <c r="C90" s="143" t="s">
        <v>349</v>
      </c>
      <c r="D90" s="46">
        <f>'LPLPO GUDANG'!H97</f>
        <v>40</v>
      </c>
      <c r="E90" s="86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</row>
    <row r="91" spans="1:52" s="68" customFormat="1" ht="20.149999999999999" customHeight="1" x14ac:dyDescent="0.45">
      <c r="A91" s="59">
        <f t="shared" si="1"/>
        <v>84</v>
      </c>
      <c r="B91" s="141" t="s">
        <v>72</v>
      </c>
      <c r="C91" s="143" t="s">
        <v>321</v>
      </c>
      <c r="D91" s="46">
        <f>'LPLPO GUDANG'!H98</f>
        <v>0</v>
      </c>
      <c r="E91" s="86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</row>
    <row r="92" spans="1:52" s="68" customFormat="1" ht="20.149999999999999" customHeight="1" x14ac:dyDescent="0.45">
      <c r="A92" s="59">
        <f t="shared" si="1"/>
        <v>85</v>
      </c>
      <c r="B92" s="141" t="s">
        <v>71</v>
      </c>
      <c r="C92" s="143" t="s">
        <v>340</v>
      </c>
      <c r="D92" s="46">
        <f>'LPLPO GUDANG'!H99</f>
        <v>1000</v>
      </c>
      <c r="E92" s="86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</row>
    <row r="93" spans="1:52" s="68" customFormat="1" ht="20.149999999999999" customHeight="1" x14ac:dyDescent="0.45">
      <c r="A93" s="59">
        <f t="shared" si="1"/>
        <v>86</v>
      </c>
      <c r="B93" s="141" t="s">
        <v>73</v>
      </c>
      <c r="C93" s="143" t="s">
        <v>332</v>
      </c>
      <c r="D93" s="46">
        <f>'LPLPO GUDANG'!H100</f>
        <v>800</v>
      </c>
      <c r="E93" s="86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</row>
    <row r="94" spans="1:52" s="68" customFormat="1" ht="20.149999999999999" customHeight="1" x14ac:dyDescent="0.45">
      <c r="A94" s="59">
        <f t="shared" si="1"/>
        <v>87</v>
      </c>
      <c r="B94" s="141" t="s">
        <v>74</v>
      </c>
      <c r="C94" s="143" t="s">
        <v>327</v>
      </c>
      <c r="D94" s="46">
        <f>'LPLPO GUDANG'!H101</f>
        <v>300</v>
      </c>
      <c r="E94" s="86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</row>
    <row r="95" spans="1:52" s="68" customFormat="1" ht="20.149999999999999" customHeight="1" x14ac:dyDescent="0.45">
      <c r="A95" s="59">
        <f t="shared" si="1"/>
        <v>88</v>
      </c>
      <c r="B95" s="141" t="s">
        <v>75</v>
      </c>
      <c r="C95" s="143" t="s">
        <v>327</v>
      </c>
      <c r="D95" s="46">
        <f>'LPLPO GUDANG'!H102</f>
        <v>0</v>
      </c>
      <c r="E95" s="86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</row>
    <row r="96" spans="1:52" s="68" customFormat="1" ht="20.149999999999999" customHeight="1" x14ac:dyDescent="0.45">
      <c r="A96" s="59">
        <f t="shared" si="1"/>
        <v>89</v>
      </c>
      <c r="B96" s="141" t="s">
        <v>281</v>
      </c>
      <c r="C96" s="143" t="s">
        <v>188</v>
      </c>
      <c r="D96" s="46">
        <f>'LPLPO GUDANG'!H103</f>
        <v>0</v>
      </c>
      <c r="E96" s="86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</row>
    <row r="97" spans="1:52" s="68" customFormat="1" ht="20.149999999999999" customHeight="1" x14ac:dyDescent="0.45">
      <c r="A97" s="59">
        <f t="shared" si="1"/>
        <v>90</v>
      </c>
      <c r="B97" s="141" t="s">
        <v>76</v>
      </c>
      <c r="C97" s="143" t="s">
        <v>4</v>
      </c>
      <c r="D97" s="46">
        <f>'LPLPO GUDANG'!H104</f>
        <v>0</v>
      </c>
      <c r="E97" s="86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</row>
    <row r="98" spans="1:52" s="68" customFormat="1" ht="20.149999999999999" customHeight="1" x14ac:dyDescent="0.45">
      <c r="A98" s="59">
        <f t="shared" si="1"/>
        <v>91</v>
      </c>
      <c r="B98" s="141" t="s">
        <v>77</v>
      </c>
      <c r="C98" s="143" t="s">
        <v>64</v>
      </c>
      <c r="D98" s="46">
        <f>'LPLPO GUDANG'!H105</f>
        <v>0</v>
      </c>
      <c r="E98" s="86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</row>
    <row r="99" spans="1:52" s="68" customFormat="1" ht="20.149999999999999" customHeight="1" x14ac:dyDescent="0.45">
      <c r="A99" s="59">
        <f t="shared" si="1"/>
        <v>92</v>
      </c>
      <c r="B99" s="141" t="s">
        <v>78</v>
      </c>
      <c r="C99" s="143" t="s">
        <v>345</v>
      </c>
      <c r="D99" s="46">
        <f>'LPLPO GUDANG'!H106</f>
        <v>1100</v>
      </c>
      <c r="E99" s="86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</row>
    <row r="100" spans="1:52" s="68" customFormat="1" ht="20.149999999999999" customHeight="1" x14ac:dyDescent="0.45">
      <c r="A100" s="59">
        <f t="shared" si="1"/>
        <v>93</v>
      </c>
      <c r="B100" s="141" t="s">
        <v>79</v>
      </c>
      <c r="C100" s="143" t="s">
        <v>4</v>
      </c>
      <c r="D100" s="46">
        <f>'LPLPO GUDANG'!H107</f>
        <v>0</v>
      </c>
      <c r="E100" s="86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</row>
    <row r="101" spans="1:52" s="68" customFormat="1" ht="20.149999999999999" customHeight="1" x14ac:dyDescent="0.45">
      <c r="A101" s="59">
        <f t="shared" si="1"/>
        <v>94</v>
      </c>
      <c r="B101" s="141" t="s">
        <v>80</v>
      </c>
      <c r="C101" s="143" t="s">
        <v>350</v>
      </c>
      <c r="D101" s="46">
        <f>'LPLPO GUDANG'!H108</f>
        <v>750</v>
      </c>
      <c r="E101" s="86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</row>
    <row r="102" spans="1:52" s="68" customFormat="1" ht="20.149999999999999" customHeight="1" x14ac:dyDescent="0.45">
      <c r="A102" s="59">
        <f t="shared" si="1"/>
        <v>95</v>
      </c>
      <c r="B102" s="141" t="s">
        <v>263</v>
      </c>
      <c r="C102" s="143" t="s">
        <v>48</v>
      </c>
      <c r="D102" s="46">
        <f>'LPLPO GUDANG'!H109</f>
        <v>0</v>
      </c>
      <c r="E102" s="86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</row>
    <row r="103" spans="1:52" s="68" customFormat="1" ht="20.149999999999999" customHeight="1" x14ac:dyDescent="0.45">
      <c r="A103" s="59">
        <f t="shared" si="1"/>
        <v>96</v>
      </c>
      <c r="B103" s="141" t="s">
        <v>81</v>
      </c>
      <c r="C103" s="143" t="s">
        <v>48</v>
      </c>
      <c r="D103" s="46">
        <f>'LPLPO GUDANG'!H110</f>
        <v>40</v>
      </c>
      <c r="E103" s="86"/>
    </row>
    <row r="104" spans="1:52" s="68" customFormat="1" ht="20.149999999999999" customHeight="1" x14ac:dyDescent="0.45">
      <c r="A104" s="59">
        <f t="shared" si="1"/>
        <v>97</v>
      </c>
      <c r="B104" s="141" t="s">
        <v>82</v>
      </c>
      <c r="C104" s="143" t="s">
        <v>327</v>
      </c>
      <c r="D104" s="46">
        <f>'LPLPO GUDANG'!H111</f>
        <v>0</v>
      </c>
      <c r="E104" s="86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</row>
    <row r="105" spans="1:52" s="68" customFormat="1" ht="20.149999999999999" customHeight="1" x14ac:dyDescent="0.45">
      <c r="A105" s="59">
        <f t="shared" si="1"/>
        <v>98</v>
      </c>
      <c r="B105" s="141" t="s">
        <v>83</v>
      </c>
      <c r="C105" s="143" t="s">
        <v>188</v>
      </c>
      <c r="D105" s="46">
        <f>'LPLPO GUDANG'!H112</f>
        <v>2</v>
      </c>
      <c r="E105" s="86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</row>
    <row r="106" spans="1:52" s="68" customFormat="1" ht="18" x14ac:dyDescent="0.45">
      <c r="A106" s="59">
        <f t="shared" si="1"/>
        <v>99</v>
      </c>
      <c r="B106" s="141" t="s">
        <v>84</v>
      </c>
      <c r="C106" s="143" t="s">
        <v>188</v>
      </c>
      <c r="D106" s="46">
        <f>'LPLPO GUDANG'!H113</f>
        <v>20</v>
      </c>
      <c r="E106" s="86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</row>
    <row r="107" spans="1:52" s="68" customFormat="1" ht="20.149999999999999" customHeight="1" x14ac:dyDescent="0.45">
      <c r="A107" s="59">
        <f t="shared" si="1"/>
        <v>100</v>
      </c>
      <c r="B107" s="141" t="s">
        <v>85</v>
      </c>
      <c r="C107" s="143" t="s">
        <v>327</v>
      </c>
      <c r="D107" s="46">
        <f>'LPLPO GUDANG'!H114</f>
        <v>0</v>
      </c>
      <c r="E107" s="86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</row>
    <row r="108" spans="1:52" s="68" customFormat="1" ht="20.149999999999999" customHeight="1" x14ac:dyDescent="0.45">
      <c r="A108" s="59">
        <f t="shared" si="1"/>
        <v>101</v>
      </c>
      <c r="B108" s="141" t="s">
        <v>86</v>
      </c>
      <c r="C108" s="143" t="s">
        <v>327</v>
      </c>
      <c r="D108" s="46">
        <f>'LPLPO GUDANG'!H115</f>
        <v>100</v>
      </c>
      <c r="E108" s="86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</row>
    <row r="109" spans="1:52" s="68" customFormat="1" ht="20.149999999999999" customHeight="1" x14ac:dyDescent="0.45">
      <c r="A109" s="59">
        <f t="shared" si="1"/>
        <v>102</v>
      </c>
      <c r="B109" s="141" t="s">
        <v>87</v>
      </c>
      <c r="C109" s="143" t="s">
        <v>327</v>
      </c>
      <c r="D109" s="46">
        <f>'LPLPO GUDANG'!H116</f>
        <v>100</v>
      </c>
      <c r="E109" s="86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</row>
    <row r="110" spans="1:52" s="68" customFormat="1" ht="20.149999999999999" customHeight="1" x14ac:dyDescent="0.45">
      <c r="A110" s="59">
        <f t="shared" si="1"/>
        <v>103</v>
      </c>
      <c r="B110" s="141" t="s">
        <v>88</v>
      </c>
      <c r="C110" s="143" t="s">
        <v>327</v>
      </c>
      <c r="D110" s="46">
        <f>'LPLPO GUDANG'!H117</f>
        <v>100</v>
      </c>
      <c r="E110" s="86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</row>
    <row r="111" spans="1:52" s="68" customFormat="1" ht="18" x14ac:dyDescent="0.45">
      <c r="A111" s="59">
        <f t="shared" si="1"/>
        <v>104</v>
      </c>
      <c r="B111" s="141" t="s">
        <v>89</v>
      </c>
      <c r="C111" s="143" t="s">
        <v>327</v>
      </c>
      <c r="D111" s="46">
        <f>'LPLPO GUDANG'!H118</f>
        <v>0</v>
      </c>
      <c r="E111" s="86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</row>
    <row r="112" spans="1:52" s="68" customFormat="1" ht="20.149999999999999" customHeight="1" x14ac:dyDescent="0.45">
      <c r="A112" s="59">
        <f t="shared" si="1"/>
        <v>105</v>
      </c>
      <c r="B112" s="141" t="s">
        <v>90</v>
      </c>
      <c r="C112" s="143" t="s">
        <v>322</v>
      </c>
      <c r="D112" s="46">
        <f>'LPLPO GUDANG'!H119</f>
        <v>0</v>
      </c>
      <c r="E112" s="86"/>
    </row>
    <row r="113" spans="1:52" s="68" customFormat="1" ht="18" x14ac:dyDescent="0.45">
      <c r="A113" s="59">
        <f t="shared" si="1"/>
        <v>106</v>
      </c>
      <c r="B113" s="141" t="s">
        <v>443</v>
      </c>
      <c r="C113" s="143" t="s">
        <v>327</v>
      </c>
      <c r="D113" s="46">
        <f>'LPLPO GUDANG'!H120</f>
        <v>300</v>
      </c>
      <c r="E113" s="86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</row>
    <row r="114" spans="1:52" s="68" customFormat="1" ht="20.149999999999999" customHeight="1" x14ac:dyDescent="0.45">
      <c r="A114" s="59">
        <f t="shared" si="1"/>
        <v>107</v>
      </c>
      <c r="B114" s="141" t="s">
        <v>325</v>
      </c>
      <c r="C114" s="143" t="s">
        <v>4</v>
      </c>
      <c r="D114" s="46">
        <f>'LPLPO GUDANG'!H121</f>
        <v>0</v>
      </c>
      <c r="E114" s="86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</row>
    <row r="115" spans="1:52" s="68" customFormat="1" ht="20.149999999999999" customHeight="1" x14ac:dyDescent="0.45">
      <c r="A115" s="59">
        <f t="shared" si="1"/>
        <v>108</v>
      </c>
      <c r="B115" s="141" t="s">
        <v>91</v>
      </c>
      <c r="C115" s="143" t="s">
        <v>327</v>
      </c>
      <c r="D115" s="46">
        <f>'LPLPO GUDANG'!H122</f>
        <v>0</v>
      </c>
      <c r="E115" s="86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</row>
    <row r="116" spans="1:52" s="68" customFormat="1" ht="20.149999999999999" customHeight="1" x14ac:dyDescent="0.45">
      <c r="A116" s="59">
        <f t="shared" si="1"/>
        <v>109</v>
      </c>
      <c r="B116" s="141" t="s">
        <v>92</v>
      </c>
      <c r="C116" s="143" t="s">
        <v>351</v>
      </c>
      <c r="D116" s="46">
        <f>'LPLPO GUDANG'!H123</f>
        <v>36</v>
      </c>
      <c r="E116" s="86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</row>
    <row r="117" spans="1:52" s="68" customFormat="1" ht="20.149999999999999" customHeight="1" x14ac:dyDescent="0.45">
      <c r="A117" s="59">
        <f t="shared" si="1"/>
        <v>110</v>
      </c>
      <c r="B117" s="141" t="s">
        <v>93</v>
      </c>
      <c r="C117" s="143" t="s">
        <v>327</v>
      </c>
      <c r="D117" s="46">
        <f>'LPLPO GUDANG'!H124</f>
        <v>1300</v>
      </c>
      <c r="E117" s="86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</row>
    <row r="118" spans="1:52" s="68" customFormat="1" ht="18" x14ac:dyDescent="0.45">
      <c r="A118" s="59">
        <f t="shared" si="1"/>
        <v>111</v>
      </c>
      <c r="B118" s="141" t="s">
        <v>94</v>
      </c>
      <c r="C118" s="143" t="s">
        <v>64</v>
      </c>
      <c r="D118" s="46">
        <f>'LPLPO GUDANG'!H125</f>
        <v>140</v>
      </c>
      <c r="E118" s="86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</row>
    <row r="119" spans="1:52" s="68" customFormat="1" ht="20.149999999999999" customHeight="1" x14ac:dyDescent="0.45">
      <c r="A119" s="59">
        <f t="shared" si="1"/>
        <v>112</v>
      </c>
      <c r="B119" s="141" t="s">
        <v>95</v>
      </c>
      <c r="C119" s="143" t="s">
        <v>48</v>
      </c>
      <c r="D119" s="46">
        <f>'LPLPO GUDANG'!H126</f>
        <v>50</v>
      </c>
      <c r="E119" s="86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</row>
    <row r="120" spans="1:52" s="68" customFormat="1" ht="20.149999999999999" customHeight="1" x14ac:dyDescent="0.45">
      <c r="A120" s="59">
        <f t="shared" si="1"/>
        <v>113</v>
      </c>
      <c r="B120" s="141" t="s">
        <v>96</v>
      </c>
      <c r="C120" s="143" t="s">
        <v>327</v>
      </c>
      <c r="D120" s="46">
        <f>'LPLPO GUDANG'!H127</f>
        <v>800</v>
      </c>
      <c r="E120" s="86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</row>
    <row r="121" spans="1:52" s="68" customFormat="1" ht="20.149999999999999" customHeight="1" x14ac:dyDescent="0.45">
      <c r="A121" s="59">
        <f t="shared" si="1"/>
        <v>114</v>
      </c>
      <c r="B121" s="141" t="s">
        <v>97</v>
      </c>
      <c r="C121" s="143" t="s">
        <v>4</v>
      </c>
      <c r="D121" s="46">
        <f>'LPLPO GUDANG'!H128</f>
        <v>0</v>
      </c>
      <c r="E121" s="86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</row>
    <row r="122" spans="1:52" s="68" customFormat="1" ht="18" x14ac:dyDescent="0.45">
      <c r="A122" s="59">
        <f t="shared" si="1"/>
        <v>115</v>
      </c>
      <c r="B122" s="141" t="s">
        <v>98</v>
      </c>
      <c r="C122" s="143" t="s">
        <v>327</v>
      </c>
      <c r="D122" s="46">
        <f>'LPLPO GUDANG'!H129</f>
        <v>0</v>
      </c>
      <c r="E122" s="86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</row>
    <row r="123" spans="1:52" s="68" customFormat="1" ht="20.149999999999999" customHeight="1" x14ac:dyDescent="0.45">
      <c r="A123" s="59">
        <f t="shared" si="1"/>
        <v>116</v>
      </c>
      <c r="B123" s="141" t="s">
        <v>99</v>
      </c>
      <c r="C123" s="143" t="s">
        <v>327</v>
      </c>
      <c r="D123" s="46">
        <f>'LPLPO GUDANG'!H130</f>
        <v>900</v>
      </c>
      <c r="E123" s="86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</row>
    <row r="124" spans="1:52" s="68" customFormat="1" ht="20.149999999999999" customHeight="1" x14ac:dyDescent="0.45">
      <c r="A124" s="59">
        <f t="shared" si="1"/>
        <v>117</v>
      </c>
      <c r="B124" s="141" t="s">
        <v>424</v>
      </c>
      <c r="C124" s="143"/>
      <c r="D124" s="46">
        <f>'LPLPO GUDANG'!H131</f>
        <v>0</v>
      </c>
      <c r="E124" s="86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</row>
    <row r="125" spans="1:52" s="68" customFormat="1" ht="20.149999999999999" customHeight="1" x14ac:dyDescent="0.45">
      <c r="A125" s="59">
        <f t="shared" si="1"/>
        <v>118</v>
      </c>
      <c r="B125" s="141" t="s">
        <v>100</v>
      </c>
      <c r="C125" s="143" t="s">
        <v>327</v>
      </c>
      <c r="D125" s="46">
        <f>'LPLPO GUDANG'!H132</f>
        <v>2700</v>
      </c>
      <c r="E125" s="86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</row>
    <row r="126" spans="1:52" s="68" customFormat="1" ht="20.149999999999999" customHeight="1" x14ac:dyDescent="0.45">
      <c r="A126" s="59">
        <f t="shared" si="1"/>
        <v>119</v>
      </c>
      <c r="B126" s="141" t="s">
        <v>258</v>
      </c>
      <c r="C126" s="143" t="s">
        <v>352</v>
      </c>
      <c r="D126" s="46">
        <f>'LPLPO GUDANG'!H133</f>
        <v>0</v>
      </c>
      <c r="E126" s="86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</row>
    <row r="127" spans="1:52" s="68" customFormat="1" ht="20.149999999999999" customHeight="1" x14ac:dyDescent="0.45">
      <c r="A127" s="59">
        <f t="shared" si="1"/>
        <v>120</v>
      </c>
      <c r="B127" s="141" t="s">
        <v>101</v>
      </c>
      <c r="C127" s="143" t="s">
        <v>327</v>
      </c>
      <c r="D127" s="46">
        <f>'LPLPO GUDANG'!H134</f>
        <v>0</v>
      </c>
      <c r="E127" s="86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</row>
    <row r="128" spans="1:52" s="68" customFormat="1" ht="20.149999999999999" customHeight="1" x14ac:dyDescent="0.45">
      <c r="A128" s="59">
        <f t="shared" si="1"/>
        <v>121</v>
      </c>
      <c r="B128" s="141" t="s">
        <v>102</v>
      </c>
      <c r="C128" s="143" t="s">
        <v>327</v>
      </c>
      <c r="D128" s="46">
        <f>'LPLPO GUDANG'!H135</f>
        <v>0</v>
      </c>
      <c r="E128" s="86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</row>
    <row r="129" spans="1:52" s="68" customFormat="1" ht="20.149999999999999" customHeight="1" x14ac:dyDescent="0.45">
      <c r="A129" s="59">
        <f t="shared" si="1"/>
        <v>122</v>
      </c>
      <c r="B129" s="141" t="s">
        <v>103</v>
      </c>
      <c r="C129" s="143" t="s">
        <v>48</v>
      </c>
      <c r="D129" s="46">
        <f>'LPLPO GUDANG'!H136</f>
        <v>80</v>
      </c>
      <c r="E129" s="86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</row>
    <row r="130" spans="1:52" s="68" customFormat="1" ht="20.149999999999999" customHeight="1" x14ac:dyDescent="0.45">
      <c r="A130" s="59">
        <f t="shared" si="1"/>
        <v>123</v>
      </c>
      <c r="B130" s="141" t="s">
        <v>107</v>
      </c>
      <c r="C130" s="143" t="s">
        <v>108</v>
      </c>
      <c r="D130" s="46">
        <f>'LPLPO GUDANG'!H137</f>
        <v>80</v>
      </c>
      <c r="E130" s="86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</row>
    <row r="131" spans="1:52" s="68" customFormat="1" ht="20.149999999999999" customHeight="1" x14ac:dyDescent="0.45">
      <c r="A131" s="59">
        <f t="shared" si="1"/>
        <v>124</v>
      </c>
      <c r="B131" s="141" t="s">
        <v>107</v>
      </c>
      <c r="C131" s="143" t="s">
        <v>108</v>
      </c>
      <c r="D131" s="46">
        <f>'LPLPO GUDANG'!H138</f>
        <v>0</v>
      </c>
      <c r="E131" s="86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</row>
    <row r="132" spans="1:52" s="68" customFormat="1" ht="20.149999999999999" customHeight="1" x14ac:dyDescent="0.45">
      <c r="A132" s="59">
        <f t="shared" si="1"/>
        <v>125</v>
      </c>
      <c r="B132" s="141" t="s">
        <v>111</v>
      </c>
      <c r="C132" s="143" t="s">
        <v>108</v>
      </c>
      <c r="D132" s="46">
        <f>'LPLPO GUDANG'!H139</f>
        <v>0</v>
      </c>
      <c r="E132" s="86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</row>
    <row r="133" spans="1:52" s="68" customFormat="1" ht="18" x14ac:dyDescent="0.45">
      <c r="A133" s="59">
        <f t="shared" si="1"/>
        <v>126</v>
      </c>
      <c r="B133" s="141" t="s">
        <v>109</v>
      </c>
      <c r="C133" s="143" t="s">
        <v>108</v>
      </c>
      <c r="D133" s="46">
        <f>'LPLPO GUDANG'!H140</f>
        <v>265</v>
      </c>
      <c r="E133" s="86"/>
    </row>
    <row r="134" spans="1:52" s="68" customFormat="1" ht="20.149999999999999" customHeight="1" x14ac:dyDescent="0.45">
      <c r="A134" s="59">
        <f t="shared" si="1"/>
        <v>127</v>
      </c>
      <c r="B134" s="141" t="s">
        <v>109</v>
      </c>
      <c r="C134" s="143" t="s">
        <v>108</v>
      </c>
      <c r="D134" s="46">
        <f>'LPLPO GUDANG'!H141</f>
        <v>0</v>
      </c>
      <c r="E134" s="86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</row>
    <row r="135" spans="1:52" s="68" customFormat="1" ht="20.149999999999999" customHeight="1" x14ac:dyDescent="0.45">
      <c r="A135" s="59">
        <f t="shared" si="1"/>
        <v>128</v>
      </c>
      <c r="B135" s="141" t="s">
        <v>110</v>
      </c>
      <c r="C135" s="143" t="s">
        <v>108</v>
      </c>
      <c r="D135" s="46">
        <f>'LPLPO GUDANG'!H142</f>
        <v>0</v>
      </c>
      <c r="E135" s="86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</row>
    <row r="136" spans="1:52" s="68" customFormat="1" ht="20.149999999999999" customHeight="1" x14ac:dyDescent="0.45">
      <c r="A136" s="59">
        <f t="shared" si="1"/>
        <v>129</v>
      </c>
      <c r="B136" s="141" t="s">
        <v>112</v>
      </c>
      <c r="C136" s="143" t="s">
        <v>108</v>
      </c>
      <c r="D136" s="46">
        <f>'LPLPO GUDANG'!H143</f>
        <v>2000</v>
      </c>
      <c r="E136" s="86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</row>
    <row r="137" spans="1:52" s="68" customFormat="1" ht="20.149999999999999" customHeight="1" x14ac:dyDescent="0.45">
      <c r="A137" s="59">
        <f t="shared" si="1"/>
        <v>130</v>
      </c>
      <c r="B137" s="141" t="s">
        <v>113</v>
      </c>
      <c r="C137" s="143" t="s">
        <v>48</v>
      </c>
      <c r="D137" s="46">
        <f>'LPLPO GUDANG'!H144</f>
        <v>6</v>
      </c>
      <c r="E137" s="86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</row>
    <row r="138" spans="1:52" ht="20.149999999999999" customHeight="1" x14ac:dyDescent="0.45">
      <c r="A138" s="59">
        <f t="shared" ref="A138:A174" si="2">A137+1</f>
        <v>131</v>
      </c>
      <c r="B138" s="141" t="s">
        <v>16</v>
      </c>
      <c r="C138" s="143" t="s">
        <v>48</v>
      </c>
      <c r="D138" s="46">
        <f>'LPLPO GUDANG'!H145</f>
        <v>0</v>
      </c>
      <c r="E138" s="86"/>
    </row>
    <row r="139" spans="1:52" s="69" customFormat="1" ht="20.149999999999999" customHeight="1" x14ac:dyDescent="0.45">
      <c r="A139" s="59">
        <f t="shared" si="2"/>
        <v>132</v>
      </c>
      <c r="B139" s="141" t="s">
        <v>425</v>
      </c>
      <c r="C139" s="143"/>
      <c r="D139" s="46">
        <f>'LPLPO GUDANG'!H146</f>
        <v>0</v>
      </c>
      <c r="E139" s="86"/>
      <c r="F139" s="68"/>
      <c r="G139" s="68"/>
      <c r="H139" s="68"/>
      <c r="I139" s="68"/>
      <c r="J139" s="68"/>
      <c r="K139" s="68"/>
      <c r="L139" s="68"/>
      <c r="M139" s="68"/>
    </row>
    <row r="140" spans="1:52" ht="20.149999999999999" customHeight="1" x14ac:dyDescent="0.45">
      <c r="A140" s="59">
        <f t="shared" si="2"/>
        <v>133</v>
      </c>
      <c r="B140" s="141" t="s">
        <v>114</v>
      </c>
      <c r="C140" s="143" t="s">
        <v>108</v>
      </c>
      <c r="D140" s="46">
        <f>'LPLPO GUDANG'!H147</f>
        <v>0</v>
      </c>
      <c r="E140" s="86"/>
    </row>
    <row r="141" spans="1:52" ht="20.149999999999999" customHeight="1" x14ac:dyDescent="0.45">
      <c r="A141" s="59">
        <f t="shared" si="2"/>
        <v>134</v>
      </c>
      <c r="B141" s="141" t="s">
        <v>115</v>
      </c>
      <c r="C141" s="143" t="s">
        <v>48</v>
      </c>
      <c r="D141" s="46">
        <f>'LPLPO GUDANG'!H148</f>
        <v>4</v>
      </c>
      <c r="E141" s="86"/>
    </row>
    <row r="142" spans="1:52" ht="20.149999999999999" customHeight="1" x14ac:dyDescent="0.45">
      <c r="A142" s="59">
        <f t="shared" si="2"/>
        <v>135</v>
      </c>
      <c r="B142" s="141" t="s">
        <v>116</v>
      </c>
      <c r="C142" s="143" t="s">
        <v>48</v>
      </c>
      <c r="D142" s="46">
        <f>'LPLPO GUDANG'!H149</f>
        <v>0</v>
      </c>
      <c r="E142" s="86"/>
    </row>
    <row r="143" spans="1:52" ht="20.149999999999999" customHeight="1" x14ac:dyDescent="0.45">
      <c r="A143" s="59">
        <f t="shared" si="2"/>
        <v>136</v>
      </c>
      <c r="B143" s="141" t="s">
        <v>117</v>
      </c>
      <c r="C143" s="143" t="s">
        <v>108</v>
      </c>
      <c r="D143" s="46">
        <f>'LPLPO GUDANG'!H150</f>
        <v>15</v>
      </c>
      <c r="E143" s="86"/>
    </row>
    <row r="144" spans="1:52" ht="20.149999999999999" customHeight="1" x14ac:dyDescent="0.45">
      <c r="A144" s="59">
        <f t="shared" si="2"/>
        <v>137</v>
      </c>
      <c r="B144" s="141" t="s">
        <v>118</v>
      </c>
      <c r="C144" s="143" t="s">
        <v>108</v>
      </c>
      <c r="D144" s="46">
        <f>'LPLPO GUDANG'!H151</f>
        <v>10</v>
      </c>
      <c r="E144" s="86"/>
    </row>
    <row r="145" spans="1:13" ht="20.149999999999999" customHeight="1" x14ac:dyDescent="0.45">
      <c r="A145" s="59">
        <f t="shared" si="2"/>
        <v>138</v>
      </c>
      <c r="B145" s="141" t="s">
        <v>326</v>
      </c>
      <c r="C145" s="143" t="s">
        <v>108</v>
      </c>
      <c r="D145" s="46">
        <f>'LPLPO GUDANG'!H152</f>
        <v>50</v>
      </c>
      <c r="E145" s="86"/>
    </row>
    <row r="146" spans="1:13" s="69" customFormat="1" ht="20.149999999999999" customHeight="1" x14ac:dyDescent="0.45">
      <c r="A146" s="59">
        <f t="shared" si="2"/>
        <v>139</v>
      </c>
      <c r="B146" s="141" t="s">
        <v>119</v>
      </c>
      <c r="C146" s="143" t="s">
        <v>108</v>
      </c>
      <c r="D146" s="46">
        <f>'LPLPO GUDANG'!H153</f>
        <v>40</v>
      </c>
      <c r="E146" s="86"/>
      <c r="F146" s="68"/>
      <c r="G146" s="68"/>
      <c r="H146" s="68"/>
      <c r="I146" s="68"/>
      <c r="J146" s="68"/>
      <c r="K146" s="68"/>
      <c r="L146" s="68"/>
      <c r="M146" s="68"/>
    </row>
    <row r="147" spans="1:13" ht="20.149999999999999" customHeight="1" x14ac:dyDescent="0.45">
      <c r="A147" s="59">
        <f t="shared" si="2"/>
        <v>140</v>
      </c>
      <c r="B147" s="141" t="s">
        <v>120</v>
      </c>
      <c r="C147" s="143" t="s">
        <v>108</v>
      </c>
      <c r="D147" s="46">
        <f>'LPLPO GUDANG'!H154</f>
        <v>0</v>
      </c>
      <c r="E147" s="86"/>
    </row>
    <row r="148" spans="1:13" ht="20.149999999999999" customHeight="1" x14ac:dyDescent="0.45">
      <c r="A148" s="59">
        <f t="shared" si="2"/>
        <v>141</v>
      </c>
      <c r="B148" s="141" t="s">
        <v>121</v>
      </c>
      <c r="C148" s="143" t="s">
        <v>108</v>
      </c>
      <c r="D148" s="46">
        <f>'LPLPO GUDANG'!H155</f>
        <v>150</v>
      </c>
      <c r="E148" s="86"/>
    </row>
    <row r="149" spans="1:13" ht="20.149999999999999" customHeight="1" x14ac:dyDescent="0.45">
      <c r="A149" s="59">
        <f t="shared" si="2"/>
        <v>142</v>
      </c>
      <c r="B149" s="141" t="s">
        <v>122</v>
      </c>
      <c r="C149" s="143" t="s">
        <v>108</v>
      </c>
      <c r="D149" s="46">
        <f>'LPLPO GUDANG'!H156</f>
        <v>0</v>
      </c>
      <c r="E149" s="86"/>
    </row>
    <row r="150" spans="1:13" ht="20.149999999999999" customHeight="1" x14ac:dyDescent="0.45">
      <c r="A150" s="59">
        <f t="shared" si="2"/>
        <v>143</v>
      </c>
      <c r="B150" s="141" t="s">
        <v>122</v>
      </c>
      <c r="C150" s="143" t="s">
        <v>108</v>
      </c>
      <c r="D150" s="46">
        <f>'LPLPO GUDANG'!H157</f>
        <v>0</v>
      </c>
      <c r="E150" s="86"/>
    </row>
    <row r="151" spans="1:13" ht="20.149999999999999" customHeight="1" x14ac:dyDescent="0.45">
      <c r="A151" s="59">
        <f t="shared" si="2"/>
        <v>144</v>
      </c>
      <c r="B151" s="141" t="s">
        <v>123</v>
      </c>
      <c r="C151" s="143" t="s">
        <v>108</v>
      </c>
      <c r="D151" s="46">
        <f>'LPLPO GUDANG'!H158</f>
        <v>0</v>
      </c>
      <c r="E151" s="86"/>
    </row>
    <row r="152" spans="1:13" s="69" customFormat="1" ht="20.149999999999999" customHeight="1" x14ac:dyDescent="0.45">
      <c r="A152" s="59">
        <f t="shared" si="2"/>
        <v>145</v>
      </c>
      <c r="B152" s="141" t="s">
        <v>124</v>
      </c>
      <c r="C152" s="143" t="s">
        <v>108</v>
      </c>
      <c r="D152" s="46">
        <f>'LPLPO GUDANG'!H159</f>
        <v>0</v>
      </c>
      <c r="E152" s="86"/>
      <c r="F152" s="68"/>
      <c r="G152" s="68"/>
      <c r="H152" s="68"/>
      <c r="I152" s="68"/>
      <c r="J152" s="68"/>
      <c r="K152" s="68"/>
      <c r="L152" s="68"/>
      <c r="M152" s="68"/>
    </row>
    <row r="153" spans="1:13" ht="20.149999999999999" customHeight="1" x14ac:dyDescent="0.45">
      <c r="A153" s="59">
        <f t="shared" si="2"/>
        <v>146</v>
      </c>
      <c r="B153" s="141" t="s">
        <v>125</v>
      </c>
      <c r="C153" s="143" t="s">
        <v>126</v>
      </c>
      <c r="D153" s="46">
        <f>'LPLPO GUDANG'!H160</f>
        <v>7</v>
      </c>
      <c r="E153" s="86"/>
    </row>
    <row r="154" spans="1:13" ht="20.149999999999999" customHeight="1" x14ac:dyDescent="0.45">
      <c r="A154" s="59">
        <f t="shared" si="2"/>
        <v>147</v>
      </c>
      <c r="B154" s="141" t="s">
        <v>127</v>
      </c>
      <c r="C154" s="143" t="s">
        <v>255</v>
      </c>
      <c r="D154" s="46">
        <f>'LPLPO GUDANG'!H161</f>
        <v>130</v>
      </c>
      <c r="E154" s="86"/>
    </row>
    <row r="155" spans="1:13" ht="20.149999999999999" customHeight="1" x14ac:dyDescent="0.45">
      <c r="A155" s="59">
        <f t="shared" si="2"/>
        <v>148</v>
      </c>
      <c r="B155" s="141" t="s">
        <v>128</v>
      </c>
      <c r="C155" s="143" t="s">
        <v>126</v>
      </c>
      <c r="D155" s="46">
        <f>'LPLPO GUDANG'!H162</f>
        <v>0</v>
      </c>
      <c r="E155" s="86"/>
    </row>
    <row r="156" spans="1:13" ht="20.149999999999999" customHeight="1" x14ac:dyDescent="0.45">
      <c r="A156" s="59">
        <f t="shared" si="2"/>
        <v>149</v>
      </c>
      <c r="B156" s="141" t="s">
        <v>129</v>
      </c>
      <c r="C156" s="143" t="s">
        <v>126</v>
      </c>
      <c r="D156" s="46">
        <f>'LPLPO GUDANG'!H163</f>
        <v>100</v>
      </c>
      <c r="E156" s="86"/>
    </row>
    <row r="157" spans="1:13" ht="20.149999999999999" customHeight="1" x14ac:dyDescent="0.45">
      <c r="A157" s="59">
        <f t="shared" si="2"/>
        <v>150</v>
      </c>
      <c r="B157" s="141" t="s">
        <v>130</v>
      </c>
      <c r="C157" s="143" t="s">
        <v>323</v>
      </c>
      <c r="D157" s="46">
        <f>'LPLPO GUDANG'!H164</f>
        <v>0</v>
      </c>
      <c r="E157" s="86"/>
    </row>
    <row r="158" spans="1:13" ht="20.149999999999999" customHeight="1" x14ac:dyDescent="0.45">
      <c r="A158" s="59">
        <f t="shared" si="2"/>
        <v>151</v>
      </c>
      <c r="B158" s="141" t="s">
        <v>131</v>
      </c>
      <c r="C158" s="143" t="s">
        <v>256</v>
      </c>
      <c r="D158" s="46">
        <f>'LPLPO GUDANG'!H165</f>
        <v>0</v>
      </c>
      <c r="E158" s="86"/>
    </row>
    <row r="159" spans="1:13" ht="20.149999999999999" customHeight="1" x14ac:dyDescent="0.45">
      <c r="A159" s="59">
        <f t="shared" si="2"/>
        <v>152</v>
      </c>
      <c r="B159" s="141" t="s">
        <v>132</v>
      </c>
      <c r="C159" s="143" t="s">
        <v>256</v>
      </c>
      <c r="D159" s="46">
        <f>'LPLPO GUDANG'!H166</f>
        <v>0</v>
      </c>
      <c r="E159" s="86"/>
    </row>
    <row r="160" spans="1:13" ht="20.149999999999999" customHeight="1" x14ac:dyDescent="0.45">
      <c r="A160" s="59">
        <f t="shared" si="2"/>
        <v>153</v>
      </c>
      <c r="B160" s="141" t="s">
        <v>135</v>
      </c>
      <c r="C160" s="143" t="s">
        <v>108</v>
      </c>
      <c r="D160" s="46">
        <f>'LPLPO GUDANG'!H167</f>
        <v>25</v>
      </c>
      <c r="E160" s="86"/>
    </row>
    <row r="161" spans="1:52" s="69" customFormat="1" ht="20.149999999999999" customHeight="1" x14ac:dyDescent="0.45">
      <c r="A161" s="59">
        <f t="shared" si="2"/>
        <v>154</v>
      </c>
      <c r="B161" s="141" t="s">
        <v>134</v>
      </c>
      <c r="C161" s="143" t="s">
        <v>108</v>
      </c>
      <c r="D161" s="46">
        <f>'LPLPO GUDANG'!H168</f>
        <v>10</v>
      </c>
      <c r="E161" s="86"/>
      <c r="F161" s="68"/>
      <c r="G161" s="68"/>
      <c r="H161" s="68"/>
      <c r="I161" s="68"/>
      <c r="J161" s="68"/>
      <c r="K161" s="68"/>
      <c r="L161" s="68"/>
      <c r="M161" s="68"/>
    </row>
    <row r="162" spans="1:52" ht="20.149999999999999" customHeight="1" x14ac:dyDescent="0.45">
      <c r="A162" s="59">
        <f t="shared" si="2"/>
        <v>155</v>
      </c>
      <c r="B162" s="141" t="s">
        <v>133</v>
      </c>
      <c r="C162" s="143" t="s">
        <v>108</v>
      </c>
      <c r="D162" s="46">
        <f>'LPLPO GUDANG'!H169</f>
        <v>0</v>
      </c>
      <c r="E162" s="86"/>
    </row>
    <row r="163" spans="1:52" ht="20.149999999999999" customHeight="1" x14ac:dyDescent="0.45">
      <c r="A163" s="59">
        <f t="shared" si="2"/>
        <v>156</v>
      </c>
      <c r="B163" s="141" t="s">
        <v>136</v>
      </c>
      <c r="C163" s="143" t="s">
        <v>126</v>
      </c>
      <c r="D163" s="46">
        <f>'LPLPO GUDANG'!H170</f>
        <v>10</v>
      </c>
      <c r="E163" s="86"/>
    </row>
    <row r="164" spans="1:52" ht="20.149999999999999" customHeight="1" x14ac:dyDescent="0.45">
      <c r="A164" s="59">
        <f t="shared" si="2"/>
        <v>157</v>
      </c>
      <c r="B164" s="141" t="s">
        <v>137</v>
      </c>
      <c r="C164" s="143" t="s">
        <v>48</v>
      </c>
      <c r="D164" s="46">
        <f>'LPLPO GUDANG'!H171</f>
        <v>5</v>
      </c>
      <c r="E164" s="86"/>
    </row>
    <row r="165" spans="1:52" ht="20.149999999999999" customHeight="1" x14ac:dyDescent="0.45">
      <c r="A165" s="59">
        <f t="shared" si="2"/>
        <v>158</v>
      </c>
      <c r="B165" s="141" t="s">
        <v>138</v>
      </c>
      <c r="C165" s="143" t="s">
        <v>108</v>
      </c>
      <c r="D165" s="46">
        <f>'LPLPO GUDANG'!H172</f>
        <v>0</v>
      </c>
      <c r="E165" s="86"/>
    </row>
    <row r="166" spans="1:52" ht="20.149999999999999" customHeight="1" x14ac:dyDescent="0.45">
      <c r="A166" s="59">
        <f t="shared" si="2"/>
        <v>159</v>
      </c>
      <c r="B166" s="141" t="s">
        <v>139</v>
      </c>
      <c r="C166" s="143" t="s">
        <v>108</v>
      </c>
      <c r="D166" s="46">
        <f>'LPLPO GUDANG'!H173</f>
        <v>50</v>
      </c>
      <c r="E166" s="86"/>
    </row>
    <row r="167" spans="1:52" ht="20.149999999999999" customHeight="1" x14ac:dyDescent="0.45">
      <c r="A167" s="59">
        <f t="shared" si="2"/>
        <v>160</v>
      </c>
      <c r="B167" s="141" t="s">
        <v>140</v>
      </c>
      <c r="C167" s="143" t="s">
        <v>108</v>
      </c>
      <c r="D167" s="46">
        <f>'LPLPO GUDANG'!H174</f>
        <v>25</v>
      </c>
      <c r="E167" s="86"/>
    </row>
    <row r="168" spans="1:52" ht="20.149999999999999" customHeight="1" x14ac:dyDescent="0.45">
      <c r="A168" s="59">
        <f t="shared" si="2"/>
        <v>161</v>
      </c>
      <c r="B168" s="141" t="s">
        <v>141</v>
      </c>
      <c r="C168" s="143" t="s">
        <v>108</v>
      </c>
      <c r="D168" s="46">
        <f>'LPLPO GUDANG'!H175</f>
        <v>0</v>
      </c>
      <c r="E168" s="86"/>
    </row>
    <row r="169" spans="1:52" ht="20.149999999999999" customHeight="1" x14ac:dyDescent="0.45">
      <c r="A169" s="59">
        <f t="shared" si="2"/>
        <v>162</v>
      </c>
      <c r="B169" s="141" t="s">
        <v>144</v>
      </c>
      <c r="C169" s="143" t="s">
        <v>108</v>
      </c>
      <c r="D169" s="46">
        <f>'LPLPO GUDANG'!H176</f>
        <v>400</v>
      </c>
      <c r="E169" s="86"/>
    </row>
    <row r="170" spans="1:52" s="68" customFormat="1" ht="20.149999999999999" customHeight="1" x14ac:dyDescent="0.45">
      <c r="A170" s="59">
        <f t="shared" si="2"/>
        <v>163</v>
      </c>
      <c r="B170" s="141" t="s">
        <v>143</v>
      </c>
      <c r="C170" s="143" t="s">
        <v>108</v>
      </c>
      <c r="D170" s="46">
        <f>'LPLPO GUDANG'!H177</f>
        <v>0</v>
      </c>
      <c r="E170" s="86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</row>
    <row r="171" spans="1:52" s="68" customFormat="1" ht="20.149999999999999" customHeight="1" x14ac:dyDescent="0.45">
      <c r="A171" s="59">
        <f t="shared" si="2"/>
        <v>164</v>
      </c>
      <c r="B171" s="141" t="s">
        <v>142</v>
      </c>
      <c r="C171" s="143" t="s">
        <v>108</v>
      </c>
      <c r="D171" s="46">
        <f>'LPLPO GUDANG'!H178</f>
        <v>0</v>
      </c>
      <c r="E171" s="86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</row>
    <row r="172" spans="1:52" s="68" customFormat="1" ht="20.149999999999999" customHeight="1" x14ac:dyDescent="0.45">
      <c r="A172" s="59">
        <f t="shared" si="2"/>
        <v>165</v>
      </c>
      <c r="B172" s="141" t="s">
        <v>145</v>
      </c>
      <c r="C172" s="143" t="s">
        <v>212</v>
      </c>
      <c r="D172" s="46">
        <f>'LPLPO GUDANG'!H179</f>
        <v>1000</v>
      </c>
      <c r="E172" s="86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</row>
    <row r="173" spans="1:52" s="68" customFormat="1" ht="20.149999999999999" customHeight="1" x14ac:dyDescent="0.45">
      <c r="A173" s="59">
        <f t="shared" si="2"/>
        <v>166</v>
      </c>
      <c r="B173" s="141" t="s">
        <v>146</v>
      </c>
      <c r="C173" s="143" t="s">
        <v>212</v>
      </c>
      <c r="D173" s="46">
        <f>'LPLPO GUDANG'!H180</f>
        <v>40</v>
      </c>
      <c r="E173" s="86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</row>
    <row r="174" spans="1:52" s="68" customFormat="1" ht="19.5" customHeight="1" x14ac:dyDescent="0.45">
      <c r="A174" s="59">
        <f t="shared" si="2"/>
        <v>167</v>
      </c>
      <c r="B174" s="142" t="s">
        <v>147</v>
      </c>
      <c r="C174" s="11" t="s">
        <v>212</v>
      </c>
      <c r="D174" s="46">
        <f>'LPLPO GUDANG'!H181</f>
        <v>5</v>
      </c>
      <c r="E174" s="86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</row>
  </sheetData>
  <mergeCells count="7">
    <mergeCell ref="A1:D1"/>
    <mergeCell ref="A2:D2"/>
    <mergeCell ref="D5:D6"/>
    <mergeCell ref="A5:A6"/>
    <mergeCell ref="B5:B6"/>
    <mergeCell ref="C5:C6"/>
    <mergeCell ref="A3:B3"/>
  </mergeCells>
  <pageMargins left="0.94488188976377996" right="0.118110236220472" top="0.47244094488188998" bottom="0.66929133858267698" header="0.31496062992126" footer="0.31496062992126"/>
  <pageSetup paperSize="25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67"/>
  <sheetViews>
    <sheetView zoomScale="98" zoomScaleNormal="98" zoomScaleSheetLayoutView="110" workbookViewId="0">
      <selection activeCell="B9" sqref="B9"/>
    </sheetView>
  </sheetViews>
  <sheetFormatPr defaultColWidth="9.1796875" defaultRowHeight="16.5" x14ac:dyDescent="0.45"/>
  <cols>
    <col min="1" max="1" width="5.453125" style="65" customWidth="1"/>
    <col min="2" max="2" width="43.7265625" style="65" customWidth="1"/>
    <col min="3" max="3" width="17.7265625" style="65" customWidth="1"/>
    <col min="4" max="4" width="20.7265625" style="65" customWidth="1"/>
    <col min="5" max="5" width="9.54296875" style="68" bestFit="1" customWidth="1"/>
    <col min="6" max="13" width="9.1796875" style="68"/>
    <col min="14" max="16384" width="9.1796875" style="65"/>
  </cols>
  <sheetData>
    <row r="1" spans="1:52" s="38" customFormat="1" ht="18" x14ac:dyDescent="0.5">
      <c r="A1" s="317" t="s">
        <v>316</v>
      </c>
      <c r="B1" s="317"/>
      <c r="C1" s="317"/>
      <c r="D1" s="317"/>
      <c r="E1" s="41"/>
      <c r="F1" s="41"/>
      <c r="G1" s="41"/>
      <c r="H1" s="41"/>
      <c r="I1" s="41"/>
      <c r="J1" s="41"/>
      <c r="K1" s="41"/>
      <c r="L1" s="41"/>
      <c r="M1" s="41"/>
      <c r="AB1" s="39"/>
    </row>
    <row r="2" spans="1:52" s="38" customFormat="1" ht="18" x14ac:dyDescent="0.5">
      <c r="A2" s="317" t="s">
        <v>451</v>
      </c>
      <c r="B2" s="317"/>
      <c r="C2" s="317"/>
      <c r="D2" s="317"/>
      <c r="E2" s="41"/>
      <c r="F2" s="41"/>
      <c r="G2" s="41"/>
      <c r="H2" s="41"/>
      <c r="I2" s="41"/>
      <c r="J2" s="41"/>
      <c r="K2" s="41"/>
      <c r="L2" s="41"/>
      <c r="M2" s="41"/>
      <c r="AB2" s="39"/>
    </row>
    <row r="3" spans="1:52" s="38" customFormat="1" ht="19.5" x14ac:dyDescent="0.6">
      <c r="A3" s="314"/>
      <c r="B3" s="314"/>
      <c r="C3" s="40"/>
      <c r="D3" s="62"/>
      <c r="E3" s="41"/>
      <c r="F3" s="41"/>
      <c r="G3" s="41"/>
      <c r="H3" s="41"/>
      <c r="I3" s="41"/>
      <c r="J3" s="41"/>
      <c r="K3" s="41"/>
      <c r="L3" s="41"/>
      <c r="M3" s="41"/>
      <c r="AB3" s="39"/>
    </row>
    <row r="4" spans="1:52" s="38" customFormat="1" ht="19.5" x14ac:dyDescent="0.6">
      <c r="A4" s="63" t="str">
        <f>'STOK OPNAME GUDANG'!A4</f>
        <v>BULAN JANUARI TAHUN 2026</v>
      </c>
      <c r="B4" s="63"/>
      <c r="C4" s="40"/>
      <c r="D4" s="62"/>
      <c r="E4" s="41"/>
      <c r="F4" s="41"/>
      <c r="G4" s="41"/>
      <c r="H4" s="41"/>
      <c r="I4" s="41"/>
      <c r="J4" s="41"/>
      <c r="K4" s="41"/>
      <c r="L4" s="41"/>
      <c r="M4" s="41"/>
      <c r="AB4" s="39"/>
    </row>
    <row r="5" spans="1:52" ht="19.5" customHeight="1" x14ac:dyDescent="0.45">
      <c r="A5" s="292" t="s">
        <v>0</v>
      </c>
      <c r="B5" s="293" t="s">
        <v>1</v>
      </c>
      <c r="C5" s="294" t="s">
        <v>2</v>
      </c>
      <c r="D5" s="318" t="str">
        <f>'STOK OPNAME GUDANG'!D5:D6</f>
        <v>SISA STOK 31 JANUARI 2026</v>
      </c>
    </row>
    <row r="6" spans="1:52" ht="16.5" customHeight="1" x14ac:dyDescent="0.45">
      <c r="A6" s="292"/>
      <c r="B6" s="293"/>
      <c r="C6" s="294"/>
      <c r="D6" s="319"/>
    </row>
    <row r="7" spans="1:52" ht="19" x14ac:dyDescent="0.45">
      <c r="A7" s="99">
        <v>1</v>
      </c>
      <c r="B7" s="99">
        <v>2</v>
      </c>
      <c r="C7" s="99">
        <v>3</v>
      </c>
      <c r="D7" s="99">
        <v>4</v>
      </c>
    </row>
    <row r="8" spans="1:52" ht="20.149999999999999" customHeight="1" x14ac:dyDescent="0.5">
      <c r="A8" s="187">
        <v>1</v>
      </c>
      <c r="B8" s="145" t="s">
        <v>309</v>
      </c>
      <c r="C8" s="146"/>
      <c r="D8" s="146"/>
      <c r="E8" s="86"/>
    </row>
    <row r="9" spans="1:52" ht="20.149999999999999" customHeight="1" x14ac:dyDescent="0.45">
      <c r="A9" s="11">
        <v>2</v>
      </c>
      <c r="B9" s="178" t="s">
        <v>148</v>
      </c>
      <c r="C9" s="144" t="s">
        <v>177</v>
      </c>
      <c r="D9" s="46">
        <f>'LPLPO PROGRAM'!H15</f>
        <v>0</v>
      </c>
      <c r="E9" s="86"/>
    </row>
    <row r="10" spans="1:52" s="68" customFormat="1" ht="20.149999999999999" customHeight="1" x14ac:dyDescent="0.45">
      <c r="A10" s="11">
        <v>3</v>
      </c>
      <c r="B10" s="178" t="s">
        <v>391</v>
      </c>
      <c r="C10" s="144" t="s">
        <v>48</v>
      </c>
      <c r="D10" s="46">
        <f>'LPLPO PROGRAM'!H16</f>
        <v>0</v>
      </c>
      <c r="E10" s="86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</row>
    <row r="11" spans="1:52" s="68" customFormat="1" ht="20.149999999999999" customHeight="1" x14ac:dyDescent="0.45">
      <c r="A11" s="11">
        <v>4</v>
      </c>
      <c r="B11" s="178" t="s">
        <v>283</v>
      </c>
      <c r="C11" s="144" t="s">
        <v>6</v>
      </c>
      <c r="D11" s="46">
        <f>'LPLPO PROGRAM'!H17</f>
        <v>20000</v>
      </c>
      <c r="E11" s="86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</row>
    <row r="12" spans="1:52" s="68" customFormat="1" ht="20.149999999999999" customHeight="1" x14ac:dyDescent="0.45">
      <c r="A12" s="11">
        <v>5</v>
      </c>
      <c r="B12" s="178" t="s">
        <v>392</v>
      </c>
      <c r="C12" s="144" t="s">
        <v>177</v>
      </c>
      <c r="D12" s="46">
        <f>'LPLPO PROGRAM'!H18</f>
        <v>0</v>
      </c>
      <c r="E12" s="86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</row>
    <row r="13" spans="1:52" s="68" customFormat="1" ht="20.149999999999999" customHeight="1" x14ac:dyDescent="0.45">
      <c r="A13" s="11">
        <v>6</v>
      </c>
      <c r="B13" s="178" t="s">
        <v>176</v>
      </c>
      <c r="C13" s="144" t="s">
        <v>33</v>
      </c>
      <c r="D13" s="46">
        <f>'LPLPO PROGRAM'!H19</f>
        <v>0</v>
      </c>
      <c r="E13" s="86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</row>
    <row r="14" spans="1:52" s="68" customFormat="1" ht="20.149999999999999" customHeight="1" x14ac:dyDescent="0.45">
      <c r="A14" s="11">
        <v>7</v>
      </c>
      <c r="B14" s="181" t="s">
        <v>175</v>
      </c>
      <c r="C14" s="144" t="s">
        <v>33</v>
      </c>
      <c r="D14" s="46">
        <f>'LPLPO PROGRAM'!H20</f>
        <v>50</v>
      </c>
      <c r="E14" s="86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</row>
    <row r="15" spans="1:52" s="68" customFormat="1" ht="20.149999999999999" customHeight="1" x14ac:dyDescent="0.45">
      <c r="A15" s="11">
        <v>8</v>
      </c>
      <c r="B15" s="178"/>
      <c r="C15" s="144"/>
      <c r="D15" s="46">
        <f>'LPLPO PROGRAM'!H21</f>
        <v>0</v>
      </c>
      <c r="E15" s="86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</row>
    <row r="16" spans="1:52" s="68" customFormat="1" ht="18" x14ac:dyDescent="0.45">
      <c r="A16" s="11">
        <v>9</v>
      </c>
      <c r="B16" s="178"/>
      <c r="C16" s="144"/>
      <c r="D16" s="46">
        <f>'LPLPO PROGRAM'!H22</f>
        <v>0</v>
      </c>
      <c r="E16" s="86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</row>
    <row r="17" spans="1:52" s="68" customFormat="1" ht="18" x14ac:dyDescent="0.45">
      <c r="A17" s="11">
        <v>10</v>
      </c>
      <c r="B17" s="178"/>
      <c r="C17" s="144"/>
      <c r="D17" s="46">
        <f>'LPLPO PROGRAM'!H23</f>
        <v>0</v>
      </c>
      <c r="E17" s="86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</row>
    <row r="18" spans="1:52" s="68" customFormat="1" x14ac:dyDescent="0.45">
      <c r="A18" s="187">
        <v>11</v>
      </c>
      <c r="B18" s="188" t="s">
        <v>178</v>
      </c>
      <c r="C18" s="146"/>
      <c r="D18" s="146"/>
      <c r="E18" s="86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</row>
    <row r="19" spans="1:52" s="68" customFormat="1" ht="18" x14ac:dyDescent="0.45">
      <c r="A19" s="11">
        <v>12</v>
      </c>
      <c r="B19" s="182" t="s">
        <v>179</v>
      </c>
      <c r="C19" s="144" t="s">
        <v>4</v>
      </c>
      <c r="D19" s="46">
        <f>'LPLPO PROGRAM'!H25</f>
        <v>0</v>
      </c>
      <c r="E19" s="86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</row>
    <row r="20" spans="1:52" s="68" customFormat="1" ht="20.149999999999999" customHeight="1" x14ac:dyDescent="0.45">
      <c r="A20" s="11">
        <v>13</v>
      </c>
      <c r="B20" s="183" t="s">
        <v>181</v>
      </c>
      <c r="C20" s="144" t="s">
        <v>182</v>
      </c>
      <c r="D20" s="46">
        <f>'LPLPO PROGRAM'!H26</f>
        <v>0</v>
      </c>
      <c r="E20" s="86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</row>
    <row r="21" spans="1:52" s="68" customFormat="1" ht="20.149999999999999" customHeight="1" x14ac:dyDescent="0.45">
      <c r="A21" s="11">
        <v>14</v>
      </c>
      <c r="B21" s="183" t="s">
        <v>184</v>
      </c>
      <c r="C21" s="144" t="s">
        <v>4</v>
      </c>
      <c r="D21" s="46">
        <f>'LPLPO PROGRAM'!H27</f>
        <v>0</v>
      </c>
      <c r="E21" s="86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</row>
    <row r="22" spans="1:52" s="68" customFormat="1" ht="20.149999999999999" customHeight="1" x14ac:dyDescent="0.45">
      <c r="A22" s="11">
        <v>15</v>
      </c>
      <c r="B22" s="183" t="s">
        <v>353</v>
      </c>
      <c r="C22" s="144" t="s">
        <v>48</v>
      </c>
      <c r="D22" s="46">
        <f>'LPLPO PROGRAM'!H28</f>
        <v>0</v>
      </c>
      <c r="E22" s="86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</row>
    <row r="23" spans="1:52" s="68" customFormat="1" ht="20.149999999999999" customHeight="1" x14ac:dyDescent="0.45">
      <c r="A23" s="11">
        <v>16</v>
      </c>
      <c r="B23" s="178" t="s">
        <v>183</v>
      </c>
      <c r="C23" s="144" t="s">
        <v>4</v>
      </c>
      <c r="D23" s="46">
        <f>'LPLPO PROGRAM'!H29</f>
        <v>0</v>
      </c>
      <c r="E23" s="86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</row>
    <row r="24" spans="1:52" s="68" customFormat="1" ht="20.149999999999999" customHeight="1" x14ac:dyDescent="0.45">
      <c r="A24" s="11">
        <v>17</v>
      </c>
      <c r="B24" s="178" t="s">
        <v>180</v>
      </c>
      <c r="C24" s="144" t="s">
        <v>4</v>
      </c>
      <c r="D24" s="46">
        <f>'LPLPO PROGRAM'!H30</f>
        <v>0</v>
      </c>
      <c r="E24" s="86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</row>
    <row r="25" spans="1:52" s="68" customFormat="1" ht="20.149999999999999" customHeight="1" x14ac:dyDescent="0.45">
      <c r="A25" s="11">
        <v>18</v>
      </c>
      <c r="B25" s="178" t="s">
        <v>185</v>
      </c>
      <c r="C25" s="144" t="s">
        <v>4</v>
      </c>
      <c r="D25" s="46">
        <f>'LPLPO PROGRAM'!H31</f>
        <v>0</v>
      </c>
      <c r="E25" s="86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</row>
    <row r="26" spans="1:52" s="68" customFormat="1" ht="20.149999999999999" customHeight="1" x14ac:dyDescent="0.45">
      <c r="A26" s="11">
        <v>19</v>
      </c>
      <c r="B26" s="178" t="s">
        <v>267</v>
      </c>
      <c r="C26" s="144" t="s">
        <v>4</v>
      </c>
      <c r="D26" s="46">
        <f>'LPLPO PROGRAM'!H32</f>
        <v>0</v>
      </c>
      <c r="E26" s="86"/>
    </row>
    <row r="27" spans="1:52" s="68" customFormat="1" ht="20.149999999999999" customHeight="1" x14ac:dyDescent="0.45">
      <c r="A27" s="11">
        <v>20</v>
      </c>
      <c r="B27" s="178" t="s">
        <v>186</v>
      </c>
      <c r="C27" s="144" t="s">
        <v>4</v>
      </c>
      <c r="D27" s="46">
        <f>'LPLPO PROGRAM'!H33</f>
        <v>0</v>
      </c>
      <c r="E27" s="86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</row>
    <row r="28" spans="1:52" s="68" customFormat="1" ht="20.149999999999999" customHeight="1" x14ac:dyDescent="0.45">
      <c r="A28" s="11">
        <v>21</v>
      </c>
      <c r="B28" s="178" t="s">
        <v>266</v>
      </c>
      <c r="C28" s="144" t="s">
        <v>4</v>
      </c>
      <c r="D28" s="46">
        <f>'LPLPO PROGRAM'!H34</f>
        <v>10</v>
      </c>
      <c r="E28" s="86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</row>
    <row r="29" spans="1:52" s="68" customFormat="1" ht="20.149999999999999" customHeight="1" x14ac:dyDescent="0.45">
      <c r="A29" s="11">
        <v>22</v>
      </c>
      <c r="B29" s="178" t="s">
        <v>187</v>
      </c>
      <c r="C29" s="144" t="s">
        <v>188</v>
      </c>
      <c r="D29" s="46">
        <f>'LPLPO PROGRAM'!H35</f>
        <v>0</v>
      </c>
      <c r="E29" s="86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</row>
    <row r="30" spans="1:52" s="68" customFormat="1" ht="20.149999999999999" customHeight="1" x14ac:dyDescent="0.45">
      <c r="A30" s="11">
        <v>23</v>
      </c>
      <c r="B30" s="178" t="s">
        <v>393</v>
      </c>
      <c r="C30" s="144"/>
      <c r="D30" s="46">
        <f>'LPLPO PROGRAM'!H36</f>
        <v>0</v>
      </c>
      <c r="E30" s="86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</row>
    <row r="31" spans="1:52" s="68" customFormat="1" ht="20.149999999999999" customHeight="1" x14ac:dyDescent="0.45">
      <c r="A31" s="11">
        <v>24</v>
      </c>
      <c r="B31" s="183" t="s">
        <v>428</v>
      </c>
      <c r="C31" s="144" t="s">
        <v>6</v>
      </c>
      <c r="D31" s="46">
        <f>'LPLPO PROGRAM'!H37</f>
        <v>0</v>
      </c>
      <c r="E31" s="86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</row>
    <row r="32" spans="1:52" s="68" customFormat="1" ht="20.149999999999999" customHeight="1" x14ac:dyDescent="0.45">
      <c r="A32" s="11">
        <v>25</v>
      </c>
      <c r="B32" s="183" t="s">
        <v>429</v>
      </c>
      <c r="C32" s="144" t="s">
        <v>48</v>
      </c>
      <c r="D32" s="46">
        <f>'LPLPO PROGRAM'!H38</f>
        <v>362</v>
      </c>
      <c r="E32" s="86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</row>
    <row r="33" spans="1:52" s="68" customFormat="1" ht="20.149999999999999" customHeight="1" x14ac:dyDescent="0.45">
      <c r="A33" s="11">
        <v>26</v>
      </c>
      <c r="B33" s="178" t="s">
        <v>430</v>
      </c>
      <c r="C33" s="144" t="s">
        <v>188</v>
      </c>
      <c r="D33" s="46">
        <f>'LPLPO PROGRAM'!H39</f>
        <v>0</v>
      </c>
      <c r="E33" s="86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</row>
    <row r="34" spans="1:52" s="68" customFormat="1" ht="20.149999999999999" customHeight="1" x14ac:dyDescent="0.45">
      <c r="A34" s="11">
        <v>27</v>
      </c>
      <c r="B34" s="184"/>
      <c r="C34" s="144"/>
      <c r="D34" s="46">
        <f>'LPLPO PROGRAM'!H40</f>
        <v>0</v>
      </c>
      <c r="E34" s="86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</row>
    <row r="35" spans="1:52" s="68" customFormat="1" ht="20.149999999999999" customHeight="1" x14ac:dyDescent="0.45">
      <c r="A35" s="187">
        <v>28</v>
      </c>
      <c r="B35" s="189" t="s">
        <v>189</v>
      </c>
      <c r="C35" s="146"/>
      <c r="D35" s="146"/>
      <c r="E35" s="86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</row>
    <row r="36" spans="1:52" s="68" customFormat="1" ht="20.149999999999999" customHeight="1" x14ac:dyDescent="0.45">
      <c r="A36" s="11">
        <v>29</v>
      </c>
      <c r="B36" s="183" t="s">
        <v>268</v>
      </c>
      <c r="C36" s="144" t="s">
        <v>6</v>
      </c>
      <c r="D36" s="46">
        <f>'LPLPO PROGRAM'!H42</f>
        <v>0</v>
      </c>
      <c r="E36" s="86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</row>
    <row r="37" spans="1:52" s="68" customFormat="1" ht="20.149999999999999" customHeight="1" x14ac:dyDescent="0.45">
      <c r="A37" s="11">
        <v>30</v>
      </c>
      <c r="B37" s="178" t="s">
        <v>269</v>
      </c>
      <c r="C37" s="144" t="s">
        <v>182</v>
      </c>
      <c r="D37" s="46">
        <f>'LPLPO PROGRAM'!H43</f>
        <v>0</v>
      </c>
      <c r="E37" s="86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</row>
    <row r="38" spans="1:52" s="68" customFormat="1" ht="20.149999999999999" customHeight="1" x14ac:dyDescent="0.45">
      <c r="A38" s="11">
        <v>31</v>
      </c>
      <c r="B38" s="178" t="s">
        <v>284</v>
      </c>
      <c r="C38" s="144" t="s">
        <v>48</v>
      </c>
      <c r="D38" s="46">
        <f>'LPLPO PROGRAM'!H44</f>
        <v>0</v>
      </c>
      <c r="E38" s="86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</row>
    <row r="39" spans="1:52" s="68" customFormat="1" ht="20.149999999999999" customHeight="1" x14ac:dyDescent="0.45">
      <c r="A39" s="11">
        <v>32</v>
      </c>
      <c r="B39" s="178" t="s">
        <v>190</v>
      </c>
      <c r="C39" s="144" t="s">
        <v>6</v>
      </c>
      <c r="D39" s="46">
        <f>'LPLPO PROGRAM'!H45</f>
        <v>0</v>
      </c>
      <c r="E39" s="86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</row>
    <row r="40" spans="1:52" s="68" customFormat="1" ht="20.149999999999999" customHeight="1" x14ac:dyDescent="0.45">
      <c r="A40" s="11">
        <v>33</v>
      </c>
      <c r="B40" s="178" t="s">
        <v>357</v>
      </c>
      <c r="C40" s="144" t="s">
        <v>108</v>
      </c>
      <c r="D40" s="46">
        <f>'LPLPO PROGRAM'!H46</f>
        <v>0</v>
      </c>
      <c r="E40" s="86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</row>
    <row r="41" spans="1:52" s="68" customFormat="1" ht="20.149999999999999" customHeight="1" x14ac:dyDescent="0.45">
      <c r="A41" s="11">
        <v>34</v>
      </c>
      <c r="B41" s="178" t="s">
        <v>358</v>
      </c>
      <c r="C41" s="144" t="s">
        <v>108</v>
      </c>
      <c r="D41" s="46">
        <f>'LPLPO PROGRAM'!H47</f>
        <v>0</v>
      </c>
      <c r="E41" s="86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</row>
    <row r="42" spans="1:52" s="68" customFormat="1" ht="20.149999999999999" customHeight="1" x14ac:dyDescent="0.45">
      <c r="A42" s="11">
        <v>35</v>
      </c>
      <c r="B42" s="178" t="s">
        <v>356</v>
      </c>
      <c r="C42" s="144" t="s">
        <v>108</v>
      </c>
      <c r="D42" s="46">
        <f>'LPLPO PROGRAM'!H48</f>
        <v>0</v>
      </c>
      <c r="E42" s="86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</row>
    <row r="43" spans="1:52" s="68" customFormat="1" ht="20.149999999999999" customHeight="1" x14ac:dyDescent="0.45">
      <c r="A43" s="11">
        <v>36</v>
      </c>
      <c r="B43" s="178" t="s">
        <v>354</v>
      </c>
      <c r="C43" s="144" t="s">
        <v>355</v>
      </c>
      <c r="D43" s="46">
        <f>'LPLPO PROGRAM'!H49</f>
        <v>0</v>
      </c>
      <c r="E43" s="86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</row>
    <row r="44" spans="1:52" s="68" customFormat="1" ht="20.149999999999999" customHeight="1" x14ac:dyDescent="0.45">
      <c r="A44" s="11">
        <v>37</v>
      </c>
      <c r="B44" s="178" t="s">
        <v>394</v>
      </c>
      <c r="C44" s="144" t="s">
        <v>395</v>
      </c>
      <c r="D44" s="46">
        <f>'LPLPO PROGRAM'!H50</f>
        <v>0</v>
      </c>
      <c r="E44" s="86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</row>
    <row r="45" spans="1:52" s="68" customFormat="1" ht="20.149999999999999" customHeight="1" x14ac:dyDescent="0.45">
      <c r="A45" s="11">
        <v>38</v>
      </c>
      <c r="B45" s="183" t="s">
        <v>431</v>
      </c>
      <c r="C45" s="144" t="s">
        <v>48</v>
      </c>
      <c r="D45" s="46">
        <f>'LPLPO PROGRAM'!H51</f>
        <v>0</v>
      </c>
      <c r="E45" s="86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</row>
    <row r="46" spans="1:52" s="68" customFormat="1" ht="20.149999999999999" customHeight="1" x14ac:dyDescent="0.45">
      <c r="A46" s="11">
        <v>39</v>
      </c>
      <c r="B46" s="178"/>
      <c r="C46" s="144"/>
      <c r="D46" s="46">
        <f>'LPLPO PROGRAM'!H52</f>
        <v>0</v>
      </c>
      <c r="E46" s="86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</row>
    <row r="47" spans="1:52" s="68" customFormat="1" ht="20.149999999999999" customHeight="1" x14ac:dyDescent="0.45">
      <c r="A47" s="11">
        <v>40</v>
      </c>
      <c r="B47" s="178"/>
      <c r="C47" s="144"/>
      <c r="D47" s="46">
        <f>'LPLPO PROGRAM'!H53</f>
        <v>0</v>
      </c>
      <c r="E47" s="86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</row>
    <row r="48" spans="1:52" s="68" customFormat="1" ht="20.149999999999999" customHeight="1" x14ac:dyDescent="0.45">
      <c r="A48" s="187">
        <v>41</v>
      </c>
      <c r="B48" s="188" t="s">
        <v>191</v>
      </c>
      <c r="C48" s="146"/>
      <c r="D48" s="146"/>
      <c r="E48" s="86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</row>
    <row r="49" spans="1:52" s="68" customFormat="1" ht="20.149999999999999" customHeight="1" x14ac:dyDescent="0.45">
      <c r="A49" s="11">
        <v>42</v>
      </c>
      <c r="B49" s="178" t="s">
        <v>192</v>
      </c>
      <c r="C49" s="144" t="s">
        <v>6</v>
      </c>
      <c r="D49" s="46">
        <f>'LPLPO PROGRAM'!H55</f>
        <v>0</v>
      </c>
      <c r="E49" s="86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</row>
    <row r="50" spans="1:52" s="68" customFormat="1" ht="20.149999999999999" customHeight="1" x14ac:dyDescent="0.45">
      <c r="A50" s="11">
        <v>43</v>
      </c>
      <c r="B50" s="178" t="s">
        <v>285</v>
      </c>
      <c r="C50" s="144" t="s">
        <v>48</v>
      </c>
      <c r="D50" s="46">
        <f>'LPLPO PROGRAM'!H56</f>
        <v>0</v>
      </c>
      <c r="E50" s="86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</row>
    <row r="51" spans="1:52" s="68" customFormat="1" ht="20.149999999999999" customHeight="1" x14ac:dyDescent="0.45">
      <c r="A51" s="11">
        <v>44</v>
      </c>
      <c r="B51" s="178" t="s">
        <v>359</v>
      </c>
      <c r="C51" s="144" t="s">
        <v>48</v>
      </c>
      <c r="D51" s="46">
        <f>'LPLPO PROGRAM'!H57</f>
        <v>0</v>
      </c>
      <c r="E51" s="86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</row>
    <row r="52" spans="1:52" s="68" customFormat="1" ht="20.149999999999999" customHeight="1" x14ac:dyDescent="0.45">
      <c r="A52" s="11">
        <v>45</v>
      </c>
      <c r="B52" s="178"/>
      <c r="C52" s="144"/>
      <c r="D52" s="46">
        <f>'LPLPO PROGRAM'!H58</f>
        <v>0</v>
      </c>
      <c r="E52" s="86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</row>
    <row r="53" spans="1:52" s="68" customFormat="1" ht="20.149999999999999" customHeight="1" x14ac:dyDescent="0.45">
      <c r="A53" s="11">
        <v>46</v>
      </c>
      <c r="B53" s="178"/>
      <c r="C53" s="144"/>
      <c r="D53" s="46">
        <f>'LPLPO PROGRAM'!H59</f>
        <v>0</v>
      </c>
      <c r="E53" s="86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</row>
    <row r="54" spans="1:52" s="68" customFormat="1" ht="20.149999999999999" customHeight="1" x14ac:dyDescent="0.45">
      <c r="A54" s="11">
        <v>47</v>
      </c>
      <c r="B54" s="178"/>
      <c r="C54" s="144"/>
      <c r="D54" s="46">
        <f>'LPLPO PROGRAM'!H60</f>
        <v>0</v>
      </c>
      <c r="E54" s="86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</row>
    <row r="55" spans="1:52" s="68" customFormat="1" x14ac:dyDescent="0.45">
      <c r="A55" s="187">
        <v>48</v>
      </c>
      <c r="B55" s="188" t="s">
        <v>193</v>
      </c>
      <c r="C55" s="146"/>
      <c r="D55" s="146"/>
      <c r="E55" s="86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</row>
    <row r="56" spans="1:52" s="68" customFormat="1" ht="20.149999999999999" customHeight="1" x14ac:dyDescent="0.45">
      <c r="A56" s="11">
        <v>49</v>
      </c>
      <c r="B56" s="178" t="s">
        <v>194</v>
      </c>
      <c r="C56" s="144" t="s">
        <v>6</v>
      </c>
      <c r="D56" s="46">
        <f>'LPLPO PROGRAM'!H62</f>
        <v>200</v>
      </c>
      <c r="E56" s="86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</row>
    <row r="57" spans="1:52" s="68" customFormat="1" ht="20.149999999999999" customHeight="1" x14ac:dyDescent="0.45">
      <c r="A57" s="11">
        <v>50</v>
      </c>
      <c r="B57" s="178" t="s">
        <v>195</v>
      </c>
      <c r="C57" s="144" t="s">
        <v>6</v>
      </c>
      <c r="D57" s="46">
        <f>'LPLPO PROGRAM'!H63</f>
        <v>0</v>
      </c>
      <c r="E57" s="86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</row>
    <row r="58" spans="1:52" s="68" customFormat="1" ht="20.149999999999999" customHeight="1" x14ac:dyDescent="0.45">
      <c r="A58" s="11">
        <v>51</v>
      </c>
      <c r="B58" s="178" t="s">
        <v>196</v>
      </c>
      <c r="C58" s="144" t="s">
        <v>6</v>
      </c>
      <c r="D58" s="46">
        <f>'LPLPO PROGRAM'!H64</f>
        <v>0</v>
      </c>
      <c r="E58" s="86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</row>
    <row r="59" spans="1:52" s="68" customFormat="1" ht="20.149999999999999" customHeight="1" x14ac:dyDescent="0.45">
      <c r="A59" s="11">
        <v>52</v>
      </c>
      <c r="B59" s="184" t="s">
        <v>361</v>
      </c>
      <c r="C59" s="144" t="s">
        <v>6</v>
      </c>
      <c r="D59" s="46">
        <f>'LPLPO PROGRAM'!H65</f>
        <v>0</v>
      </c>
      <c r="E59" s="86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</row>
    <row r="60" spans="1:52" s="68" customFormat="1" ht="20.149999999999999" customHeight="1" x14ac:dyDescent="0.45">
      <c r="A60" s="11">
        <v>53</v>
      </c>
      <c r="B60" s="184" t="s">
        <v>270</v>
      </c>
      <c r="C60" s="144" t="s">
        <v>198</v>
      </c>
      <c r="D60" s="46">
        <f>'LPLPO PROGRAM'!H66</f>
        <v>0</v>
      </c>
      <c r="E60" s="86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</row>
    <row r="61" spans="1:52" s="68" customFormat="1" ht="20.149999999999999" customHeight="1" x14ac:dyDescent="0.45">
      <c r="A61" s="11">
        <v>54</v>
      </c>
      <c r="B61" s="184" t="s">
        <v>360</v>
      </c>
      <c r="C61" s="144" t="s">
        <v>6</v>
      </c>
      <c r="D61" s="46">
        <f>'LPLPO PROGRAM'!H67</f>
        <v>0</v>
      </c>
      <c r="E61" s="86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</row>
    <row r="62" spans="1:52" s="68" customFormat="1" ht="18" x14ac:dyDescent="0.45">
      <c r="A62" s="11">
        <v>55</v>
      </c>
      <c r="B62" s="184" t="s">
        <v>197</v>
      </c>
      <c r="C62" s="144" t="s">
        <v>6</v>
      </c>
      <c r="D62" s="46">
        <f>'LPLPO PROGRAM'!H68</f>
        <v>0</v>
      </c>
      <c r="E62" s="86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</row>
    <row r="63" spans="1:52" s="68" customFormat="1" ht="20.149999999999999" customHeight="1" x14ac:dyDescent="0.45">
      <c r="A63" s="11">
        <v>56</v>
      </c>
      <c r="B63" s="184"/>
      <c r="C63" s="144"/>
      <c r="D63" s="46">
        <f>'LPLPO PROGRAM'!H69</f>
        <v>0</v>
      </c>
      <c r="E63" s="86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</row>
    <row r="64" spans="1:52" s="68" customFormat="1" ht="20.149999999999999" customHeight="1" x14ac:dyDescent="0.45">
      <c r="A64" s="11">
        <v>57</v>
      </c>
      <c r="B64" s="184"/>
      <c r="C64" s="144"/>
      <c r="D64" s="46">
        <f>'LPLPO PROGRAM'!H70</f>
        <v>0</v>
      </c>
      <c r="E64" s="86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</row>
    <row r="65" spans="1:52" s="68" customFormat="1" ht="20.149999999999999" customHeight="1" x14ac:dyDescent="0.45">
      <c r="A65" s="11">
        <v>58</v>
      </c>
      <c r="B65" s="184"/>
      <c r="C65" s="144"/>
      <c r="D65" s="46">
        <f>'LPLPO PROGRAM'!H71</f>
        <v>0</v>
      </c>
      <c r="E65" s="86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</row>
    <row r="66" spans="1:52" s="68" customFormat="1" ht="20.149999999999999" customHeight="1" x14ac:dyDescent="0.45">
      <c r="A66" s="187">
        <v>59</v>
      </c>
      <c r="B66" s="189" t="s">
        <v>199</v>
      </c>
      <c r="C66" s="146"/>
      <c r="D66" s="146"/>
      <c r="E66" s="86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</row>
    <row r="67" spans="1:52" s="68" customFormat="1" ht="20.149999999999999" customHeight="1" x14ac:dyDescent="0.45">
      <c r="A67" s="11">
        <v>60</v>
      </c>
      <c r="B67" s="184" t="s">
        <v>367</v>
      </c>
      <c r="C67" s="144" t="s">
        <v>363</v>
      </c>
      <c r="D67" s="46">
        <f>'LPLPO PROGRAM'!H73</f>
        <v>0</v>
      </c>
      <c r="E67" s="86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</row>
    <row r="68" spans="1:52" s="68" customFormat="1" ht="20.149999999999999" customHeight="1" x14ac:dyDescent="0.45">
      <c r="A68" s="11">
        <v>61</v>
      </c>
      <c r="B68" s="184" t="s">
        <v>302</v>
      </c>
      <c r="C68" s="144" t="s">
        <v>294</v>
      </c>
      <c r="D68" s="46">
        <f>'LPLPO PROGRAM'!H74</f>
        <v>0</v>
      </c>
      <c r="E68" s="86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</row>
    <row r="69" spans="1:52" s="68" customFormat="1" ht="18" x14ac:dyDescent="0.45">
      <c r="A69" s="11">
        <v>62</v>
      </c>
      <c r="B69" s="184" t="s">
        <v>364</v>
      </c>
      <c r="C69" s="144" t="s">
        <v>6</v>
      </c>
      <c r="D69" s="46">
        <f>'LPLPO PROGRAM'!H75</f>
        <v>0</v>
      </c>
      <c r="E69" s="86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</row>
    <row r="70" spans="1:52" s="68" customFormat="1" ht="20.149999999999999" customHeight="1" x14ac:dyDescent="0.45">
      <c r="A70" s="11">
        <v>63</v>
      </c>
      <c r="B70" s="184" t="s">
        <v>307</v>
      </c>
      <c r="C70" s="144" t="s">
        <v>6</v>
      </c>
      <c r="D70" s="46">
        <f>'LPLPO PROGRAM'!H76</f>
        <v>0</v>
      </c>
      <c r="E70" s="86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</row>
    <row r="71" spans="1:52" s="68" customFormat="1" ht="20.149999999999999" customHeight="1" x14ac:dyDescent="0.45">
      <c r="A71" s="11">
        <v>64</v>
      </c>
      <c r="B71" s="184" t="s">
        <v>366</v>
      </c>
      <c r="C71" s="144" t="s">
        <v>6</v>
      </c>
      <c r="D71" s="46">
        <f>'LPLPO PROGRAM'!H77</f>
        <v>0</v>
      </c>
      <c r="E71" s="86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</row>
    <row r="72" spans="1:52" s="68" customFormat="1" ht="18" x14ac:dyDescent="0.45">
      <c r="A72" s="11">
        <v>65</v>
      </c>
      <c r="B72" s="184" t="s">
        <v>362</v>
      </c>
      <c r="C72" s="144" t="s">
        <v>363</v>
      </c>
      <c r="D72" s="46">
        <f>'LPLPO PROGRAM'!H78</f>
        <v>0</v>
      </c>
      <c r="E72" s="86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</row>
    <row r="73" spans="1:52" s="68" customFormat="1" ht="18" x14ac:dyDescent="0.45">
      <c r="A73" s="11">
        <v>66</v>
      </c>
      <c r="B73" s="184" t="s">
        <v>368</v>
      </c>
      <c r="C73" s="144" t="s">
        <v>363</v>
      </c>
      <c r="D73" s="46">
        <f>'LPLPO PROGRAM'!H79</f>
        <v>0</v>
      </c>
      <c r="E73" s="86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</row>
    <row r="74" spans="1:52" s="68" customFormat="1" ht="18" x14ac:dyDescent="0.45">
      <c r="A74" s="11">
        <v>67</v>
      </c>
      <c r="B74" s="178" t="s">
        <v>370</v>
      </c>
      <c r="C74" s="144" t="s">
        <v>363</v>
      </c>
      <c r="D74" s="46">
        <f>'LPLPO PROGRAM'!H80</f>
        <v>0</v>
      </c>
      <c r="E74" s="86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</row>
    <row r="75" spans="1:52" s="68" customFormat="1" ht="20.149999999999999" customHeight="1" x14ac:dyDescent="0.45">
      <c r="A75" s="11">
        <v>68</v>
      </c>
      <c r="B75" s="178" t="s">
        <v>369</v>
      </c>
      <c r="C75" s="144" t="s">
        <v>363</v>
      </c>
      <c r="D75" s="46">
        <f>'LPLPO PROGRAM'!H81</f>
        <v>0</v>
      </c>
      <c r="E75" s="86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</row>
    <row r="76" spans="1:52" s="68" customFormat="1" ht="18" x14ac:dyDescent="0.45">
      <c r="A76" s="11">
        <v>69</v>
      </c>
      <c r="B76" s="183" t="s">
        <v>200</v>
      </c>
      <c r="C76" s="144" t="s">
        <v>201</v>
      </c>
      <c r="D76" s="46">
        <f>'LPLPO PROGRAM'!H82</f>
        <v>0</v>
      </c>
      <c r="E76" s="86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</row>
    <row r="77" spans="1:52" s="68" customFormat="1" ht="18" x14ac:dyDescent="0.45">
      <c r="A77" s="11">
        <v>70</v>
      </c>
      <c r="B77" s="178" t="s">
        <v>279</v>
      </c>
      <c r="C77" s="144" t="s">
        <v>201</v>
      </c>
      <c r="D77" s="46">
        <f>'LPLPO PROGRAM'!H83</f>
        <v>0</v>
      </c>
      <c r="E77" s="86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</row>
    <row r="78" spans="1:52" s="68" customFormat="1" ht="20.149999999999999" customHeight="1" x14ac:dyDescent="0.45">
      <c r="A78" s="11">
        <v>71</v>
      </c>
      <c r="B78" s="183" t="s">
        <v>365</v>
      </c>
      <c r="C78" s="144" t="s">
        <v>6</v>
      </c>
      <c r="D78" s="46">
        <f>'LPLPO PROGRAM'!H84</f>
        <v>0</v>
      </c>
      <c r="E78" s="86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</row>
    <row r="79" spans="1:52" s="68" customFormat="1" ht="20.149999999999999" customHeight="1" x14ac:dyDescent="0.45">
      <c r="A79" s="11">
        <v>72</v>
      </c>
      <c r="B79" s="183" t="s">
        <v>271</v>
      </c>
      <c r="C79" s="144" t="s">
        <v>204</v>
      </c>
      <c r="D79" s="46">
        <f>'LPLPO PROGRAM'!H85</f>
        <v>0</v>
      </c>
      <c r="E79" s="86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</row>
    <row r="80" spans="1:52" s="68" customFormat="1" ht="20.149999999999999" customHeight="1" x14ac:dyDescent="0.45">
      <c r="A80" s="11">
        <v>73</v>
      </c>
      <c r="B80" s="182" t="s">
        <v>306</v>
      </c>
      <c r="C80" s="144" t="s">
        <v>48</v>
      </c>
      <c r="D80" s="46">
        <f>'LPLPO PROGRAM'!H86</f>
        <v>0</v>
      </c>
      <c r="E80" s="86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</row>
    <row r="81" spans="1:52" s="68" customFormat="1" ht="20.149999999999999" customHeight="1" x14ac:dyDescent="0.45">
      <c r="A81" s="11">
        <v>74</v>
      </c>
      <c r="B81" s="178" t="s">
        <v>396</v>
      </c>
      <c r="C81" s="144" t="s">
        <v>33</v>
      </c>
      <c r="D81" s="46">
        <f>'LPLPO PROGRAM'!H87</f>
        <v>0</v>
      </c>
      <c r="E81" s="86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</row>
    <row r="82" spans="1:52" s="68" customFormat="1" ht="20.149999999999999" customHeight="1" x14ac:dyDescent="0.45">
      <c r="A82" s="11">
        <v>75</v>
      </c>
      <c r="B82" s="183" t="s">
        <v>432</v>
      </c>
      <c r="C82" s="144" t="s">
        <v>6</v>
      </c>
      <c r="D82" s="46">
        <f>'LPLPO PROGRAM'!H88</f>
        <v>0</v>
      </c>
      <c r="E82" s="86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</row>
    <row r="83" spans="1:52" s="68" customFormat="1" ht="20.149999999999999" customHeight="1" x14ac:dyDescent="0.45">
      <c r="A83" s="11">
        <v>76</v>
      </c>
      <c r="B83" s="183" t="s">
        <v>305</v>
      </c>
      <c r="C83" s="144" t="s">
        <v>6</v>
      </c>
      <c r="D83" s="46">
        <f>'LPLPO PROGRAM'!H89</f>
        <v>0</v>
      </c>
      <c r="E83" s="86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</row>
    <row r="84" spans="1:52" s="68" customFormat="1" ht="20.149999999999999" customHeight="1" x14ac:dyDescent="0.45">
      <c r="A84" s="11">
        <v>77</v>
      </c>
      <c r="B84" s="183" t="s">
        <v>303</v>
      </c>
      <c r="C84" s="144" t="s">
        <v>6</v>
      </c>
      <c r="D84" s="46">
        <f>'LPLPO PROGRAM'!H90</f>
        <v>0</v>
      </c>
      <c r="E84" s="86"/>
    </row>
    <row r="85" spans="1:52" s="68" customFormat="1" ht="20.149999999999999" customHeight="1" x14ac:dyDescent="0.45">
      <c r="A85" s="11">
        <v>78</v>
      </c>
      <c r="B85" s="178" t="s">
        <v>304</v>
      </c>
      <c r="C85" s="144" t="s">
        <v>182</v>
      </c>
      <c r="D85" s="46">
        <f>'LPLPO PROGRAM'!H91</f>
        <v>0</v>
      </c>
      <c r="E85" s="86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</row>
    <row r="86" spans="1:52" s="68" customFormat="1" ht="20.149999999999999" customHeight="1" x14ac:dyDescent="0.45">
      <c r="A86" s="11">
        <v>79</v>
      </c>
      <c r="B86" s="178" t="s">
        <v>202</v>
      </c>
      <c r="C86" s="144" t="s">
        <v>201</v>
      </c>
      <c r="D86" s="46">
        <f>'LPLPO PROGRAM'!H92</f>
        <v>0</v>
      </c>
      <c r="E86" s="86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</row>
    <row r="87" spans="1:52" s="68" customFormat="1" ht="20.149999999999999" customHeight="1" x14ac:dyDescent="0.45">
      <c r="A87" s="11">
        <v>80</v>
      </c>
      <c r="B87" s="178" t="s">
        <v>433</v>
      </c>
      <c r="C87" s="144" t="s">
        <v>203</v>
      </c>
      <c r="D87" s="46">
        <f>'LPLPO PROGRAM'!H93</f>
        <v>0</v>
      </c>
      <c r="E87" s="86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</row>
    <row r="88" spans="1:52" s="68" customFormat="1" ht="20.149999999999999" customHeight="1" x14ac:dyDescent="0.45">
      <c r="A88" s="11">
        <v>81</v>
      </c>
      <c r="B88" s="178"/>
      <c r="C88" s="144"/>
      <c r="D88" s="46">
        <f>'LPLPO PROGRAM'!H94</f>
        <v>0</v>
      </c>
      <c r="E88" s="86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</row>
    <row r="89" spans="1:52" s="68" customFormat="1" ht="20.149999999999999" customHeight="1" x14ac:dyDescent="0.45">
      <c r="A89" s="11">
        <v>82</v>
      </c>
      <c r="B89" s="178"/>
      <c r="C89" s="144"/>
      <c r="D89" s="46">
        <f>'LPLPO PROGRAM'!H95</f>
        <v>0</v>
      </c>
      <c r="E89" s="86"/>
    </row>
    <row r="90" spans="1:52" s="68" customFormat="1" ht="20.149999999999999" customHeight="1" x14ac:dyDescent="0.45">
      <c r="A90" s="11">
        <v>83</v>
      </c>
      <c r="B90" s="178"/>
      <c r="C90" s="144"/>
      <c r="D90" s="46">
        <f>'LPLPO PROGRAM'!H96</f>
        <v>0</v>
      </c>
      <c r="E90" s="86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</row>
    <row r="91" spans="1:52" s="68" customFormat="1" ht="20.149999999999999" customHeight="1" x14ac:dyDescent="0.45">
      <c r="A91" s="187">
        <v>84</v>
      </c>
      <c r="B91" s="190" t="s">
        <v>205</v>
      </c>
      <c r="C91" s="146"/>
      <c r="D91" s="146"/>
      <c r="E91" s="86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</row>
    <row r="92" spans="1:52" s="68" customFormat="1" ht="20.149999999999999" customHeight="1" x14ac:dyDescent="0.45">
      <c r="A92" s="11">
        <v>85</v>
      </c>
      <c r="B92" s="184" t="s">
        <v>206</v>
      </c>
      <c r="C92" s="144" t="s">
        <v>177</v>
      </c>
      <c r="D92" s="46">
        <f>'LPLPO PROGRAM'!H98</f>
        <v>175</v>
      </c>
      <c r="E92" s="86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</row>
    <row r="93" spans="1:52" s="68" customFormat="1" ht="20.149999999999999" customHeight="1" x14ac:dyDescent="0.45">
      <c r="A93" s="11">
        <v>86</v>
      </c>
      <c r="B93" s="178" t="s">
        <v>257</v>
      </c>
      <c r="C93" s="144" t="s">
        <v>48</v>
      </c>
      <c r="D93" s="46">
        <f>'LPLPO PROGRAM'!H99</f>
        <v>0</v>
      </c>
      <c r="E93" s="86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</row>
    <row r="94" spans="1:52" s="68" customFormat="1" ht="20.149999999999999" customHeight="1" x14ac:dyDescent="0.45">
      <c r="A94" s="11">
        <v>87</v>
      </c>
      <c r="B94" s="184" t="s">
        <v>272</v>
      </c>
      <c r="C94" s="144" t="s">
        <v>198</v>
      </c>
      <c r="D94" s="46">
        <f>'LPLPO PROGRAM'!H100</f>
        <v>600</v>
      </c>
      <c r="E94" s="86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</row>
    <row r="95" spans="1:52" s="68" customFormat="1" ht="20.149999999999999" customHeight="1" x14ac:dyDescent="0.45">
      <c r="A95" s="11">
        <v>88</v>
      </c>
      <c r="B95" s="180"/>
      <c r="C95" s="144"/>
      <c r="D95" s="46">
        <f>'LPLPO PROGRAM'!H101</f>
        <v>0</v>
      </c>
      <c r="E95" s="86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</row>
    <row r="96" spans="1:52" s="68" customFormat="1" ht="20.149999999999999" customHeight="1" x14ac:dyDescent="0.45">
      <c r="A96" s="11">
        <v>89</v>
      </c>
      <c r="B96" s="185"/>
      <c r="C96" s="144"/>
      <c r="D96" s="46">
        <f>'LPLPO PROGRAM'!H102</f>
        <v>0</v>
      </c>
      <c r="E96" s="86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</row>
    <row r="97" spans="1:52" s="68" customFormat="1" ht="20.149999999999999" customHeight="1" x14ac:dyDescent="0.45">
      <c r="A97" s="11">
        <v>90</v>
      </c>
      <c r="B97" s="185"/>
      <c r="C97" s="144"/>
      <c r="D97" s="46">
        <f>'LPLPO PROGRAM'!H103</f>
        <v>0</v>
      </c>
      <c r="E97" s="86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</row>
    <row r="98" spans="1:52" s="68" customFormat="1" ht="20.149999999999999" customHeight="1" x14ac:dyDescent="0.45">
      <c r="A98" s="187">
        <v>91</v>
      </c>
      <c r="B98" s="189" t="s">
        <v>207</v>
      </c>
      <c r="C98" s="146"/>
      <c r="D98" s="146"/>
      <c r="E98" s="86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</row>
    <row r="99" spans="1:52" s="68" customFormat="1" ht="20.149999999999999" customHeight="1" x14ac:dyDescent="0.45">
      <c r="A99" s="11">
        <v>92</v>
      </c>
      <c r="B99" s="186" t="s">
        <v>208</v>
      </c>
      <c r="C99" s="144" t="s">
        <v>209</v>
      </c>
      <c r="D99" s="46">
        <f>'LPLPO PROGRAM'!H105</f>
        <v>0</v>
      </c>
      <c r="E99" s="86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</row>
    <row r="100" spans="1:52" s="68" customFormat="1" ht="20.149999999999999" customHeight="1" x14ac:dyDescent="0.45">
      <c r="A100" s="11">
        <v>93</v>
      </c>
      <c r="B100" s="184" t="s">
        <v>286</v>
      </c>
      <c r="C100" s="144" t="s">
        <v>209</v>
      </c>
      <c r="D100" s="46">
        <f>'LPLPO PROGRAM'!H106</f>
        <v>0</v>
      </c>
      <c r="E100" s="86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</row>
    <row r="101" spans="1:52" s="68" customFormat="1" ht="20.149999999999999" customHeight="1" x14ac:dyDescent="0.45">
      <c r="A101" s="11">
        <v>94</v>
      </c>
      <c r="B101" s="184"/>
      <c r="C101" s="144"/>
      <c r="D101" s="46">
        <f>'LPLPO PROGRAM'!H107</f>
        <v>0</v>
      </c>
      <c r="E101" s="86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</row>
    <row r="102" spans="1:52" s="68" customFormat="1" ht="20.149999999999999" customHeight="1" x14ac:dyDescent="0.45">
      <c r="A102" s="11">
        <v>95</v>
      </c>
      <c r="B102" s="184"/>
      <c r="C102" s="144"/>
      <c r="D102" s="46">
        <f>'LPLPO PROGRAM'!H108</f>
        <v>0</v>
      </c>
      <c r="E102" s="86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</row>
    <row r="103" spans="1:52" s="68" customFormat="1" ht="20.149999999999999" customHeight="1" x14ac:dyDescent="0.45">
      <c r="A103" s="11">
        <v>96</v>
      </c>
      <c r="B103" s="180"/>
      <c r="C103" s="144"/>
      <c r="D103" s="46">
        <f>'LPLPO PROGRAM'!H109</f>
        <v>0</v>
      </c>
      <c r="E103" s="86"/>
    </row>
    <row r="104" spans="1:52" s="68" customFormat="1" ht="20.149999999999999" customHeight="1" x14ac:dyDescent="0.45">
      <c r="A104" s="187">
        <v>97</v>
      </c>
      <c r="B104" s="191" t="s">
        <v>210</v>
      </c>
      <c r="C104" s="146"/>
      <c r="D104" s="146"/>
      <c r="E104" s="86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</row>
    <row r="105" spans="1:52" s="68" customFormat="1" ht="20.149999999999999" customHeight="1" x14ac:dyDescent="0.45">
      <c r="A105" s="11">
        <v>98</v>
      </c>
      <c r="B105" s="180" t="s">
        <v>213</v>
      </c>
      <c r="C105" s="144" t="s">
        <v>212</v>
      </c>
      <c r="D105" s="46">
        <f>'LPLPO PROGRAM'!H111</f>
        <v>0</v>
      </c>
      <c r="E105" s="86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</row>
    <row r="106" spans="1:52" s="68" customFormat="1" ht="18" x14ac:dyDescent="0.45">
      <c r="A106" s="11">
        <v>99</v>
      </c>
      <c r="B106" s="184" t="s">
        <v>211</v>
      </c>
      <c r="C106" s="144" t="s">
        <v>212</v>
      </c>
      <c r="D106" s="46">
        <f>'LPLPO PROGRAM'!H112</f>
        <v>0</v>
      </c>
      <c r="E106" s="86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</row>
    <row r="107" spans="1:52" s="68" customFormat="1" ht="20.149999999999999" customHeight="1" x14ac:dyDescent="0.45">
      <c r="A107" s="11">
        <v>100</v>
      </c>
      <c r="B107" s="180" t="s">
        <v>214</v>
      </c>
      <c r="C107" s="144" t="s">
        <v>212</v>
      </c>
      <c r="D107" s="46">
        <f>'LPLPO PROGRAM'!H113</f>
        <v>0</v>
      </c>
      <c r="E107" s="86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</row>
    <row r="108" spans="1:52" s="68" customFormat="1" ht="20.149999999999999" customHeight="1" x14ac:dyDescent="0.45">
      <c r="A108" s="11">
        <v>101</v>
      </c>
      <c r="B108" s="180" t="s">
        <v>215</v>
      </c>
      <c r="C108" s="144" t="s">
        <v>212</v>
      </c>
      <c r="D108" s="46">
        <f>'LPLPO PROGRAM'!H114</f>
        <v>0</v>
      </c>
      <c r="E108" s="86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</row>
    <row r="109" spans="1:52" ht="18" x14ac:dyDescent="0.45">
      <c r="A109" s="11">
        <v>102</v>
      </c>
      <c r="B109" s="180"/>
      <c r="C109" s="144"/>
      <c r="D109" s="46">
        <f>'LPLPO PROGRAM'!H115</f>
        <v>0</v>
      </c>
    </row>
    <row r="110" spans="1:52" ht="18" x14ac:dyDescent="0.45">
      <c r="A110" s="11">
        <v>103</v>
      </c>
      <c r="B110" s="180"/>
      <c r="C110" s="144"/>
      <c r="D110" s="46">
        <f>'LPLPO PROGRAM'!H116</f>
        <v>0</v>
      </c>
    </row>
    <row r="111" spans="1:52" ht="18" x14ac:dyDescent="0.45">
      <c r="A111" s="11">
        <v>104</v>
      </c>
      <c r="B111" s="180"/>
      <c r="C111" s="144"/>
      <c r="D111" s="46">
        <f>'LPLPO PROGRAM'!H117</f>
        <v>0</v>
      </c>
    </row>
    <row r="112" spans="1:52" x14ac:dyDescent="0.45">
      <c r="A112" s="187">
        <v>105</v>
      </c>
      <c r="B112" s="189" t="s">
        <v>216</v>
      </c>
      <c r="C112" s="146"/>
      <c r="D112" s="146"/>
    </row>
    <row r="113" spans="1:4" ht="18" x14ac:dyDescent="0.45">
      <c r="A113" s="11">
        <v>106</v>
      </c>
      <c r="B113" s="184" t="s">
        <v>397</v>
      </c>
      <c r="C113" s="144" t="s">
        <v>48</v>
      </c>
      <c r="D113" s="46">
        <f>'LPLPO PROGRAM'!H119</f>
        <v>0</v>
      </c>
    </row>
    <row r="114" spans="1:4" ht="18" x14ac:dyDescent="0.45">
      <c r="A114" s="11">
        <v>107</v>
      </c>
      <c r="B114" s="184" t="s">
        <v>398</v>
      </c>
      <c r="C114" s="144" t="s">
        <v>48</v>
      </c>
      <c r="D114" s="46">
        <f>'LPLPO PROGRAM'!H120</f>
        <v>0</v>
      </c>
    </row>
    <row r="115" spans="1:4" ht="18" x14ac:dyDescent="0.45">
      <c r="A115" s="11">
        <v>108</v>
      </c>
      <c r="B115" s="184" t="s">
        <v>295</v>
      </c>
      <c r="C115" s="144" t="s">
        <v>201</v>
      </c>
      <c r="D115" s="46">
        <f>'LPLPO PROGRAM'!H121</f>
        <v>0</v>
      </c>
    </row>
    <row r="116" spans="1:4" ht="18" x14ac:dyDescent="0.45">
      <c r="A116" s="11">
        <v>109</v>
      </c>
      <c r="B116" s="184" t="s">
        <v>296</v>
      </c>
      <c r="C116" s="144" t="s">
        <v>201</v>
      </c>
      <c r="D116" s="46">
        <f>'LPLPO PROGRAM'!H122</f>
        <v>0</v>
      </c>
    </row>
    <row r="117" spans="1:4" ht="18" x14ac:dyDescent="0.45">
      <c r="A117" s="11">
        <v>110</v>
      </c>
      <c r="B117" s="184" t="s">
        <v>374</v>
      </c>
      <c r="C117" s="144" t="s">
        <v>6</v>
      </c>
      <c r="D117" s="46">
        <f>'LPLPO PROGRAM'!H123</f>
        <v>0</v>
      </c>
    </row>
    <row r="118" spans="1:4" ht="18" x14ac:dyDescent="0.45">
      <c r="A118" s="11">
        <v>111</v>
      </c>
      <c r="B118" s="184" t="s">
        <v>399</v>
      </c>
      <c r="C118" s="144" t="s">
        <v>289</v>
      </c>
      <c r="D118" s="46">
        <f>'LPLPO PROGRAM'!H124</f>
        <v>0</v>
      </c>
    </row>
    <row r="119" spans="1:4" ht="18" x14ac:dyDescent="0.45">
      <c r="A119" s="11">
        <v>112</v>
      </c>
      <c r="B119" s="184" t="s">
        <v>400</v>
      </c>
      <c r="C119" s="144" t="s">
        <v>273</v>
      </c>
      <c r="D119" s="46">
        <f>'LPLPO PROGRAM'!H125</f>
        <v>0</v>
      </c>
    </row>
    <row r="120" spans="1:4" ht="18" x14ac:dyDescent="0.45">
      <c r="A120" s="11">
        <v>113</v>
      </c>
      <c r="B120" s="184" t="s">
        <v>373</v>
      </c>
      <c r="C120" s="144" t="s">
        <v>6</v>
      </c>
      <c r="D120" s="46">
        <f>'LPLPO PROGRAM'!H126</f>
        <v>0</v>
      </c>
    </row>
    <row r="121" spans="1:4" ht="18" x14ac:dyDescent="0.45">
      <c r="A121" s="11">
        <v>114</v>
      </c>
      <c r="B121" s="184" t="s">
        <v>378</v>
      </c>
      <c r="C121" s="144" t="s">
        <v>4</v>
      </c>
      <c r="D121" s="46">
        <f>'LPLPO PROGRAM'!H127</f>
        <v>0</v>
      </c>
    </row>
    <row r="122" spans="1:4" ht="18" x14ac:dyDescent="0.45">
      <c r="A122" s="11">
        <v>115</v>
      </c>
      <c r="B122" s="184" t="s">
        <v>301</v>
      </c>
      <c r="C122" s="144" t="s">
        <v>6</v>
      </c>
      <c r="D122" s="46">
        <f>'LPLPO PROGRAM'!H128</f>
        <v>0</v>
      </c>
    </row>
    <row r="123" spans="1:4" ht="18" x14ac:dyDescent="0.45">
      <c r="A123" s="11">
        <v>116</v>
      </c>
      <c r="B123" s="184" t="s">
        <v>375</v>
      </c>
      <c r="C123" s="144" t="s">
        <v>212</v>
      </c>
      <c r="D123" s="46">
        <f>'LPLPO PROGRAM'!H129</f>
        <v>0</v>
      </c>
    </row>
    <row r="124" spans="1:4" ht="18" x14ac:dyDescent="0.45">
      <c r="A124" s="11">
        <v>117</v>
      </c>
      <c r="B124" s="180" t="s">
        <v>297</v>
      </c>
      <c r="C124" s="144" t="s">
        <v>6</v>
      </c>
      <c r="D124" s="46">
        <f>'LPLPO PROGRAM'!H130</f>
        <v>0</v>
      </c>
    </row>
    <row r="125" spans="1:4" ht="18" x14ac:dyDescent="0.45">
      <c r="A125" s="11">
        <v>118</v>
      </c>
      <c r="B125" s="178" t="s">
        <v>290</v>
      </c>
      <c r="C125" s="144" t="s">
        <v>274</v>
      </c>
      <c r="D125" s="46">
        <f>'LPLPO PROGRAM'!H131</f>
        <v>0</v>
      </c>
    </row>
    <row r="126" spans="1:4" ht="18" x14ac:dyDescent="0.45">
      <c r="A126" s="11">
        <v>119</v>
      </c>
      <c r="B126" s="184" t="s">
        <v>292</v>
      </c>
      <c r="C126" s="144" t="s">
        <v>293</v>
      </c>
      <c r="D126" s="46">
        <f>'LPLPO PROGRAM'!H132</f>
        <v>0</v>
      </c>
    </row>
    <row r="127" spans="1:4" ht="18" x14ac:dyDescent="0.45">
      <c r="A127" s="11">
        <v>120</v>
      </c>
      <c r="B127" s="184" t="s">
        <v>376</v>
      </c>
      <c r="C127" s="144" t="s">
        <v>108</v>
      </c>
      <c r="D127" s="46">
        <f>'LPLPO PROGRAM'!H133</f>
        <v>0</v>
      </c>
    </row>
    <row r="128" spans="1:4" ht="18" x14ac:dyDescent="0.45">
      <c r="A128" s="11">
        <v>121</v>
      </c>
      <c r="B128" s="184" t="s">
        <v>298</v>
      </c>
      <c r="C128" s="144" t="s">
        <v>299</v>
      </c>
      <c r="D128" s="46">
        <f>'LPLPO PROGRAM'!H134</f>
        <v>0</v>
      </c>
    </row>
    <row r="129" spans="1:4" ht="18" x14ac:dyDescent="0.45">
      <c r="A129" s="11">
        <v>122</v>
      </c>
      <c r="B129" s="184" t="s">
        <v>401</v>
      </c>
      <c r="C129" s="179" t="s">
        <v>274</v>
      </c>
      <c r="D129" s="46">
        <f>'LPLPO PROGRAM'!H135</f>
        <v>0</v>
      </c>
    </row>
    <row r="130" spans="1:4" ht="18" x14ac:dyDescent="0.45">
      <c r="A130" s="11">
        <v>123</v>
      </c>
      <c r="B130" s="184" t="s">
        <v>300</v>
      </c>
      <c r="C130" s="179" t="s">
        <v>6</v>
      </c>
      <c r="D130" s="46">
        <f>'LPLPO PROGRAM'!H136</f>
        <v>0</v>
      </c>
    </row>
    <row r="131" spans="1:4" ht="18" x14ac:dyDescent="0.45">
      <c r="A131" s="11">
        <v>124</v>
      </c>
      <c r="B131" s="184" t="s">
        <v>402</v>
      </c>
      <c r="C131" s="179" t="s">
        <v>203</v>
      </c>
      <c r="D131" s="46">
        <f>'LPLPO PROGRAM'!H137</f>
        <v>0</v>
      </c>
    </row>
    <row r="132" spans="1:4" ht="18" x14ac:dyDescent="0.45">
      <c r="A132" s="11">
        <v>125</v>
      </c>
      <c r="B132" s="184" t="s">
        <v>403</v>
      </c>
      <c r="C132" s="179" t="s">
        <v>203</v>
      </c>
      <c r="D132" s="46">
        <f>'LPLPO PROGRAM'!H138</f>
        <v>0</v>
      </c>
    </row>
    <row r="133" spans="1:4" ht="18" x14ac:dyDescent="0.45">
      <c r="A133" s="11">
        <v>126</v>
      </c>
      <c r="B133" s="184" t="s">
        <v>404</v>
      </c>
      <c r="C133" s="179" t="s">
        <v>294</v>
      </c>
      <c r="D133" s="46">
        <f>'LPLPO PROGRAM'!H139</f>
        <v>0</v>
      </c>
    </row>
    <row r="134" spans="1:4" ht="18" x14ac:dyDescent="0.45">
      <c r="A134" s="11">
        <v>127</v>
      </c>
      <c r="B134" s="184" t="s">
        <v>372</v>
      </c>
      <c r="C134" s="179" t="s">
        <v>371</v>
      </c>
      <c r="D134" s="46">
        <f>'LPLPO PROGRAM'!H140</f>
        <v>0</v>
      </c>
    </row>
    <row r="135" spans="1:4" ht="18" x14ac:dyDescent="0.45">
      <c r="A135" s="11">
        <v>128</v>
      </c>
      <c r="B135" s="184" t="s">
        <v>377</v>
      </c>
      <c r="C135" s="179" t="s">
        <v>212</v>
      </c>
      <c r="D135" s="46">
        <f>'LPLPO PROGRAM'!H141</f>
        <v>0</v>
      </c>
    </row>
    <row r="136" spans="1:4" ht="30" x14ac:dyDescent="0.45">
      <c r="A136" s="11">
        <v>129</v>
      </c>
      <c r="B136" s="180" t="s">
        <v>288</v>
      </c>
      <c r="C136" s="179" t="s">
        <v>273</v>
      </c>
      <c r="D136" s="46">
        <f>'LPLPO PROGRAM'!H142</f>
        <v>0</v>
      </c>
    </row>
    <row r="137" spans="1:4" ht="30" x14ac:dyDescent="0.45">
      <c r="A137" s="11">
        <v>130</v>
      </c>
      <c r="B137" s="180" t="s">
        <v>287</v>
      </c>
      <c r="C137" s="179" t="s">
        <v>274</v>
      </c>
      <c r="D137" s="46">
        <f>'LPLPO PROGRAM'!H143</f>
        <v>0</v>
      </c>
    </row>
    <row r="138" spans="1:4" ht="18" x14ac:dyDescent="0.45">
      <c r="A138" s="11">
        <v>131</v>
      </c>
      <c r="B138" s="184" t="s">
        <v>291</v>
      </c>
      <c r="C138" s="179" t="s">
        <v>273</v>
      </c>
      <c r="D138" s="46">
        <f>'LPLPO PROGRAM'!H144</f>
        <v>0</v>
      </c>
    </row>
    <row r="139" spans="1:4" ht="18" x14ac:dyDescent="0.45">
      <c r="A139" s="11">
        <v>132</v>
      </c>
      <c r="B139" s="184" t="s">
        <v>405</v>
      </c>
      <c r="C139" s="179" t="s">
        <v>203</v>
      </c>
      <c r="D139" s="46">
        <f>'LPLPO PROGRAM'!H145</f>
        <v>0</v>
      </c>
    </row>
    <row r="140" spans="1:4" ht="18" x14ac:dyDescent="0.45">
      <c r="A140" s="11">
        <v>133</v>
      </c>
      <c r="B140" s="184" t="s">
        <v>406</v>
      </c>
      <c r="C140" s="179" t="s">
        <v>201</v>
      </c>
      <c r="D140" s="46">
        <f>'LPLPO PROGRAM'!H146</f>
        <v>0</v>
      </c>
    </row>
    <row r="141" spans="1:4" ht="18" x14ac:dyDescent="0.45">
      <c r="A141" s="11">
        <v>134</v>
      </c>
      <c r="B141" s="184" t="s">
        <v>407</v>
      </c>
      <c r="C141" s="179" t="s">
        <v>273</v>
      </c>
      <c r="D141" s="46">
        <f>'LPLPO PROGRAM'!H147</f>
        <v>0</v>
      </c>
    </row>
    <row r="142" spans="1:4" ht="18" x14ac:dyDescent="0.45">
      <c r="A142" s="11">
        <v>135</v>
      </c>
      <c r="B142" s="184" t="s">
        <v>408</v>
      </c>
      <c r="C142" s="179" t="s">
        <v>274</v>
      </c>
      <c r="D142" s="46">
        <f>'LPLPO PROGRAM'!H148</f>
        <v>0</v>
      </c>
    </row>
    <row r="143" spans="1:4" ht="18" x14ac:dyDescent="0.45">
      <c r="A143" s="11">
        <v>136</v>
      </c>
      <c r="B143" s="184" t="s">
        <v>409</v>
      </c>
      <c r="C143" s="179" t="s">
        <v>48</v>
      </c>
      <c r="D143" s="46">
        <f>'LPLPO PROGRAM'!H149</f>
        <v>0</v>
      </c>
    </row>
    <row r="144" spans="1:4" ht="18" x14ac:dyDescent="0.45">
      <c r="A144" s="11">
        <v>137</v>
      </c>
      <c r="B144" s="184" t="s">
        <v>434</v>
      </c>
      <c r="C144" s="179" t="s">
        <v>212</v>
      </c>
      <c r="D144" s="46">
        <f>'LPLPO PROGRAM'!H150</f>
        <v>0</v>
      </c>
    </row>
    <row r="145" spans="1:4" ht="18" x14ac:dyDescent="0.45">
      <c r="A145" s="11">
        <v>138</v>
      </c>
      <c r="B145" s="184"/>
      <c r="C145" s="179"/>
      <c r="D145" s="46">
        <f>'LPLPO PROGRAM'!H151</f>
        <v>0</v>
      </c>
    </row>
    <row r="146" spans="1:4" ht="18" x14ac:dyDescent="0.45">
      <c r="A146" s="11">
        <v>139</v>
      </c>
      <c r="B146" s="184"/>
      <c r="C146" s="179"/>
      <c r="D146" s="46">
        <f>'LPLPO PROGRAM'!H152</f>
        <v>0</v>
      </c>
    </row>
    <row r="147" spans="1:4" ht="18" x14ac:dyDescent="0.45">
      <c r="A147" s="11">
        <v>140</v>
      </c>
      <c r="B147" s="184"/>
      <c r="C147" s="179"/>
      <c r="D147" s="46">
        <f>'LPLPO PROGRAM'!H153</f>
        <v>0</v>
      </c>
    </row>
    <row r="148" spans="1:4" x14ac:dyDescent="0.45">
      <c r="A148" s="187">
        <v>141</v>
      </c>
      <c r="B148" s="189" t="s">
        <v>275</v>
      </c>
      <c r="C148" s="146"/>
      <c r="D148" s="146"/>
    </row>
    <row r="149" spans="1:4" ht="18" x14ac:dyDescent="0.45">
      <c r="A149" s="11">
        <v>142</v>
      </c>
      <c r="B149" s="184" t="s">
        <v>380</v>
      </c>
      <c r="C149" s="179" t="s">
        <v>294</v>
      </c>
      <c r="D149" s="46">
        <f>'LPLPO PROGRAM'!H155</f>
        <v>0</v>
      </c>
    </row>
    <row r="150" spans="1:4" ht="18" x14ac:dyDescent="0.45">
      <c r="A150" s="11">
        <v>143</v>
      </c>
      <c r="B150" s="184" t="s">
        <v>381</v>
      </c>
      <c r="C150" s="179" t="s">
        <v>382</v>
      </c>
      <c r="D150" s="46">
        <f>'LPLPO PROGRAM'!H156</f>
        <v>0</v>
      </c>
    </row>
    <row r="151" spans="1:4" ht="18" x14ac:dyDescent="0.45">
      <c r="A151" s="11">
        <v>144</v>
      </c>
      <c r="B151" s="184" t="s">
        <v>276</v>
      </c>
      <c r="C151" s="179" t="s">
        <v>212</v>
      </c>
      <c r="D151" s="46">
        <f>'LPLPO PROGRAM'!H157</f>
        <v>0</v>
      </c>
    </row>
    <row r="152" spans="1:4" ht="18" x14ac:dyDescent="0.45">
      <c r="A152" s="11">
        <v>145</v>
      </c>
      <c r="B152" s="184" t="s">
        <v>379</v>
      </c>
      <c r="C152" s="179" t="s">
        <v>212</v>
      </c>
      <c r="D152" s="46">
        <f>'LPLPO PROGRAM'!H158</f>
        <v>0</v>
      </c>
    </row>
    <row r="153" spans="1:4" x14ac:dyDescent="0.45">
      <c r="A153" s="11">
        <v>146</v>
      </c>
      <c r="B153" s="184"/>
      <c r="C153" s="179"/>
      <c r="D153" s="192"/>
    </row>
    <row r="154" spans="1:4" x14ac:dyDescent="0.45">
      <c r="A154" s="11">
        <v>147</v>
      </c>
      <c r="B154" s="184"/>
      <c r="C154" s="179"/>
      <c r="D154" s="192"/>
    </row>
    <row r="155" spans="1:4" ht="18" x14ac:dyDescent="0.5">
      <c r="A155" s="248">
        <v>148</v>
      </c>
      <c r="B155" s="248" t="s">
        <v>435</v>
      </c>
      <c r="C155" s="146"/>
      <c r="D155" s="146"/>
    </row>
    <row r="156" spans="1:4" ht="18" x14ac:dyDescent="0.5">
      <c r="A156" s="148">
        <v>149</v>
      </c>
      <c r="B156" s="148" t="s">
        <v>436</v>
      </c>
      <c r="C156" s="148" t="s">
        <v>6</v>
      </c>
      <c r="D156" s="46">
        <f>'LPLPO PROGRAM'!H162</f>
        <v>0</v>
      </c>
    </row>
    <row r="157" spans="1:4" ht="18" x14ac:dyDescent="0.5">
      <c r="A157" s="148">
        <v>150</v>
      </c>
      <c r="B157" s="148" t="s">
        <v>437</v>
      </c>
      <c r="C157" s="148" t="s">
        <v>6</v>
      </c>
      <c r="D157" s="46">
        <f>'LPLPO PROGRAM'!H163</f>
        <v>0</v>
      </c>
    </row>
    <row r="158" spans="1:4" ht="18" x14ac:dyDescent="0.5">
      <c r="A158" s="148">
        <v>151</v>
      </c>
      <c r="B158" s="148" t="s">
        <v>438</v>
      </c>
      <c r="C158" s="148" t="s">
        <v>6</v>
      </c>
      <c r="D158" s="46">
        <f>'LPLPO PROGRAM'!H164</f>
        <v>0</v>
      </c>
    </row>
    <row r="159" spans="1:4" ht="18" x14ac:dyDescent="0.5">
      <c r="A159" s="148">
        <v>152</v>
      </c>
      <c r="B159" s="148" t="s">
        <v>439</v>
      </c>
      <c r="C159" s="148" t="s">
        <v>6</v>
      </c>
      <c r="D159" s="46">
        <f>'LPLPO PROGRAM'!H165</f>
        <v>0</v>
      </c>
    </row>
    <row r="160" spans="1:4" ht="18" x14ac:dyDescent="0.5">
      <c r="A160" s="148">
        <v>153</v>
      </c>
      <c r="B160" s="148" t="s">
        <v>440</v>
      </c>
      <c r="C160" s="148" t="s">
        <v>6</v>
      </c>
      <c r="D160" s="46">
        <f>'LPLPO PROGRAM'!H166</f>
        <v>0</v>
      </c>
    </row>
    <row r="161" spans="1:4" ht="18" x14ac:dyDescent="0.5">
      <c r="A161" s="148">
        <v>154</v>
      </c>
      <c r="B161" s="148" t="s">
        <v>441</v>
      </c>
      <c r="C161" s="148" t="s">
        <v>6</v>
      </c>
      <c r="D161" s="46">
        <f>'LPLPO PROGRAM'!H167</f>
        <v>0</v>
      </c>
    </row>
    <row r="162" spans="1:4" ht="18" x14ac:dyDescent="0.5">
      <c r="A162" s="148">
        <v>155</v>
      </c>
      <c r="B162" s="148" t="s">
        <v>442</v>
      </c>
      <c r="C162" s="148" t="s">
        <v>6</v>
      </c>
      <c r="D162" s="46">
        <f>'LPLPO PROGRAM'!H168</f>
        <v>0</v>
      </c>
    </row>
    <row r="163" spans="1:4" ht="18" x14ac:dyDescent="0.5">
      <c r="A163" s="148">
        <v>156</v>
      </c>
      <c r="B163" s="148"/>
      <c r="C163" s="148"/>
      <c r="D163" s="46">
        <f>'LPLPO PROGRAM'!H169</f>
        <v>0</v>
      </c>
    </row>
    <row r="164" spans="1:4" ht="18" x14ac:dyDescent="0.5">
      <c r="A164" s="148">
        <v>157</v>
      </c>
      <c r="B164" s="148"/>
      <c r="C164" s="148"/>
      <c r="D164" s="46">
        <f>'LPLPO PROGRAM'!H170</f>
        <v>0</v>
      </c>
    </row>
    <row r="165" spans="1:4" ht="18" x14ac:dyDescent="0.5">
      <c r="A165" s="148">
        <v>158</v>
      </c>
      <c r="B165" s="148"/>
      <c r="C165" s="148"/>
      <c r="D165" s="46">
        <f>'LPLPO PROGRAM'!H171</f>
        <v>0</v>
      </c>
    </row>
    <row r="166" spans="1:4" ht="18" x14ac:dyDescent="0.5">
      <c r="A166" s="148">
        <v>159</v>
      </c>
      <c r="B166" s="148"/>
      <c r="C166" s="148"/>
      <c r="D166" s="46">
        <f>'LPLPO PROGRAM'!H172</f>
        <v>0</v>
      </c>
    </row>
    <row r="167" spans="1:4" ht="18" x14ac:dyDescent="0.5">
      <c r="A167" s="148"/>
      <c r="B167" s="148"/>
      <c r="C167" s="148"/>
      <c r="D167" s="192"/>
    </row>
  </sheetData>
  <mergeCells count="7">
    <mergeCell ref="A1:D1"/>
    <mergeCell ref="A2:D2"/>
    <mergeCell ref="A3:B3"/>
    <mergeCell ref="A5:A6"/>
    <mergeCell ref="B5:B6"/>
    <mergeCell ref="C5:C6"/>
    <mergeCell ref="D5:D6"/>
  </mergeCells>
  <pageMargins left="0.82677165354330695" right="0.118110236220472" top="0.47244094488188998" bottom="0.66929133858267698" header="0.31496062992126" footer="0.31496062992126"/>
  <pageSetup paperSize="256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09"/>
  <sheetViews>
    <sheetView topLeftCell="A10" zoomScale="98" zoomScaleNormal="98" zoomScaleSheetLayoutView="110" workbookViewId="0">
      <pane xSplit="2" ySplit="5" topLeftCell="C119" activePane="bottomRight" state="frozen"/>
      <selection activeCell="A10" sqref="A10"/>
      <selection pane="topRight" activeCell="C10" sqref="C10"/>
      <selection pane="bottomLeft" activeCell="A15" sqref="A15"/>
      <selection pane="bottomRight" activeCell="G126" sqref="G126"/>
    </sheetView>
  </sheetViews>
  <sheetFormatPr defaultColWidth="9.1796875" defaultRowHeight="16.5" x14ac:dyDescent="0.45"/>
  <cols>
    <col min="1" max="1" width="5.453125" style="65" customWidth="1"/>
    <col min="2" max="2" width="43.7265625" style="65" customWidth="1"/>
    <col min="3" max="3" width="17.7265625" style="65" customWidth="1"/>
    <col min="4" max="9" width="9.7265625" style="65" customWidth="1"/>
    <col min="10" max="12" width="7.7265625" style="81" customWidth="1"/>
    <col min="13" max="13" width="8.1796875" style="81" customWidth="1"/>
    <col min="14" max="15" width="7.7265625" style="81" customWidth="1"/>
    <col min="16" max="16384" width="9.1796875" style="65"/>
  </cols>
  <sheetData>
    <row r="1" spans="1:15" s="38" customFormat="1" ht="19.5" x14ac:dyDescent="0.6">
      <c r="A1" s="313" t="s">
        <v>149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</row>
    <row r="2" spans="1:15" s="38" customFormat="1" ht="19.5" x14ac:dyDescent="0.6">
      <c r="A2" s="313" t="s">
        <v>150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</row>
    <row r="3" spans="1:15" s="38" customFormat="1" ht="18" x14ac:dyDescent="0.5">
      <c r="A3" s="320"/>
      <c r="B3" s="320"/>
      <c r="C3" s="40"/>
      <c r="F3" s="40"/>
      <c r="G3" s="41"/>
      <c r="H3" s="62"/>
    </row>
    <row r="4" spans="1:15" s="38" customFormat="1" ht="21.5" x14ac:dyDescent="0.6">
      <c r="A4" s="314" t="s">
        <v>151</v>
      </c>
      <c r="B4" s="314"/>
      <c r="C4" s="64" t="s">
        <v>152</v>
      </c>
      <c r="F4" s="40"/>
      <c r="G4" s="41"/>
      <c r="H4" s="62"/>
    </row>
    <row r="5" spans="1:15" s="38" customFormat="1" ht="21.5" x14ac:dyDescent="0.6">
      <c r="A5" s="314" t="s">
        <v>153</v>
      </c>
      <c r="B5" s="314"/>
      <c r="C5" s="64" t="s">
        <v>482</v>
      </c>
      <c r="F5" s="40"/>
      <c r="G5" s="41"/>
      <c r="H5" s="62"/>
    </row>
    <row r="6" spans="1:15" s="38" customFormat="1" ht="21.5" x14ac:dyDescent="0.6">
      <c r="A6" s="314" t="s">
        <v>154</v>
      </c>
      <c r="B6" s="314"/>
      <c r="C6" s="64" t="s">
        <v>482</v>
      </c>
      <c r="F6" s="40"/>
      <c r="G6" s="41"/>
      <c r="H6" s="62"/>
    </row>
    <row r="7" spans="1:15" s="38" customFormat="1" ht="21.5" x14ac:dyDescent="0.6">
      <c r="A7" s="314" t="s">
        <v>155</v>
      </c>
      <c r="B7" s="314"/>
      <c r="C7" s="64" t="s">
        <v>156</v>
      </c>
      <c r="F7" s="40"/>
      <c r="G7" s="41"/>
      <c r="H7" s="62"/>
    </row>
    <row r="8" spans="1:15" s="38" customFormat="1" ht="21.5" x14ac:dyDescent="0.6">
      <c r="A8" s="314" t="s">
        <v>157</v>
      </c>
      <c r="B8" s="314"/>
      <c r="C8" s="64" t="s">
        <v>158</v>
      </c>
      <c r="F8" s="40"/>
      <c r="G8" s="41"/>
      <c r="H8" s="62"/>
    </row>
    <row r="9" spans="1:15" s="38" customFormat="1" ht="19.5" x14ac:dyDescent="0.6">
      <c r="A9" s="313"/>
      <c r="B9" s="313"/>
      <c r="C9" s="40"/>
      <c r="F9" s="40"/>
      <c r="G9" s="41"/>
      <c r="H9" s="62"/>
      <c r="K9" s="314" t="s">
        <v>159</v>
      </c>
      <c r="L9" s="314"/>
      <c r="M9" s="43" t="s">
        <v>491</v>
      </c>
    </row>
    <row r="10" spans="1:15" s="38" customFormat="1" ht="20" thickBot="1" x14ac:dyDescent="0.65">
      <c r="A10" s="314"/>
      <c r="B10" s="314"/>
      <c r="C10" s="40"/>
      <c r="F10" s="40"/>
      <c r="G10" s="41"/>
      <c r="H10" s="62"/>
      <c r="K10" s="314" t="s">
        <v>160</v>
      </c>
      <c r="L10" s="314"/>
      <c r="M10" s="43" t="s">
        <v>427</v>
      </c>
    </row>
    <row r="11" spans="1:15" s="38" customFormat="1" ht="20" hidden="1" thickBot="1" x14ac:dyDescent="0.65">
      <c r="A11" s="63"/>
      <c r="B11" s="63"/>
      <c r="C11" s="40"/>
      <c r="F11" s="40"/>
      <c r="G11" s="41"/>
      <c r="H11" s="62"/>
      <c r="K11" s="63"/>
      <c r="L11" s="63"/>
      <c r="M11" s="43"/>
    </row>
    <row r="12" spans="1:15" ht="20.5" thickTop="1" thickBot="1" x14ac:dyDescent="0.5">
      <c r="A12" s="323" t="s">
        <v>0</v>
      </c>
      <c r="B12" s="324" t="s">
        <v>481</v>
      </c>
      <c r="C12" s="325" t="s">
        <v>2</v>
      </c>
      <c r="D12" s="321" t="s">
        <v>161</v>
      </c>
      <c r="E12" s="321" t="s">
        <v>162</v>
      </c>
      <c r="F12" s="321" t="s">
        <v>163</v>
      </c>
      <c r="G12" s="321" t="s">
        <v>164</v>
      </c>
      <c r="H12" s="321" t="s">
        <v>165</v>
      </c>
      <c r="I12" s="321" t="s">
        <v>166</v>
      </c>
      <c r="J12" s="321" t="s">
        <v>167</v>
      </c>
      <c r="K12" s="321"/>
      <c r="L12" s="321"/>
      <c r="M12" s="321"/>
      <c r="N12" s="321"/>
      <c r="O12" s="322" t="s">
        <v>168</v>
      </c>
    </row>
    <row r="13" spans="1:15" ht="40" thickTop="1" thickBot="1" x14ac:dyDescent="0.5">
      <c r="A13" s="323"/>
      <c r="B13" s="324"/>
      <c r="C13" s="325"/>
      <c r="D13" s="321"/>
      <c r="E13" s="321"/>
      <c r="F13" s="321"/>
      <c r="G13" s="321"/>
      <c r="H13" s="321"/>
      <c r="I13" s="321"/>
      <c r="J13" s="139" t="s">
        <v>169</v>
      </c>
      <c r="K13" s="139" t="s">
        <v>170</v>
      </c>
      <c r="L13" s="139" t="s">
        <v>171</v>
      </c>
      <c r="M13" s="139" t="s">
        <v>172</v>
      </c>
      <c r="N13" s="139" t="s">
        <v>173</v>
      </c>
      <c r="O13" s="322"/>
    </row>
    <row r="14" spans="1:15" ht="20" thickTop="1" thickBot="1" x14ac:dyDescent="0.5">
      <c r="A14" s="264">
        <v>1</v>
      </c>
      <c r="B14" s="265">
        <v>2</v>
      </c>
      <c r="C14" s="265">
        <v>3</v>
      </c>
      <c r="D14" s="265">
        <v>5</v>
      </c>
      <c r="E14" s="265">
        <v>6</v>
      </c>
      <c r="F14" s="265">
        <v>7</v>
      </c>
      <c r="G14" s="265">
        <v>8</v>
      </c>
      <c r="H14" s="265">
        <v>9</v>
      </c>
      <c r="I14" s="265">
        <v>10</v>
      </c>
      <c r="J14" s="265">
        <v>11</v>
      </c>
      <c r="K14" s="265">
        <v>12</v>
      </c>
      <c r="L14" s="265">
        <v>13</v>
      </c>
      <c r="M14" s="265">
        <v>14</v>
      </c>
      <c r="N14" s="265">
        <v>15</v>
      </c>
      <c r="O14" s="266">
        <v>16</v>
      </c>
    </row>
    <row r="15" spans="1:15" ht="20.149999999999999" customHeight="1" thickTop="1" x14ac:dyDescent="0.45">
      <c r="A15" s="83">
        <v>1</v>
      </c>
      <c r="B15" s="141" t="s">
        <v>3</v>
      </c>
      <c r="C15" s="85" t="s">
        <v>4</v>
      </c>
      <c r="D15" s="136">
        <v>30</v>
      </c>
      <c r="E15" s="136">
        <f>'PENERIMAAN OBAT PKD'!H9</f>
        <v>30</v>
      </c>
      <c r="F15" s="136">
        <f>SUM(D15:E15)</f>
        <v>60</v>
      </c>
      <c r="G15" s="136">
        <f>DISTRIBUSI!Z10</f>
        <v>60</v>
      </c>
      <c r="H15" s="277">
        <f>F15-G15</f>
        <v>0</v>
      </c>
      <c r="I15" s="267">
        <v>200</v>
      </c>
      <c r="J15" s="149">
        <f>'STOK OPNAME GUDANG'!D8</f>
        <v>0</v>
      </c>
      <c r="K15" s="229"/>
      <c r="L15" s="137">
        <f>E15-K15</f>
        <v>30</v>
      </c>
      <c r="M15" s="137">
        <f>DISTRIBUSI!Z10</f>
        <v>60</v>
      </c>
      <c r="N15" s="137">
        <f>G15-M15</f>
        <v>0</v>
      </c>
      <c r="O15" s="138"/>
    </row>
    <row r="16" spans="1:15" ht="20.149999999999999" customHeight="1" x14ac:dyDescent="0.45">
      <c r="A16" s="84">
        <f>A15+1</f>
        <v>2</v>
      </c>
      <c r="B16" s="141" t="s">
        <v>5</v>
      </c>
      <c r="C16" s="115" t="s">
        <v>327</v>
      </c>
      <c r="D16" s="136">
        <v>500</v>
      </c>
      <c r="E16" s="136">
        <f>'PENERIMAAN OBAT PKD'!H10</f>
        <v>500</v>
      </c>
      <c r="F16" s="136">
        <f t="shared" ref="F16:F79" si="0">SUM(D16:E16)</f>
        <v>1000</v>
      </c>
      <c r="G16" s="136">
        <f>DISTRIBUSI!Z11</f>
        <v>500</v>
      </c>
      <c r="H16" s="277">
        <f t="shared" ref="H16:H79" si="1">F16-G16</f>
        <v>500</v>
      </c>
      <c r="I16" s="268">
        <v>1000</v>
      </c>
      <c r="J16" s="149">
        <f>'STOK OPNAME GUDANG'!D9</f>
        <v>500</v>
      </c>
      <c r="K16" s="229"/>
      <c r="L16" s="66">
        <f t="shared" ref="L16:L79" si="2">E16-K16</f>
        <v>500</v>
      </c>
      <c r="M16" s="66">
        <f>DISTRIBUSI!Z11</f>
        <v>500</v>
      </c>
      <c r="N16" s="66">
        <f t="shared" ref="N16:N79" si="3">G16-M16</f>
        <v>0</v>
      </c>
      <c r="O16" s="133"/>
    </row>
    <row r="17" spans="1:15" ht="20.149999999999999" customHeight="1" x14ac:dyDescent="0.45">
      <c r="A17" s="84">
        <f t="shared" ref="A17:A80" si="4">A16+1</f>
        <v>3</v>
      </c>
      <c r="B17" s="141" t="s">
        <v>262</v>
      </c>
      <c r="C17" s="116" t="s">
        <v>48</v>
      </c>
      <c r="D17" s="136">
        <v>45</v>
      </c>
      <c r="E17" s="136">
        <f>'PENERIMAAN OBAT PKD'!H11</f>
        <v>0</v>
      </c>
      <c r="F17" s="136">
        <f t="shared" si="0"/>
        <v>45</v>
      </c>
      <c r="G17" s="136">
        <f>DISTRIBUSI!Z12</f>
        <v>30</v>
      </c>
      <c r="H17" s="277">
        <f t="shared" si="1"/>
        <v>15</v>
      </c>
      <c r="I17" s="268">
        <v>50</v>
      </c>
      <c r="J17" s="149">
        <f>'STOK OPNAME GUDANG'!D10</f>
        <v>15</v>
      </c>
      <c r="K17" s="229"/>
      <c r="L17" s="66">
        <f t="shared" si="2"/>
        <v>0</v>
      </c>
      <c r="M17" s="66">
        <f>DISTRIBUSI!Z12</f>
        <v>30</v>
      </c>
      <c r="N17" s="66">
        <f t="shared" si="3"/>
        <v>0</v>
      </c>
      <c r="O17" s="133"/>
    </row>
    <row r="18" spans="1:15" ht="20.149999999999999" customHeight="1" x14ac:dyDescent="0.45">
      <c r="A18" s="84">
        <f t="shared" si="4"/>
        <v>4</v>
      </c>
      <c r="B18" s="141" t="s">
        <v>7</v>
      </c>
      <c r="C18" s="117" t="s">
        <v>328</v>
      </c>
      <c r="D18" s="136">
        <v>2000</v>
      </c>
      <c r="E18" s="136">
        <f>'PENERIMAAN OBAT PKD'!H12</f>
        <v>2000</v>
      </c>
      <c r="F18" s="136">
        <f t="shared" si="0"/>
        <v>4000</v>
      </c>
      <c r="G18" s="136">
        <f>DISTRIBUSI!Z13</f>
        <v>2200</v>
      </c>
      <c r="H18" s="277">
        <f t="shared" si="1"/>
        <v>1800</v>
      </c>
      <c r="I18" s="268">
        <v>3000</v>
      </c>
      <c r="J18" s="149">
        <f>'STOK OPNAME GUDANG'!D11</f>
        <v>1800</v>
      </c>
      <c r="K18" s="229"/>
      <c r="L18" s="66">
        <f t="shared" si="2"/>
        <v>2000</v>
      </c>
      <c r="M18" s="66">
        <f>DISTRIBUSI!Z13</f>
        <v>2200</v>
      </c>
      <c r="N18" s="66">
        <f t="shared" si="3"/>
        <v>0</v>
      </c>
      <c r="O18" s="133"/>
    </row>
    <row r="19" spans="1:15" ht="20.149999999999999" customHeight="1" x14ac:dyDescent="0.45">
      <c r="A19" s="84">
        <f t="shared" si="4"/>
        <v>5</v>
      </c>
      <c r="B19" s="141" t="s">
        <v>317</v>
      </c>
      <c r="C19" s="61" t="s">
        <v>6</v>
      </c>
      <c r="D19" s="136">
        <v>2000</v>
      </c>
      <c r="E19" s="136">
        <f>'PENERIMAAN OBAT PKD'!H13</f>
        <v>3000</v>
      </c>
      <c r="F19" s="136">
        <f t="shared" si="0"/>
        <v>5000</v>
      </c>
      <c r="G19" s="136">
        <f>DISTRIBUSI!Z14</f>
        <v>3200</v>
      </c>
      <c r="H19" s="277">
        <f t="shared" si="1"/>
        <v>1800</v>
      </c>
      <c r="I19" s="268">
        <v>3000</v>
      </c>
      <c r="J19" s="149">
        <f>'STOK OPNAME GUDANG'!D12</f>
        <v>1800</v>
      </c>
      <c r="K19" s="229"/>
      <c r="L19" s="66">
        <f t="shared" si="2"/>
        <v>3000</v>
      </c>
      <c r="M19" s="66">
        <f>DISTRIBUSI!Z14</f>
        <v>3200</v>
      </c>
      <c r="N19" s="66">
        <f t="shared" si="3"/>
        <v>0</v>
      </c>
      <c r="O19" s="133"/>
    </row>
    <row r="20" spans="1:15" ht="20.149999999999999" customHeight="1" x14ac:dyDescent="0.45">
      <c r="A20" s="84">
        <f t="shared" si="4"/>
        <v>6</v>
      </c>
      <c r="B20" s="141" t="s">
        <v>8</v>
      </c>
      <c r="C20" s="116" t="s">
        <v>48</v>
      </c>
      <c r="D20" s="136">
        <v>135</v>
      </c>
      <c r="E20" s="136">
        <f>'PENERIMAAN OBAT PKD'!H14</f>
        <v>0</v>
      </c>
      <c r="F20" s="136">
        <f t="shared" si="0"/>
        <v>135</v>
      </c>
      <c r="G20" s="136">
        <f>DISTRIBUSI!Z15</f>
        <v>0</v>
      </c>
      <c r="H20" s="277">
        <f t="shared" si="1"/>
        <v>135</v>
      </c>
      <c r="I20" s="268"/>
      <c r="J20" s="149">
        <f>'STOK OPNAME GUDANG'!D13</f>
        <v>135</v>
      </c>
      <c r="K20" s="229"/>
      <c r="L20" s="66">
        <f t="shared" si="2"/>
        <v>0</v>
      </c>
      <c r="M20" s="66">
        <f>DISTRIBUSI!Z15</f>
        <v>0</v>
      </c>
      <c r="N20" s="66">
        <f t="shared" si="3"/>
        <v>0</v>
      </c>
      <c r="O20" s="133"/>
    </row>
    <row r="21" spans="1:15" ht="20.149999999999999" customHeight="1" x14ac:dyDescent="0.45">
      <c r="A21" s="84">
        <f t="shared" si="4"/>
        <v>7</v>
      </c>
      <c r="B21" s="141" t="s">
        <v>9</v>
      </c>
      <c r="C21" s="116" t="s">
        <v>329</v>
      </c>
      <c r="D21" s="136">
        <v>2000</v>
      </c>
      <c r="E21" s="136">
        <f>'PENERIMAAN OBAT PKD'!H15</f>
        <v>1500</v>
      </c>
      <c r="F21" s="136">
        <f t="shared" si="0"/>
        <v>3500</v>
      </c>
      <c r="G21" s="136">
        <f>DISTRIBUSI!Z16</f>
        <v>400</v>
      </c>
      <c r="H21" s="277">
        <f t="shared" si="1"/>
        <v>3100</v>
      </c>
      <c r="I21" s="268"/>
      <c r="J21" s="149">
        <f>'STOK OPNAME GUDANG'!D14</f>
        <v>3100</v>
      </c>
      <c r="K21" s="229"/>
      <c r="L21" s="66">
        <f t="shared" si="2"/>
        <v>1500</v>
      </c>
      <c r="M21" s="66">
        <f>DISTRIBUSI!Z16</f>
        <v>400</v>
      </c>
      <c r="N21" s="66">
        <f t="shared" si="3"/>
        <v>0</v>
      </c>
      <c r="O21" s="133"/>
    </row>
    <row r="22" spans="1:15" ht="20.149999999999999" customHeight="1" x14ac:dyDescent="0.45">
      <c r="A22" s="84">
        <f t="shared" si="4"/>
        <v>8</v>
      </c>
      <c r="B22" s="141" t="s">
        <v>250</v>
      </c>
      <c r="C22" s="116" t="s">
        <v>4</v>
      </c>
      <c r="D22" s="136">
        <v>0</v>
      </c>
      <c r="E22" s="136">
        <f>'PENERIMAAN OBAT PKD'!H16</f>
        <v>100</v>
      </c>
      <c r="F22" s="136">
        <f t="shared" si="0"/>
        <v>100</v>
      </c>
      <c r="G22" s="136">
        <f>DISTRIBUSI!Z17</f>
        <v>100</v>
      </c>
      <c r="H22" s="277">
        <f t="shared" si="1"/>
        <v>0</v>
      </c>
      <c r="I22" s="268">
        <v>200</v>
      </c>
      <c r="J22" s="149">
        <f>'STOK OPNAME GUDANG'!D15</f>
        <v>0</v>
      </c>
      <c r="K22" s="229"/>
      <c r="L22" s="67">
        <f t="shared" si="2"/>
        <v>100</v>
      </c>
      <c r="M22" s="66">
        <f>DISTRIBUSI!Z17</f>
        <v>100</v>
      </c>
      <c r="N22" s="66">
        <f t="shared" si="3"/>
        <v>0</v>
      </c>
      <c r="O22" s="133"/>
    </row>
    <row r="23" spans="1:15" ht="30" x14ac:dyDescent="0.45">
      <c r="A23" s="84">
        <f t="shared" si="4"/>
        <v>9</v>
      </c>
      <c r="B23" s="141" t="s">
        <v>10</v>
      </c>
      <c r="C23" s="118" t="s">
        <v>319</v>
      </c>
      <c r="D23" s="136">
        <v>90</v>
      </c>
      <c r="E23" s="136">
        <f>'PENERIMAAN OBAT PKD'!H17</f>
        <v>50</v>
      </c>
      <c r="F23" s="136">
        <f t="shared" si="0"/>
        <v>140</v>
      </c>
      <c r="G23" s="136">
        <f>DISTRIBUSI!Z18</f>
        <v>60</v>
      </c>
      <c r="H23" s="277">
        <f t="shared" si="1"/>
        <v>80</v>
      </c>
      <c r="I23" s="268">
        <v>100</v>
      </c>
      <c r="J23" s="149">
        <f>'STOK OPNAME GUDANG'!D16</f>
        <v>80</v>
      </c>
      <c r="K23" s="229"/>
      <c r="L23" s="66">
        <f t="shared" si="2"/>
        <v>50</v>
      </c>
      <c r="M23" s="66">
        <f>DISTRIBUSI!Z18</f>
        <v>60</v>
      </c>
      <c r="N23" s="66">
        <f t="shared" si="3"/>
        <v>0</v>
      </c>
      <c r="O23" s="133"/>
    </row>
    <row r="24" spans="1:15" ht="30" x14ac:dyDescent="0.45">
      <c r="A24" s="84">
        <f t="shared" si="4"/>
        <v>10</v>
      </c>
      <c r="B24" s="141" t="s">
        <v>10</v>
      </c>
      <c r="C24" s="115" t="s">
        <v>327</v>
      </c>
      <c r="D24" s="136">
        <v>1400</v>
      </c>
      <c r="E24" s="136">
        <f>'PENERIMAAN OBAT PKD'!H18</f>
        <v>1000</v>
      </c>
      <c r="F24" s="136">
        <f t="shared" si="0"/>
        <v>2400</v>
      </c>
      <c r="G24" s="136">
        <f>DISTRIBUSI!Z19</f>
        <v>500</v>
      </c>
      <c r="H24" s="277">
        <f t="shared" si="1"/>
        <v>1900</v>
      </c>
      <c r="I24" s="268">
        <v>1000</v>
      </c>
      <c r="J24" s="149">
        <f>'STOK OPNAME GUDANG'!D17</f>
        <v>1900</v>
      </c>
      <c r="K24" s="229"/>
      <c r="L24" s="66">
        <f t="shared" si="2"/>
        <v>1000</v>
      </c>
      <c r="M24" s="66">
        <f>DISTRIBUSI!Z19</f>
        <v>500</v>
      </c>
      <c r="N24" s="66">
        <f t="shared" si="3"/>
        <v>0</v>
      </c>
      <c r="O24" s="133"/>
    </row>
    <row r="25" spans="1:15" ht="18" x14ac:dyDescent="0.45">
      <c r="A25" s="84">
        <f t="shared" si="4"/>
        <v>11</v>
      </c>
      <c r="B25" s="141" t="s">
        <v>259</v>
      </c>
      <c r="C25" s="116" t="s">
        <v>4</v>
      </c>
      <c r="D25" s="136"/>
      <c r="E25" s="136">
        <f>'PENERIMAAN OBAT PKD'!H19</f>
        <v>0</v>
      </c>
      <c r="F25" s="136">
        <f t="shared" si="0"/>
        <v>0</v>
      </c>
      <c r="G25" s="136">
        <f>DISTRIBUSI!Z20</f>
        <v>0</v>
      </c>
      <c r="H25" s="277">
        <f t="shared" si="1"/>
        <v>0</v>
      </c>
      <c r="I25" s="268"/>
      <c r="J25" s="149">
        <f>'STOK OPNAME GUDANG'!D18</f>
        <v>0</v>
      </c>
      <c r="K25" s="229"/>
      <c r="L25" s="66">
        <f t="shared" si="2"/>
        <v>0</v>
      </c>
      <c r="M25" s="66">
        <f>DISTRIBUSI!Z20</f>
        <v>0</v>
      </c>
      <c r="N25" s="66">
        <f t="shared" si="3"/>
        <v>0</v>
      </c>
      <c r="O25" s="133"/>
    </row>
    <row r="26" spans="1:15" ht="45" x14ac:dyDescent="0.45">
      <c r="A26" s="84">
        <f t="shared" si="4"/>
        <v>12</v>
      </c>
      <c r="B26" s="141" t="s">
        <v>11</v>
      </c>
      <c r="C26" s="119" t="s">
        <v>330</v>
      </c>
      <c r="D26" s="136">
        <v>20</v>
      </c>
      <c r="E26" s="136">
        <f>'PENERIMAAN OBAT PKD'!H20</f>
        <v>0</v>
      </c>
      <c r="F26" s="136">
        <f t="shared" si="0"/>
        <v>20</v>
      </c>
      <c r="G26" s="136">
        <f>DISTRIBUSI!Z21</f>
        <v>0</v>
      </c>
      <c r="H26" s="277">
        <f t="shared" si="1"/>
        <v>20</v>
      </c>
      <c r="I26" s="268">
        <v>20</v>
      </c>
      <c r="J26" s="149">
        <f>'STOK OPNAME GUDANG'!D19</f>
        <v>20</v>
      </c>
      <c r="K26" s="229"/>
      <c r="L26" s="66">
        <f t="shared" si="2"/>
        <v>0</v>
      </c>
      <c r="M26" s="66">
        <f>DISTRIBUSI!Z21</f>
        <v>0</v>
      </c>
      <c r="N26" s="66">
        <f t="shared" si="3"/>
        <v>0</v>
      </c>
      <c r="O26" s="133"/>
    </row>
    <row r="27" spans="1:15" ht="18" x14ac:dyDescent="0.45">
      <c r="A27" s="84">
        <f t="shared" si="4"/>
        <v>13</v>
      </c>
      <c r="B27" s="141" t="s">
        <v>12</v>
      </c>
      <c r="C27" s="102" t="s">
        <v>327</v>
      </c>
      <c r="D27" s="136"/>
      <c r="E27" s="136">
        <f>'PENERIMAAN OBAT PKD'!H21</f>
        <v>0</v>
      </c>
      <c r="F27" s="136">
        <f t="shared" si="0"/>
        <v>0</v>
      </c>
      <c r="G27" s="136">
        <f>DISTRIBUSI!Z22</f>
        <v>0</v>
      </c>
      <c r="H27" s="277">
        <f t="shared" si="1"/>
        <v>0</v>
      </c>
      <c r="I27" s="268"/>
      <c r="J27" s="149">
        <f>'STOK OPNAME GUDANG'!D20</f>
        <v>0</v>
      </c>
      <c r="K27" s="229"/>
      <c r="L27" s="66">
        <f t="shared" si="2"/>
        <v>0</v>
      </c>
      <c r="M27" s="66">
        <f>DISTRIBUSI!Z22</f>
        <v>0</v>
      </c>
      <c r="N27" s="66">
        <f t="shared" si="3"/>
        <v>0</v>
      </c>
      <c r="O27" s="133"/>
    </row>
    <row r="28" spans="1:15" ht="18" x14ac:dyDescent="0.45">
      <c r="A28" s="84">
        <f t="shared" si="4"/>
        <v>14</v>
      </c>
      <c r="B28" s="141" t="s">
        <v>277</v>
      </c>
      <c r="C28" s="102" t="s">
        <v>327</v>
      </c>
      <c r="D28" s="136"/>
      <c r="E28" s="136">
        <f>'PENERIMAAN OBAT PKD'!H22</f>
        <v>0</v>
      </c>
      <c r="F28" s="136">
        <f t="shared" si="0"/>
        <v>0</v>
      </c>
      <c r="G28" s="136">
        <f>DISTRIBUSI!Z23</f>
        <v>0</v>
      </c>
      <c r="H28" s="277">
        <f t="shared" si="1"/>
        <v>0</v>
      </c>
      <c r="I28" s="268"/>
      <c r="J28" s="149">
        <f>'STOK OPNAME GUDANG'!D21</f>
        <v>0</v>
      </c>
      <c r="K28" s="229"/>
      <c r="L28" s="66">
        <f t="shared" si="2"/>
        <v>0</v>
      </c>
      <c r="M28" s="66">
        <f>DISTRIBUSI!Z23</f>
        <v>0</v>
      </c>
      <c r="N28" s="66">
        <f t="shared" si="3"/>
        <v>0</v>
      </c>
      <c r="O28" s="133"/>
    </row>
    <row r="29" spans="1:15" ht="20.149999999999999" customHeight="1" x14ac:dyDescent="0.45">
      <c r="A29" s="84">
        <f t="shared" si="4"/>
        <v>15</v>
      </c>
      <c r="B29" s="141" t="s">
        <v>13</v>
      </c>
      <c r="C29" s="120" t="s">
        <v>327</v>
      </c>
      <c r="D29" s="136"/>
      <c r="E29" s="136">
        <f>'PENERIMAAN OBAT PKD'!H23</f>
        <v>0</v>
      </c>
      <c r="F29" s="136">
        <f t="shared" si="0"/>
        <v>0</v>
      </c>
      <c r="G29" s="136">
        <f>DISTRIBUSI!Z24</f>
        <v>0</v>
      </c>
      <c r="H29" s="277">
        <f t="shared" si="1"/>
        <v>0</v>
      </c>
      <c r="I29" s="268"/>
      <c r="J29" s="149">
        <f>'STOK OPNAME GUDANG'!D22</f>
        <v>0</v>
      </c>
      <c r="K29" s="229"/>
      <c r="L29" s="66">
        <f t="shared" si="2"/>
        <v>0</v>
      </c>
      <c r="M29" s="66">
        <f>DISTRIBUSI!Z24</f>
        <v>0</v>
      </c>
      <c r="N29" s="66">
        <f t="shared" si="3"/>
        <v>0</v>
      </c>
      <c r="O29" s="133"/>
    </row>
    <row r="30" spans="1:15" ht="18" x14ac:dyDescent="0.45">
      <c r="A30" s="84">
        <f t="shared" si="4"/>
        <v>16</v>
      </c>
      <c r="B30" s="141" t="s">
        <v>14</v>
      </c>
      <c r="C30" s="102" t="s">
        <v>327</v>
      </c>
      <c r="D30" s="136">
        <v>1000</v>
      </c>
      <c r="E30" s="136">
        <f>'PENERIMAAN OBAT PKD'!H24</f>
        <v>1500</v>
      </c>
      <c r="F30" s="136">
        <f t="shared" si="0"/>
        <v>2500</v>
      </c>
      <c r="G30" s="136">
        <f>DISTRIBUSI!Z25</f>
        <v>1500</v>
      </c>
      <c r="H30" s="277">
        <f t="shared" si="1"/>
        <v>1000</v>
      </c>
      <c r="I30" s="268">
        <v>2000</v>
      </c>
      <c r="J30" s="149">
        <f>'STOK OPNAME GUDANG'!D23</f>
        <v>1000</v>
      </c>
      <c r="K30" s="229"/>
      <c r="L30" s="66">
        <f t="shared" si="2"/>
        <v>1500</v>
      </c>
      <c r="M30" s="66">
        <f>DISTRIBUSI!Z25</f>
        <v>1500</v>
      </c>
      <c r="N30" s="66">
        <f t="shared" si="3"/>
        <v>0</v>
      </c>
      <c r="O30" s="133"/>
    </row>
    <row r="31" spans="1:15" ht="20.149999999999999" customHeight="1" x14ac:dyDescent="0.45">
      <c r="A31" s="84">
        <f t="shared" si="4"/>
        <v>17</v>
      </c>
      <c r="B31" s="141" t="s">
        <v>15</v>
      </c>
      <c r="C31" s="102" t="s">
        <v>4</v>
      </c>
      <c r="D31" s="136"/>
      <c r="E31" s="136">
        <f>'PENERIMAAN OBAT PKD'!H25</f>
        <v>0</v>
      </c>
      <c r="F31" s="136">
        <f t="shared" si="0"/>
        <v>0</v>
      </c>
      <c r="G31" s="136">
        <f>DISTRIBUSI!Z26</f>
        <v>0</v>
      </c>
      <c r="H31" s="277">
        <f t="shared" si="1"/>
        <v>0</v>
      </c>
      <c r="I31" s="268"/>
      <c r="J31" s="149">
        <f>'STOK OPNAME GUDANG'!D24</f>
        <v>0</v>
      </c>
      <c r="K31" s="229"/>
      <c r="L31" s="66">
        <f t="shared" si="2"/>
        <v>0</v>
      </c>
      <c r="M31" s="66">
        <f>DISTRIBUSI!Z26</f>
        <v>0</v>
      </c>
      <c r="N31" s="66">
        <f t="shared" si="3"/>
        <v>0</v>
      </c>
      <c r="O31" s="133"/>
    </row>
    <row r="32" spans="1:15" ht="20.149999999999999" customHeight="1" x14ac:dyDescent="0.45">
      <c r="A32" s="84">
        <f t="shared" si="4"/>
        <v>18</v>
      </c>
      <c r="B32" s="141" t="s">
        <v>320</v>
      </c>
      <c r="C32" s="102" t="s">
        <v>331</v>
      </c>
      <c r="D32" s="136">
        <v>0</v>
      </c>
      <c r="E32" s="136">
        <f>'PENERIMAAN OBAT PKD'!H26</f>
        <v>25</v>
      </c>
      <c r="F32" s="136">
        <f t="shared" si="0"/>
        <v>25</v>
      </c>
      <c r="G32" s="136">
        <f>DISTRIBUSI!Z27</f>
        <v>0</v>
      </c>
      <c r="H32" s="277">
        <f t="shared" si="1"/>
        <v>25</v>
      </c>
      <c r="I32" s="268"/>
      <c r="J32" s="149">
        <f>'STOK OPNAME GUDANG'!D25</f>
        <v>25</v>
      </c>
      <c r="K32" s="229"/>
      <c r="L32" s="66">
        <f t="shared" si="2"/>
        <v>25</v>
      </c>
      <c r="M32" s="66">
        <f>DISTRIBUSI!Z27</f>
        <v>0</v>
      </c>
      <c r="N32" s="66">
        <f t="shared" si="3"/>
        <v>0</v>
      </c>
      <c r="O32" s="133"/>
    </row>
    <row r="33" spans="1:15" s="68" customFormat="1" ht="20.149999999999999" customHeight="1" x14ac:dyDescent="0.45">
      <c r="A33" s="84">
        <f t="shared" si="4"/>
        <v>19</v>
      </c>
      <c r="B33" s="141" t="s">
        <v>17</v>
      </c>
      <c r="C33" s="102" t="s">
        <v>332</v>
      </c>
      <c r="D33" s="136">
        <v>1000</v>
      </c>
      <c r="E33" s="136">
        <f>'PENERIMAAN OBAT PKD'!H27</f>
        <v>0</v>
      </c>
      <c r="F33" s="136">
        <f t="shared" si="0"/>
        <v>1000</v>
      </c>
      <c r="G33" s="136">
        <f>DISTRIBUSI!Z28</f>
        <v>0</v>
      </c>
      <c r="H33" s="277">
        <f t="shared" si="1"/>
        <v>1000</v>
      </c>
      <c r="I33" s="268"/>
      <c r="J33" s="149">
        <f>'STOK OPNAME GUDANG'!D26</f>
        <v>1000</v>
      </c>
      <c r="K33" s="229"/>
      <c r="L33" s="66">
        <f t="shared" si="2"/>
        <v>0</v>
      </c>
      <c r="M33" s="66">
        <f>DISTRIBUSI!Z28</f>
        <v>0</v>
      </c>
      <c r="N33" s="66">
        <f t="shared" si="3"/>
        <v>0</v>
      </c>
      <c r="O33" s="133"/>
    </row>
    <row r="34" spans="1:15" ht="16.5" customHeight="1" x14ac:dyDescent="0.45">
      <c r="A34" s="84">
        <f t="shared" si="4"/>
        <v>20</v>
      </c>
      <c r="B34" s="141" t="s">
        <v>18</v>
      </c>
      <c r="C34" s="102" t="s">
        <v>333</v>
      </c>
      <c r="D34" s="136">
        <v>800</v>
      </c>
      <c r="E34" s="136">
        <f>'PENERIMAAN OBAT PKD'!H28</f>
        <v>0</v>
      </c>
      <c r="F34" s="136">
        <f t="shared" si="0"/>
        <v>800</v>
      </c>
      <c r="G34" s="136">
        <f>DISTRIBUSI!Z29</f>
        <v>0</v>
      </c>
      <c r="H34" s="277">
        <f t="shared" si="1"/>
        <v>800</v>
      </c>
      <c r="I34" s="268"/>
      <c r="J34" s="149">
        <f>'STOK OPNAME GUDANG'!D27</f>
        <v>800</v>
      </c>
      <c r="K34" s="229"/>
      <c r="L34" s="66">
        <f t="shared" si="2"/>
        <v>0</v>
      </c>
      <c r="M34" s="66">
        <f>DISTRIBUSI!Z29</f>
        <v>0</v>
      </c>
      <c r="N34" s="66">
        <f t="shared" si="3"/>
        <v>0</v>
      </c>
      <c r="O34" s="133"/>
    </row>
    <row r="35" spans="1:15" ht="20.149999999999999" customHeight="1" x14ac:dyDescent="0.45">
      <c r="A35" s="84">
        <f t="shared" si="4"/>
        <v>21</v>
      </c>
      <c r="B35" s="236" t="s">
        <v>413</v>
      </c>
      <c r="C35" s="144" t="s">
        <v>6</v>
      </c>
      <c r="D35" s="136">
        <v>1000</v>
      </c>
      <c r="E35" s="136">
        <f>'PENERIMAAN OBAT PKD'!H29</f>
        <v>2000</v>
      </c>
      <c r="F35" s="136">
        <f t="shared" si="0"/>
        <v>3000</v>
      </c>
      <c r="G35" s="136">
        <f>DISTRIBUSI!Z30</f>
        <v>0</v>
      </c>
      <c r="H35" s="277">
        <f t="shared" si="1"/>
        <v>3000</v>
      </c>
      <c r="I35" s="268"/>
      <c r="J35" s="149"/>
      <c r="K35" s="229"/>
      <c r="L35" s="66"/>
      <c r="M35" s="66"/>
      <c r="N35" s="66"/>
      <c r="O35" s="133"/>
    </row>
    <row r="36" spans="1:15" ht="20.149999999999999" customHeight="1" x14ac:dyDescent="0.45">
      <c r="A36" s="84">
        <f t="shared" si="4"/>
        <v>22</v>
      </c>
      <c r="B36" s="141" t="s">
        <v>19</v>
      </c>
      <c r="C36" s="118" t="s">
        <v>4</v>
      </c>
      <c r="D36" s="136"/>
      <c r="E36" s="136">
        <f>'PENERIMAAN OBAT PKD'!H30</f>
        <v>0</v>
      </c>
      <c r="F36" s="136">
        <f t="shared" si="0"/>
        <v>0</v>
      </c>
      <c r="G36" s="136">
        <f>DISTRIBUSI!Z31</f>
        <v>0</v>
      </c>
      <c r="H36" s="277">
        <f t="shared" si="1"/>
        <v>0</v>
      </c>
      <c r="I36" s="268"/>
      <c r="J36" s="149">
        <f>'STOK OPNAME GUDANG'!D28</f>
        <v>3000</v>
      </c>
      <c r="K36" s="229"/>
      <c r="L36" s="66">
        <f t="shared" si="2"/>
        <v>0</v>
      </c>
      <c r="M36" s="66">
        <f>DISTRIBUSI!Z31</f>
        <v>0</v>
      </c>
      <c r="N36" s="66">
        <f t="shared" si="3"/>
        <v>0</v>
      </c>
      <c r="O36" s="133"/>
    </row>
    <row r="37" spans="1:15" ht="20.149999999999999" customHeight="1" x14ac:dyDescent="0.45">
      <c r="A37" s="84">
        <f t="shared" si="4"/>
        <v>23</v>
      </c>
      <c r="B37" s="141" t="s">
        <v>260</v>
      </c>
      <c r="C37" s="118" t="s">
        <v>254</v>
      </c>
      <c r="D37" s="136"/>
      <c r="E37" s="136">
        <f>'PENERIMAAN OBAT PKD'!H31</f>
        <v>0</v>
      </c>
      <c r="F37" s="136">
        <f t="shared" si="0"/>
        <v>0</v>
      </c>
      <c r="G37" s="136">
        <f>DISTRIBUSI!Z32</f>
        <v>0</v>
      </c>
      <c r="H37" s="277">
        <f t="shared" si="1"/>
        <v>0</v>
      </c>
      <c r="I37" s="268"/>
      <c r="J37" s="149">
        <f>'STOK OPNAME GUDANG'!D29</f>
        <v>0</v>
      </c>
      <c r="K37" s="229"/>
      <c r="L37" s="66">
        <f t="shared" si="2"/>
        <v>0</v>
      </c>
      <c r="M37" s="66">
        <f>DISTRIBUSI!Z32</f>
        <v>0</v>
      </c>
      <c r="N37" s="66">
        <f t="shared" si="3"/>
        <v>0</v>
      </c>
      <c r="O37" s="133"/>
    </row>
    <row r="38" spans="1:15" ht="20.149999999999999" customHeight="1" x14ac:dyDescent="0.45">
      <c r="A38" s="84">
        <f t="shared" si="4"/>
        <v>24</v>
      </c>
      <c r="B38" s="141" t="s">
        <v>104</v>
      </c>
      <c r="C38" s="118" t="s">
        <v>334</v>
      </c>
      <c r="D38" s="136">
        <v>1000</v>
      </c>
      <c r="E38" s="136">
        <f>'PENERIMAAN OBAT PKD'!H32</f>
        <v>0</v>
      </c>
      <c r="F38" s="136">
        <f t="shared" si="0"/>
        <v>1000</v>
      </c>
      <c r="G38" s="136">
        <f>DISTRIBUSI!Z33</f>
        <v>1000</v>
      </c>
      <c r="H38" s="277">
        <f t="shared" si="1"/>
        <v>0</v>
      </c>
      <c r="I38" s="268">
        <v>1000</v>
      </c>
      <c r="J38" s="149">
        <f>'STOK OPNAME GUDANG'!D30</f>
        <v>0</v>
      </c>
      <c r="K38" s="229"/>
      <c r="L38" s="66">
        <f t="shared" si="2"/>
        <v>0</v>
      </c>
      <c r="M38" s="66">
        <f>DISTRIBUSI!Z33</f>
        <v>1000</v>
      </c>
      <c r="N38" s="66">
        <f t="shared" si="3"/>
        <v>0</v>
      </c>
      <c r="O38" s="133"/>
    </row>
    <row r="39" spans="1:15" ht="20.149999999999999" customHeight="1" x14ac:dyDescent="0.45">
      <c r="A39" s="84">
        <f t="shared" si="4"/>
        <v>25</v>
      </c>
      <c r="B39" s="141" t="s">
        <v>20</v>
      </c>
      <c r="C39" s="102" t="s">
        <v>335</v>
      </c>
      <c r="D39" s="136">
        <v>70</v>
      </c>
      <c r="E39" s="136">
        <f>'PENERIMAAN OBAT PKD'!H33</f>
        <v>0</v>
      </c>
      <c r="F39" s="136">
        <f t="shared" si="0"/>
        <v>70</v>
      </c>
      <c r="G39" s="136">
        <f>DISTRIBUSI!Z34</f>
        <v>10</v>
      </c>
      <c r="H39" s="277">
        <f t="shared" si="1"/>
        <v>60</v>
      </c>
      <c r="I39" s="268"/>
      <c r="J39" s="149">
        <f>'STOK OPNAME GUDANG'!D31</f>
        <v>0</v>
      </c>
      <c r="K39" s="229"/>
      <c r="L39" s="66">
        <f t="shared" si="2"/>
        <v>0</v>
      </c>
      <c r="M39" s="66">
        <f>DISTRIBUSI!Z34</f>
        <v>10</v>
      </c>
      <c r="N39" s="66">
        <f t="shared" si="3"/>
        <v>0</v>
      </c>
      <c r="O39" s="133"/>
    </row>
    <row r="40" spans="1:15" ht="20.149999999999999" customHeight="1" x14ac:dyDescent="0.45">
      <c r="A40" s="84">
        <f t="shared" si="4"/>
        <v>26</v>
      </c>
      <c r="B40" s="141" t="s">
        <v>22</v>
      </c>
      <c r="C40" s="102" t="s">
        <v>330</v>
      </c>
      <c r="D40" s="136"/>
      <c r="E40" s="136">
        <f>'PENERIMAAN OBAT PKD'!H34</f>
        <v>0</v>
      </c>
      <c r="F40" s="136">
        <f t="shared" si="0"/>
        <v>0</v>
      </c>
      <c r="G40" s="136">
        <f>DISTRIBUSI!Z35</f>
        <v>0</v>
      </c>
      <c r="H40" s="277">
        <f t="shared" si="1"/>
        <v>0</v>
      </c>
      <c r="I40" s="268"/>
      <c r="J40" s="149">
        <f>'STOK OPNAME GUDANG'!D32</f>
        <v>60</v>
      </c>
      <c r="K40" s="229"/>
      <c r="L40" s="66">
        <f t="shared" si="2"/>
        <v>0</v>
      </c>
      <c r="M40" s="66">
        <f>DISTRIBUSI!Z35</f>
        <v>0</v>
      </c>
      <c r="N40" s="66">
        <f t="shared" si="3"/>
        <v>0</v>
      </c>
      <c r="O40" s="133"/>
    </row>
    <row r="41" spans="1:15" ht="20.149999999999999" customHeight="1" x14ac:dyDescent="0.45">
      <c r="A41" s="84">
        <f t="shared" si="4"/>
        <v>27</v>
      </c>
      <c r="B41" s="141" t="s">
        <v>21</v>
      </c>
      <c r="C41" s="121" t="s">
        <v>330</v>
      </c>
      <c r="D41" s="136"/>
      <c r="E41" s="136">
        <f>'PENERIMAAN OBAT PKD'!H35</f>
        <v>0</v>
      </c>
      <c r="F41" s="136">
        <f t="shared" si="0"/>
        <v>0</v>
      </c>
      <c r="G41" s="136">
        <f>DISTRIBUSI!Z36</f>
        <v>0</v>
      </c>
      <c r="H41" s="277">
        <f t="shared" si="1"/>
        <v>0</v>
      </c>
      <c r="I41" s="268"/>
      <c r="J41" s="149">
        <f>'STOK OPNAME GUDANG'!D33</f>
        <v>0</v>
      </c>
      <c r="K41" s="229"/>
      <c r="L41" s="66">
        <f t="shared" si="2"/>
        <v>0</v>
      </c>
      <c r="M41" s="66">
        <f>DISTRIBUSI!Z36</f>
        <v>0</v>
      </c>
      <c r="N41" s="66">
        <f t="shared" si="3"/>
        <v>0</v>
      </c>
      <c r="O41" s="133"/>
    </row>
    <row r="42" spans="1:15" ht="20.149999999999999" customHeight="1" x14ac:dyDescent="0.45">
      <c r="A42" s="84">
        <f t="shared" si="4"/>
        <v>28</v>
      </c>
      <c r="B42" s="141" t="s">
        <v>23</v>
      </c>
      <c r="C42" s="118" t="s">
        <v>336</v>
      </c>
      <c r="D42" s="136"/>
      <c r="E42" s="136">
        <f>'PENERIMAAN OBAT PKD'!H36</f>
        <v>0</v>
      </c>
      <c r="F42" s="136">
        <f t="shared" si="0"/>
        <v>0</v>
      </c>
      <c r="G42" s="136">
        <f>DISTRIBUSI!Z37</f>
        <v>0</v>
      </c>
      <c r="H42" s="277">
        <f t="shared" si="1"/>
        <v>0</v>
      </c>
      <c r="I42" s="268"/>
      <c r="J42" s="149">
        <f>'STOK OPNAME GUDANG'!D34</f>
        <v>0</v>
      </c>
      <c r="K42" s="229"/>
      <c r="L42" s="66">
        <f t="shared" si="2"/>
        <v>0</v>
      </c>
      <c r="M42" s="66">
        <f>DISTRIBUSI!Z37</f>
        <v>0</v>
      </c>
      <c r="N42" s="66">
        <f t="shared" si="3"/>
        <v>0</v>
      </c>
      <c r="O42" s="133"/>
    </row>
    <row r="43" spans="1:15" ht="20.149999999999999" customHeight="1" x14ac:dyDescent="0.45">
      <c r="A43" s="84">
        <f t="shared" si="4"/>
        <v>29</v>
      </c>
      <c r="B43" s="141" t="s">
        <v>25</v>
      </c>
      <c r="C43" s="102" t="s">
        <v>327</v>
      </c>
      <c r="D43" s="136">
        <v>1000</v>
      </c>
      <c r="E43" s="136">
        <f>'PENERIMAAN OBAT PKD'!H37</f>
        <v>1500</v>
      </c>
      <c r="F43" s="136">
        <f t="shared" si="0"/>
        <v>2500</v>
      </c>
      <c r="G43" s="136">
        <f>DISTRIBUSI!Z38</f>
        <v>2500</v>
      </c>
      <c r="H43" s="277">
        <f t="shared" si="1"/>
        <v>0</v>
      </c>
      <c r="I43" s="268">
        <v>3000</v>
      </c>
      <c r="J43" s="149">
        <f>'STOK OPNAME GUDANG'!D35</f>
        <v>0</v>
      </c>
      <c r="K43" s="229"/>
      <c r="L43" s="66">
        <f t="shared" si="2"/>
        <v>1500</v>
      </c>
      <c r="M43" s="66">
        <f>DISTRIBUSI!Z38</f>
        <v>2500</v>
      </c>
      <c r="N43" s="66">
        <f t="shared" si="3"/>
        <v>0</v>
      </c>
      <c r="O43" s="133"/>
    </row>
    <row r="44" spans="1:15" ht="20.149999999999999" customHeight="1" x14ac:dyDescent="0.45">
      <c r="A44" s="84">
        <f t="shared" si="4"/>
        <v>30</v>
      </c>
      <c r="B44" s="141" t="s">
        <v>24</v>
      </c>
      <c r="C44" s="122" t="s">
        <v>4</v>
      </c>
      <c r="D44" s="136">
        <v>100</v>
      </c>
      <c r="E44" s="136">
        <f>'PENERIMAAN OBAT PKD'!H38</f>
        <v>0</v>
      </c>
      <c r="F44" s="136">
        <f t="shared" si="0"/>
        <v>100</v>
      </c>
      <c r="G44" s="136">
        <f>DISTRIBUSI!Z39</f>
        <v>0</v>
      </c>
      <c r="H44" s="277">
        <f t="shared" si="1"/>
        <v>100</v>
      </c>
      <c r="I44" s="268"/>
      <c r="J44" s="149">
        <f>'STOK OPNAME GUDANG'!D36</f>
        <v>0</v>
      </c>
      <c r="K44" s="229"/>
      <c r="L44" s="66">
        <f t="shared" si="2"/>
        <v>0</v>
      </c>
      <c r="M44" s="66">
        <f>DISTRIBUSI!Z39</f>
        <v>0</v>
      </c>
      <c r="N44" s="66">
        <f t="shared" si="3"/>
        <v>0</v>
      </c>
      <c r="O44" s="133"/>
    </row>
    <row r="45" spans="1:15" ht="20.149999999999999" customHeight="1" x14ac:dyDescent="0.45">
      <c r="A45" s="84">
        <f t="shared" si="4"/>
        <v>31</v>
      </c>
      <c r="B45" s="141" t="s">
        <v>26</v>
      </c>
      <c r="C45" s="102" t="s">
        <v>48</v>
      </c>
      <c r="D45" s="136"/>
      <c r="E45" s="136">
        <f>'PENERIMAAN OBAT PKD'!H39</f>
        <v>0</v>
      </c>
      <c r="F45" s="136">
        <f t="shared" si="0"/>
        <v>0</v>
      </c>
      <c r="G45" s="136">
        <f>DISTRIBUSI!Z40</f>
        <v>0</v>
      </c>
      <c r="H45" s="277">
        <f t="shared" si="1"/>
        <v>0</v>
      </c>
      <c r="I45" s="268"/>
      <c r="J45" s="149">
        <f>'STOK OPNAME GUDANG'!D37</f>
        <v>100</v>
      </c>
      <c r="K45" s="229"/>
      <c r="L45" s="66">
        <f t="shared" si="2"/>
        <v>0</v>
      </c>
      <c r="M45" s="66">
        <f>DISTRIBUSI!Z40</f>
        <v>0</v>
      </c>
      <c r="N45" s="66">
        <f t="shared" si="3"/>
        <v>0</v>
      </c>
      <c r="O45" s="133"/>
    </row>
    <row r="46" spans="1:15" ht="20.149999999999999" customHeight="1" x14ac:dyDescent="0.45">
      <c r="A46" s="84">
        <f t="shared" si="4"/>
        <v>32</v>
      </c>
      <c r="B46" s="141" t="s">
        <v>27</v>
      </c>
      <c r="C46" s="102" t="s">
        <v>337</v>
      </c>
      <c r="D46" s="136">
        <v>5</v>
      </c>
      <c r="E46" s="136">
        <f>'PENERIMAAN OBAT PKD'!H40</f>
        <v>0</v>
      </c>
      <c r="F46" s="136">
        <f t="shared" si="0"/>
        <v>5</v>
      </c>
      <c r="G46" s="136">
        <f>DISTRIBUSI!Z41</f>
        <v>0</v>
      </c>
      <c r="H46" s="277">
        <f t="shared" si="1"/>
        <v>5</v>
      </c>
      <c r="I46" s="268"/>
      <c r="J46" s="149">
        <f>'STOK OPNAME GUDANG'!D38</f>
        <v>0</v>
      </c>
      <c r="K46" s="229"/>
      <c r="L46" s="66">
        <f t="shared" si="2"/>
        <v>0</v>
      </c>
      <c r="M46" s="66">
        <f>DISTRIBUSI!Z41</f>
        <v>0</v>
      </c>
      <c r="N46" s="66">
        <f t="shared" si="3"/>
        <v>0</v>
      </c>
      <c r="O46" s="133"/>
    </row>
    <row r="47" spans="1:15" ht="20.149999999999999" customHeight="1" x14ac:dyDescent="0.45">
      <c r="A47" s="84">
        <f t="shared" si="4"/>
        <v>33</v>
      </c>
      <c r="B47" s="141" t="s">
        <v>28</v>
      </c>
      <c r="C47" s="106" t="s">
        <v>338</v>
      </c>
      <c r="D47" s="136"/>
      <c r="E47" s="136">
        <f>'PENERIMAAN OBAT PKD'!H41</f>
        <v>0</v>
      </c>
      <c r="F47" s="136">
        <f t="shared" si="0"/>
        <v>0</v>
      </c>
      <c r="G47" s="136">
        <f>DISTRIBUSI!Z42</f>
        <v>0</v>
      </c>
      <c r="H47" s="277">
        <f t="shared" si="1"/>
        <v>0</v>
      </c>
      <c r="I47" s="268"/>
      <c r="J47" s="149">
        <f>'STOK OPNAME GUDANG'!D39</f>
        <v>5</v>
      </c>
      <c r="K47" s="229"/>
      <c r="L47" s="66">
        <f t="shared" si="2"/>
        <v>0</v>
      </c>
      <c r="M47" s="66">
        <f>DISTRIBUSI!Z42</f>
        <v>0</v>
      </c>
      <c r="N47" s="66">
        <f t="shared" si="3"/>
        <v>0</v>
      </c>
      <c r="O47" s="133"/>
    </row>
    <row r="48" spans="1:15" ht="20.149999999999999" customHeight="1" x14ac:dyDescent="0.45">
      <c r="A48" s="84">
        <f t="shared" si="4"/>
        <v>34</v>
      </c>
      <c r="B48" s="141" t="s">
        <v>29</v>
      </c>
      <c r="C48" s="123" t="s">
        <v>339</v>
      </c>
      <c r="D48" s="136"/>
      <c r="E48" s="136">
        <f>'PENERIMAAN OBAT PKD'!H42</f>
        <v>0</v>
      </c>
      <c r="F48" s="136">
        <f t="shared" si="0"/>
        <v>0</v>
      </c>
      <c r="G48" s="136">
        <f>DISTRIBUSI!Z43</f>
        <v>0</v>
      </c>
      <c r="H48" s="277">
        <f t="shared" si="1"/>
        <v>0</v>
      </c>
      <c r="I48" s="268"/>
      <c r="J48" s="149">
        <f>'STOK OPNAME GUDANG'!D40</f>
        <v>0</v>
      </c>
      <c r="K48" s="229"/>
      <c r="L48" s="66">
        <f t="shared" si="2"/>
        <v>0</v>
      </c>
      <c r="M48" s="66">
        <f>DISTRIBUSI!Z43</f>
        <v>0</v>
      </c>
      <c r="N48" s="66">
        <f t="shared" si="3"/>
        <v>0</v>
      </c>
      <c r="O48" s="133"/>
    </row>
    <row r="49" spans="1:15" ht="20.149999999999999" customHeight="1" x14ac:dyDescent="0.45">
      <c r="A49" s="84">
        <f t="shared" si="4"/>
        <v>35</v>
      </c>
      <c r="B49" s="141" t="s">
        <v>30</v>
      </c>
      <c r="C49" s="123" t="s">
        <v>337</v>
      </c>
      <c r="D49" s="136">
        <v>20</v>
      </c>
      <c r="E49" s="136">
        <f>'PENERIMAAN OBAT PKD'!H43</f>
        <v>0</v>
      </c>
      <c r="F49" s="136">
        <f t="shared" si="0"/>
        <v>20</v>
      </c>
      <c r="G49" s="136">
        <f>DISTRIBUSI!Z44</f>
        <v>0</v>
      </c>
      <c r="H49" s="277">
        <f t="shared" si="1"/>
        <v>20</v>
      </c>
      <c r="I49" s="268"/>
      <c r="J49" s="149">
        <f>'STOK OPNAME GUDANG'!D41</f>
        <v>0</v>
      </c>
      <c r="K49" s="229"/>
      <c r="L49" s="66">
        <f t="shared" si="2"/>
        <v>0</v>
      </c>
      <c r="M49" s="66">
        <f>DISTRIBUSI!Z44</f>
        <v>0</v>
      </c>
      <c r="N49" s="66">
        <f t="shared" si="3"/>
        <v>0</v>
      </c>
      <c r="O49" s="133"/>
    </row>
    <row r="50" spans="1:15" ht="20.149999999999999" customHeight="1" x14ac:dyDescent="0.45">
      <c r="A50" s="84">
        <f t="shared" si="4"/>
        <v>36</v>
      </c>
      <c r="B50" s="141" t="s">
        <v>31</v>
      </c>
      <c r="C50" s="102" t="s">
        <v>327</v>
      </c>
      <c r="D50" s="136">
        <v>0</v>
      </c>
      <c r="E50" s="136">
        <f>'PENERIMAAN OBAT PKD'!H44</f>
        <v>400</v>
      </c>
      <c r="F50" s="136">
        <f t="shared" si="0"/>
        <v>400</v>
      </c>
      <c r="G50" s="136">
        <f>DISTRIBUSI!Z45</f>
        <v>400</v>
      </c>
      <c r="H50" s="277">
        <f t="shared" si="1"/>
        <v>0</v>
      </c>
      <c r="I50" s="268">
        <v>1000</v>
      </c>
      <c r="J50" s="149">
        <f>'STOK OPNAME GUDANG'!D42</f>
        <v>20</v>
      </c>
      <c r="K50" s="229"/>
      <c r="L50" s="66">
        <f t="shared" si="2"/>
        <v>400</v>
      </c>
      <c r="M50" s="66">
        <f>DISTRIBUSI!Z45</f>
        <v>400</v>
      </c>
      <c r="N50" s="66">
        <f t="shared" si="3"/>
        <v>0</v>
      </c>
      <c r="O50" s="133"/>
    </row>
    <row r="51" spans="1:15" ht="20.149999999999999" customHeight="1" x14ac:dyDescent="0.45">
      <c r="A51" s="84">
        <f t="shared" si="4"/>
        <v>37</v>
      </c>
      <c r="B51" s="141" t="s">
        <v>32</v>
      </c>
      <c r="C51" s="118" t="s">
        <v>340</v>
      </c>
      <c r="D51" s="136">
        <v>200</v>
      </c>
      <c r="E51" s="136">
        <f>'PENERIMAAN OBAT PKD'!H45</f>
        <v>0</v>
      </c>
      <c r="F51" s="136">
        <f t="shared" si="0"/>
        <v>200</v>
      </c>
      <c r="G51" s="136">
        <f>DISTRIBUSI!Z46</f>
        <v>0</v>
      </c>
      <c r="H51" s="277">
        <f t="shared" si="1"/>
        <v>200</v>
      </c>
      <c r="I51" s="268"/>
      <c r="J51" s="149">
        <f>'STOK OPNAME GUDANG'!D43</f>
        <v>0</v>
      </c>
      <c r="K51" s="229"/>
      <c r="L51" s="66">
        <f t="shared" si="2"/>
        <v>0</v>
      </c>
      <c r="M51" s="66">
        <f>DISTRIBUSI!Z46</f>
        <v>0</v>
      </c>
      <c r="N51" s="66">
        <f t="shared" si="3"/>
        <v>0</v>
      </c>
      <c r="O51" s="133"/>
    </row>
    <row r="52" spans="1:15" ht="20.149999999999999" customHeight="1" x14ac:dyDescent="0.45">
      <c r="A52" s="84">
        <f t="shared" si="4"/>
        <v>38</v>
      </c>
      <c r="B52" s="141" t="s">
        <v>34</v>
      </c>
      <c r="C52" s="121" t="s">
        <v>48</v>
      </c>
      <c r="D52" s="136">
        <v>45</v>
      </c>
      <c r="E52" s="136">
        <f>'PENERIMAAN OBAT PKD'!H46</f>
        <v>50</v>
      </c>
      <c r="F52" s="136">
        <f t="shared" si="0"/>
        <v>95</v>
      </c>
      <c r="G52" s="136">
        <f>DISTRIBUSI!Z47</f>
        <v>10</v>
      </c>
      <c r="H52" s="277">
        <f t="shared" si="1"/>
        <v>85</v>
      </c>
      <c r="I52" s="268"/>
      <c r="J52" s="149">
        <f>'STOK OPNAME GUDANG'!D44</f>
        <v>200</v>
      </c>
      <c r="K52" s="229"/>
      <c r="L52" s="66">
        <f t="shared" si="2"/>
        <v>50</v>
      </c>
      <c r="M52" s="66">
        <f>DISTRIBUSI!Z47</f>
        <v>10</v>
      </c>
      <c r="N52" s="66">
        <f t="shared" si="3"/>
        <v>0</v>
      </c>
      <c r="O52" s="133"/>
    </row>
    <row r="53" spans="1:15" ht="20.149999999999999" customHeight="1" x14ac:dyDescent="0.45">
      <c r="A53" s="84">
        <f t="shared" si="4"/>
        <v>39</v>
      </c>
      <c r="B53" s="141" t="s">
        <v>35</v>
      </c>
      <c r="C53" s="124" t="s">
        <v>4</v>
      </c>
      <c r="D53" s="136">
        <v>15</v>
      </c>
      <c r="E53" s="136">
        <f>'PENERIMAAN OBAT PKD'!H47</f>
        <v>0</v>
      </c>
      <c r="F53" s="136">
        <f t="shared" si="0"/>
        <v>15</v>
      </c>
      <c r="G53" s="136">
        <f>DISTRIBUSI!Z48</f>
        <v>0</v>
      </c>
      <c r="H53" s="277">
        <f t="shared" si="1"/>
        <v>15</v>
      </c>
      <c r="I53" s="268"/>
      <c r="J53" s="149">
        <f>'STOK OPNAME GUDANG'!D45</f>
        <v>85</v>
      </c>
      <c r="K53" s="229"/>
      <c r="L53" s="66">
        <f t="shared" si="2"/>
        <v>0</v>
      </c>
      <c r="M53" s="66">
        <f>DISTRIBUSI!Z48</f>
        <v>0</v>
      </c>
      <c r="N53" s="66">
        <f t="shared" si="3"/>
        <v>0</v>
      </c>
      <c r="O53" s="133"/>
    </row>
    <row r="54" spans="1:15" ht="20.149999999999999" customHeight="1" x14ac:dyDescent="0.45">
      <c r="A54" s="84">
        <f t="shared" si="4"/>
        <v>40</v>
      </c>
      <c r="B54" s="141" t="s">
        <v>282</v>
      </c>
      <c r="C54" s="102" t="s">
        <v>48</v>
      </c>
      <c r="D54" s="136"/>
      <c r="E54" s="136">
        <f>'PENERIMAAN OBAT PKD'!H48</f>
        <v>0</v>
      </c>
      <c r="F54" s="136">
        <f t="shared" si="0"/>
        <v>0</v>
      </c>
      <c r="G54" s="136">
        <f>DISTRIBUSI!Z49</f>
        <v>0</v>
      </c>
      <c r="H54" s="277">
        <f t="shared" si="1"/>
        <v>0</v>
      </c>
      <c r="I54" s="268"/>
      <c r="J54" s="149">
        <f>'STOK OPNAME GUDANG'!D46</f>
        <v>15</v>
      </c>
      <c r="K54" s="229"/>
      <c r="L54" s="66">
        <f t="shared" si="2"/>
        <v>0</v>
      </c>
      <c r="M54" s="66">
        <f>DISTRIBUSI!Z49</f>
        <v>0</v>
      </c>
      <c r="N54" s="66">
        <f t="shared" si="3"/>
        <v>0</v>
      </c>
      <c r="O54" s="133"/>
    </row>
    <row r="55" spans="1:15" ht="20.149999999999999" customHeight="1" x14ac:dyDescent="0.45">
      <c r="A55" s="84">
        <f t="shared" si="4"/>
        <v>41</v>
      </c>
      <c r="B55" s="141" t="s">
        <v>36</v>
      </c>
      <c r="C55" s="102" t="s">
        <v>341</v>
      </c>
      <c r="D55" s="136"/>
      <c r="E55" s="136">
        <f>'PENERIMAAN OBAT PKD'!H49</f>
        <v>0</v>
      </c>
      <c r="F55" s="136">
        <f t="shared" si="0"/>
        <v>0</v>
      </c>
      <c r="G55" s="136">
        <f>DISTRIBUSI!Z50</f>
        <v>0</v>
      </c>
      <c r="H55" s="277">
        <f t="shared" si="1"/>
        <v>0</v>
      </c>
      <c r="I55" s="268"/>
      <c r="J55" s="149">
        <f>'STOK OPNAME GUDANG'!D47</f>
        <v>0</v>
      </c>
      <c r="K55" s="229"/>
      <c r="L55" s="66">
        <f t="shared" si="2"/>
        <v>0</v>
      </c>
      <c r="M55" s="66">
        <f>DISTRIBUSI!Z50</f>
        <v>0</v>
      </c>
      <c r="N55" s="66">
        <f t="shared" si="3"/>
        <v>0</v>
      </c>
      <c r="O55" s="133"/>
    </row>
    <row r="56" spans="1:15" ht="20.149999999999999" customHeight="1" x14ac:dyDescent="0.45">
      <c r="A56" s="84">
        <f t="shared" si="4"/>
        <v>42</v>
      </c>
      <c r="B56" s="141" t="s">
        <v>38</v>
      </c>
      <c r="C56" s="118" t="s">
        <v>337</v>
      </c>
      <c r="D56" s="136"/>
      <c r="E56" s="136">
        <f>'PENERIMAAN OBAT PKD'!H50</f>
        <v>0</v>
      </c>
      <c r="F56" s="136">
        <f t="shared" si="0"/>
        <v>0</v>
      </c>
      <c r="G56" s="136">
        <f>DISTRIBUSI!Z51</f>
        <v>0</v>
      </c>
      <c r="H56" s="277">
        <f t="shared" si="1"/>
        <v>0</v>
      </c>
      <c r="I56" s="268"/>
      <c r="J56" s="149">
        <f>'STOK OPNAME GUDANG'!D48</f>
        <v>0</v>
      </c>
      <c r="K56" s="229"/>
      <c r="L56" s="66">
        <f t="shared" si="2"/>
        <v>0</v>
      </c>
      <c r="M56" s="66">
        <f>DISTRIBUSI!Z51</f>
        <v>0</v>
      </c>
      <c r="N56" s="66">
        <f t="shared" si="3"/>
        <v>0</v>
      </c>
      <c r="O56" s="133"/>
    </row>
    <row r="57" spans="1:15" ht="20.149999999999999" customHeight="1" x14ac:dyDescent="0.45">
      <c r="A57" s="84">
        <f t="shared" si="4"/>
        <v>43</v>
      </c>
      <c r="B57" s="141" t="s">
        <v>37</v>
      </c>
      <c r="C57" s="102" t="s">
        <v>327</v>
      </c>
      <c r="D57" s="136">
        <v>1000</v>
      </c>
      <c r="E57" s="136">
        <f>'PENERIMAAN OBAT PKD'!H51</f>
        <v>0</v>
      </c>
      <c r="F57" s="136">
        <f t="shared" si="0"/>
        <v>1000</v>
      </c>
      <c r="G57" s="136">
        <f>DISTRIBUSI!Z52</f>
        <v>500</v>
      </c>
      <c r="H57" s="277">
        <f t="shared" si="1"/>
        <v>500</v>
      </c>
      <c r="I57" s="268">
        <v>1000</v>
      </c>
      <c r="J57" s="149">
        <f>'STOK OPNAME GUDANG'!D49</f>
        <v>0</v>
      </c>
      <c r="K57" s="229"/>
      <c r="L57" s="66">
        <f t="shared" si="2"/>
        <v>0</v>
      </c>
      <c r="M57" s="66">
        <f>DISTRIBUSI!Z52</f>
        <v>500</v>
      </c>
      <c r="N57" s="66">
        <f t="shared" si="3"/>
        <v>0</v>
      </c>
      <c r="O57" s="133"/>
    </row>
    <row r="58" spans="1:15" ht="20.149999999999999" customHeight="1" x14ac:dyDescent="0.45">
      <c r="A58" s="84">
        <f t="shared" si="4"/>
        <v>44</v>
      </c>
      <c r="B58" s="141" t="s">
        <v>261</v>
      </c>
      <c r="C58" s="102" t="s">
        <v>337</v>
      </c>
      <c r="D58" s="136"/>
      <c r="E58" s="136">
        <f>'PENERIMAAN OBAT PKD'!H52</f>
        <v>0</v>
      </c>
      <c r="F58" s="136">
        <f t="shared" si="0"/>
        <v>0</v>
      </c>
      <c r="G58" s="136">
        <f>DISTRIBUSI!Z53</f>
        <v>0</v>
      </c>
      <c r="H58" s="277">
        <f t="shared" si="1"/>
        <v>0</v>
      </c>
      <c r="I58" s="268"/>
      <c r="J58" s="149">
        <f>'STOK OPNAME GUDANG'!D50</f>
        <v>500</v>
      </c>
      <c r="K58" s="229"/>
      <c r="L58" s="66">
        <f t="shared" si="2"/>
        <v>0</v>
      </c>
      <c r="M58" s="66">
        <f>DISTRIBUSI!Z53</f>
        <v>0</v>
      </c>
      <c r="N58" s="66">
        <f t="shared" si="3"/>
        <v>0</v>
      </c>
      <c r="O58" s="133"/>
    </row>
    <row r="59" spans="1:15" ht="20.149999999999999" customHeight="1" x14ac:dyDescent="0.45">
      <c r="A59" s="84">
        <f t="shared" si="4"/>
        <v>45</v>
      </c>
      <c r="B59" s="141" t="s">
        <v>39</v>
      </c>
      <c r="C59" s="102" t="s">
        <v>342</v>
      </c>
      <c r="D59" s="136">
        <v>200</v>
      </c>
      <c r="E59" s="136">
        <f>'PENERIMAAN OBAT PKD'!H53</f>
        <v>0</v>
      </c>
      <c r="F59" s="136">
        <f t="shared" si="0"/>
        <v>200</v>
      </c>
      <c r="G59" s="136">
        <f>DISTRIBUSI!Z54</f>
        <v>200</v>
      </c>
      <c r="H59" s="277">
        <f t="shared" si="1"/>
        <v>0</v>
      </c>
      <c r="I59" s="268">
        <v>600</v>
      </c>
      <c r="J59" s="149">
        <f>'STOK OPNAME GUDANG'!D51</f>
        <v>0</v>
      </c>
      <c r="K59" s="229"/>
      <c r="L59" s="66">
        <f t="shared" si="2"/>
        <v>0</v>
      </c>
      <c r="M59" s="66">
        <f>DISTRIBUSI!Z54</f>
        <v>200</v>
      </c>
      <c r="N59" s="66">
        <f t="shared" si="3"/>
        <v>0</v>
      </c>
      <c r="O59" s="133"/>
    </row>
    <row r="60" spans="1:15" ht="20.149999999999999" customHeight="1" x14ac:dyDescent="0.45">
      <c r="A60" s="84">
        <f t="shared" si="4"/>
        <v>46</v>
      </c>
      <c r="B60" s="141" t="s">
        <v>40</v>
      </c>
      <c r="C60" s="118" t="s">
        <v>177</v>
      </c>
      <c r="D60" s="136"/>
      <c r="E60" s="136">
        <f>'PENERIMAAN OBAT PKD'!H54</f>
        <v>0</v>
      </c>
      <c r="F60" s="136">
        <f t="shared" si="0"/>
        <v>0</v>
      </c>
      <c r="G60" s="136">
        <f>DISTRIBUSI!Z55</f>
        <v>0</v>
      </c>
      <c r="H60" s="277">
        <f t="shared" si="1"/>
        <v>0</v>
      </c>
      <c r="I60" s="268"/>
      <c r="J60" s="149">
        <f>'STOK OPNAME GUDANG'!D52</f>
        <v>0</v>
      </c>
      <c r="K60" s="229"/>
      <c r="L60" s="66">
        <f t="shared" si="2"/>
        <v>0</v>
      </c>
      <c r="M60" s="66">
        <f>DISTRIBUSI!Z55</f>
        <v>0</v>
      </c>
      <c r="N60" s="66">
        <f t="shared" si="3"/>
        <v>0</v>
      </c>
      <c r="O60" s="133"/>
    </row>
    <row r="61" spans="1:15" ht="20.149999999999999" customHeight="1" x14ac:dyDescent="0.45">
      <c r="A61" s="84">
        <f t="shared" si="4"/>
        <v>47</v>
      </c>
      <c r="B61" s="141" t="s">
        <v>265</v>
      </c>
      <c r="C61" s="118" t="s">
        <v>343</v>
      </c>
      <c r="D61" s="136"/>
      <c r="E61" s="136">
        <f>'PENERIMAAN OBAT PKD'!H55</f>
        <v>0</v>
      </c>
      <c r="F61" s="136">
        <f t="shared" si="0"/>
        <v>0</v>
      </c>
      <c r="G61" s="136">
        <f>DISTRIBUSI!Z56</f>
        <v>0</v>
      </c>
      <c r="H61" s="277">
        <f t="shared" si="1"/>
        <v>0</v>
      </c>
      <c r="I61" s="268"/>
      <c r="J61" s="149">
        <f>'STOK OPNAME GUDANG'!D53</f>
        <v>0</v>
      </c>
      <c r="K61" s="229"/>
      <c r="L61" s="66">
        <f t="shared" si="2"/>
        <v>0</v>
      </c>
      <c r="M61" s="66">
        <f>DISTRIBUSI!Z56</f>
        <v>0</v>
      </c>
      <c r="N61" s="66">
        <f t="shared" si="3"/>
        <v>0</v>
      </c>
      <c r="O61" s="133"/>
    </row>
    <row r="62" spans="1:15" ht="18" x14ac:dyDescent="0.45">
      <c r="A62" s="84">
        <f t="shared" si="4"/>
        <v>48</v>
      </c>
      <c r="B62" s="141" t="s">
        <v>41</v>
      </c>
      <c r="C62" s="115" t="s">
        <v>327</v>
      </c>
      <c r="D62" s="136">
        <v>1500</v>
      </c>
      <c r="E62" s="136">
        <f>'PENERIMAAN OBAT PKD'!H56</f>
        <v>1000</v>
      </c>
      <c r="F62" s="136">
        <f t="shared" si="0"/>
        <v>2500</v>
      </c>
      <c r="G62" s="136">
        <f>DISTRIBUSI!Z57</f>
        <v>2000</v>
      </c>
      <c r="H62" s="277">
        <f t="shared" si="1"/>
        <v>500</v>
      </c>
      <c r="I62" s="268">
        <v>2000</v>
      </c>
      <c r="J62" s="149">
        <f>'STOK OPNAME GUDANG'!D54</f>
        <v>0</v>
      </c>
      <c r="K62" s="229"/>
      <c r="L62" s="66">
        <f t="shared" si="2"/>
        <v>1000</v>
      </c>
      <c r="M62" s="66">
        <f>DISTRIBUSI!Z57</f>
        <v>2000</v>
      </c>
      <c r="N62" s="66">
        <f t="shared" si="3"/>
        <v>0</v>
      </c>
      <c r="O62" s="133"/>
    </row>
    <row r="63" spans="1:15" ht="20.149999999999999" customHeight="1" x14ac:dyDescent="0.45">
      <c r="A63" s="84">
        <f t="shared" si="4"/>
        <v>49</v>
      </c>
      <c r="B63" s="141" t="s">
        <v>105</v>
      </c>
      <c r="C63" s="125" t="s">
        <v>327</v>
      </c>
      <c r="D63" s="136">
        <v>2700</v>
      </c>
      <c r="E63" s="136">
        <f>'PENERIMAAN OBAT PKD'!H57</f>
        <v>0</v>
      </c>
      <c r="F63" s="136">
        <f t="shared" si="0"/>
        <v>2700</v>
      </c>
      <c r="G63" s="136">
        <f>DISTRIBUSI!Z58</f>
        <v>2700</v>
      </c>
      <c r="H63" s="277">
        <f t="shared" si="1"/>
        <v>0</v>
      </c>
      <c r="I63" s="268">
        <v>3000</v>
      </c>
      <c r="J63" s="149">
        <f>'STOK OPNAME GUDANG'!D55</f>
        <v>500</v>
      </c>
      <c r="K63" s="229"/>
      <c r="L63" s="66">
        <f t="shared" si="2"/>
        <v>0</v>
      </c>
      <c r="M63" s="66">
        <f>DISTRIBUSI!Z58</f>
        <v>2700</v>
      </c>
      <c r="N63" s="66">
        <f t="shared" si="3"/>
        <v>0</v>
      </c>
      <c r="O63" s="133"/>
    </row>
    <row r="64" spans="1:15" ht="20.149999999999999" customHeight="1" x14ac:dyDescent="0.45">
      <c r="A64" s="84">
        <f t="shared" si="4"/>
        <v>50</v>
      </c>
      <c r="B64" s="141" t="s">
        <v>42</v>
      </c>
      <c r="C64" s="118" t="s">
        <v>321</v>
      </c>
      <c r="D64" s="136">
        <v>80</v>
      </c>
      <c r="E64" s="136">
        <f>'PENERIMAAN OBAT PKD'!H58</f>
        <v>0</v>
      </c>
      <c r="F64" s="136">
        <f t="shared" si="0"/>
        <v>80</v>
      </c>
      <c r="G64" s="136">
        <f>DISTRIBUSI!Z59</f>
        <v>40</v>
      </c>
      <c r="H64" s="277">
        <f t="shared" si="1"/>
        <v>40</v>
      </c>
      <c r="I64" s="268"/>
      <c r="J64" s="149">
        <f>'STOK OPNAME GUDANG'!D56</f>
        <v>0</v>
      </c>
      <c r="K64" s="229"/>
      <c r="L64" s="66">
        <f t="shared" si="2"/>
        <v>0</v>
      </c>
      <c r="M64" s="66">
        <f>DISTRIBUSI!Z59</f>
        <v>40</v>
      </c>
      <c r="N64" s="66">
        <f t="shared" si="3"/>
        <v>0</v>
      </c>
      <c r="O64" s="133"/>
    </row>
    <row r="65" spans="1:15" ht="20.149999999999999" customHeight="1" x14ac:dyDescent="0.45">
      <c r="A65" s="84">
        <f t="shared" si="4"/>
        <v>51</v>
      </c>
      <c r="B65" s="141" t="s">
        <v>43</v>
      </c>
      <c r="C65" s="102" t="s">
        <v>327</v>
      </c>
      <c r="D65" s="136">
        <v>1000</v>
      </c>
      <c r="E65" s="136">
        <f>'PENERIMAAN OBAT PKD'!H59</f>
        <v>0</v>
      </c>
      <c r="F65" s="136">
        <f t="shared" si="0"/>
        <v>1000</v>
      </c>
      <c r="G65" s="136">
        <f>DISTRIBUSI!Z60</f>
        <v>0</v>
      </c>
      <c r="H65" s="277">
        <f t="shared" si="1"/>
        <v>1000</v>
      </c>
      <c r="I65" s="268"/>
      <c r="J65" s="149">
        <f>'STOK OPNAME GUDANG'!D57</f>
        <v>40</v>
      </c>
      <c r="K65" s="229"/>
      <c r="L65" s="66">
        <f t="shared" si="2"/>
        <v>0</v>
      </c>
      <c r="M65" s="66">
        <f>DISTRIBUSI!Z60</f>
        <v>0</v>
      </c>
      <c r="N65" s="66">
        <f t="shared" si="3"/>
        <v>0</v>
      </c>
      <c r="O65" s="133"/>
    </row>
    <row r="66" spans="1:15" ht="20.149999999999999" customHeight="1" x14ac:dyDescent="0.45">
      <c r="A66" s="84">
        <f t="shared" si="4"/>
        <v>52</v>
      </c>
      <c r="B66" s="141" t="s">
        <v>44</v>
      </c>
      <c r="C66" s="118" t="s">
        <v>327</v>
      </c>
      <c r="D66" s="136"/>
      <c r="E66" s="136">
        <f>'PENERIMAAN OBAT PKD'!H60</f>
        <v>0</v>
      </c>
      <c r="F66" s="136">
        <f t="shared" si="0"/>
        <v>0</v>
      </c>
      <c r="G66" s="136">
        <f>DISTRIBUSI!Z61</f>
        <v>0</v>
      </c>
      <c r="H66" s="277">
        <f t="shared" si="1"/>
        <v>0</v>
      </c>
      <c r="I66" s="268"/>
      <c r="J66" s="149">
        <f>'STOK OPNAME GUDANG'!D58</f>
        <v>1000</v>
      </c>
      <c r="K66" s="229"/>
      <c r="L66" s="66">
        <f t="shared" si="2"/>
        <v>0</v>
      </c>
      <c r="M66" s="66">
        <f>DISTRIBUSI!Z61</f>
        <v>0</v>
      </c>
      <c r="N66" s="66">
        <f t="shared" si="3"/>
        <v>0</v>
      </c>
      <c r="O66" s="133"/>
    </row>
    <row r="67" spans="1:15" ht="20.149999999999999" customHeight="1" x14ac:dyDescent="0.45">
      <c r="A67" s="84">
        <f t="shared" si="4"/>
        <v>53</v>
      </c>
      <c r="B67" s="141" t="s">
        <v>45</v>
      </c>
      <c r="C67" s="106" t="s">
        <v>335</v>
      </c>
      <c r="D67" s="136">
        <v>72</v>
      </c>
      <c r="E67" s="136">
        <f>'PENERIMAAN OBAT PKD'!H61</f>
        <v>0</v>
      </c>
      <c r="F67" s="136">
        <f t="shared" si="0"/>
        <v>72</v>
      </c>
      <c r="G67" s="136">
        <f>DISTRIBUSI!Z62</f>
        <v>0</v>
      </c>
      <c r="H67" s="277">
        <f t="shared" si="1"/>
        <v>72</v>
      </c>
      <c r="I67" s="268"/>
      <c r="J67" s="149">
        <f>'STOK OPNAME GUDANG'!D60</f>
        <v>72</v>
      </c>
      <c r="K67" s="229"/>
      <c r="L67" s="66">
        <f t="shared" si="2"/>
        <v>0</v>
      </c>
      <c r="M67" s="66">
        <f>DISTRIBUSI!Z62</f>
        <v>0</v>
      </c>
      <c r="N67" s="66">
        <f t="shared" si="3"/>
        <v>0</v>
      </c>
      <c r="O67" s="133"/>
    </row>
    <row r="68" spans="1:15" ht="20.149999999999999" customHeight="1" x14ac:dyDescent="0.45">
      <c r="A68" s="84">
        <f t="shared" si="4"/>
        <v>54</v>
      </c>
      <c r="B68" s="141" t="s">
        <v>46</v>
      </c>
      <c r="C68" s="106" t="s">
        <v>344</v>
      </c>
      <c r="D68" s="136">
        <v>0</v>
      </c>
      <c r="E68" s="136">
        <f>'PENERIMAAN OBAT PKD'!H62</f>
        <v>300</v>
      </c>
      <c r="F68" s="136">
        <f t="shared" si="0"/>
        <v>300</v>
      </c>
      <c r="G68" s="136">
        <f>DISTRIBUSI!Z63</f>
        <v>300</v>
      </c>
      <c r="H68" s="277">
        <f t="shared" si="1"/>
        <v>0</v>
      </c>
      <c r="I68" s="268">
        <v>1000</v>
      </c>
      <c r="J68" s="149">
        <f>'STOK OPNAME GUDANG'!D61</f>
        <v>0</v>
      </c>
      <c r="K68" s="229"/>
      <c r="L68" s="66">
        <f t="shared" si="2"/>
        <v>300</v>
      </c>
      <c r="M68" s="66">
        <f>DISTRIBUSI!Z63</f>
        <v>300</v>
      </c>
      <c r="N68" s="66">
        <f t="shared" si="3"/>
        <v>0</v>
      </c>
      <c r="O68" s="133"/>
    </row>
    <row r="69" spans="1:15" ht="18" x14ac:dyDescent="0.45">
      <c r="A69" s="84">
        <f t="shared" si="4"/>
        <v>55</v>
      </c>
      <c r="B69" s="141" t="s">
        <v>47</v>
      </c>
      <c r="C69" s="102" t="s">
        <v>48</v>
      </c>
      <c r="D69" s="136">
        <v>100</v>
      </c>
      <c r="E69" s="136">
        <f>'PENERIMAAN OBAT PKD'!H63</f>
        <v>0</v>
      </c>
      <c r="F69" s="136">
        <f t="shared" si="0"/>
        <v>100</v>
      </c>
      <c r="G69" s="136">
        <f>DISTRIBUSI!Z64</f>
        <v>10</v>
      </c>
      <c r="H69" s="277">
        <f t="shared" si="1"/>
        <v>90</v>
      </c>
      <c r="I69" s="268"/>
      <c r="J69" s="149">
        <f>'STOK OPNAME GUDANG'!D62</f>
        <v>90</v>
      </c>
      <c r="K69" s="229"/>
      <c r="L69" s="66">
        <f t="shared" si="2"/>
        <v>0</v>
      </c>
      <c r="M69" s="66">
        <f>DISTRIBUSI!Z64</f>
        <v>10</v>
      </c>
      <c r="N69" s="66">
        <f t="shared" si="3"/>
        <v>0</v>
      </c>
      <c r="O69" s="133"/>
    </row>
    <row r="70" spans="1:15" ht="18" x14ac:dyDescent="0.45">
      <c r="A70" s="84">
        <f t="shared" si="4"/>
        <v>56</v>
      </c>
      <c r="B70" s="141" t="s">
        <v>49</v>
      </c>
      <c r="C70" s="102" t="s">
        <v>341</v>
      </c>
      <c r="D70" s="136">
        <v>500</v>
      </c>
      <c r="E70" s="136">
        <f>'PENERIMAAN OBAT PKD'!H64</f>
        <v>1500</v>
      </c>
      <c r="F70" s="136">
        <f t="shared" si="0"/>
        <v>2000</v>
      </c>
      <c r="G70" s="136">
        <f>DISTRIBUSI!Z65</f>
        <v>1500</v>
      </c>
      <c r="H70" s="277">
        <f t="shared" si="1"/>
        <v>500</v>
      </c>
      <c r="I70" s="268">
        <v>2000</v>
      </c>
      <c r="J70" s="149">
        <f>'STOK OPNAME GUDANG'!D63</f>
        <v>500</v>
      </c>
      <c r="K70" s="229"/>
      <c r="L70" s="66">
        <f t="shared" si="2"/>
        <v>1500</v>
      </c>
      <c r="M70" s="66">
        <f>DISTRIBUSI!Z65</f>
        <v>1500</v>
      </c>
      <c r="N70" s="66">
        <f t="shared" si="3"/>
        <v>0</v>
      </c>
      <c r="O70" s="133"/>
    </row>
    <row r="71" spans="1:15" ht="20.149999999999999" customHeight="1" x14ac:dyDescent="0.45">
      <c r="A71" s="84">
        <f t="shared" si="4"/>
        <v>57</v>
      </c>
      <c r="B71" s="141" t="s">
        <v>50</v>
      </c>
      <c r="C71" s="102" t="s">
        <v>327</v>
      </c>
      <c r="D71" s="136"/>
      <c r="E71" s="136">
        <f>'PENERIMAAN OBAT PKD'!H65</f>
        <v>0</v>
      </c>
      <c r="F71" s="136">
        <f t="shared" si="0"/>
        <v>0</v>
      </c>
      <c r="G71" s="136">
        <f>DISTRIBUSI!Z66</f>
        <v>0</v>
      </c>
      <c r="H71" s="277">
        <f t="shared" si="1"/>
        <v>0</v>
      </c>
      <c r="I71" s="268"/>
      <c r="J71" s="149">
        <f>'STOK OPNAME GUDANG'!D64</f>
        <v>0</v>
      </c>
      <c r="K71" s="229"/>
      <c r="L71" s="66">
        <f t="shared" si="2"/>
        <v>0</v>
      </c>
      <c r="M71" s="66">
        <f>DISTRIBUSI!Z66</f>
        <v>0</v>
      </c>
      <c r="N71" s="66">
        <f t="shared" si="3"/>
        <v>0</v>
      </c>
      <c r="O71" s="133"/>
    </row>
    <row r="72" spans="1:15" ht="20.149999999999999" customHeight="1" x14ac:dyDescent="0.45">
      <c r="A72" s="84">
        <f t="shared" si="4"/>
        <v>58</v>
      </c>
      <c r="B72" s="141" t="s">
        <v>51</v>
      </c>
      <c r="C72" s="102" t="s">
        <v>327</v>
      </c>
      <c r="D72" s="136">
        <v>2300</v>
      </c>
      <c r="E72" s="136">
        <f>'PENERIMAAN OBAT PKD'!H66</f>
        <v>0</v>
      </c>
      <c r="F72" s="136">
        <f t="shared" si="0"/>
        <v>2300</v>
      </c>
      <c r="G72" s="136">
        <f>DISTRIBUSI!Z67</f>
        <v>2300</v>
      </c>
      <c r="H72" s="277">
        <f t="shared" si="1"/>
        <v>0</v>
      </c>
      <c r="I72" s="268">
        <v>3000</v>
      </c>
      <c r="J72" s="149">
        <f>'STOK OPNAME GUDANG'!D65</f>
        <v>0</v>
      </c>
      <c r="K72" s="229"/>
      <c r="L72" s="66">
        <f t="shared" si="2"/>
        <v>0</v>
      </c>
      <c r="M72" s="66">
        <f>DISTRIBUSI!Z67</f>
        <v>2300</v>
      </c>
      <c r="N72" s="66">
        <f t="shared" si="3"/>
        <v>0</v>
      </c>
      <c r="O72" s="133"/>
    </row>
    <row r="73" spans="1:15" ht="20.149999999999999" customHeight="1" x14ac:dyDescent="0.45">
      <c r="A73" s="84">
        <f t="shared" si="4"/>
        <v>59</v>
      </c>
      <c r="B73" s="141" t="s">
        <v>251</v>
      </c>
      <c r="C73" s="102" t="s">
        <v>327</v>
      </c>
      <c r="D73" s="136">
        <v>900</v>
      </c>
      <c r="E73" s="136">
        <f>'PENERIMAAN OBAT PKD'!H67</f>
        <v>0</v>
      </c>
      <c r="F73" s="136">
        <f t="shared" si="0"/>
        <v>900</v>
      </c>
      <c r="G73" s="136">
        <f>DISTRIBUSI!Z68</f>
        <v>900</v>
      </c>
      <c r="H73" s="277">
        <f t="shared" si="1"/>
        <v>0</v>
      </c>
      <c r="I73" s="268">
        <v>2000</v>
      </c>
      <c r="J73" s="149">
        <f>'STOK OPNAME GUDANG'!D66</f>
        <v>0</v>
      </c>
      <c r="K73" s="229"/>
      <c r="L73" s="66">
        <f t="shared" si="2"/>
        <v>0</v>
      </c>
      <c r="M73" s="66">
        <f>DISTRIBUSI!Z68</f>
        <v>900</v>
      </c>
      <c r="N73" s="66">
        <f t="shared" si="3"/>
        <v>0</v>
      </c>
      <c r="O73" s="133"/>
    </row>
    <row r="74" spans="1:15" ht="20.149999999999999" customHeight="1" x14ac:dyDescent="0.45">
      <c r="A74" s="84">
        <f t="shared" si="4"/>
        <v>60</v>
      </c>
      <c r="B74" s="141" t="s">
        <v>52</v>
      </c>
      <c r="C74" s="102" t="s">
        <v>327</v>
      </c>
      <c r="D74" s="136">
        <v>500</v>
      </c>
      <c r="E74" s="136">
        <f>'PENERIMAAN OBAT PKD'!H68</f>
        <v>0</v>
      </c>
      <c r="F74" s="136">
        <f t="shared" si="0"/>
        <v>500</v>
      </c>
      <c r="G74" s="136">
        <f>DISTRIBUSI!Z69</f>
        <v>0</v>
      </c>
      <c r="H74" s="277">
        <f t="shared" si="1"/>
        <v>500</v>
      </c>
      <c r="I74" s="268"/>
      <c r="J74" s="149">
        <f>'STOK OPNAME GUDANG'!D67</f>
        <v>500</v>
      </c>
      <c r="K74" s="229"/>
      <c r="L74" s="66">
        <f t="shared" si="2"/>
        <v>0</v>
      </c>
      <c r="M74" s="66">
        <f>DISTRIBUSI!Z69</f>
        <v>0</v>
      </c>
      <c r="N74" s="66">
        <f t="shared" si="3"/>
        <v>0</v>
      </c>
      <c r="O74" s="133"/>
    </row>
    <row r="75" spans="1:15" ht="20.149999999999999" customHeight="1" x14ac:dyDescent="0.45">
      <c r="A75" s="84">
        <f t="shared" si="4"/>
        <v>61</v>
      </c>
      <c r="B75" s="141" t="s">
        <v>53</v>
      </c>
      <c r="C75" s="122" t="s">
        <v>48</v>
      </c>
      <c r="D75" s="136">
        <v>24</v>
      </c>
      <c r="E75" s="136">
        <f>'PENERIMAAN OBAT PKD'!H69</f>
        <v>0</v>
      </c>
      <c r="F75" s="136">
        <f t="shared" si="0"/>
        <v>24</v>
      </c>
      <c r="G75" s="136">
        <f>DISTRIBUSI!Z70</f>
        <v>0</v>
      </c>
      <c r="H75" s="277">
        <f t="shared" si="1"/>
        <v>24</v>
      </c>
      <c r="I75" s="268"/>
      <c r="J75" s="149">
        <f>'STOK OPNAME GUDANG'!D68</f>
        <v>24</v>
      </c>
      <c r="K75" s="229"/>
      <c r="L75" s="66">
        <f t="shared" si="2"/>
        <v>0</v>
      </c>
      <c r="M75" s="66">
        <f>DISTRIBUSI!Z70</f>
        <v>0</v>
      </c>
      <c r="N75" s="66">
        <f t="shared" si="3"/>
        <v>0</v>
      </c>
      <c r="O75" s="133"/>
    </row>
    <row r="76" spans="1:15" ht="18" x14ac:dyDescent="0.45">
      <c r="A76" s="84">
        <f t="shared" si="4"/>
        <v>62</v>
      </c>
      <c r="B76" s="141" t="s">
        <v>54</v>
      </c>
      <c r="C76" s="102" t="s">
        <v>332</v>
      </c>
      <c r="D76" s="136">
        <v>400</v>
      </c>
      <c r="E76" s="136">
        <f>'PENERIMAAN OBAT PKD'!H70</f>
        <v>0</v>
      </c>
      <c r="F76" s="136">
        <f t="shared" si="0"/>
        <v>400</v>
      </c>
      <c r="G76" s="136">
        <f>DISTRIBUSI!Z71</f>
        <v>0</v>
      </c>
      <c r="H76" s="277">
        <f t="shared" si="1"/>
        <v>400</v>
      </c>
      <c r="I76" s="268"/>
      <c r="J76" s="149">
        <f>'STOK OPNAME GUDANG'!D69</f>
        <v>400</v>
      </c>
      <c r="K76" s="229"/>
      <c r="L76" s="66">
        <f t="shared" si="2"/>
        <v>0</v>
      </c>
      <c r="M76" s="66">
        <f>DISTRIBUSI!Z71</f>
        <v>0</v>
      </c>
      <c r="N76" s="66">
        <f t="shared" si="3"/>
        <v>0</v>
      </c>
      <c r="O76" s="133"/>
    </row>
    <row r="77" spans="1:15" ht="20.149999999999999" customHeight="1" x14ac:dyDescent="0.45">
      <c r="A77" s="84">
        <f t="shared" si="4"/>
        <v>63</v>
      </c>
      <c r="B77" s="141" t="s">
        <v>252</v>
      </c>
      <c r="C77" s="118" t="s">
        <v>340</v>
      </c>
      <c r="D77" s="136">
        <v>200</v>
      </c>
      <c r="E77" s="136">
        <f>'PENERIMAAN OBAT PKD'!H71</f>
        <v>0</v>
      </c>
      <c r="F77" s="136">
        <f t="shared" si="0"/>
        <v>200</v>
      </c>
      <c r="G77" s="136">
        <f>DISTRIBUSI!Z72</f>
        <v>0</v>
      </c>
      <c r="H77" s="277">
        <f t="shared" si="1"/>
        <v>200</v>
      </c>
      <c r="I77" s="268"/>
      <c r="J77" s="149">
        <f>'STOK OPNAME GUDANG'!D70</f>
        <v>200</v>
      </c>
      <c r="K77" s="229"/>
      <c r="L77" s="66">
        <f t="shared" si="2"/>
        <v>0</v>
      </c>
      <c r="M77" s="66">
        <f>DISTRIBUSI!Z72</f>
        <v>0</v>
      </c>
      <c r="N77" s="66">
        <f t="shared" si="3"/>
        <v>0</v>
      </c>
      <c r="O77" s="133"/>
    </row>
    <row r="78" spans="1:15" ht="20.149999999999999" customHeight="1" x14ac:dyDescent="0.45">
      <c r="A78" s="84">
        <f t="shared" si="4"/>
        <v>64</v>
      </c>
      <c r="B78" s="141" t="s">
        <v>55</v>
      </c>
      <c r="C78" s="115" t="s">
        <v>346</v>
      </c>
      <c r="D78" s="136">
        <v>50</v>
      </c>
      <c r="E78" s="136">
        <f>'PENERIMAAN OBAT PKD'!H72</f>
        <v>30</v>
      </c>
      <c r="F78" s="136">
        <f t="shared" si="0"/>
        <v>80</v>
      </c>
      <c r="G78" s="136">
        <f>DISTRIBUSI!Z73</f>
        <v>15</v>
      </c>
      <c r="H78" s="277">
        <f t="shared" si="1"/>
        <v>65</v>
      </c>
      <c r="I78" s="268"/>
      <c r="J78" s="149">
        <f>'STOK OPNAME GUDANG'!D71</f>
        <v>65</v>
      </c>
      <c r="K78" s="229"/>
      <c r="L78" s="66">
        <f t="shared" si="2"/>
        <v>30</v>
      </c>
      <c r="M78" s="66">
        <f>DISTRIBUSI!Z73</f>
        <v>15</v>
      </c>
      <c r="N78" s="66">
        <f t="shared" si="3"/>
        <v>0</v>
      </c>
      <c r="O78" s="133"/>
    </row>
    <row r="79" spans="1:15" ht="18" x14ac:dyDescent="0.45">
      <c r="A79" s="84">
        <f t="shared" si="4"/>
        <v>65</v>
      </c>
      <c r="B79" s="141" t="s">
        <v>56</v>
      </c>
      <c r="C79" s="123" t="s">
        <v>347</v>
      </c>
      <c r="D79" s="136">
        <v>24</v>
      </c>
      <c r="E79" s="136">
        <f>'PENERIMAAN OBAT PKD'!H73</f>
        <v>0</v>
      </c>
      <c r="F79" s="136">
        <f t="shared" si="0"/>
        <v>24</v>
      </c>
      <c r="G79" s="136">
        <f>DISTRIBUSI!Z74</f>
        <v>0</v>
      </c>
      <c r="H79" s="277">
        <f t="shared" si="1"/>
        <v>24</v>
      </c>
      <c r="I79" s="268"/>
      <c r="J79" s="149">
        <f>'STOK OPNAME GUDANG'!D72</f>
        <v>24</v>
      </c>
      <c r="K79" s="229"/>
      <c r="L79" s="66">
        <f t="shared" si="2"/>
        <v>0</v>
      </c>
      <c r="M79" s="66">
        <f>DISTRIBUSI!Z74</f>
        <v>0</v>
      </c>
      <c r="N79" s="66">
        <f t="shared" si="3"/>
        <v>0</v>
      </c>
      <c r="O79" s="133"/>
    </row>
    <row r="80" spans="1:15" ht="18" x14ac:dyDescent="0.45">
      <c r="A80" s="84">
        <f t="shared" si="4"/>
        <v>66</v>
      </c>
      <c r="B80" s="141" t="s">
        <v>57</v>
      </c>
      <c r="C80" s="106" t="s">
        <v>48</v>
      </c>
      <c r="D80" s="136"/>
      <c r="E80" s="136">
        <f>'PENERIMAAN OBAT PKD'!H74</f>
        <v>0</v>
      </c>
      <c r="F80" s="136">
        <f t="shared" ref="F80:F143" si="5">SUM(D80:E80)</f>
        <v>0</v>
      </c>
      <c r="G80" s="136">
        <f>DISTRIBUSI!Z75</f>
        <v>0</v>
      </c>
      <c r="H80" s="277">
        <f t="shared" ref="H80:H143" si="6">F80-G80</f>
        <v>0</v>
      </c>
      <c r="I80" s="268"/>
      <c r="J80" s="149">
        <f>'STOK OPNAME GUDANG'!D73</f>
        <v>0</v>
      </c>
      <c r="K80" s="229"/>
      <c r="L80" s="66">
        <f t="shared" ref="L80:L138" si="7">E80-K80</f>
        <v>0</v>
      </c>
      <c r="M80" s="66">
        <f>DISTRIBUSI!Z75</f>
        <v>0</v>
      </c>
      <c r="N80" s="66">
        <f t="shared" ref="N80:N138" si="8">G80-M80</f>
        <v>0</v>
      </c>
      <c r="O80" s="133"/>
    </row>
    <row r="81" spans="1:15" ht="18" x14ac:dyDescent="0.45">
      <c r="A81" s="84">
        <f t="shared" ref="A81:A144" si="9">A80+1</f>
        <v>67</v>
      </c>
      <c r="B81" s="141" t="s">
        <v>59</v>
      </c>
      <c r="C81" s="102" t="s">
        <v>48</v>
      </c>
      <c r="D81" s="136"/>
      <c r="E81" s="136">
        <f>'PENERIMAAN OBAT PKD'!H75</f>
        <v>0</v>
      </c>
      <c r="F81" s="136">
        <f t="shared" si="5"/>
        <v>0</v>
      </c>
      <c r="G81" s="136">
        <f>DISTRIBUSI!Z76</f>
        <v>0</v>
      </c>
      <c r="H81" s="277">
        <f t="shared" si="6"/>
        <v>0</v>
      </c>
      <c r="I81" s="268"/>
      <c r="J81" s="149">
        <f>'STOK OPNAME GUDANG'!D74</f>
        <v>0</v>
      </c>
      <c r="K81" s="229"/>
      <c r="L81" s="66">
        <f t="shared" si="7"/>
        <v>0</v>
      </c>
      <c r="M81" s="66">
        <f>DISTRIBUSI!Z76</f>
        <v>0</v>
      </c>
      <c r="N81" s="66">
        <f t="shared" si="8"/>
        <v>0</v>
      </c>
      <c r="O81" s="133"/>
    </row>
    <row r="82" spans="1:15" ht="20.149999999999999" customHeight="1" x14ac:dyDescent="0.45">
      <c r="A82" s="84">
        <f t="shared" si="9"/>
        <v>68</v>
      </c>
      <c r="B82" s="141" t="s">
        <v>58</v>
      </c>
      <c r="C82" s="102" t="s">
        <v>48</v>
      </c>
      <c r="D82" s="136"/>
      <c r="E82" s="136">
        <f>'PENERIMAAN OBAT PKD'!H76</f>
        <v>0</v>
      </c>
      <c r="F82" s="136">
        <f t="shared" si="5"/>
        <v>0</v>
      </c>
      <c r="G82" s="136">
        <f>DISTRIBUSI!Z77</f>
        <v>0</v>
      </c>
      <c r="H82" s="277">
        <f t="shared" si="6"/>
        <v>0</v>
      </c>
      <c r="I82" s="268">
        <v>50</v>
      </c>
      <c r="J82" s="149">
        <f>'STOK OPNAME GUDANG'!D75</f>
        <v>0</v>
      </c>
      <c r="K82" s="229"/>
      <c r="L82" s="66">
        <f t="shared" si="7"/>
        <v>0</v>
      </c>
      <c r="M82" s="66">
        <f>DISTRIBUSI!Z77</f>
        <v>0</v>
      </c>
      <c r="N82" s="66">
        <f t="shared" si="8"/>
        <v>0</v>
      </c>
      <c r="O82" s="133"/>
    </row>
    <row r="83" spans="1:15" ht="18" x14ac:dyDescent="0.45">
      <c r="A83" s="84">
        <f t="shared" si="9"/>
        <v>69</v>
      </c>
      <c r="B83" s="141" t="s">
        <v>60</v>
      </c>
      <c r="C83" s="102" t="s">
        <v>327</v>
      </c>
      <c r="D83" s="136">
        <v>2200</v>
      </c>
      <c r="E83" s="136">
        <f>'PENERIMAAN OBAT PKD'!H77</f>
        <v>1000</v>
      </c>
      <c r="F83" s="136">
        <f t="shared" si="5"/>
        <v>3200</v>
      </c>
      <c r="G83" s="136">
        <f>DISTRIBUSI!Z78</f>
        <v>2200</v>
      </c>
      <c r="H83" s="277">
        <f t="shared" si="6"/>
        <v>1000</v>
      </c>
      <c r="I83" s="268">
        <v>2000</v>
      </c>
      <c r="J83" s="149">
        <f>'STOK OPNAME GUDANG'!D76</f>
        <v>1000</v>
      </c>
      <c r="K83" s="229"/>
      <c r="L83" s="66">
        <f t="shared" si="7"/>
        <v>1000</v>
      </c>
      <c r="M83" s="66">
        <f>DISTRIBUSI!Z78</f>
        <v>2200</v>
      </c>
      <c r="N83" s="66">
        <f t="shared" si="8"/>
        <v>0</v>
      </c>
      <c r="O83" s="133"/>
    </row>
    <row r="84" spans="1:15" ht="18" x14ac:dyDescent="0.45">
      <c r="A84" s="84">
        <f t="shared" si="9"/>
        <v>70</v>
      </c>
      <c r="B84" s="141" t="s">
        <v>280</v>
      </c>
      <c r="C84" s="102" t="s">
        <v>327</v>
      </c>
      <c r="D84" s="136">
        <v>1000</v>
      </c>
      <c r="E84" s="136">
        <f>'PENERIMAAN OBAT PKD'!H78</f>
        <v>0</v>
      </c>
      <c r="F84" s="136">
        <f t="shared" si="5"/>
        <v>1000</v>
      </c>
      <c r="G84" s="136">
        <f>DISTRIBUSI!Z79</f>
        <v>0</v>
      </c>
      <c r="H84" s="277">
        <f t="shared" si="6"/>
        <v>1000</v>
      </c>
      <c r="I84" s="268"/>
      <c r="J84" s="149">
        <f>'STOK OPNAME GUDANG'!D77</f>
        <v>1000</v>
      </c>
      <c r="K84" s="229"/>
      <c r="L84" s="66">
        <f t="shared" si="7"/>
        <v>0</v>
      </c>
      <c r="M84" s="66">
        <f>DISTRIBUSI!Z79</f>
        <v>0</v>
      </c>
      <c r="N84" s="66">
        <f t="shared" si="8"/>
        <v>0</v>
      </c>
      <c r="O84" s="133"/>
    </row>
    <row r="85" spans="1:15" ht="18" x14ac:dyDescent="0.45">
      <c r="A85" s="84">
        <f t="shared" si="9"/>
        <v>71</v>
      </c>
      <c r="B85" s="141" t="s">
        <v>61</v>
      </c>
      <c r="C85" s="102" t="s">
        <v>327</v>
      </c>
      <c r="D85" s="136"/>
      <c r="E85" s="136">
        <f>'PENERIMAAN OBAT PKD'!H79</f>
        <v>0</v>
      </c>
      <c r="F85" s="136">
        <f t="shared" si="5"/>
        <v>0</v>
      </c>
      <c r="G85" s="136">
        <f>DISTRIBUSI!Z80</f>
        <v>0</v>
      </c>
      <c r="H85" s="277">
        <f t="shared" si="6"/>
        <v>0</v>
      </c>
      <c r="I85" s="268"/>
      <c r="J85" s="149">
        <f>'STOK OPNAME GUDANG'!D78</f>
        <v>0</v>
      </c>
      <c r="K85" s="229"/>
      <c r="L85" s="66">
        <f t="shared" si="7"/>
        <v>0</v>
      </c>
      <c r="M85" s="66">
        <f>DISTRIBUSI!Z80</f>
        <v>0</v>
      </c>
      <c r="N85" s="66">
        <f t="shared" si="8"/>
        <v>0</v>
      </c>
      <c r="O85" s="133"/>
    </row>
    <row r="86" spans="1:15" ht="45" x14ac:dyDescent="0.45">
      <c r="A86" s="84">
        <f t="shared" si="9"/>
        <v>72</v>
      </c>
      <c r="B86" s="141" t="s">
        <v>253</v>
      </c>
      <c r="C86" s="102" t="s">
        <v>327</v>
      </c>
      <c r="D86" s="136">
        <v>500</v>
      </c>
      <c r="E86" s="136">
        <f>'PENERIMAAN OBAT PKD'!H80</f>
        <v>0</v>
      </c>
      <c r="F86" s="136">
        <f t="shared" si="5"/>
        <v>500</v>
      </c>
      <c r="G86" s="136">
        <f>DISTRIBUSI!Z81</f>
        <v>0</v>
      </c>
      <c r="H86" s="277">
        <f t="shared" si="6"/>
        <v>500</v>
      </c>
      <c r="I86" s="268"/>
      <c r="J86" s="149">
        <f>'STOK OPNAME GUDANG'!D81</f>
        <v>85</v>
      </c>
      <c r="K86" s="229"/>
      <c r="L86" s="66">
        <f t="shared" si="7"/>
        <v>0</v>
      </c>
      <c r="M86" s="66">
        <f>DISTRIBUSI!Z81</f>
        <v>0</v>
      </c>
      <c r="N86" s="66">
        <f t="shared" si="8"/>
        <v>0</v>
      </c>
      <c r="O86" s="133"/>
    </row>
    <row r="87" spans="1:15" ht="45" x14ac:dyDescent="0.45">
      <c r="A87" s="84">
        <f t="shared" si="9"/>
        <v>73</v>
      </c>
      <c r="B87" s="141" t="s">
        <v>62</v>
      </c>
      <c r="C87" s="102" t="s">
        <v>319</v>
      </c>
      <c r="D87" s="136">
        <v>30</v>
      </c>
      <c r="E87" s="136">
        <f>'PENERIMAAN OBAT PKD'!H81</f>
        <v>0</v>
      </c>
      <c r="F87" s="136">
        <f t="shared" si="5"/>
        <v>30</v>
      </c>
      <c r="G87" s="136">
        <f>DISTRIBUSI!Z82</f>
        <v>0</v>
      </c>
      <c r="H87" s="277">
        <f t="shared" si="6"/>
        <v>30</v>
      </c>
      <c r="I87" s="268"/>
      <c r="J87" s="149">
        <f>'STOK OPNAME GUDANG'!D82</f>
        <v>0</v>
      </c>
      <c r="K87" s="229"/>
      <c r="L87" s="66">
        <f t="shared" si="7"/>
        <v>0</v>
      </c>
      <c r="M87" s="66">
        <f>DISTRIBUSI!Z82</f>
        <v>0</v>
      </c>
      <c r="N87" s="66">
        <f t="shared" si="8"/>
        <v>0</v>
      </c>
      <c r="O87" s="133"/>
    </row>
    <row r="88" spans="1:15" ht="18" x14ac:dyDescent="0.45">
      <c r="A88" s="84">
        <f t="shared" si="9"/>
        <v>74</v>
      </c>
      <c r="B88" s="141" t="s">
        <v>63</v>
      </c>
      <c r="C88" s="118" t="s">
        <v>348</v>
      </c>
      <c r="D88" s="136">
        <v>85</v>
      </c>
      <c r="E88" s="136">
        <f>'PENERIMAAN OBAT PKD'!H82</f>
        <v>0</v>
      </c>
      <c r="F88" s="136">
        <f t="shared" si="5"/>
        <v>85</v>
      </c>
      <c r="G88" s="136">
        <f>DISTRIBUSI!Z83</f>
        <v>0</v>
      </c>
      <c r="H88" s="277">
        <f t="shared" si="6"/>
        <v>85</v>
      </c>
      <c r="I88" s="268"/>
      <c r="J88" s="149">
        <f>'STOK OPNAME GUDANG'!D83</f>
        <v>0</v>
      </c>
      <c r="K88" s="229"/>
      <c r="L88" s="66">
        <f t="shared" si="7"/>
        <v>0</v>
      </c>
      <c r="M88" s="66">
        <f>DISTRIBUSI!Z83</f>
        <v>0</v>
      </c>
      <c r="N88" s="66">
        <f t="shared" si="8"/>
        <v>0</v>
      </c>
      <c r="O88" s="133"/>
    </row>
    <row r="89" spans="1:15" ht="18" x14ac:dyDescent="0.45">
      <c r="A89" s="84">
        <f t="shared" si="9"/>
        <v>75</v>
      </c>
      <c r="B89" s="141" t="s">
        <v>106</v>
      </c>
      <c r="C89" s="105" t="s">
        <v>4</v>
      </c>
      <c r="D89" s="136">
        <v>0</v>
      </c>
      <c r="E89" s="136">
        <f>'PENERIMAAN OBAT PKD'!H83</f>
        <v>100</v>
      </c>
      <c r="F89" s="136">
        <f t="shared" si="5"/>
        <v>100</v>
      </c>
      <c r="G89" s="136">
        <f>DISTRIBUSI!Z84</f>
        <v>100</v>
      </c>
      <c r="H89" s="277">
        <f t="shared" si="6"/>
        <v>0</v>
      </c>
      <c r="I89" s="268">
        <v>4000</v>
      </c>
      <c r="J89" s="149">
        <f>'STOK OPNAME GUDANG'!D84</f>
        <v>0</v>
      </c>
      <c r="K89" s="229"/>
      <c r="L89" s="66">
        <f t="shared" si="7"/>
        <v>100</v>
      </c>
      <c r="M89" s="66">
        <f>DISTRIBUSI!Z84</f>
        <v>100</v>
      </c>
      <c r="N89" s="66">
        <f t="shared" si="8"/>
        <v>0</v>
      </c>
      <c r="O89" s="133"/>
    </row>
    <row r="90" spans="1:15" ht="18" x14ac:dyDescent="0.45">
      <c r="A90" s="84">
        <f t="shared" si="9"/>
        <v>76</v>
      </c>
      <c r="B90" s="141" t="s">
        <v>65</v>
      </c>
      <c r="C90" s="102" t="s">
        <v>344</v>
      </c>
      <c r="D90" s="136">
        <v>0</v>
      </c>
      <c r="E90" s="136">
        <f>'PENERIMAAN OBAT PKD'!H84</f>
        <v>4000</v>
      </c>
      <c r="F90" s="136">
        <f t="shared" si="5"/>
        <v>4000</v>
      </c>
      <c r="G90" s="136">
        <f>DISTRIBUSI!Z85</f>
        <v>4000</v>
      </c>
      <c r="H90" s="277">
        <f t="shared" si="6"/>
        <v>0</v>
      </c>
      <c r="I90" s="268">
        <v>7000</v>
      </c>
      <c r="J90" s="149">
        <f>'STOK OPNAME GUDANG'!D85</f>
        <v>400</v>
      </c>
      <c r="K90" s="229"/>
      <c r="L90" s="66">
        <f t="shared" si="7"/>
        <v>4000</v>
      </c>
      <c r="M90" s="66">
        <f>DISTRIBUSI!Z85</f>
        <v>4000</v>
      </c>
      <c r="N90" s="66">
        <f t="shared" si="8"/>
        <v>0</v>
      </c>
      <c r="O90" s="133"/>
    </row>
    <row r="91" spans="1:15" s="68" customFormat="1" ht="18" x14ac:dyDescent="0.45">
      <c r="A91" s="84">
        <f t="shared" si="9"/>
        <v>77</v>
      </c>
      <c r="B91" s="141" t="s">
        <v>264</v>
      </c>
      <c r="C91" s="102" t="s">
        <v>4</v>
      </c>
      <c r="D91" s="136"/>
      <c r="E91" s="136">
        <f>'PENERIMAAN OBAT PKD'!H85</f>
        <v>0</v>
      </c>
      <c r="F91" s="136">
        <f t="shared" si="5"/>
        <v>0</v>
      </c>
      <c r="G91" s="136">
        <f>DISTRIBUSI!Z86</f>
        <v>0</v>
      </c>
      <c r="H91" s="277">
        <f t="shared" si="6"/>
        <v>0</v>
      </c>
      <c r="I91" s="268"/>
      <c r="J91" s="149">
        <f>'STOK OPNAME GUDANG'!D86</f>
        <v>500</v>
      </c>
      <c r="K91" s="229"/>
      <c r="L91" s="66">
        <f t="shared" si="7"/>
        <v>0</v>
      </c>
      <c r="M91" s="66">
        <f>DISTRIBUSI!Z86</f>
        <v>0</v>
      </c>
      <c r="N91" s="66">
        <f t="shared" si="8"/>
        <v>0</v>
      </c>
      <c r="O91" s="133"/>
    </row>
    <row r="92" spans="1:15" ht="20.149999999999999" customHeight="1" x14ac:dyDescent="0.45">
      <c r="A92" s="84">
        <f t="shared" si="9"/>
        <v>78</v>
      </c>
      <c r="B92" s="141" t="s">
        <v>66</v>
      </c>
      <c r="C92" s="106" t="s">
        <v>327</v>
      </c>
      <c r="D92" s="136">
        <v>400</v>
      </c>
      <c r="E92" s="136">
        <f>'PENERIMAAN OBAT PKD'!H86</f>
        <v>0</v>
      </c>
      <c r="F92" s="136">
        <f t="shared" si="5"/>
        <v>400</v>
      </c>
      <c r="G92" s="136">
        <f>DISTRIBUSI!Z87</f>
        <v>0</v>
      </c>
      <c r="H92" s="277">
        <f t="shared" si="6"/>
        <v>400</v>
      </c>
      <c r="I92" s="268"/>
      <c r="J92" s="149">
        <f>'STOK OPNAME GUDANG'!D87</f>
        <v>0</v>
      </c>
      <c r="K92" s="229"/>
      <c r="L92" s="66">
        <f t="shared" si="7"/>
        <v>0</v>
      </c>
      <c r="M92" s="66">
        <f>DISTRIBUSI!Z87</f>
        <v>0</v>
      </c>
      <c r="N92" s="66">
        <f t="shared" si="8"/>
        <v>0</v>
      </c>
      <c r="O92" s="133"/>
    </row>
    <row r="93" spans="1:15" ht="20.149999999999999" customHeight="1" x14ac:dyDescent="0.45">
      <c r="A93" s="84">
        <f t="shared" si="9"/>
        <v>79</v>
      </c>
      <c r="B93" s="141" t="s">
        <v>67</v>
      </c>
      <c r="C93" s="102" t="s">
        <v>327</v>
      </c>
      <c r="D93" s="136">
        <v>500</v>
      </c>
      <c r="E93" s="136">
        <f>'PENERIMAAN OBAT PKD'!H87</f>
        <v>1000</v>
      </c>
      <c r="F93" s="136">
        <f t="shared" si="5"/>
        <v>1500</v>
      </c>
      <c r="G93" s="136">
        <f>DISTRIBUSI!Z88</f>
        <v>1000</v>
      </c>
      <c r="H93" s="277">
        <f t="shared" si="6"/>
        <v>500</v>
      </c>
      <c r="I93" s="268">
        <v>2000</v>
      </c>
      <c r="J93" s="149">
        <f>'STOK OPNAME GUDANG'!D88</f>
        <v>500</v>
      </c>
      <c r="K93" s="229"/>
      <c r="L93" s="66">
        <f t="shared" si="7"/>
        <v>1000</v>
      </c>
      <c r="M93" s="66">
        <f>DISTRIBUSI!Z88</f>
        <v>1000</v>
      </c>
      <c r="N93" s="66">
        <f t="shared" si="8"/>
        <v>0</v>
      </c>
      <c r="O93" s="133"/>
    </row>
    <row r="94" spans="1:15" ht="20.149999999999999" customHeight="1" x14ac:dyDescent="0.45">
      <c r="A94" s="84">
        <f t="shared" si="9"/>
        <v>80</v>
      </c>
      <c r="B94" s="141" t="s">
        <v>68</v>
      </c>
      <c r="C94" s="102" t="s">
        <v>327</v>
      </c>
      <c r="D94" s="136"/>
      <c r="E94" s="136">
        <f>'PENERIMAAN OBAT PKD'!H88</f>
        <v>0</v>
      </c>
      <c r="F94" s="136">
        <f t="shared" si="5"/>
        <v>0</v>
      </c>
      <c r="G94" s="136">
        <f>DISTRIBUSI!Z89</f>
        <v>0</v>
      </c>
      <c r="H94" s="277">
        <f t="shared" si="6"/>
        <v>0</v>
      </c>
      <c r="I94" s="268"/>
      <c r="J94" s="149">
        <f>'STOK OPNAME GUDANG'!D89</f>
        <v>0</v>
      </c>
      <c r="K94" s="229"/>
      <c r="L94" s="66">
        <f t="shared" si="7"/>
        <v>0</v>
      </c>
      <c r="M94" s="66">
        <f>DISTRIBUSI!Z89</f>
        <v>0</v>
      </c>
      <c r="N94" s="66">
        <f t="shared" si="8"/>
        <v>0</v>
      </c>
      <c r="O94" s="133"/>
    </row>
    <row r="95" spans="1:15" ht="20.149999999999999" customHeight="1" x14ac:dyDescent="0.45">
      <c r="A95" s="84">
        <f t="shared" si="9"/>
        <v>81</v>
      </c>
      <c r="B95" s="141" t="s">
        <v>69</v>
      </c>
      <c r="C95" s="103" t="s">
        <v>327</v>
      </c>
      <c r="D95" s="136">
        <v>1000</v>
      </c>
      <c r="E95" s="136">
        <f>'PENERIMAAN OBAT PKD'!H89</f>
        <v>0</v>
      </c>
      <c r="F95" s="136">
        <f t="shared" si="5"/>
        <v>1000</v>
      </c>
      <c r="G95" s="136">
        <f>DISTRIBUSI!Z90</f>
        <v>500</v>
      </c>
      <c r="H95" s="277">
        <f t="shared" si="6"/>
        <v>500</v>
      </c>
      <c r="I95" s="268"/>
      <c r="J95" s="149">
        <f>'STOK OPNAME GUDANG'!D90</f>
        <v>40</v>
      </c>
      <c r="K95" s="229"/>
      <c r="L95" s="66">
        <f t="shared" si="7"/>
        <v>0</v>
      </c>
      <c r="M95" s="66">
        <f>DISTRIBUSI!Z90</f>
        <v>500</v>
      </c>
      <c r="N95" s="66">
        <f t="shared" si="8"/>
        <v>0</v>
      </c>
      <c r="O95" s="133"/>
    </row>
    <row r="96" spans="1:15" s="68" customFormat="1" ht="20.149999999999999" customHeight="1" x14ac:dyDescent="0.45">
      <c r="A96" s="84">
        <f t="shared" si="9"/>
        <v>82</v>
      </c>
      <c r="B96" s="141" t="s">
        <v>257</v>
      </c>
      <c r="C96" s="102" t="s">
        <v>48</v>
      </c>
      <c r="D96" s="136"/>
      <c r="E96" s="136">
        <f>'PENERIMAAN OBAT PKD'!H90</f>
        <v>0</v>
      </c>
      <c r="F96" s="136">
        <f t="shared" si="5"/>
        <v>0</v>
      </c>
      <c r="G96" s="136">
        <f>DISTRIBUSI!Z91</f>
        <v>0</v>
      </c>
      <c r="H96" s="277">
        <f t="shared" si="6"/>
        <v>0</v>
      </c>
      <c r="I96" s="268"/>
      <c r="J96" s="149">
        <f>'STOK OPNAME GUDANG'!D91</f>
        <v>0</v>
      </c>
      <c r="K96" s="229"/>
      <c r="L96" s="66">
        <f t="shared" si="7"/>
        <v>0</v>
      </c>
      <c r="M96" s="66">
        <f>DISTRIBUSI!Z91</f>
        <v>0</v>
      </c>
      <c r="N96" s="66">
        <f t="shared" si="8"/>
        <v>0</v>
      </c>
      <c r="O96" s="133"/>
    </row>
    <row r="97" spans="1:15" ht="18" x14ac:dyDescent="0.45">
      <c r="A97" s="84">
        <f t="shared" si="9"/>
        <v>83</v>
      </c>
      <c r="B97" s="141" t="s">
        <v>70</v>
      </c>
      <c r="C97" s="122" t="s">
        <v>349</v>
      </c>
      <c r="D97" s="136"/>
      <c r="E97" s="136">
        <f>'PENERIMAAN OBAT PKD'!H91</f>
        <v>50</v>
      </c>
      <c r="F97" s="136">
        <f t="shared" si="5"/>
        <v>50</v>
      </c>
      <c r="G97" s="136">
        <f>DISTRIBUSI!Z92</f>
        <v>10</v>
      </c>
      <c r="H97" s="277">
        <f t="shared" si="6"/>
        <v>40</v>
      </c>
      <c r="I97" s="268"/>
      <c r="J97" s="149">
        <f>'STOK OPNAME GUDANG'!D92</f>
        <v>1000</v>
      </c>
      <c r="K97" s="229"/>
      <c r="L97" s="66">
        <f t="shared" si="7"/>
        <v>50</v>
      </c>
      <c r="M97" s="66">
        <f>DISTRIBUSI!Z92</f>
        <v>10</v>
      </c>
      <c r="N97" s="66">
        <f t="shared" si="8"/>
        <v>0</v>
      </c>
      <c r="O97" s="133"/>
    </row>
    <row r="98" spans="1:15" ht="18" x14ac:dyDescent="0.45">
      <c r="A98" s="84">
        <f t="shared" si="9"/>
        <v>84</v>
      </c>
      <c r="B98" s="141" t="s">
        <v>72</v>
      </c>
      <c r="C98" s="122" t="s">
        <v>321</v>
      </c>
      <c r="D98" s="136">
        <v>40</v>
      </c>
      <c r="E98" s="136">
        <f>'PENERIMAAN OBAT PKD'!H92</f>
        <v>60</v>
      </c>
      <c r="F98" s="136">
        <f t="shared" si="5"/>
        <v>100</v>
      </c>
      <c r="G98" s="136">
        <f>DISTRIBUSI!Z93</f>
        <v>100</v>
      </c>
      <c r="H98" s="277">
        <f t="shared" si="6"/>
        <v>0</v>
      </c>
      <c r="I98" s="268">
        <v>100</v>
      </c>
      <c r="J98" s="149">
        <f>'STOK OPNAME GUDANG'!D93</f>
        <v>800</v>
      </c>
      <c r="K98" s="229"/>
      <c r="L98" s="66">
        <f t="shared" si="7"/>
        <v>60</v>
      </c>
      <c r="M98" s="66">
        <f>DISTRIBUSI!Z93</f>
        <v>100</v>
      </c>
      <c r="N98" s="66">
        <f t="shared" si="8"/>
        <v>0</v>
      </c>
      <c r="O98" s="133"/>
    </row>
    <row r="99" spans="1:15" ht="18" x14ac:dyDescent="0.45">
      <c r="A99" s="84">
        <f t="shared" si="9"/>
        <v>85</v>
      </c>
      <c r="B99" s="141" t="s">
        <v>71</v>
      </c>
      <c r="C99" s="122" t="s">
        <v>340</v>
      </c>
      <c r="D99" s="136">
        <v>2000</v>
      </c>
      <c r="E99" s="136">
        <f>'PENERIMAAN OBAT PKD'!H93</f>
        <v>0</v>
      </c>
      <c r="F99" s="136">
        <f t="shared" si="5"/>
        <v>2000</v>
      </c>
      <c r="G99" s="136">
        <f>DISTRIBUSI!Z94</f>
        <v>1000</v>
      </c>
      <c r="H99" s="277">
        <f t="shared" si="6"/>
        <v>1000</v>
      </c>
      <c r="I99" s="268">
        <v>2000</v>
      </c>
      <c r="J99" s="149">
        <f>'STOK OPNAME GUDANG'!D94</f>
        <v>300</v>
      </c>
      <c r="K99" s="229"/>
      <c r="L99" s="66">
        <f t="shared" si="7"/>
        <v>0</v>
      </c>
      <c r="M99" s="66">
        <f>DISTRIBUSI!Z94</f>
        <v>1000</v>
      </c>
      <c r="N99" s="66">
        <f t="shared" si="8"/>
        <v>0</v>
      </c>
      <c r="O99" s="133"/>
    </row>
    <row r="100" spans="1:15" ht="20.149999999999999" customHeight="1" x14ac:dyDescent="0.45">
      <c r="A100" s="84">
        <f t="shared" si="9"/>
        <v>86</v>
      </c>
      <c r="B100" s="141" t="s">
        <v>73</v>
      </c>
      <c r="C100" s="121" t="s">
        <v>332</v>
      </c>
      <c r="D100" s="136">
        <v>1500</v>
      </c>
      <c r="E100" s="136">
        <f>'PENERIMAAN OBAT PKD'!H94</f>
        <v>1500</v>
      </c>
      <c r="F100" s="136">
        <f t="shared" si="5"/>
        <v>3000</v>
      </c>
      <c r="G100" s="136">
        <f>DISTRIBUSI!Z95</f>
        <v>2200</v>
      </c>
      <c r="H100" s="277">
        <f t="shared" si="6"/>
        <v>800</v>
      </c>
      <c r="I100" s="268">
        <v>2000</v>
      </c>
      <c r="J100" s="149">
        <f>'STOK OPNAME GUDANG'!D95</f>
        <v>0</v>
      </c>
      <c r="K100" s="229"/>
      <c r="L100" s="66">
        <f t="shared" si="7"/>
        <v>1500</v>
      </c>
      <c r="M100" s="66">
        <f>DISTRIBUSI!Z95</f>
        <v>2200</v>
      </c>
      <c r="N100" s="66">
        <f t="shared" si="8"/>
        <v>0</v>
      </c>
      <c r="O100" s="133"/>
    </row>
    <row r="101" spans="1:15" ht="20.149999999999999" customHeight="1" x14ac:dyDescent="0.45">
      <c r="A101" s="84">
        <f t="shared" si="9"/>
        <v>87</v>
      </c>
      <c r="B101" s="141" t="s">
        <v>74</v>
      </c>
      <c r="C101" s="102" t="s">
        <v>327</v>
      </c>
      <c r="D101" s="136">
        <v>300</v>
      </c>
      <c r="E101" s="136">
        <f>'PENERIMAAN OBAT PKD'!H95</f>
        <v>0</v>
      </c>
      <c r="F101" s="136">
        <f t="shared" si="5"/>
        <v>300</v>
      </c>
      <c r="G101" s="136">
        <f>DISTRIBUSI!Z96</f>
        <v>0</v>
      </c>
      <c r="H101" s="277">
        <f t="shared" si="6"/>
        <v>300</v>
      </c>
      <c r="I101" s="268"/>
      <c r="J101" s="149">
        <f>'STOK OPNAME GUDANG'!D96</f>
        <v>0</v>
      </c>
      <c r="K101" s="229"/>
      <c r="L101" s="66">
        <f t="shared" si="7"/>
        <v>0</v>
      </c>
      <c r="M101" s="66">
        <f>DISTRIBUSI!Z96</f>
        <v>0</v>
      </c>
      <c r="N101" s="66">
        <f t="shared" si="8"/>
        <v>0</v>
      </c>
      <c r="O101" s="133"/>
    </row>
    <row r="102" spans="1:15" ht="20.149999999999999" customHeight="1" x14ac:dyDescent="0.45">
      <c r="A102" s="84">
        <f t="shared" si="9"/>
        <v>88</v>
      </c>
      <c r="B102" s="141" t="s">
        <v>75</v>
      </c>
      <c r="C102" s="127" t="s">
        <v>327</v>
      </c>
      <c r="D102" s="136"/>
      <c r="E102" s="136">
        <f>'PENERIMAAN OBAT PKD'!H96</f>
        <v>0</v>
      </c>
      <c r="F102" s="136">
        <f t="shared" si="5"/>
        <v>0</v>
      </c>
      <c r="G102" s="136">
        <f>DISTRIBUSI!Z97</f>
        <v>0</v>
      </c>
      <c r="H102" s="277">
        <f t="shared" si="6"/>
        <v>0</v>
      </c>
      <c r="I102" s="268"/>
      <c r="J102" s="149">
        <f>'STOK OPNAME GUDANG'!D97</f>
        <v>0</v>
      </c>
      <c r="K102" s="229"/>
      <c r="L102" s="66">
        <f t="shared" si="7"/>
        <v>0</v>
      </c>
      <c r="M102" s="66">
        <f>DISTRIBUSI!Z97</f>
        <v>0</v>
      </c>
      <c r="N102" s="66">
        <f t="shared" si="8"/>
        <v>0</v>
      </c>
      <c r="O102" s="133"/>
    </row>
    <row r="103" spans="1:15" ht="20.149999999999999" customHeight="1" x14ac:dyDescent="0.45">
      <c r="A103" s="84">
        <f t="shared" si="9"/>
        <v>89</v>
      </c>
      <c r="B103" s="141" t="s">
        <v>281</v>
      </c>
      <c r="C103" s="116" t="s">
        <v>188</v>
      </c>
      <c r="D103" s="136"/>
      <c r="E103" s="136">
        <f>'PENERIMAAN OBAT PKD'!H97</f>
        <v>0</v>
      </c>
      <c r="F103" s="136">
        <f t="shared" si="5"/>
        <v>0</v>
      </c>
      <c r="G103" s="136">
        <f>DISTRIBUSI!Z98</f>
        <v>0</v>
      </c>
      <c r="H103" s="277">
        <f t="shared" si="6"/>
        <v>0</v>
      </c>
      <c r="I103" s="268"/>
      <c r="J103" s="149">
        <f>'STOK OPNAME GUDANG'!D99</f>
        <v>1100</v>
      </c>
      <c r="K103" s="229"/>
      <c r="L103" s="66">
        <f t="shared" si="7"/>
        <v>0</v>
      </c>
      <c r="M103" s="66">
        <f>DISTRIBUSI!Z98</f>
        <v>0</v>
      </c>
      <c r="N103" s="66">
        <f t="shared" si="8"/>
        <v>0</v>
      </c>
      <c r="O103" s="133"/>
    </row>
    <row r="104" spans="1:15" ht="20.149999999999999" customHeight="1" x14ac:dyDescent="0.45">
      <c r="A104" s="84">
        <f t="shared" si="9"/>
        <v>90</v>
      </c>
      <c r="B104" s="141" t="s">
        <v>76</v>
      </c>
      <c r="C104" s="116" t="s">
        <v>4</v>
      </c>
      <c r="D104" s="136"/>
      <c r="E104" s="136">
        <f>'PENERIMAAN OBAT PKD'!H98</f>
        <v>0</v>
      </c>
      <c r="F104" s="136">
        <f t="shared" si="5"/>
        <v>0</v>
      </c>
      <c r="G104" s="136">
        <f>DISTRIBUSI!Z99</f>
        <v>0</v>
      </c>
      <c r="H104" s="277">
        <f t="shared" si="6"/>
        <v>0</v>
      </c>
      <c r="I104" s="268"/>
      <c r="J104" s="149">
        <f>'STOK OPNAME GUDANG'!D100</f>
        <v>0</v>
      </c>
      <c r="K104" s="229"/>
      <c r="L104" s="66">
        <f t="shared" si="7"/>
        <v>0</v>
      </c>
      <c r="M104" s="66">
        <f>DISTRIBUSI!Z99</f>
        <v>0</v>
      </c>
      <c r="N104" s="66">
        <f t="shared" si="8"/>
        <v>0</v>
      </c>
      <c r="O104" s="133"/>
    </row>
    <row r="105" spans="1:15" ht="20.149999999999999" customHeight="1" x14ac:dyDescent="0.45">
      <c r="A105" s="84">
        <f t="shared" si="9"/>
        <v>91</v>
      </c>
      <c r="B105" s="141" t="s">
        <v>77</v>
      </c>
      <c r="C105" s="116" t="s">
        <v>64</v>
      </c>
      <c r="D105" s="136"/>
      <c r="E105" s="136">
        <f>'PENERIMAAN OBAT PKD'!H99</f>
        <v>250</v>
      </c>
      <c r="F105" s="136">
        <f t="shared" si="5"/>
        <v>250</v>
      </c>
      <c r="G105" s="136">
        <f>DISTRIBUSI!Z100</f>
        <v>250</v>
      </c>
      <c r="H105" s="277">
        <f t="shared" si="6"/>
        <v>0</v>
      </c>
      <c r="I105" s="268">
        <v>300</v>
      </c>
      <c r="J105" s="149">
        <f>'STOK OPNAME GUDANG'!D101</f>
        <v>750</v>
      </c>
      <c r="K105" s="229"/>
      <c r="L105" s="66">
        <f t="shared" si="7"/>
        <v>250</v>
      </c>
      <c r="M105" s="66">
        <f>DISTRIBUSI!Z100</f>
        <v>250</v>
      </c>
      <c r="N105" s="66">
        <f t="shared" si="8"/>
        <v>0</v>
      </c>
      <c r="O105" s="133"/>
    </row>
    <row r="106" spans="1:15" ht="20.149999999999999" customHeight="1" x14ac:dyDescent="0.45">
      <c r="A106" s="84">
        <f t="shared" si="9"/>
        <v>92</v>
      </c>
      <c r="B106" s="141" t="s">
        <v>78</v>
      </c>
      <c r="C106" s="102" t="s">
        <v>345</v>
      </c>
      <c r="D106" s="136">
        <v>2100</v>
      </c>
      <c r="E106" s="136">
        <f>'PENERIMAAN OBAT PKD'!H100</f>
        <v>0</v>
      </c>
      <c r="F106" s="136">
        <f t="shared" si="5"/>
        <v>2100</v>
      </c>
      <c r="G106" s="136">
        <f>DISTRIBUSI!Z101</f>
        <v>1000</v>
      </c>
      <c r="H106" s="277">
        <f t="shared" si="6"/>
        <v>1100</v>
      </c>
      <c r="I106" s="268">
        <v>1000</v>
      </c>
      <c r="J106" s="149">
        <f>'STOK OPNAME GUDANG'!D102</f>
        <v>0</v>
      </c>
      <c r="K106" s="229"/>
      <c r="L106" s="66">
        <f t="shared" si="7"/>
        <v>0</v>
      </c>
      <c r="M106" s="66">
        <f>DISTRIBUSI!Z101</f>
        <v>1000</v>
      </c>
      <c r="N106" s="66">
        <f t="shared" si="8"/>
        <v>0</v>
      </c>
      <c r="O106" s="133"/>
    </row>
    <row r="107" spans="1:15" ht="20.149999999999999" customHeight="1" x14ac:dyDescent="0.45">
      <c r="A107" s="84">
        <f t="shared" si="9"/>
        <v>93</v>
      </c>
      <c r="B107" s="141" t="s">
        <v>79</v>
      </c>
      <c r="C107" s="128" t="s">
        <v>4</v>
      </c>
      <c r="D107" s="136">
        <v>50</v>
      </c>
      <c r="E107" s="136">
        <f>'PENERIMAAN OBAT PKD'!H101</f>
        <v>250</v>
      </c>
      <c r="F107" s="136">
        <f t="shared" si="5"/>
        <v>300</v>
      </c>
      <c r="G107" s="136">
        <f>DISTRIBUSI!Z102</f>
        <v>300</v>
      </c>
      <c r="H107" s="277">
        <f t="shared" si="6"/>
        <v>0</v>
      </c>
      <c r="I107" s="268">
        <v>300</v>
      </c>
      <c r="J107" s="149">
        <f>'STOK OPNAME GUDANG'!D103</f>
        <v>40</v>
      </c>
      <c r="K107" s="229"/>
      <c r="L107" s="66">
        <f t="shared" si="7"/>
        <v>250</v>
      </c>
      <c r="M107" s="66">
        <f>DISTRIBUSI!Z102</f>
        <v>300</v>
      </c>
      <c r="N107" s="66">
        <f t="shared" si="8"/>
        <v>0</v>
      </c>
      <c r="O107" s="133"/>
    </row>
    <row r="108" spans="1:15" ht="20.149999999999999" customHeight="1" x14ac:dyDescent="0.45">
      <c r="A108" s="84">
        <f t="shared" si="9"/>
        <v>94</v>
      </c>
      <c r="B108" s="141" t="s">
        <v>80</v>
      </c>
      <c r="C108" s="102" t="s">
        <v>350</v>
      </c>
      <c r="D108" s="136">
        <v>750</v>
      </c>
      <c r="E108" s="136">
        <f>'PENERIMAAN OBAT PKD'!H102</f>
        <v>0</v>
      </c>
      <c r="F108" s="136">
        <f t="shared" si="5"/>
        <v>750</v>
      </c>
      <c r="G108" s="136">
        <f>DISTRIBUSI!Z103</f>
        <v>0</v>
      </c>
      <c r="H108" s="277">
        <f t="shared" si="6"/>
        <v>750</v>
      </c>
      <c r="I108" s="268"/>
      <c r="J108" s="149">
        <f>'STOK OPNAME GUDANG'!D104</f>
        <v>0</v>
      </c>
      <c r="K108" s="229"/>
      <c r="L108" s="66">
        <f t="shared" si="7"/>
        <v>0</v>
      </c>
      <c r="M108" s="66">
        <f>DISTRIBUSI!Z103</f>
        <v>0</v>
      </c>
      <c r="N108" s="66">
        <f t="shared" si="8"/>
        <v>0</v>
      </c>
      <c r="O108" s="133"/>
    </row>
    <row r="109" spans="1:15" ht="20.149999999999999" customHeight="1" x14ac:dyDescent="0.45">
      <c r="A109" s="84">
        <f t="shared" si="9"/>
        <v>95</v>
      </c>
      <c r="B109" s="141" t="s">
        <v>263</v>
      </c>
      <c r="C109" s="129" t="s">
        <v>48</v>
      </c>
      <c r="D109" s="136"/>
      <c r="E109" s="136">
        <f>'PENERIMAAN OBAT PKD'!H103</f>
        <v>0</v>
      </c>
      <c r="F109" s="136">
        <f t="shared" si="5"/>
        <v>0</v>
      </c>
      <c r="G109" s="136">
        <f>DISTRIBUSI!Z104</f>
        <v>0</v>
      </c>
      <c r="H109" s="277">
        <f t="shared" si="6"/>
        <v>0</v>
      </c>
      <c r="I109" s="268"/>
      <c r="J109" s="149">
        <f>'STOK OPNAME GUDANG'!D105</f>
        <v>2</v>
      </c>
      <c r="K109" s="229"/>
      <c r="L109" s="66">
        <f t="shared" si="7"/>
        <v>0</v>
      </c>
      <c r="M109" s="66">
        <f>DISTRIBUSI!Z104</f>
        <v>0</v>
      </c>
      <c r="N109" s="66">
        <f t="shared" si="8"/>
        <v>0</v>
      </c>
      <c r="O109" s="133"/>
    </row>
    <row r="110" spans="1:15" s="68" customFormat="1" ht="20.149999999999999" customHeight="1" x14ac:dyDescent="0.45">
      <c r="A110" s="84">
        <f t="shared" si="9"/>
        <v>96</v>
      </c>
      <c r="B110" s="141" t="s">
        <v>81</v>
      </c>
      <c r="C110" s="102" t="s">
        <v>48</v>
      </c>
      <c r="D110" s="136">
        <v>80</v>
      </c>
      <c r="E110" s="136">
        <f>'PENERIMAAN OBAT PKD'!H104</f>
        <v>100</v>
      </c>
      <c r="F110" s="136">
        <f t="shared" si="5"/>
        <v>180</v>
      </c>
      <c r="G110" s="136">
        <f>DISTRIBUSI!Z105</f>
        <v>140</v>
      </c>
      <c r="H110" s="277">
        <f t="shared" si="6"/>
        <v>40</v>
      </c>
      <c r="I110" s="268">
        <v>100</v>
      </c>
      <c r="J110" s="149">
        <f>'STOK OPNAME GUDANG'!D106</f>
        <v>20</v>
      </c>
      <c r="K110" s="229"/>
      <c r="L110" s="66">
        <f t="shared" si="7"/>
        <v>100</v>
      </c>
      <c r="M110" s="66">
        <f>DISTRIBUSI!Z105</f>
        <v>140</v>
      </c>
      <c r="N110" s="66">
        <f t="shared" si="8"/>
        <v>0</v>
      </c>
      <c r="O110" s="133"/>
    </row>
    <row r="111" spans="1:15" ht="20.149999999999999" customHeight="1" x14ac:dyDescent="0.45">
      <c r="A111" s="84">
        <f t="shared" si="9"/>
        <v>97</v>
      </c>
      <c r="B111" s="141" t="s">
        <v>82</v>
      </c>
      <c r="C111" s="116" t="s">
        <v>327</v>
      </c>
      <c r="D111" s="136">
        <v>4300</v>
      </c>
      <c r="E111" s="136">
        <f>'PENERIMAAN OBAT PKD'!H105</f>
        <v>0</v>
      </c>
      <c r="F111" s="136">
        <f t="shared" si="5"/>
        <v>4300</v>
      </c>
      <c r="G111" s="136">
        <f>DISTRIBUSI!Z106</f>
        <v>4300</v>
      </c>
      <c r="H111" s="277">
        <f t="shared" si="6"/>
        <v>0</v>
      </c>
      <c r="I111" s="268">
        <v>6000</v>
      </c>
      <c r="J111" s="149">
        <f>'STOK OPNAME GUDANG'!D107</f>
        <v>0</v>
      </c>
      <c r="K111" s="229"/>
      <c r="L111" s="66">
        <f t="shared" si="7"/>
        <v>0</v>
      </c>
      <c r="M111" s="66">
        <f>DISTRIBUSI!Z106</f>
        <v>4300</v>
      </c>
      <c r="N111" s="66">
        <f t="shared" si="8"/>
        <v>0</v>
      </c>
      <c r="O111" s="133"/>
    </row>
    <row r="112" spans="1:15" ht="20.149999999999999" customHeight="1" x14ac:dyDescent="0.45">
      <c r="A112" s="84">
        <f t="shared" si="9"/>
        <v>98</v>
      </c>
      <c r="B112" s="141" t="s">
        <v>83</v>
      </c>
      <c r="C112" s="116" t="s">
        <v>188</v>
      </c>
      <c r="D112" s="136">
        <v>0</v>
      </c>
      <c r="E112" s="136">
        <f>'PENERIMAAN OBAT PKD'!H106</f>
        <v>2</v>
      </c>
      <c r="F112" s="136">
        <f t="shared" si="5"/>
        <v>2</v>
      </c>
      <c r="G112" s="136">
        <f>DISTRIBUSI!Z107</f>
        <v>0</v>
      </c>
      <c r="H112" s="277">
        <f t="shared" si="6"/>
        <v>2</v>
      </c>
      <c r="I112" s="268"/>
      <c r="J112" s="149">
        <f>'STOK OPNAME GUDANG'!D108</f>
        <v>100</v>
      </c>
      <c r="K112" s="229"/>
      <c r="L112" s="66">
        <f t="shared" si="7"/>
        <v>2</v>
      </c>
      <c r="M112" s="66">
        <f>DISTRIBUSI!Z107</f>
        <v>0</v>
      </c>
      <c r="N112" s="66">
        <f t="shared" si="8"/>
        <v>0</v>
      </c>
      <c r="O112" s="133"/>
    </row>
    <row r="113" spans="1:15" ht="18" x14ac:dyDescent="0.45">
      <c r="A113" s="84">
        <f t="shared" si="9"/>
        <v>99</v>
      </c>
      <c r="B113" s="141" t="s">
        <v>84</v>
      </c>
      <c r="C113" s="102" t="s">
        <v>188</v>
      </c>
      <c r="D113" s="136">
        <v>20</v>
      </c>
      <c r="E113" s="136">
        <f>'PENERIMAAN OBAT PKD'!H107</f>
        <v>0</v>
      </c>
      <c r="F113" s="136">
        <f t="shared" si="5"/>
        <v>20</v>
      </c>
      <c r="G113" s="136">
        <f>DISTRIBUSI!Z108</f>
        <v>0</v>
      </c>
      <c r="H113" s="277">
        <f t="shared" si="6"/>
        <v>20</v>
      </c>
      <c r="I113" s="268"/>
      <c r="J113" s="149">
        <f>'STOK OPNAME GUDANG'!D109</f>
        <v>100</v>
      </c>
      <c r="K113" s="229"/>
      <c r="L113" s="66">
        <f t="shared" si="7"/>
        <v>0</v>
      </c>
      <c r="M113" s="66">
        <f>DISTRIBUSI!Z108</f>
        <v>0</v>
      </c>
      <c r="N113" s="66">
        <f t="shared" si="8"/>
        <v>0</v>
      </c>
      <c r="O113" s="133"/>
    </row>
    <row r="114" spans="1:15" ht="20.149999999999999" customHeight="1" x14ac:dyDescent="0.45">
      <c r="A114" s="84">
        <f t="shared" si="9"/>
        <v>100</v>
      </c>
      <c r="B114" s="141" t="s">
        <v>85</v>
      </c>
      <c r="C114" s="116" t="s">
        <v>327</v>
      </c>
      <c r="D114" s="136">
        <v>2600</v>
      </c>
      <c r="E114" s="136">
        <f>'PENERIMAAN OBAT PKD'!H108</f>
        <v>0</v>
      </c>
      <c r="F114" s="136">
        <f t="shared" si="5"/>
        <v>2600</v>
      </c>
      <c r="G114" s="136">
        <f>DISTRIBUSI!Z109</f>
        <v>2600</v>
      </c>
      <c r="H114" s="277">
        <f t="shared" si="6"/>
        <v>0</v>
      </c>
      <c r="I114" s="268">
        <v>3000</v>
      </c>
      <c r="J114" s="149">
        <f>'STOK OPNAME GUDANG'!D110</f>
        <v>100</v>
      </c>
      <c r="K114" s="229"/>
      <c r="L114" s="66">
        <f t="shared" si="7"/>
        <v>0</v>
      </c>
      <c r="M114" s="66">
        <f>DISTRIBUSI!Z109</f>
        <v>2600</v>
      </c>
      <c r="N114" s="66">
        <f t="shared" si="8"/>
        <v>0</v>
      </c>
      <c r="O114" s="133"/>
    </row>
    <row r="115" spans="1:15" ht="20.149999999999999" customHeight="1" x14ac:dyDescent="0.45">
      <c r="A115" s="84">
        <f t="shared" si="9"/>
        <v>101</v>
      </c>
      <c r="B115" s="141" t="s">
        <v>86</v>
      </c>
      <c r="C115" s="102" t="s">
        <v>327</v>
      </c>
      <c r="D115" s="136">
        <v>100</v>
      </c>
      <c r="E115" s="136">
        <f>'PENERIMAAN OBAT PKD'!H109</f>
        <v>0</v>
      </c>
      <c r="F115" s="136">
        <f t="shared" si="5"/>
        <v>100</v>
      </c>
      <c r="G115" s="136">
        <f>DISTRIBUSI!Z110</f>
        <v>0</v>
      </c>
      <c r="H115" s="277">
        <f t="shared" si="6"/>
        <v>100</v>
      </c>
      <c r="I115" s="268"/>
      <c r="J115" s="149">
        <f>'STOK OPNAME GUDANG'!D111</f>
        <v>0</v>
      </c>
      <c r="K115" s="229"/>
      <c r="L115" s="66">
        <f t="shared" si="7"/>
        <v>0</v>
      </c>
      <c r="M115" s="66">
        <f>DISTRIBUSI!Z110</f>
        <v>0</v>
      </c>
      <c r="N115" s="66">
        <f t="shared" si="8"/>
        <v>0</v>
      </c>
      <c r="O115" s="133"/>
    </row>
    <row r="116" spans="1:15" ht="20.149999999999999" customHeight="1" x14ac:dyDescent="0.45">
      <c r="A116" s="84">
        <f t="shared" si="9"/>
        <v>102</v>
      </c>
      <c r="B116" s="141" t="s">
        <v>87</v>
      </c>
      <c r="C116" s="129" t="s">
        <v>327</v>
      </c>
      <c r="D116" s="136">
        <v>100</v>
      </c>
      <c r="E116" s="136">
        <f>'PENERIMAAN OBAT PKD'!H110</f>
        <v>0</v>
      </c>
      <c r="F116" s="136">
        <f t="shared" si="5"/>
        <v>100</v>
      </c>
      <c r="G116" s="136">
        <f>DISTRIBUSI!Z111</f>
        <v>0</v>
      </c>
      <c r="H116" s="277">
        <f t="shared" si="6"/>
        <v>100</v>
      </c>
      <c r="I116" s="268"/>
      <c r="J116" s="149">
        <f>'STOK OPNAME GUDANG'!D112</f>
        <v>0</v>
      </c>
      <c r="K116" s="229"/>
      <c r="L116" s="66">
        <f t="shared" si="7"/>
        <v>0</v>
      </c>
      <c r="M116" s="66">
        <f>DISTRIBUSI!Z111</f>
        <v>0</v>
      </c>
      <c r="N116" s="66">
        <f t="shared" si="8"/>
        <v>0</v>
      </c>
      <c r="O116" s="133"/>
    </row>
    <row r="117" spans="1:15" ht="20.149999999999999" customHeight="1" x14ac:dyDescent="0.45">
      <c r="A117" s="84">
        <f t="shared" si="9"/>
        <v>103</v>
      </c>
      <c r="B117" s="141" t="s">
        <v>88</v>
      </c>
      <c r="C117" s="106" t="s">
        <v>327</v>
      </c>
      <c r="D117" s="136">
        <v>100</v>
      </c>
      <c r="E117" s="136">
        <f>'PENERIMAAN OBAT PKD'!H111</f>
        <v>0</v>
      </c>
      <c r="F117" s="136">
        <f t="shared" si="5"/>
        <v>100</v>
      </c>
      <c r="G117" s="136">
        <f>DISTRIBUSI!Z112</f>
        <v>0</v>
      </c>
      <c r="H117" s="277">
        <f t="shared" si="6"/>
        <v>100</v>
      </c>
      <c r="I117" s="268"/>
      <c r="J117" s="149">
        <f>'STOK OPNAME GUDANG'!D113</f>
        <v>300</v>
      </c>
      <c r="K117" s="229"/>
      <c r="L117" s="66">
        <f t="shared" si="7"/>
        <v>0</v>
      </c>
      <c r="M117" s="66">
        <f>DISTRIBUSI!Z112</f>
        <v>0</v>
      </c>
      <c r="N117" s="66">
        <f t="shared" si="8"/>
        <v>0</v>
      </c>
      <c r="O117" s="133"/>
    </row>
    <row r="118" spans="1:15" ht="18" x14ac:dyDescent="0.45">
      <c r="A118" s="84">
        <f t="shared" si="9"/>
        <v>104</v>
      </c>
      <c r="B118" s="141" t="s">
        <v>89</v>
      </c>
      <c r="C118" s="118" t="s">
        <v>327</v>
      </c>
      <c r="D118" s="136"/>
      <c r="E118" s="136">
        <f>'PENERIMAAN OBAT PKD'!H112</f>
        <v>0</v>
      </c>
      <c r="F118" s="136">
        <f t="shared" si="5"/>
        <v>0</v>
      </c>
      <c r="G118" s="136">
        <f>DISTRIBUSI!Z113</f>
        <v>0</v>
      </c>
      <c r="H118" s="277">
        <f t="shared" si="6"/>
        <v>0</v>
      </c>
      <c r="I118" s="268"/>
      <c r="J118" s="149">
        <f>'STOK OPNAME GUDANG'!D114</f>
        <v>0</v>
      </c>
      <c r="K118" s="229"/>
      <c r="L118" s="66">
        <f t="shared" si="7"/>
        <v>0</v>
      </c>
      <c r="M118" s="66">
        <f>DISTRIBUSI!Z113</f>
        <v>0</v>
      </c>
      <c r="N118" s="66">
        <f t="shared" si="8"/>
        <v>0</v>
      </c>
      <c r="O118" s="133"/>
    </row>
    <row r="119" spans="1:15" s="68" customFormat="1" ht="20.149999999999999" customHeight="1" x14ac:dyDescent="0.45">
      <c r="A119" s="84">
        <f t="shared" si="9"/>
        <v>105</v>
      </c>
      <c r="B119" s="141" t="s">
        <v>90</v>
      </c>
      <c r="C119" s="116" t="s">
        <v>322</v>
      </c>
      <c r="D119" s="136"/>
      <c r="E119" s="136">
        <f>'PENERIMAAN OBAT PKD'!H113</f>
        <v>300</v>
      </c>
      <c r="F119" s="136">
        <f t="shared" si="5"/>
        <v>300</v>
      </c>
      <c r="G119" s="136">
        <f>DISTRIBUSI!Z114</f>
        <v>300</v>
      </c>
      <c r="H119" s="277">
        <f t="shared" si="6"/>
        <v>0</v>
      </c>
      <c r="I119" s="268">
        <v>700</v>
      </c>
      <c r="J119" s="149">
        <f>'STOK OPNAME GUDANG'!D117</f>
        <v>1300</v>
      </c>
      <c r="K119" s="229"/>
      <c r="L119" s="66">
        <f t="shared" si="7"/>
        <v>300</v>
      </c>
      <c r="M119" s="66">
        <f>DISTRIBUSI!Z114</f>
        <v>300</v>
      </c>
      <c r="N119" s="66">
        <f t="shared" si="8"/>
        <v>0</v>
      </c>
      <c r="O119" s="133"/>
    </row>
    <row r="120" spans="1:15" ht="18" x14ac:dyDescent="0.45">
      <c r="A120" s="84">
        <f t="shared" si="9"/>
        <v>106</v>
      </c>
      <c r="B120" s="236" t="s">
        <v>417</v>
      </c>
      <c r="C120" s="118" t="s">
        <v>327</v>
      </c>
      <c r="D120" s="136">
        <v>300</v>
      </c>
      <c r="E120" s="136">
        <f>'PENERIMAAN OBAT PKD'!H114</f>
        <v>0</v>
      </c>
      <c r="F120" s="136">
        <f t="shared" si="5"/>
        <v>300</v>
      </c>
      <c r="G120" s="136">
        <f>DISTRIBUSI!Z115</f>
        <v>0</v>
      </c>
      <c r="H120" s="277">
        <f t="shared" si="6"/>
        <v>300</v>
      </c>
      <c r="I120" s="268"/>
      <c r="J120" s="149"/>
      <c r="K120" s="229"/>
      <c r="L120" s="66"/>
      <c r="M120" s="66"/>
      <c r="N120" s="66"/>
      <c r="O120" s="133"/>
    </row>
    <row r="121" spans="1:15" ht="20.149999999999999" customHeight="1" x14ac:dyDescent="0.45">
      <c r="A121" s="84">
        <f t="shared" si="9"/>
        <v>107</v>
      </c>
      <c r="B121" s="141" t="s">
        <v>325</v>
      </c>
      <c r="C121" s="118" t="s">
        <v>4</v>
      </c>
      <c r="D121" s="136"/>
      <c r="E121" s="136">
        <f>'PENERIMAAN OBAT PKD'!H115</f>
        <v>10</v>
      </c>
      <c r="F121" s="136">
        <f t="shared" si="5"/>
        <v>10</v>
      </c>
      <c r="G121" s="136">
        <f>DISTRIBUSI!Z116</f>
        <v>10</v>
      </c>
      <c r="H121" s="277">
        <f t="shared" si="6"/>
        <v>0</v>
      </c>
      <c r="I121" s="268">
        <v>50</v>
      </c>
      <c r="J121" s="149">
        <f>'STOK OPNAME GUDANG'!D118</f>
        <v>140</v>
      </c>
      <c r="K121" s="229"/>
      <c r="L121" s="66">
        <f t="shared" si="7"/>
        <v>10</v>
      </c>
      <c r="M121" s="66">
        <f>DISTRIBUSI!Z116</f>
        <v>10</v>
      </c>
      <c r="N121" s="66">
        <f t="shared" si="8"/>
        <v>0</v>
      </c>
      <c r="O121" s="133"/>
    </row>
    <row r="122" spans="1:15" ht="18" x14ac:dyDescent="0.45">
      <c r="A122" s="84">
        <f t="shared" si="9"/>
        <v>108</v>
      </c>
      <c r="B122" s="141" t="s">
        <v>91</v>
      </c>
      <c r="C122" s="121" t="s">
        <v>327</v>
      </c>
      <c r="D122" s="136"/>
      <c r="E122" s="136">
        <f>'PENERIMAAN OBAT PKD'!H116</f>
        <v>0</v>
      </c>
      <c r="F122" s="136">
        <f t="shared" si="5"/>
        <v>0</v>
      </c>
      <c r="G122" s="136">
        <f>DISTRIBUSI!Z117</f>
        <v>0</v>
      </c>
      <c r="H122" s="277">
        <f t="shared" si="6"/>
        <v>0</v>
      </c>
      <c r="I122" s="268"/>
      <c r="J122" s="149">
        <f>'STOK OPNAME GUDANG'!D119</f>
        <v>50</v>
      </c>
      <c r="K122" s="229"/>
      <c r="L122" s="66">
        <f t="shared" si="7"/>
        <v>0</v>
      </c>
      <c r="M122" s="66">
        <f>DISTRIBUSI!Z117</f>
        <v>0</v>
      </c>
      <c r="N122" s="66">
        <f t="shared" si="8"/>
        <v>0</v>
      </c>
      <c r="O122" s="133"/>
    </row>
    <row r="123" spans="1:15" ht="30" x14ac:dyDescent="0.45">
      <c r="A123" s="84">
        <f t="shared" si="9"/>
        <v>109</v>
      </c>
      <c r="B123" s="141" t="s">
        <v>92</v>
      </c>
      <c r="C123" s="105" t="s">
        <v>351</v>
      </c>
      <c r="D123" s="136">
        <v>16</v>
      </c>
      <c r="E123" s="136">
        <f>'PENERIMAAN OBAT PKD'!H117</f>
        <v>20</v>
      </c>
      <c r="F123" s="136">
        <f t="shared" si="5"/>
        <v>36</v>
      </c>
      <c r="G123" s="136">
        <f>DISTRIBUSI!Z118</f>
        <v>0</v>
      </c>
      <c r="H123" s="277">
        <f t="shared" si="6"/>
        <v>36</v>
      </c>
      <c r="I123" s="268"/>
      <c r="J123" s="149">
        <f>'STOK OPNAME GUDANG'!D120</f>
        <v>800</v>
      </c>
      <c r="K123" s="229"/>
      <c r="L123" s="66">
        <f t="shared" si="7"/>
        <v>20</v>
      </c>
      <c r="M123" s="66">
        <f>DISTRIBUSI!Z118</f>
        <v>0</v>
      </c>
      <c r="N123" s="66">
        <f t="shared" si="8"/>
        <v>0</v>
      </c>
      <c r="O123" s="133"/>
    </row>
    <row r="124" spans="1:15" ht="20.149999999999999" customHeight="1" x14ac:dyDescent="0.45">
      <c r="A124" s="84">
        <f t="shared" si="9"/>
        <v>110</v>
      </c>
      <c r="B124" s="141" t="s">
        <v>93</v>
      </c>
      <c r="C124" s="118" t="s">
        <v>327</v>
      </c>
      <c r="D124" s="136">
        <v>1300</v>
      </c>
      <c r="E124" s="136">
        <f>'PENERIMAAN OBAT PKD'!H118</f>
        <v>0</v>
      </c>
      <c r="F124" s="136">
        <f t="shared" si="5"/>
        <v>1300</v>
      </c>
      <c r="G124" s="136">
        <f>DISTRIBUSI!Z119</f>
        <v>0</v>
      </c>
      <c r="H124" s="277">
        <f t="shared" si="6"/>
        <v>1300</v>
      </c>
      <c r="I124" s="268"/>
      <c r="J124" s="149">
        <f>'STOK OPNAME GUDANG'!D121</f>
        <v>0</v>
      </c>
      <c r="K124" s="229"/>
      <c r="L124" s="66">
        <f t="shared" si="7"/>
        <v>0</v>
      </c>
      <c r="M124" s="66">
        <f>DISTRIBUSI!Z119</f>
        <v>0</v>
      </c>
      <c r="N124" s="66">
        <f t="shared" si="8"/>
        <v>0</v>
      </c>
      <c r="O124" s="133"/>
    </row>
    <row r="125" spans="1:15" ht="18" x14ac:dyDescent="0.45">
      <c r="A125" s="84">
        <f t="shared" si="9"/>
        <v>111</v>
      </c>
      <c r="B125" s="141" t="s">
        <v>94</v>
      </c>
      <c r="C125" s="117" t="s">
        <v>64</v>
      </c>
      <c r="D125" s="136">
        <v>40</v>
      </c>
      <c r="E125" s="136">
        <f>'PENERIMAAN OBAT PKD'!H119</f>
        <v>100</v>
      </c>
      <c r="F125" s="136">
        <f t="shared" si="5"/>
        <v>140</v>
      </c>
      <c r="G125" s="136">
        <f>DISTRIBUSI!Z120</f>
        <v>0</v>
      </c>
      <c r="H125" s="277">
        <f t="shared" si="6"/>
        <v>140</v>
      </c>
      <c r="I125" s="268"/>
      <c r="J125" s="149">
        <f>'STOK OPNAME GUDANG'!D122</f>
        <v>0</v>
      </c>
      <c r="K125" s="229"/>
      <c r="L125" s="66">
        <f t="shared" si="7"/>
        <v>100</v>
      </c>
      <c r="M125" s="66">
        <f>DISTRIBUSI!Z120</f>
        <v>0</v>
      </c>
      <c r="N125" s="66">
        <f t="shared" si="8"/>
        <v>0</v>
      </c>
      <c r="O125" s="133"/>
    </row>
    <row r="126" spans="1:15" ht="20.149999999999999" customHeight="1" x14ac:dyDescent="0.45">
      <c r="A126" s="84">
        <f t="shared" si="9"/>
        <v>112</v>
      </c>
      <c r="B126" s="141" t="s">
        <v>95</v>
      </c>
      <c r="C126" s="117" t="s">
        <v>48</v>
      </c>
      <c r="D126" s="136">
        <v>100</v>
      </c>
      <c r="E126" s="136">
        <f>'PENERIMAAN OBAT PKD'!H120</f>
        <v>0</v>
      </c>
      <c r="F126" s="136">
        <f t="shared" si="5"/>
        <v>100</v>
      </c>
      <c r="G126" s="136">
        <f>DISTRIBUSI!Z121</f>
        <v>50</v>
      </c>
      <c r="H126" s="277">
        <f t="shared" si="6"/>
        <v>50</v>
      </c>
      <c r="I126" s="268">
        <v>50</v>
      </c>
      <c r="J126" s="149">
        <f>'STOK OPNAME GUDANG'!D123</f>
        <v>900</v>
      </c>
      <c r="K126" s="229"/>
      <c r="L126" s="66">
        <f t="shared" si="7"/>
        <v>0</v>
      </c>
      <c r="M126" s="66">
        <f>DISTRIBUSI!Z121</f>
        <v>50</v>
      </c>
      <c r="N126" s="66">
        <f t="shared" si="8"/>
        <v>0</v>
      </c>
      <c r="O126" s="133"/>
    </row>
    <row r="127" spans="1:15" ht="18" x14ac:dyDescent="0.45">
      <c r="A127" s="84">
        <f t="shared" si="9"/>
        <v>113</v>
      </c>
      <c r="B127" s="141" t="s">
        <v>96</v>
      </c>
      <c r="C127" s="116" t="s">
        <v>327</v>
      </c>
      <c r="D127" s="136">
        <v>1000</v>
      </c>
      <c r="E127" s="136">
        <f>'PENERIMAAN OBAT PKD'!H121</f>
        <v>1000</v>
      </c>
      <c r="F127" s="136">
        <f t="shared" si="5"/>
        <v>2000</v>
      </c>
      <c r="G127" s="136">
        <f>DISTRIBUSI!Z122</f>
        <v>1200</v>
      </c>
      <c r="H127" s="277">
        <f t="shared" si="6"/>
        <v>800</v>
      </c>
      <c r="I127" s="268">
        <v>2000</v>
      </c>
      <c r="J127" s="149">
        <f>'STOK OPNAME GUDANG'!D124</f>
        <v>0</v>
      </c>
      <c r="K127" s="229"/>
      <c r="L127" s="66">
        <f t="shared" si="7"/>
        <v>1000</v>
      </c>
      <c r="M127" s="66">
        <f>DISTRIBUSI!Z122</f>
        <v>1200</v>
      </c>
      <c r="N127" s="66">
        <f t="shared" si="8"/>
        <v>0</v>
      </c>
      <c r="O127" s="133"/>
    </row>
    <row r="128" spans="1:15" ht="20.149999999999999" customHeight="1" x14ac:dyDescent="0.45">
      <c r="A128" s="84">
        <f t="shared" si="9"/>
        <v>114</v>
      </c>
      <c r="B128" s="141" t="s">
        <v>97</v>
      </c>
      <c r="C128" s="130" t="s">
        <v>4</v>
      </c>
      <c r="D128" s="136"/>
      <c r="E128" s="136">
        <f>'PENERIMAAN OBAT PKD'!H122</f>
        <v>0</v>
      </c>
      <c r="F128" s="136">
        <f t="shared" si="5"/>
        <v>0</v>
      </c>
      <c r="G128" s="136">
        <f>DISTRIBUSI!Z123</f>
        <v>0</v>
      </c>
      <c r="H128" s="277">
        <f t="shared" si="6"/>
        <v>0</v>
      </c>
      <c r="I128" s="268"/>
      <c r="J128" s="149">
        <f>'STOK OPNAME GUDANG'!D125</f>
        <v>2700</v>
      </c>
      <c r="K128" s="229"/>
      <c r="L128" s="66">
        <f t="shared" si="7"/>
        <v>0</v>
      </c>
      <c r="M128" s="66">
        <f>DISTRIBUSI!Z123</f>
        <v>0</v>
      </c>
      <c r="N128" s="66">
        <f t="shared" si="8"/>
        <v>0</v>
      </c>
      <c r="O128" s="133"/>
    </row>
    <row r="129" spans="1:15" ht="18" x14ac:dyDescent="0.45">
      <c r="A129" s="84">
        <f t="shared" si="9"/>
        <v>115</v>
      </c>
      <c r="B129" s="141" t="s">
        <v>98</v>
      </c>
      <c r="C129" s="118" t="s">
        <v>327</v>
      </c>
      <c r="D129" s="136"/>
      <c r="E129" s="136">
        <f>'PENERIMAAN OBAT PKD'!H123</f>
        <v>0</v>
      </c>
      <c r="F129" s="136">
        <f t="shared" si="5"/>
        <v>0</v>
      </c>
      <c r="G129" s="136">
        <f>DISTRIBUSI!Z124</f>
        <v>0</v>
      </c>
      <c r="H129" s="277">
        <f t="shared" si="6"/>
        <v>0</v>
      </c>
      <c r="I129" s="268"/>
      <c r="J129" s="149">
        <f>'STOK OPNAME GUDANG'!D126</f>
        <v>0</v>
      </c>
      <c r="K129" s="229"/>
      <c r="L129" s="66">
        <f t="shared" si="7"/>
        <v>0</v>
      </c>
      <c r="M129" s="66">
        <f>DISTRIBUSI!Z124</f>
        <v>0</v>
      </c>
      <c r="N129" s="66">
        <f t="shared" si="8"/>
        <v>0</v>
      </c>
      <c r="O129" s="133"/>
    </row>
    <row r="130" spans="1:15" ht="20.149999999999999" customHeight="1" x14ac:dyDescent="0.45">
      <c r="A130" s="84">
        <f t="shared" si="9"/>
        <v>116</v>
      </c>
      <c r="B130" s="141" t="s">
        <v>99</v>
      </c>
      <c r="C130" s="116" t="s">
        <v>327</v>
      </c>
      <c r="D130" s="136">
        <v>1000</v>
      </c>
      <c r="E130" s="136">
        <f>'PENERIMAAN OBAT PKD'!H124</f>
        <v>0</v>
      </c>
      <c r="F130" s="136">
        <f t="shared" si="5"/>
        <v>1000</v>
      </c>
      <c r="G130" s="136">
        <f>DISTRIBUSI!Z125</f>
        <v>100</v>
      </c>
      <c r="H130" s="277">
        <f t="shared" si="6"/>
        <v>900</v>
      </c>
      <c r="I130" s="268"/>
      <c r="J130" s="149">
        <f>'STOK OPNAME GUDANG'!D129</f>
        <v>80</v>
      </c>
      <c r="K130" s="229"/>
      <c r="L130" s="66">
        <f t="shared" si="7"/>
        <v>0</v>
      </c>
      <c r="M130" s="66">
        <f>DISTRIBUSI!Z125</f>
        <v>100</v>
      </c>
      <c r="N130" s="66">
        <f t="shared" si="8"/>
        <v>0</v>
      </c>
      <c r="O130" s="133"/>
    </row>
    <row r="131" spans="1:15" ht="20.149999999999999" customHeight="1" x14ac:dyDescent="0.45">
      <c r="A131" s="84">
        <f t="shared" si="9"/>
        <v>117</v>
      </c>
      <c r="B131" s="247" t="s">
        <v>424</v>
      </c>
      <c r="C131" s="116"/>
      <c r="D131" s="136"/>
      <c r="E131" s="136">
        <f>'PENERIMAAN OBAT PKD'!H125</f>
        <v>0</v>
      </c>
      <c r="F131" s="136">
        <f t="shared" si="5"/>
        <v>0</v>
      </c>
      <c r="G131" s="136">
        <f>DISTRIBUSI!Z126</f>
        <v>0</v>
      </c>
      <c r="H131" s="277">
        <f t="shared" si="6"/>
        <v>0</v>
      </c>
      <c r="I131" s="268"/>
      <c r="J131" s="149"/>
      <c r="K131" s="229"/>
      <c r="L131" s="66"/>
      <c r="M131" s="66"/>
      <c r="N131" s="66"/>
      <c r="O131" s="133"/>
    </row>
    <row r="132" spans="1:15" ht="20.149999999999999" customHeight="1" x14ac:dyDescent="0.45">
      <c r="A132" s="84">
        <f t="shared" si="9"/>
        <v>118</v>
      </c>
      <c r="B132" s="141" t="s">
        <v>100</v>
      </c>
      <c r="C132" s="116" t="s">
        <v>327</v>
      </c>
      <c r="D132" s="136">
        <v>2800</v>
      </c>
      <c r="E132" s="136">
        <f>'PENERIMAAN OBAT PKD'!H126</f>
        <v>0</v>
      </c>
      <c r="F132" s="136">
        <f t="shared" si="5"/>
        <v>2800</v>
      </c>
      <c r="G132" s="136">
        <f>DISTRIBUSI!Z127</f>
        <v>100</v>
      </c>
      <c r="H132" s="277">
        <f t="shared" si="6"/>
        <v>2700</v>
      </c>
      <c r="I132" s="268"/>
      <c r="J132" s="149">
        <f>'STOK OPNAME GUDANG'!D130</f>
        <v>80</v>
      </c>
      <c r="K132" s="229"/>
      <c r="L132" s="66">
        <f t="shared" si="7"/>
        <v>0</v>
      </c>
      <c r="M132" s="66">
        <f>DISTRIBUSI!Z127</f>
        <v>100</v>
      </c>
      <c r="N132" s="66">
        <f t="shared" si="8"/>
        <v>0</v>
      </c>
      <c r="O132" s="133"/>
    </row>
    <row r="133" spans="1:15" ht="20.149999999999999" customHeight="1" x14ac:dyDescent="0.45">
      <c r="A133" s="84">
        <f t="shared" si="9"/>
        <v>119</v>
      </c>
      <c r="B133" s="141" t="s">
        <v>258</v>
      </c>
      <c r="C133" s="117" t="s">
        <v>352</v>
      </c>
      <c r="D133" s="136"/>
      <c r="E133" s="136">
        <f>'PENERIMAAN OBAT PKD'!H127</f>
        <v>0</v>
      </c>
      <c r="F133" s="136">
        <f t="shared" si="5"/>
        <v>0</v>
      </c>
      <c r="G133" s="136">
        <f>DISTRIBUSI!Z128</f>
        <v>0</v>
      </c>
      <c r="H133" s="277">
        <f t="shared" si="6"/>
        <v>0</v>
      </c>
      <c r="I133" s="268"/>
      <c r="J133" s="149">
        <f>'STOK OPNAME GUDANG'!D131</f>
        <v>0</v>
      </c>
      <c r="K133" s="229"/>
      <c r="L133" s="66">
        <f t="shared" si="7"/>
        <v>0</v>
      </c>
      <c r="M133" s="66">
        <f>DISTRIBUSI!Z128</f>
        <v>0</v>
      </c>
      <c r="N133" s="66">
        <f t="shared" si="8"/>
        <v>0</v>
      </c>
      <c r="O133" s="133"/>
    </row>
    <row r="134" spans="1:15" ht="18" x14ac:dyDescent="0.45">
      <c r="A134" s="84">
        <f t="shared" si="9"/>
        <v>120</v>
      </c>
      <c r="B134" s="141" t="s">
        <v>101</v>
      </c>
      <c r="C134" s="117" t="s">
        <v>327</v>
      </c>
      <c r="D134" s="136"/>
      <c r="E134" s="136">
        <f>'PENERIMAAN OBAT PKD'!H128</f>
        <v>0</v>
      </c>
      <c r="F134" s="136">
        <f t="shared" si="5"/>
        <v>0</v>
      </c>
      <c r="G134" s="136">
        <f>DISTRIBUSI!Z129</f>
        <v>0</v>
      </c>
      <c r="H134" s="277">
        <f t="shared" si="6"/>
        <v>0</v>
      </c>
      <c r="I134" s="268"/>
      <c r="J134" s="149">
        <f>'STOK OPNAME GUDANG'!D132</f>
        <v>0</v>
      </c>
      <c r="K134" s="229"/>
      <c r="L134" s="66">
        <f t="shared" si="7"/>
        <v>0</v>
      </c>
      <c r="M134" s="66">
        <f>DISTRIBUSI!Z129</f>
        <v>0</v>
      </c>
      <c r="N134" s="66">
        <f t="shared" si="8"/>
        <v>0</v>
      </c>
      <c r="O134" s="133"/>
    </row>
    <row r="135" spans="1:15" ht="20.149999999999999" customHeight="1" x14ac:dyDescent="0.45">
      <c r="A135" s="84">
        <f t="shared" si="9"/>
        <v>121</v>
      </c>
      <c r="B135" s="141" t="s">
        <v>102</v>
      </c>
      <c r="C135" s="117" t="s">
        <v>327</v>
      </c>
      <c r="D135" s="136"/>
      <c r="E135" s="136">
        <f>'PENERIMAAN OBAT PKD'!H129</f>
        <v>0</v>
      </c>
      <c r="F135" s="136">
        <f t="shared" si="5"/>
        <v>0</v>
      </c>
      <c r="G135" s="136">
        <f>DISTRIBUSI!Z130</f>
        <v>0</v>
      </c>
      <c r="H135" s="277">
        <f t="shared" si="6"/>
        <v>0</v>
      </c>
      <c r="I135" s="268"/>
      <c r="J135" s="149">
        <f>'STOK OPNAME GUDANG'!D133</f>
        <v>265</v>
      </c>
      <c r="K135" s="229"/>
      <c r="L135" s="66">
        <f t="shared" si="7"/>
        <v>0</v>
      </c>
      <c r="M135" s="66">
        <f>DISTRIBUSI!Z130</f>
        <v>0</v>
      </c>
      <c r="N135" s="66">
        <f t="shared" si="8"/>
        <v>0</v>
      </c>
      <c r="O135" s="133"/>
    </row>
    <row r="136" spans="1:15" ht="20.149999999999999" customHeight="1" x14ac:dyDescent="0.45">
      <c r="A136" s="84">
        <f t="shared" si="9"/>
        <v>122</v>
      </c>
      <c r="B136" s="141" t="s">
        <v>103</v>
      </c>
      <c r="C136" s="115" t="s">
        <v>48</v>
      </c>
      <c r="D136" s="136">
        <v>80</v>
      </c>
      <c r="E136" s="136">
        <f>'PENERIMAAN OBAT PKD'!H130</f>
        <v>0</v>
      </c>
      <c r="F136" s="136">
        <f t="shared" si="5"/>
        <v>80</v>
      </c>
      <c r="G136" s="136">
        <f>DISTRIBUSI!Z131</f>
        <v>0</v>
      </c>
      <c r="H136" s="277">
        <f t="shared" si="6"/>
        <v>80</v>
      </c>
      <c r="I136" s="268"/>
      <c r="J136" s="149">
        <f>'STOK OPNAME GUDANG'!D134</f>
        <v>0</v>
      </c>
      <c r="K136" s="229"/>
      <c r="L136" s="66">
        <f t="shared" si="7"/>
        <v>0</v>
      </c>
      <c r="M136" s="66">
        <f>DISTRIBUSI!Z131</f>
        <v>0</v>
      </c>
      <c r="N136" s="66">
        <f t="shared" si="8"/>
        <v>0</v>
      </c>
      <c r="O136" s="133"/>
    </row>
    <row r="137" spans="1:15" ht="20.149999999999999" customHeight="1" x14ac:dyDescent="0.45">
      <c r="A137" s="84">
        <f t="shared" si="9"/>
        <v>123</v>
      </c>
      <c r="B137" s="141" t="s">
        <v>107</v>
      </c>
      <c r="C137" s="115" t="s">
        <v>108</v>
      </c>
      <c r="D137" s="136">
        <v>100</v>
      </c>
      <c r="E137" s="136">
        <f>'PENERIMAAN OBAT PKD'!H131</f>
        <v>0</v>
      </c>
      <c r="F137" s="136">
        <f t="shared" si="5"/>
        <v>100</v>
      </c>
      <c r="G137" s="136">
        <f>DISTRIBUSI!Z132</f>
        <v>20</v>
      </c>
      <c r="H137" s="277">
        <f t="shared" si="6"/>
        <v>80</v>
      </c>
      <c r="I137" s="268"/>
      <c r="J137" s="149">
        <f>'STOK OPNAME GUDANG'!D135</f>
        <v>0</v>
      </c>
      <c r="K137" s="229"/>
      <c r="L137" s="66">
        <f t="shared" si="7"/>
        <v>0</v>
      </c>
      <c r="M137" s="66">
        <f>DISTRIBUSI!Z132</f>
        <v>20</v>
      </c>
      <c r="N137" s="66">
        <f t="shared" si="8"/>
        <v>0</v>
      </c>
      <c r="O137" s="133"/>
    </row>
    <row r="138" spans="1:15" ht="20.149999999999999" customHeight="1" x14ac:dyDescent="0.45">
      <c r="A138" s="84">
        <f t="shared" si="9"/>
        <v>124</v>
      </c>
      <c r="B138" s="141" t="s">
        <v>107</v>
      </c>
      <c r="C138" s="117" t="s">
        <v>108</v>
      </c>
      <c r="D138" s="136"/>
      <c r="E138" s="136">
        <f>'PENERIMAAN OBAT PKD'!H132</f>
        <v>0</v>
      </c>
      <c r="F138" s="136">
        <f t="shared" si="5"/>
        <v>0</v>
      </c>
      <c r="G138" s="136">
        <f>DISTRIBUSI!Z133</f>
        <v>0</v>
      </c>
      <c r="H138" s="277">
        <f t="shared" si="6"/>
        <v>0</v>
      </c>
      <c r="I138" s="268"/>
      <c r="J138" s="149">
        <f>'STOK OPNAME GUDANG'!D136</f>
        <v>2000</v>
      </c>
      <c r="K138" s="229"/>
      <c r="L138" s="66">
        <f t="shared" si="7"/>
        <v>0</v>
      </c>
      <c r="M138" s="66">
        <f>DISTRIBUSI!Z133</f>
        <v>0</v>
      </c>
      <c r="N138" s="66">
        <f t="shared" si="8"/>
        <v>0</v>
      </c>
      <c r="O138" s="133"/>
    </row>
    <row r="139" spans="1:15" ht="20.149999999999999" customHeight="1" x14ac:dyDescent="0.45">
      <c r="A139" s="84">
        <f t="shared" si="9"/>
        <v>125</v>
      </c>
      <c r="B139" s="141" t="s">
        <v>111</v>
      </c>
      <c r="C139" s="117" t="s">
        <v>108</v>
      </c>
      <c r="D139" s="136"/>
      <c r="E139" s="136">
        <f>'PENERIMAAN OBAT PKD'!H133</f>
        <v>400</v>
      </c>
      <c r="F139" s="136">
        <f t="shared" si="5"/>
        <v>400</v>
      </c>
      <c r="G139" s="136">
        <f>DISTRIBUSI!Z134</f>
        <v>400</v>
      </c>
      <c r="H139" s="277">
        <f t="shared" si="6"/>
        <v>0</v>
      </c>
      <c r="I139" s="268">
        <v>600</v>
      </c>
      <c r="J139" s="149">
        <f>'STOK OPNAME GUDANG'!D137</f>
        <v>6</v>
      </c>
      <c r="K139" s="229"/>
      <c r="L139" s="66">
        <f t="shared" ref="L139:L181" si="10">E139-K139</f>
        <v>400</v>
      </c>
      <c r="M139" s="66">
        <f>DISTRIBUSI!Z134</f>
        <v>400</v>
      </c>
      <c r="N139" s="66">
        <f t="shared" ref="N139:N181" si="11">G139-M139</f>
        <v>0</v>
      </c>
      <c r="O139" s="133"/>
    </row>
    <row r="140" spans="1:15" s="68" customFormat="1" ht="18" x14ac:dyDescent="0.45">
      <c r="A140" s="84">
        <f t="shared" si="9"/>
        <v>126</v>
      </c>
      <c r="B140" s="141" t="s">
        <v>109</v>
      </c>
      <c r="C140" s="116" t="s">
        <v>108</v>
      </c>
      <c r="D140" s="136">
        <v>200</v>
      </c>
      <c r="E140" s="136">
        <f>'PENERIMAAN OBAT PKD'!H134</f>
        <v>600</v>
      </c>
      <c r="F140" s="136">
        <f t="shared" si="5"/>
        <v>800</v>
      </c>
      <c r="G140" s="136">
        <f>DISTRIBUSI!Z135</f>
        <v>535</v>
      </c>
      <c r="H140" s="277">
        <f t="shared" si="6"/>
        <v>265</v>
      </c>
      <c r="I140" s="268">
        <v>500</v>
      </c>
      <c r="J140" s="149">
        <f>'STOK OPNAME GUDANG'!D138</f>
        <v>0</v>
      </c>
      <c r="K140" s="229"/>
      <c r="L140" s="66">
        <f t="shared" si="10"/>
        <v>600</v>
      </c>
      <c r="M140" s="66">
        <f>DISTRIBUSI!Z135</f>
        <v>535</v>
      </c>
      <c r="N140" s="66">
        <f t="shared" si="11"/>
        <v>0</v>
      </c>
      <c r="O140" s="133"/>
    </row>
    <row r="141" spans="1:15" ht="18" x14ac:dyDescent="0.45">
      <c r="A141" s="84">
        <f t="shared" si="9"/>
        <v>127</v>
      </c>
      <c r="B141" s="141" t="s">
        <v>109</v>
      </c>
      <c r="C141" s="116" t="s">
        <v>108</v>
      </c>
      <c r="D141" s="136"/>
      <c r="E141" s="136">
        <f>'PENERIMAAN OBAT PKD'!H135</f>
        <v>0</v>
      </c>
      <c r="F141" s="136">
        <f t="shared" si="5"/>
        <v>0</v>
      </c>
      <c r="G141" s="136">
        <f>DISTRIBUSI!Z136</f>
        <v>0</v>
      </c>
      <c r="H141" s="277">
        <f t="shared" si="6"/>
        <v>0</v>
      </c>
      <c r="I141" s="268"/>
      <c r="J141" s="149">
        <f>'STOK OPNAME GUDANG'!D139</f>
        <v>0</v>
      </c>
      <c r="K141" s="229"/>
      <c r="L141" s="66">
        <f t="shared" si="10"/>
        <v>0</v>
      </c>
      <c r="M141" s="66">
        <f>DISTRIBUSI!Z136</f>
        <v>0</v>
      </c>
      <c r="N141" s="66">
        <f t="shared" si="11"/>
        <v>0</v>
      </c>
      <c r="O141" s="133"/>
    </row>
    <row r="142" spans="1:15" ht="18" x14ac:dyDescent="0.45">
      <c r="A142" s="84">
        <f t="shared" si="9"/>
        <v>128</v>
      </c>
      <c r="B142" s="141" t="s">
        <v>110</v>
      </c>
      <c r="C142" s="116" t="s">
        <v>108</v>
      </c>
      <c r="D142" s="136">
        <v>100</v>
      </c>
      <c r="E142" s="136">
        <f>'PENERIMAAN OBAT PKD'!H136</f>
        <v>200</v>
      </c>
      <c r="F142" s="136">
        <f t="shared" si="5"/>
        <v>300</v>
      </c>
      <c r="G142" s="136">
        <f>DISTRIBUSI!Z137</f>
        <v>300</v>
      </c>
      <c r="H142" s="277">
        <f t="shared" si="6"/>
        <v>0</v>
      </c>
      <c r="I142" s="268">
        <v>500</v>
      </c>
      <c r="J142" s="149">
        <f>'STOK OPNAME GUDANG'!D140</f>
        <v>0</v>
      </c>
      <c r="K142" s="229"/>
      <c r="L142" s="66">
        <f t="shared" si="10"/>
        <v>200</v>
      </c>
      <c r="M142" s="66">
        <f>DISTRIBUSI!Z137</f>
        <v>300</v>
      </c>
      <c r="N142" s="66">
        <f t="shared" si="11"/>
        <v>0</v>
      </c>
      <c r="O142" s="133"/>
    </row>
    <row r="143" spans="1:15" ht="20.149999999999999" customHeight="1" x14ac:dyDescent="0.45">
      <c r="A143" s="84">
        <f t="shared" si="9"/>
        <v>129</v>
      </c>
      <c r="B143" s="141" t="s">
        <v>112</v>
      </c>
      <c r="C143" s="117" t="s">
        <v>108</v>
      </c>
      <c r="D143" s="136">
        <v>1500</v>
      </c>
      <c r="E143" s="136">
        <f>'PENERIMAAN OBAT PKD'!H137</f>
        <v>1500</v>
      </c>
      <c r="F143" s="136">
        <f t="shared" si="5"/>
        <v>3000</v>
      </c>
      <c r="G143" s="136">
        <f>DISTRIBUSI!Z138</f>
        <v>1000</v>
      </c>
      <c r="H143" s="277">
        <f t="shared" si="6"/>
        <v>2000</v>
      </c>
      <c r="I143" s="268">
        <v>1000</v>
      </c>
      <c r="J143" s="149">
        <f>'STOK OPNAME GUDANG'!D141</f>
        <v>4</v>
      </c>
      <c r="K143" s="229"/>
      <c r="L143" s="66">
        <f t="shared" si="10"/>
        <v>1500</v>
      </c>
      <c r="M143" s="66">
        <f>DISTRIBUSI!Z138</f>
        <v>1000</v>
      </c>
      <c r="N143" s="66">
        <f t="shared" si="11"/>
        <v>0</v>
      </c>
      <c r="O143" s="133"/>
    </row>
    <row r="144" spans="1:15" ht="20.149999999999999" customHeight="1" x14ac:dyDescent="0.45">
      <c r="A144" s="84">
        <f t="shared" si="9"/>
        <v>130</v>
      </c>
      <c r="B144" s="141" t="s">
        <v>113</v>
      </c>
      <c r="C144" s="131" t="s">
        <v>48</v>
      </c>
      <c r="D144" s="136">
        <v>10</v>
      </c>
      <c r="E144" s="136">
        <f>'PENERIMAAN OBAT PKD'!H138</f>
        <v>0</v>
      </c>
      <c r="F144" s="136">
        <f t="shared" ref="F144:F181" si="12">SUM(D144:E144)</f>
        <v>10</v>
      </c>
      <c r="G144" s="136">
        <f>DISTRIBUSI!Z139</f>
        <v>4</v>
      </c>
      <c r="H144" s="277">
        <f t="shared" ref="H144:H181" si="13">F144-G144</f>
        <v>6</v>
      </c>
      <c r="I144" s="268"/>
      <c r="J144" s="149">
        <f>'STOK OPNAME GUDANG'!D142</f>
        <v>0</v>
      </c>
      <c r="K144" s="229"/>
      <c r="L144" s="66">
        <f t="shared" si="10"/>
        <v>0</v>
      </c>
      <c r="M144" s="66">
        <f>DISTRIBUSI!Z139</f>
        <v>4</v>
      </c>
      <c r="N144" s="66">
        <f t="shared" si="11"/>
        <v>0</v>
      </c>
      <c r="O144" s="133"/>
    </row>
    <row r="145" spans="1:15" ht="20.149999999999999" customHeight="1" x14ac:dyDescent="0.45">
      <c r="A145" s="84">
        <f t="shared" ref="A145:A181" si="14">A144+1</f>
        <v>131</v>
      </c>
      <c r="B145" s="141" t="s">
        <v>16</v>
      </c>
      <c r="C145" s="127" t="s">
        <v>48</v>
      </c>
      <c r="D145" s="136">
        <v>0</v>
      </c>
      <c r="E145" s="136">
        <f>'PENERIMAAN OBAT PKD'!H139</f>
        <v>20</v>
      </c>
      <c r="F145" s="136">
        <f t="shared" si="12"/>
        <v>20</v>
      </c>
      <c r="G145" s="136">
        <f>DISTRIBUSI!Z140</f>
        <v>20</v>
      </c>
      <c r="H145" s="277">
        <f t="shared" si="13"/>
        <v>0</v>
      </c>
      <c r="I145" s="268">
        <v>100</v>
      </c>
      <c r="J145" s="149">
        <f>'STOK OPNAME GUDANG'!D143</f>
        <v>15</v>
      </c>
      <c r="K145" s="229"/>
      <c r="L145" s="66">
        <f t="shared" si="10"/>
        <v>20</v>
      </c>
      <c r="M145" s="66">
        <f>DISTRIBUSI!Z140</f>
        <v>20</v>
      </c>
      <c r="N145" s="66">
        <f t="shared" si="11"/>
        <v>0</v>
      </c>
      <c r="O145" s="133"/>
    </row>
    <row r="146" spans="1:15" ht="18" x14ac:dyDescent="0.45">
      <c r="A146" s="84">
        <f t="shared" si="14"/>
        <v>132</v>
      </c>
      <c r="B146" s="141" t="s">
        <v>425</v>
      </c>
      <c r="C146" s="127"/>
      <c r="D146" s="136"/>
      <c r="E146" s="136">
        <f>'PENERIMAAN OBAT PKD'!H140</f>
        <v>0</v>
      </c>
      <c r="F146" s="136">
        <f t="shared" si="12"/>
        <v>0</v>
      </c>
      <c r="G146" s="136">
        <f>DISTRIBUSI!Z141</f>
        <v>0</v>
      </c>
      <c r="H146" s="277">
        <f t="shared" si="13"/>
        <v>0</v>
      </c>
      <c r="I146" s="268"/>
      <c r="J146" s="149"/>
      <c r="K146" s="229"/>
      <c r="L146" s="66"/>
      <c r="M146" s="66"/>
      <c r="N146" s="66"/>
      <c r="O146" s="133"/>
    </row>
    <row r="147" spans="1:15" ht="20.149999999999999" customHeight="1" x14ac:dyDescent="0.45">
      <c r="A147" s="84">
        <f t="shared" si="14"/>
        <v>133</v>
      </c>
      <c r="B147" s="141" t="s">
        <v>114</v>
      </c>
      <c r="C147" s="116" t="s">
        <v>108</v>
      </c>
      <c r="D147" s="136">
        <v>12</v>
      </c>
      <c r="E147" s="136">
        <f>'PENERIMAAN OBAT PKD'!H141</f>
        <v>0</v>
      </c>
      <c r="F147" s="136">
        <f t="shared" si="12"/>
        <v>12</v>
      </c>
      <c r="G147" s="136">
        <f>DISTRIBUSI!Z142</f>
        <v>12</v>
      </c>
      <c r="H147" s="277">
        <f t="shared" si="13"/>
        <v>0</v>
      </c>
      <c r="I147" s="268">
        <v>72</v>
      </c>
      <c r="J147" s="149">
        <f>'STOK OPNAME GUDANG'!D144</f>
        <v>10</v>
      </c>
      <c r="K147" s="229"/>
      <c r="L147" s="66">
        <f t="shared" si="10"/>
        <v>0</v>
      </c>
      <c r="M147" s="66">
        <f>DISTRIBUSI!Z142</f>
        <v>12</v>
      </c>
      <c r="N147" s="66">
        <f t="shared" si="11"/>
        <v>0</v>
      </c>
      <c r="O147" s="133"/>
    </row>
    <row r="148" spans="1:15" ht="20.149999999999999" customHeight="1" x14ac:dyDescent="0.45">
      <c r="A148" s="84">
        <f t="shared" si="14"/>
        <v>134</v>
      </c>
      <c r="B148" s="141" t="s">
        <v>115</v>
      </c>
      <c r="C148" s="116" t="s">
        <v>48</v>
      </c>
      <c r="D148" s="136">
        <v>5</v>
      </c>
      <c r="E148" s="136">
        <f>'PENERIMAAN OBAT PKD'!H142</f>
        <v>0</v>
      </c>
      <c r="F148" s="136">
        <f t="shared" si="12"/>
        <v>5</v>
      </c>
      <c r="G148" s="136">
        <f>DISTRIBUSI!Z143</f>
        <v>1</v>
      </c>
      <c r="H148" s="277">
        <f t="shared" si="13"/>
        <v>4</v>
      </c>
      <c r="I148" s="268"/>
      <c r="J148" s="149">
        <f>'STOK OPNAME GUDANG'!D145</f>
        <v>50</v>
      </c>
      <c r="K148" s="229"/>
      <c r="L148" s="66">
        <f t="shared" si="10"/>
        <v>0</v>
      </c>
      <c r="M148" s="66">
        <f>DISTRIBUSI!Z143</f>
        <v>1</v>
      </c>
      <c r="N148" s="66">
        <f t="shared" si="11"/>
        <v>0</v>
      </c>
      <c r="O148" s="133"/>
    </row>
    <row r="149" spans="1:15" ht="20.149999999999999" customHeight="1" x14ac:dyDescent="0.45">
      <c r="A149" s="84">
        <f t="shared" si="14"/>
        <v>135</v>
      </c>
      <c r="B149" s="141" t="s">
        <v>116</v>
      </c>
      <c r="C149" s="119" t="s">
        <v>48</v>
      </c>
      <c r="D149" s="136">
        <v>1</v>
      </c>
      <c r="E149" s="136">
        <f>'PENERIMAAN OBAT PKD'!H143</f>
        <v>0</v>
      </c>
      <c r="F149" s="136">
        <f t="shared" si="12"/>
        <v>1</v>
      </c>
      <c r="G149" s="136">
        <f>DISTRIBUSI!Z144</f>
        <v>1</v>
      </c>
      <c r="H149" s="277">
        <f t="shared" si="13"/>
        <v>0</v>
      </c>
      <c r="I149" s="268">
        <v>10</v>
      </c>
      <c r="J149" s="149">
        <f>'STOK OPNAME GUDANG'!D146</f>
        <v>40</v>
      </c>
      <c r="K149" s="229"/>
      <c r="L149" s="66">
        <f t="shared" si="10"/>
        <v>0</v>
      </c>
      <c r="M149" s="66">
        <f>DISTRIBUSI!Z144</f>
        <v>1</v>
      </c>
      <c r="N149" s="66">
        <f t="shared" si="11"/>
        <v>0</v>
      </c>
      <c r="O149" s="133"/>
    </row>
    <row r="150" spans="1:15" ht="20.149999999999999" customHeight="1" x14ac:dyDescent="0.45">
      <c r="A150" s="84">
        <f t="shared" si="14"/>
        <v>136</v>
      </c>
      <c r="B150" s="141" t="s">
        <v>117</v>
      </c>
      <c r="C150" s="116" t="s">
        <v>108</v>
      </c>
      <c r="D150" s="136">
        <v>20</v>
      </c>
      <c r="E150" s="136">
        <f>'PENERIMAAN OBAT PKD'!H144</f>
        <v>0</v>
      </c>
      <c r="F150" s="136">
        <f t="shared" si="12"/>
        <v>20</v>
      </c>
      <c r="G150" s="136">
        <f>DISTRIBUSI!Z145</f>
        <v>5</v>
      </c>
      <c r="H150" s="277">
        <f t="shared" si="13"/>
        <v>15</v>
      </c>
      <c r="I150" s="268"/>
      <c r="J150" s="149">
        <f>'STOK OPNAME GUDANG'!D147</f>
        <v>0</v>
      </c>
      <c r="K150" s="229"/>
      <c r="L150" s="66">
        <f t="shared" si="10"/>
        <v>0</v>
      </c>
      <c r="M150" s="66">
        <f>DISTRIBUSI!Z145</f>
        <v>5</v>
      </c>
      <c r="N150" s="66">
        <f t="shared" si="11"/>
        <v>0</v>
      </c>
      <c r="O150" s="133"/>
    </row>
    <row r="151" spans="1:15" ht="20.149999999999999" customHeight="1" x14ac:dyDescent="0.45">
      <c r="A151" s="84">
        <f t="shared" si="14"/>
        <v>137</v>
      </c>
      <c r="B151" s="141" t="s">
        <v>118</v>
      </c>
      <c r="C151" s="102" t="s">
        <v>108</v>
      </c>
      <c r="D151" s="136">
        <v>10</v>
      </c>
      <c r="E151" s="136">
        <f>'PENERIMAAN OBAT PKD'!H145</f>
        <v>0</v>
      </c>
      <c r="F151" s="136">
        <f t="shared" si="12"/>
        <v>10</v>
      </c>
      <c r="G151" s="136">
        <f>DISTRIBUSI!Z146</f>
        <v>0</v>
      </c>
      <c r="H151" s="277">
        <f t="shared" si="13"/>
        <v>10</v>
      </c>
      <c r="I151" s="268"/>
      <c r="J151" s="149">
        <f>'STOK OPNAME GUDANG'!D148</f>
        <v>150</v>
      </c>
      <c r="K151" s="229"/>
      <c r="L151" s="66">
        <f t="shared" si="10"/>
        <v>0</v>
      </c>
      <c r="M151" s="66">
        <f>DISTRIBUSI!Z146</f>
        <v>0</v>
      </c>
      <c r="N151" s="66">
        <f t="shared" si="11"/>
        <v>0</v>
      </c>
      <c r="O151" s="133"/>
    </row>
    <row r="152" spans="1:15" ht="20.149999999999999" customHeight="1" x14ac:dyDescent="0.45">
      <c r="A152" s="84">
        <f t="shared" si="14"/>
        <v>138</v>
      </c>
      <c r="B152" s="141" t="s">
        <v>326</v>
      </c>
      <c r="C152" s="106" t="s">
        <v>108</v>
      </c>
      <c r="D152" s="136"/>
      <c r="E152" s="136">
        <f>'PENERIMAAN OBAT PKD'!H146</f>
        <v>200</v>
      </c>
      <c r="F152" s="136">
        <f t="shared" si="12"/>
        <v>200</v>
      </c>
      <c r="G152" s="136">
        <f>DISTRIBUSI!Z147</f>
        <v>150</v>
      </c>
      <c r="H152" s="277">
        <f t="shared" si="13"/>
        <v>50</v>
      </c>
      <c r="I152" s="268">
        <v>200</v>
      </c>
      <c r="J152" s="149">
        <f>'STOK OPNAME GUDANG'!D149</f>
        <v>0</v>
      </c>
      <c r="K152" s="229"/>
      <c r="L152" s="66">
        <f t="shared" si="10"/>
        <v>200</v>
      </c>
      <c r="M152" s="66">
        <f>DISTRIBUSI!Z147</f>
        <v>150</v>
      </c>
      <c r="N152" s="66">
        <f t="shared" si="11"/>
        <v>0</v>
      </c>
      <c r="O152" s="133"/>
    </row>
    <row r="153" spans="1:15" ht="20.149999999999999" customHeight="1" x14ac:dyDescent="0.45">
      <c r="A153" s="84">
        <f t="shared" si="14"/>
        <v>139</v>
      </c>
      <c r="B153" s="141" t="s">
        <v>119</v>
      </c>
      <c r="C153" s="116" t="s">
        <v>108</v>
      </c>
      <c r="D153" s="136">
        <v>50</v>
      </c>
      <c r="E153" s="136">
        <f>'PENERIMAAN OBAT PKD'!H147</f>
        <v>0</v>
      </c>
      <c r="F153" s="136">
        <f t="shared" si="12"/>
        <v>50</v>
      </c>
      <c r="G153" s="136">
        <f>DISTRIBUSI!Z148</f>
        <v>10</v>
      </c>
      <c r="H153" s="277">
        <f t="shared" si="13"/>
        <v>40</v>
      </c>
      <c r="I153" s="268"/>
      <c r="J153" s="149">
        <f>'STOK OPNAME GUDANG'!D150</f>
        <v>0</v>
      </c>
      <c r="K153" s="229"/>
      <c r="L153" s="66">
        <f t="shared" si="10"/>
        <v>0</v>
      </c>
      <c r="M153" s="66">
        <f>DISTRIBUSI!Z148</f>
        <v>10</v>
      </c>
      <c r="N153" s="66">
        <f t="shared" si="11"/>
        <v>0</v>
      </c>
      <c r="O153" s="133"/>
    </row>
    <row r="154" spans="1:15" ht="20.149999999999999" customHeight="1" x14ac:dyDescent="0.45">
      <c r="A154" s="84">
        <f t="shared" si="14"/>
        <v>140</v>
      </c>
      <c r="B154" s="141" t="s">
        <v>120</v>
      </c>
      <c r="C154" s="116" t="s">
        <v>108</v>
      </c>
      <c r="D154" s="136"/>
      <c r="E154" s="136">
        <f>'PENERIMAAN OBAT PKD'!H148</f>
        <v>0</v>
      </c>
      <c r="F154" s="136">
        <f t="shared" si="12"/>
        <v>0</v>
      </c>
      <c r="G154" s="136">
        <f>DISTRIBUSI!Z149</f>
        <v>0</v>
      </c>
      <c r="H154" s="277">
        <f t="shared" si="13"/>
        <v>0</v>
      </c>
      <c r="I154" s="268"/>
      <c r="J154" s="149">
        <f>'STOK OPNAME GUDANG'!D152</f>
        <v>0</v>
      </c>
      <c r="K154" s="229"/>
      <c r="L154" s="66">
        <f t="shared" si="10"/>
        <v>0</v>
      </c>
      <c r="M154" s="66">
        <f>DISTRIBUSI!Z149</f>
        <v>0</v>
      </c>
      <c r="N154" s="66">
        <f t="shared" si="11"/>
        <v>0</v>
      </c>
      <c r="O154" s="133"/>
    </row>
    <row r="155" spans="1:15" ht="20.149999999999999" customHeight="1" x14ac:dyDescent="0.45">
      <c r="A155" s="84">
        <f t="shared" si="14"/>
        <v>141</v>
      </c>
      <c r="B155" s="141" t="s">
        <v>121</v>
      </c>
      <c r="C155" s="106" t="s">
        <v>108</v>
      </c>
      <c r="D155" s="136">
        <v>200</v>
      </c>
      <c r="E155" s="136">
        <f>'PENERIMAAN OBAT PKD'!H149</f>
        <v>0</v>
      </c>
      <c r="F155" s="136">
        <f t="shared" si="12"/>
        <v>200</v>
      </c>
      <c r="G155" s="136">
        <f>DISTRIBUSI!Z150</f>
        <v>50</v>
      </c>
      <c r="H155" s="277">
        <f t="shared" si="13"/>
        <v>150</v>
      </c>
      <c r="I155" s="268"/>
      <c r="J155" s="149">
        <f>'STOK OPNAME GUDANG'!D153</f>
        <v>7</v>
      </c>
      <c r="K155" s="229"/>
      <c r="L155" s="66">
        <f t="shared" si="10"/>
        <v>0</v>
      </c>
      <c r="M155" s="66">
        <f>DISTRIBUSI!Z150</f>
        <v>50</v>
      </c>
      <c r="N155" s="66">
        <f t="shared" si="11"/>
        <v>0</v>
      </c>
      <c r="O155" s="133"/>
    </row>
    <row r="156" spans="1:15" ht="20.149999999999999" customHeight="1" x14ac:dyDescent="0.45">
      <c r="A156" s="84">
        <f t="shared" si="14"/>
        <v>142</v>
      </c>
      <c r="B156" s="141" t="s">
        <v>122</v>
      </c>
      <c r="C156" s="115" t="s">
        <v>108</v>
      </c>
      <c r="D156" s="136">
        <v>100</v>
      </c>
      <c r="E156" s="136">
        <f>'PENERIMAAN OBAT PKD'!H150</f>
        <v>0</v>
      </c>
      <c r="F156" s="136">
        <f t="shared" si="12"/>
        <v>100</v>
      </c>
      <c r="G156" s="136">
        <f>DISTRIBUSI!Z151</f>
        <v>100</v>
      </c>
      <c r="H156" s="277">
        <f t="shared" si="13"/>
        <v>0</v>
      </c>
      <c r="I156" s="268">
        <v>150</v>
      </c>
      <c r="J156" s="149">
        <f>'STOK OPNAME GUDANG'!D154</f>
        <v>130</v>
      </c>
      <c r="K156" s="229"/>
      <c r="L156" s="66">
        <f t="shared" si="10"/>
        <v>0</v>
      </c>
      <c r="M156" s="66">
        <f>DISTRIBUSI!Z151</f>
        <v>100</v>
      </c>
      <c r="N156" s="66">
        <f t="shared" si="11"/>
        <v>0</v>
      </c>
      <c r="O156" s="133"/>
    </row>
    <row r="157" spans="1:15" ht="20.149999999999999" customHeight="1" x14ac:dyDescent="0.45">
      <c r="A157" s="84">
        <f t="shared" si="14"/>
        <v>143</v>
      </c>
      <c r="B157" s="141" t="s">
        <v>122</v>
      </c>
      <c r="C157" s="115" t="s">
        <v>108</v>
      </c>
      <c r="D157" s="136"/>
      <c r="E157" s="136">
        <f>'PENERIMAAN OBAT PKD'!H151</f>
        <v>0</v>
      </c>
      <c r="F157" s="136">
        <f t="shared" si="12"/>
        <v>0</v>
      </c>
      <c r="G157" s="136">
        <f>DISTRIBUSI!Z152</f>
        <v>0</v>
      </c>
      <c r="H157" s="277">
        <f t="shared" si="13"/>
        <v>0</v>
      </c>
      <c r="I157" s="268"/>
      <c r="J157" s="149"/>
      <c r="K157" s="229"/>
      <c r="L157" s="66"/>
      <c r="M157" s="66"/>
      <c r="N157" s="66"/>
      <c r="O157" s="133"/>
    </row>
    <row r="158" spans="1:15" ht="20.149999999999999" customHeight="1" x14ac:dyDescent="0.45">
      <c r="A158" s="84">
        <f t="shared" si="14"/>
        <v>144</v>
      </c>
      <c r="B158" s="141" t="s">
        <v>123</v>
      </c>
      <c r="C158" s="102" t="s">
        <v>108</v>
      </c>
      <c r="D158" s="136">
        <v>30</v>
      </c>
      <c r="E158" s="136">
        <f>'PENERIMAAN OBAT PKD'!H152</f>
        <v>50</v>
      </c>
      <c r="F158" s="136">
        <f t="shared" si="12"/>
        <v>80</v>
      </c>
      <c r="G158" s="136">
        <f>DISTRIBUSI!Z153</f>
        <v>80</v>
      </c>
      <c r="H158" s="277">
        <f t="shared" si="13"/>
        <v>0</v>
      </c>
      <c r="I158" s="268">
        <v>100</v>
      </c>
      <c r="J158" s="149">
        <f>'STOK OPNAME GUDANG'!D155</f>
        <v>0</v>
      </c>
      <c r="K158" s="229"/>
      <c r="L158" s="66">
        <f t="shared" si="10"/>
        <v>50</v>
      </c>
      <c r="M158" s="66">
        <f>DISTRIBUSI!Z153</f>
        <v>80</v>
      </c>
      <c r="N158" s="66">
        <f t="shared" si="11"/>
        <v>0</v>
      </c>
      <c r="O158" s="133"/>
    </row>
    <row r="159" spans="1:15" ht="20.149999999999999" customHeight="1" x14ac:dyDescent="0.45">
      <c r="A159" s="84">
        <f t="shared" si="14"/>
        <v>145</v>
      </c>
      <c r="B159" s="141" t="s">
        <v>124</v>
      </c>
      <c r="C159" s="106" t="s">
        <v>108</v>
      </c>
      <c r="D159" s="136">
        <v>50</v>
      </c>
      <c r="E159" s="136">
        <f>'PENERIMAAN OBAT PKD'!H153</f>
        <v>0</v>
      </c>
      <c r="F159" s="136">
        <f t="shared" si="12"/>
        <v>50</v>
      </c>
      <c r="G159" s="136">
        <f>DISTRIBUSI!Z154</f>
        <v>50</v>
      </c>
      <c r="H159" s="277">
        <f t="shared" si="13"/>
        <v>0</v>
      </c>
      <c r="I159" s="268">
        <v>50</v>
      </c>
      <c r="J159" s="149">
        <f>'STOK OPNAME GUDANG'!D156</f>
        <v>100</v>
      </c>
      <c r="K159" s="229"/>
      <c r="L159" s="66">
        <f t="shared" si="10"/>
        <v>0</v>
      </c>
      <c r="M159" s="66">
        <f>DISTRIBUSI!Z154</f>
        <v>50</v>
      </c>
      <c r="N159" s="66">
        <f t="shared" si="11"/>
        <v>0</v>
      </c>
      <c r="O159" s="133"/>
    </row>
    <row r="160" spans="1:15" ht="20.149999999999999" customHeight="1" x14ac:dyDescent="0.45">
      <c r="A160" s="84">
        <f t="shared" si="14"/>
        <v>146</v>
      </c>
      <c r="B160" s="141" t="s">
        <v>125</v>
      </c>
      <c r="C160" s="116" t="s">
        <v>126</v>
      </c>
      <c r="D160" s="136">
        <v>8</v>
      </c>
      <c r="E160" s="136">
        <f>'PENERIMAAN OBAT PKD'!H154</f>
        <v>0</v>
      </c>
      <c r="F160" s="136">
        <f t="shared" si="12"/>
        <v>8</v>
      </c>
      <c r="G160" s="136">
        <f>DISTRIBUSI!Z155</f>
        <v>1</v>
      </c>
      <c r="H160" s="277">
        <f t="shared" si="13"/>
        <v>7</v>
      </c>
      <c r="I160" s="268"/>
      <c r="J160" s="149">
        <f>'STOK OPNAME GUDANG'!D157</f>
        <v>0</v>
      </c>
      <c r="K160" s="229"/>
      <c r="L160" s="66">
        <f t="shared" si="10"/>
        <v>0</v>
      </c>
      <c r="M160" s="66">
        <f>DISTRIBUSI!Z155</f>
        <v>1</v>
      </c>
      <c r="N160" s="66">
        <f t="shared" si="11"/>
        <v>0</v>
      </c>
      <c r="O160" s="133"/>
    </row>
    <row r="161" spans="1:15" ht="18" x14ac:dyDescent="0.45">
      <c r="A161" s="84">
        <f t="shared" si="14"/>
        <v>147</v>
      </c>
      <c r="B161" s="141" t="s">
        <v>127</v>
      </c>
      <c r="C161" s="115" t="s">
        <v>255</v>
      </c>
      <c r="D161" s="136">
        <v>165</v>
      </c>
      <c r="E161" s="136">
        <f>'PENERIMAAN OBAT PKD'!H155</f>
        <v>0</v>
      </c>
      <c r="F161" s="136">
        <f t="shared" si="12"/>
        <v>165</v>
      </c>
      <c r="G161" s="136">
        <f>DISTRIBUSI!Z156</f>
        <v>35</v>
      </c>
      <c r="H161" s="277">
        <f t="shared" si="13"/>
        <v>130</v>
      </c>
      <c r="I161" s="268"/>
      <c r="J161" s="149">
        <f>'STOK OPNAME GUDANG'!D158</f>
        <v>0</v>
      </c>
      <c r="K161" s="229"/>
      <c r="L161" s="66">
        <f t="shared" si="10"/>
        <v>0</v>
      </c>
      <c r="M161" s="66">
        <f>DISTRIBUSI!Z156</f>
        <v>35</v>
      </c>
      <c r="N161" s="66">
        <f t="shared" si="11"/>
        <v>0</v>
      </c>
      <c r="O161" s="133"/>
    </row>
    <row r="162" spans="1:15" ht="20.149999999999999" customHeight="1" x14ac:dyDescent="0.45">
      <c r="A162" s="84">
        <f t="shared" si="14"/>
        <v>148</v>
      </c>
      <c r="B162" s="141" t="s">
        <v>128</v>
      </c>
      <c r="C162" s="119" t="s">
        <v>126</v>
      </c>
      <c r="D162" s="136">
        <v>3</v>
      </c>
      <c r="E162" s="136">
        <f>'PENERIMAAN OBAT PKD'!H156</f>
        <v>2</v>
      </c>
      <c r="F162" s="136">
        <f t="shared" si="12"/>
        <v>5</v>
      </c>
      <c r="G162" s="136">
        <f>DISTRIBUSI!Z157</f>
        <v>5</v>
      </c>
      <c r="H162" s="277">
        <f t="shared" si="13"/>
        <v>0</v>
      </c>
      <c r="I162" s="268">
        <v>5</v>
      </c>
      <c r="J162" s="149">
        <f>'STOK OPNAME GUDANG'!D159</f>
        <v>0</v>
      </c>
      <c r="K162" s="229"/>
      <c r="L162" s="66">
        <f t="shared" si="10"/>
        <v>2</v>
      </c>
      <c r="M162" s="66">
        <f>DISTRIBUSI!Z157</f>
        <v>5</v>
      </c>
      <c r="N162" s="66">
        <f t="shared" si="11"/>
        <v>0</v>
      </c>
      <c r="O162" s="133"/>
    </row>
    <row r="163" spans="1:15" ht="20.149999999999999" customHeight="1" x14ac:dyDescent="0.45">
      <c r="A163" s="84">
        <f t="shared" si="14"/>
        <v>149</v>
      </c>
      <c r="B163" s="141" t="s">
        <v>129</v>
      </c>
      <c r="C163" s="119" t="s">
        <v>126</v>
      </c>
      <c r="D163" s="136">
        <v>55</v>
      </c>
      <c r="E163" s="136">
        <f>'PENERIMAAN OBAT PKD'!H157</f>
        <v>50</v>
      </c>
      <c r="F163" s="136">
        <f t="shared" si="12"/>
        <v>105</v>
      </c>
      <c r="G163" s="136">
        <f>DISTRIBUSI!Z158</f>
        <v>5</v>
      </c>
      <c r="H163" s="277">
        <f t="shared" si="13"/>
        <v>100</v>
      </c>
      <c r="I163" s="268"/>
      <c r="J163" s="149">
        <f>'STOK OPNAME GUDANG'!D160</f>
        <v>25</v>
      </c>
      <c r="K163" s="229"/>
      <c r="L163" s="66">
        <f t="shared" si="10"/>
        <v>50</v>
      </c>
      <c r="M163" s="66">
        <f>DISTRIBUSI!Z158</f>
        <v>5</v>
      </c>
      <c r="N163" s="66">
        <f t="shared" si="11"/>
        <v>0</v>
      </c>
      <c r="O163" s="133"/>
    </row>
    <row r="164" spans="1:15" ht="20.149999999999999" customHeight="1" x14ac:dyDescent="0.45">
      <c r="A164" s="84">
        <f t="shared" si="14"/>
        <v>150</v>
      </c>
      <c r="B164" s="141" t="s">
        <v>130</v>
      </c>
      <c r="C164" s="119" t="s">
        <v>323</v>
      </c>
      <c r="D164" s="136"/>
      <c r="E164" s="136">
        <f>'PENERIMAAN OBAT PKD'!H158</f>
        <v>0</v>
      </c>
      <c r="F164" s="136">
        <f t="shared" si="12"/>
        <v>0</v>
      </c>
      <c r="G164" s="136">
        <f>DISTRIBUSI!Z159</f>
        <v>0</v>
      </c>
      <c r="H164" s="277">
        <f t="shared" si="13"/>
        <v>0</v>
      </c>
      <c r="I164" s="268"/>
      <c r="J164" s="149">
        <f>'STOK OPNAME GUDANG'!D161</f>
        <v>10</v>
      </c>
      <c r="K164" s="229"/>
      <c r="L164" s="66">
        <f t="shared" si="10"/>
        <v>0</v>
      </c>
      <c r="M164" s="66">
        <f>DISTRIBUSI!Z159</f>
        <v>0</v>
      </c>
      <c r="N164" s="66">
        <f t="shared" si="11"/>
        <v>0</v>
      </c>
      <c r="O164" s="133"/>
    </row>
    <row r="165" spans="1:15" ht="20.149999999999999" customHeight="1" x14ac:dyDescent="0.45">
      <c r="A165" s="84">
        <f t="shared" si="14"/>
        <v>151</v>
      </c>
      <c r="B165" s="141" t="s">
        <v>131</v>
      </c>
      <c r="C165" s="119" t="s">
        <v>256</v>
      </c>
      <c r="D165" s="136"/>
      <c r="E165" s="136">
        <f>'PENERIMAAN OBAT PKD'!H159</f>
        <v>0</v>
      </c>
      <c r="F165" s="136">
        <f t="shared" si="12"/>
        <v>0</v>
      </c>
      <c r="G165" s="136">
        <f>DISTRIBUSI!Z160</f>
        <v>0</v>
      </c>
      <c r="H165" s="277">
        <f t="shared" si="13"/>
        <v>0</v>
      </c>
      <c r="I165" s="268">
        <v>50</v>
      </c>
      <c r="J165" s="149">
        <f>'STOK OPNAME GUDANG'!D162</f>
        <v>0</v>
      </c>
      <c r="K165" s="229"/>
      <c r="L165" s="66">
        <f t="shared" si="10"/>
        <v>0</v>
      </c>
      <c r="M165" s="66">
        <f>DISTRIBUSI!Z160</f>
        <v>0</v>
      </c>
      <c r="N165" s="66">
        <f t="shared" si="11"/>
        <v>0</v>
      </c>
      <c r="O165" s="133"/>
    </row>
    <row r="166" spans="1:15" ht="20.149999999999999" customHeight="1" x14ac:dyDescent="0.45">
      <c r="A166" s="84">
        <f t="shared" si="14"/>
        <v>152</v>
      </c>
      <c r="B166" s="141" t="s">
        <v>132</v>
      </c>
      <c r="C166" s="118" t="s">
        <v>256</v>
      </c>
      <c r="D166" s="136"/>
      <c r="E166" s="136">
        <f>'PENERIMAAN OBAT PKD'!H160</f>
        <v>0</v>
      </c>
      <c r="F166" s="136">
        <f t="shared" si="12"/>
        <v>0</v>
      </c>
      <c r="G166" s="136">
        <f>DISTRIBUSI!Z161</f>
        <v>0</v>
      </c>
      <c r="H166" s="277">
        <f t="shared" si="13"/>
        <v>0</v>
      </c>
      <c r="I166" s="268">
        <v>50</v>
      </c>
      <c r="J166" s="149">
        <f>'STOK OPNAME GUDANG'!D163</f>
        <v>10</v>
      </c>
      <c r="K166" s="229"/>
      <c r="L166" s="66">
        <f t="shared" si="10"/>
        <v>0</v>
      </c>
      <c r="M166" s="66">
        <f>DISTRIBUSI!Z161</f>
        <v>0</v>
      </c>
      <c r="N166" s="66">
        <f t="shared" si="11"/>
        <v>0</v>
      </c>
      <c r="O166" s="133"/>
    </row>
    <row r="167" spans="1:15" ht="20.149999999999999" customHeight="1" x14ac:dyDescent="0.45">
      <c r="A167" s="84">
        <f t="shared" si="14"/>
        <v>153</v>
      </c>
      <c r="B167" s="141" t="s">
        <v>135</v>
      </c>
      <c r="C167" s="118" t="s">
        <v>108</v>
      </c>
      <c r="D167" s="136">
        <v>45</v>
      </c>
      <c r="E167" s="136">
        <f>'PENERIMAAN OBAT PKD'!H161</f>
        <v>0</v>
      </c>
      <c r="F167" s="136">
        <f t="shared" si="12"/>
        <v>45</v>
      </c>
      <c r="G167" s="136">
        <f>DISTRIBUSI!Z162</f>
        <v>20</v>
      </c>
      <c r="H167" s="277">
        <f t="shared" si="13"/>
        <v>25</v>
      </c>
      <c r="I167" s="268">
        <v>30</v>
      </c>
      <c r="J167" s="149">
        <f>'STOK OPNAME GUDANG'!D164</f>
        <v>5</v>
      </c>
      <c r="K167" s="229"/>
      <c r="L167" s="66">
        <f t="shared" si="10"/>
        <v>0</v>
      </c>
      <c r="M167" s="66">
        <f>DISTRIBUSI!Z162</f>
        <v>20</v>
      </c>
      <c r="N167" s="66">
        <f t="shared" si="11"/>
        <v>0</v>
      </c>
      <c r="O167" s="133"/>
    </row>
    <row r="168" spans="1:15" ht="20.149999999999999" customHeight="1" x14ac:dyDescent="0.45">
      <c r="A168" s="84">
        <f t="shared" si="14"/>
        <v>154</v>
      </c>
      <c r="B168" s="141" t="s">
        <v>134</v>
      </c>
      <c r="C168" s="121" t="s">
        <v>108</v>
      </c>
      <c r="D168" s="136">
        <v>20</v>
      </c>
      <c r="E168" s="136">
        <f>'PENERIMAAN OBAT PKD'!H162</f>
        <v>0</v>
      </c>
      <c r="F168" s="136">
        <f t="shared" si="12"/>
        <v>20</v>
      </c>
      <c r="G168" s="136">
        <f>DISTRIBUSI!Z163</f>
        <v>10</v>
      </c>
      <c r="H168" s="277">
        <f t="shared" si="13"/>
        <v>10</v>
      </c>
      <c r="I168" s="268">
        <v>20</v>
      </c>
      <c r="J168" s="149">
        <f>'STOK OPNAME GUDANG'!D166</f>
        <v>50</v>
      </c>
      <c r="K168" s="229"/>
      <c r="L168" s="66">
        <f t="shared" si="10"/>
        <v>0</v>
      </c>
      <c r="M168" s="66">
        <f>DISTRIBUSI!Z163</f>
        <v>10</v>
      </c>
      <c r="N168" s="66">
        <f t="shared" si="11"/>
        <v>0</v>
      </c>
      <c r="O168" s="133"/>
    </row>
    <row r="169" spans="1:15" ht="20.149999999999999" customHeight="1" x14ac:dyDescent="0.45">
      <c r="A169" s="84">
        <f t="shared" si="14"/>
        <v>155</v>
      </c>
      <c r="B169" s="141" t="s">
        <v>133</v>
      </c>
      <c r="C169" s="132" t="s">
        <v>108</v>
      </c>
      <c r="D169" s="136"/>
      <c r="E169" s="136">
        <f>'PENERIMAAN OBAT PKD'!H163</f>
        <v>0</v>
      </c>
      <c r="F169" s="136">
        <f t="shared" si="12"/>
        <v>0</v>
      </c>
      <c r="G169" s="136">
        <f>DISTRIBUSI!Z164</f>
        <v>0</v>
      </c>
      <c r="H169" s="277">
        <f t="shared" si="13"/>
        <v>0</v>
      </c>
      <c r="I169" s="268"/>
      <c r="J169" s="149">
        <f>'STOK OPNAME GUDANG'!D167</f>
        <v>25</v>
      </c>
      <c r="K169" s="229"/>
      <c r="L169" s="66">
        <f t="shared" si="10"/>
        <v>0</v>
      </c>
      <c r="M169" s="66">
        <f>DISTRIBUSI!Z164</f>
        <v>0</v>
      </c>
      <c r="N169" s="66">
        <f t="shared" si="11"/>
        <v>0</v>
      </c>
      <c r="O169" s="133"/>
    </row>
    <row r="170" spans="1:15" ht="20.149999999999999" customHeight="1" x14ac:dyDescent="0.45">
      <c r="A170" s="84">
        <f t="shared" si="14"/>
        <v>156</v>
      </c>
      <c r="B170" s="141" t="s">
        <v>136</v>
      </c>
      <c r="C170" s="127" t="s">
        <v>126</v>
      </c>
      <c r="D170" s="136">
        <v>10</v>
      </c>
      <c r="E170" s="136">
        <f>'PENERIMAAN OBAT PKD'!H164</f>
        <v>0</v>
      </c>
      <c r="F170" s="136">
        <f t="shared" si="12"/>
        <v>10</v>
      </c>
      <c r="G170" s="136">
        <f>DISTRIBUSI!Z165</f>
        <v>0</v>
      </c>
      <c r="H170" s="277">
        <f t="shared" si="13"/>
        <v>10</v>
      </c>
      <c r="I170" s="268"/>
      <c r="J170" s="149">
        <f>'STOK OPNAME GUDANG'!D168</f>
        <v>0</v>
      </c>
      <c r="K170" s="229"/>
      <c r="L170" s="66">
        <f t="shared" si="10"/>
        <v>0</v>
      </c>
      <c r="M170" s="66">
        <f>DISTRIBUSI!Z165</f>
        <v>0</v>
      </c>
      <c r="N170" s="66">
        <f t="shared" si="11"/>
        <v>0</v>
      </c>
      <c r="O170" s="133"/>
    </row>
    <row r="171" spans="1:15" ht="20.149999999999999" customHeight="1" x14ac:dyDescent="0.45">
      <c r="A171" s="84">
        <f t="shared" si="14"/>
        <v>157</v>
      </c>
      <c r="B171" s="141" t="s">
        <v>137</v>
      </c>
      <c r="C171" s="132" t="s">
        <v>48</v>
      </c>
      <c r="D171" s="136">
        <v>9</v>
      </c>
      <c r="E171" s="136">
        <f>'PENERIMAAN OBAT PKD'!H165</f>
        <v>0</v>
      </c>
      <c r="F171" s="136">
        <f t="shared" si="12"/>
        <v>9</v>
      </c>
      <c r="G171" s="136">
        <f>DISTRIBUSI!Z166</f>
        <v>4</v>
      </c>
      <c r="H171" s="277">
        <f t="shared" si="13"/>
        <v>5</v>
      </c>
      <c r="I171" s="268">
        <v>5</v>
      </c>
      <c r="J171" s="149">
        <f>'STOK OPNAME GUDANG'!D169</f>
        <v>400</v>
      </c>
      <c r="K171" s="229"/>
      <c r="L171" s="66">
        <f t="shared" si="10"/>
        <v>0</v>
      </c>
      <c r="M171" s="66">
        <f>DISTRIBUSI!Z166</f>
        <v>4</v>
      </c>
      <c r="N171" s="66">
        <f t="shared" si="11"/>
        <v>0</v>
      </c>
      <c r="O171" s="133"/>
    </row>
    <row r="172" spans="1:15" ht="20.149999999999999" customHeight="1" x14ac:dyDescent="0.45">
      <c r="A172" s="84">
        <f t="shared" si="14"/>
        <v>158</v>
      </c>
      <c r="B172" s="141" t="s">
        <v>138</v>
      </c>
      <c r="C172" s="118" t="s">
        <v>108</v>
      </c>
      <c r="D172" s="136">
        <v>12</v>
      </c>
      <c r="E172" s="136">
        <f>'PENERIMAAN OBAT PKD'!H166</f>
        <v>12</v>
      </c>
      <c r="F172" s="136">
        <f t="shared" si="12"/>
        <v>24</v>
      </c>
      <c r="G172" s="136">
        <f>DISTRIBUSI!Z167</f>
        <v>24</v>
      </c>
      <c r="H172" s="277">
        <f t="shared" si="13"/>
        <v>0</v>
      </c>
      <c r="I172" s="268">
        <v>72</v>
      </c>
      <c r="J172" s="149">
        <f>'STOK OPNAME GUDANG'!D170</f>
        <v>0</v>
      </c>
      <c r="K172" s="229"/>
      <c r="L172" s="66">
        <f t="shared" si="10"/>
        <v>12</v>
      </c>
      <c r="M172" s="66">
        <f>DISTRIBUSI!Z167</f>
        <v>24</v>
      </c>
      <c r="N172" s="66">
        <f t="shared" si="11"/>
        <v>0</v>
      </c>
      <c r="O172" s="133"/>
    </row>
    <row r="173" spans="1:15" ht="20.149999999999999" customHeight="1" x14ac:dyDescent="0.45">
      <c r="A173" s="84">
        <f t="shared" si="14"/>
        <v>159</v>
      </c>
      <c r="B173" s="141" t="s">
        <v>139</v>
      </c>
      <c r="C173" s="115" t="s">
        <v>108</v>
      </c>
      <c r="D173" s="136">
        <v>100</v>
      </c>
      <c r="E173" s="136">
        <f>'PENERIMAAN OBAT PKD'!H167</f>
        <v>0</v>
      </c>
      <c r="F173" s="136">
        <f t="shared" si="12"/>
        <v>100</v>
      </c>
      <c r="G173" s="136">
        <f>DISTRIBUSI!Z168</f>
        <v>50</v>
      </c>
      <c r="H173" s="277">
        <f t="shared" si="13"/>
        <v>50</v>
      </c>
      <c r="I173" s="268">
        <v>100</v>
      </c>
      <c r="J173" s="149">
        <f>'STOK OPNAME GUDANG'!D171</f>
        <v>0</v>
      </c>
      <c r="K173" s="229"/>
      <c r="L173" s="66">
        <f t="shared" si="10"/>
        <v>0</v>
      </c>
      <c r="M173" s="66">
        <f>DISTRIBUSI!Z168</f>
        <v>50</v>
      </c>
      <c r="N173" s="66">
        <f t="shared" si="11"/>
        <v>0</v>
      </c>
      <c r="O173" s="133"/>
    </row>
    <row r="174" spans="1:15" ht="20.149999999999999" customHeight="1" x14ac:dyDescent="0.45">
      <c r="A174" s="84">
        <f t="shared" si="14"/>
        <v>160</v>
      </c>
      <c r="B174" s="141" t="s">
        <v>140</v>
      </c>
      <c r="C174" s="126" t="s">
        <v>108</v>
      </c>
      <c r="D174" s="136">
        <v>75</v>
      </c>
      <c r="E174" s="136">
        <f>'PENERIMAAN OBAT PKD'!H168</f>
        <v>0</v>
      </c>
      <c r="F174" s="136">
        <f t="shared" si="12"/>
        <v>75</v>
      </c>
      <c r="G174" s="136">
        <f>DISTRIBUSI!Z169</f>
        <v>50</v>
      </c>
      <c r="H174" s="277">
        <f t="shared" si="13"/>
        <v>25</v>
      </c>
      <c r="I174" s="268">
        <v>100</v>
      </c>
      <c r="J174" s="149">
        <f>'STOK OPNAME GUDANG'!D172</f>
        <v>1000</v>
      </c>
      <c r="K174" s="229"/>
      <c r="L174" s="66">
        <f t="shared" si="10"/>
        <v>0</v>
      </c>
      <c r="M174" s="66">
        <f>DISTRIBUSI!Z169</f>
        <v>50</v>
      </c>
      <c r="N174" s="66">
        <f t="shared" si="11"/>
        <v>0</v>
      </c>
      <c r="O174" s="133"/>
    </row>
    <row r="175" spans="1:15" ht="20.149999999999999" customHeight="1" x14ac:dyDescent="0.45">
      <c r="A175" s="84">
        <f t="shared" si="14"/>
        <v>161</v>
      </c>
      <c r="B175" s="141" t="s">
        <v>141</v>
      </c>
      <c r="C175" s="115" t="s">
        <v>108</v>
      </c>
      <c r="D175" s="136"/>
      <c r="E175" s="136">
        <f>'PENERIMAAN OBAT PKD'!H169</f>
        <v>0</v>
      </c>
      <c r="F175" s="136">
        <f t="shared" si="12"/>
        <v>0</v>
      </c>
      <c r="G175" s="136">
        <f>DISTRIBUSI!Z170</f>
        <v>0</v>
      </c>
      <c r="H175" s="277">
        <f t="shared" si="13"/>
        <v>0</v>
      </c>
      <c r="I175" s="268"/>
      <c r="J175" s="149">
        <f>'STOK OPNAME GUDANG'!D173</f>
        <v>40</v>
      </c>
      <c r="K175" s="229"/>
      <c r="L175" s="66">
        <f t="shared" si="10"/>
        <v>0</v>
      </c>
      <c r="M175" s="66">
        <f>DISTRIBUSI!Z170</f>
        <v>0</v>
      </c>
      <c r="N175" s="66">
        <f t="shared" si="11"/>
        <v>0</v>
      </c>
      <c r="O175" s="133"/>
    </row>
    <row r="176" spans="1:15" ht="20.149999999999999" customHeight="1" x14ac:dyDescent="0.45">
      <c r="A176" s="84">
        <f t="shared" si="14"/>
        <v>162</v>
      </c>
      <c r="B176" s="141" t="s">
        <v>144</v>
      </c>
      <c r="C176" s="132" t="s">
        <v>108</v>
      </c>
      <c r="D176" s="136">
        <v>600</v>
      </c>
      <c r="E176" s="136">
        <f>'PENERIMAAN OBAT PKD'!H170</f>
        <v>0</v>
      </c>
      <c r="F176" s="136">
        <f t="shared" si="12"/>
        <v>600</v>
      </c>
      <c r="G176" s="136">
        <f>DISTRIBUSI!Z171</f>
        <v>200</v>
      </c>
      <c r="H176" s="277">
        <f t="shared" si="13"/>
        <v>400</v>
      </c>
      <c r="I176" s="268"/>
      <c r="J176" s="149">
        <f>'STOK OPNAME GUDANG'!D174</f>
        <v>5</v>
      </c>
      <c r="K176" s="229"/>
      <c r="L176" s="66">
        <f t="shared" si="10"/>
        <v>0</v>
      </c>
      <c r="M176" s="66">
        <f>DISTRIBUSI!Z171</f>
        <v>200</v>
      </c>
      <c r="N176" s="66">
        <f t="shared" si="11"/>
        <v>0</v>
      </c>
      <c r="O176" s="133"/>
    </row>
    <row r="177" spans="1:41" ht="20.149999999999999" customHeight="1" x14ac:dyDescent="0.45">
      <c r="A177" s="84">
        <f t="shared" si="14"/>
        <v>163</v>
      </c>
      <c r="B177" s="141" t="s">
        <v>143</v>
      </c>
      <c r="C177" s="127" t="s">
        <v>108</v>
      </c>
      <c r="D177" s="136"/>
      <c r="E177" s="136">
        <f>'PENERIMAAN OBAT PKD'!H171</f>
        <v>1500</v>
      </c>
      <c r="F177" s="136">
        <f t="shared" si="12"/>
        <v>1500</v>
      </c>
      <c r="G177" s="136">
        <f>DISTRIBUSI!Z172</f>
        <v>1500</v>
      </c>
      <c r="H177" s="277">
        <f t="shared" si="13"/>
        <v>0</v>
      </c>
      <c r="I177" s="268">
        <v>2000</v>
      </c>
      <c r="J177" s="149" t="e">
        <f>'STOK OPNAME GUDANG'!#REF!</f>
        <v>#REF!</v>
      </c>
      <c r="K177" s="229"/>
      <c r="L177" s="66">
        <f t="shared" si="10"/>
        <v>1500</v>
      </c>
      <c r="M177" s="66">
        <f>DISTRIBUSI!Z172</f>
        <v>1500</v>
      </c>
      <c r="N177" s="66">
        <f t="shared" si="11"/>
        <v>0</v>
      </c>
      <c r="O177" s="133"/>
    </row>
    <row r="178" spans="1:41" ht="20.149999999999999" customHeight="1" x14ac:dyDescent="0.45">
      <c r="A178" s="84">
        <f t="shared" si="14"/>
        <v>164</v>
      </c>
      <c r="B178" s="141" t="s">
        <v>142</v>
      </c>
      <c r="C178" s="115" t="s">
        <v>108</v>
      </c>
      <c r="D178" s="136"/>
      <c r="E178" s="136">
        <f>'PENERIMAAN OBAT PKD'!H172</f>
        <v>1500</v>
      </c>
      <c r="F178" s="136">
        <f t="shared" si="12"/>
        <v>1500</v>
      </c>
      <c r="G178" s="136">
        <f>DISTRIBUSI!Z173</f>
        <v>1500</v>
      </c>
      <c r="H178" s="277">
        <f t="shared" si="13"/>
        <v>0</v>
      </c>
      <c r="I178" s="268">
        <v>2000</v>
      </c>
      <c r="J178" s="149" t="e">
        <f>'STOK OPNAME GUDANG'!#REF!</f>
        <v>#REF!</v>
      </c>
      <c r="K178" s="229"/>
      <c r="L178" s="66">
        <f t="shared" si="10"/>
        <v>1500</v>
      </c>
      <c r="M178" s="66">
        <f>DISTRIBUSI!Z173</f>
        <v>1500</v>
      </c>
      <c r="N178" s="66">
        <f t="shared" si="11"/>
        <v>0</v>
      </c>
      <c r="O178" s="133"/>
    </row>
    <row r="179" spans="1:41" ht="20.149999999999999" customHeight="1" x14ac:dyDescent="0.45">
      <c r="A179" s="84">
        <f t="shared" si="14"/>
        <v>165</v>
      </c>
      <c r="B179" s="141" t="s">
        <v>145</v>
      </c>
      <c r="C179" s="115" t="s">
        <v>212</v>
      </c>
      <c r="D179" s="136">
        <v>1400</v>
      </c>
      <c r="E179" s="136">
        <f>'PENERIMAAN OBAT PKD'!H173</f>
        <v>1000</v>
      </c>
      <c r="F179" s="136">
        <f t="shared" si="12"/>
        <v>2400</v>
      </c>
      <c r="G179" s="136">
        <f>DISTRIBUSI!Z174</f>
        <v>1400</v>
      </c>
      <c r="H179" s="277">
        <f t="shared" si="13"/>
        <v>1000</v>
      </c>
      <c r="I179" s="268">
        <v>2000</v>
      </c>
      <c r="J179" s="149" t="e">
        <f>'STOK OPNAME GUDANG'!#REF!</f>
        <v>#REF!</v>
      </c>
      <c r="K179" s="229"/>
      <c r="L179" s="66">
        <f t="shared" si="10"/>
        <v>1000</v>
      </c>
      <c r="M179" s="66">
        <f>DISTRIBUSI!Z174</f>
        <v>1400</v>
      </c>
      <c r="N179" s="66">
        <f t="shared" si="11"/>
        <v>0</v>
      </c>
      <c r="O179" s="133"/>
    </row>
    <row r="180" spans="1:41" ht="20.149999999999999" customHeight="1" x14ac:dyDescent="0.45">
      <c r="A180" s="84">
        <f t="shared" si="14"/>
        <v>166</v>
      </c>
      <c r="B180" s="141" t="s">
        <v>146</v>
      </c>
      <c r="C180" s="115" t="s">
        <v>212</v>
      </c>
      <c r="D180" s="136">
        <v>40</v>
      </c>
      <c r="E180" s="136">
        <f>'PENERIMAAN OBAT PKD'!H174</f>
        <v>0</v>
      </c>
      <c r="F180" s="136">
        <f t="shared" si="12"/>
        <v>40</v>
      </c>
      <c r="G180" s="136">
        <f>DISTRIBUSI!Z175</f>
        <v>0</v>
      </c>
      <c r="H180" s="277">
        <f t="shared" si="13"/>
        <v>40</v>
      </c>
      <c r="I180" s="268"/>
      <c r="J180" s="149" t="e">
        <f>'STOK OPNAME GUDANG'!#REF!</f>
        <v>#REF!</v>
      </c>
      <c r="K180" s="229"/>
      <c r="L180" s="66">
        <f t="shared" si="10"/>
        <v>0</v>
      </c>
      <c r="M180" s="66">
        <f>DISTRIBUSI!Z175</f>
        <v>0</v>
      </c>
      <c r="N180" s="66">
        <f t="shared" si="11"/>
        <v>0</v>
      </c>
      <c r="O180" s="133"/>
    </row>
    <row r="181" spans="1:41" ht="20.149999999999999" customHeight="1" x14ac:dyDescent="0.45">
      <c r="A181" s="84">
        <f t="shared" si="14"/>
        <v>167</v>
      </c>
      <c r="B181" s="142" t="s">
        <v>147</v>
      </c>
      <c r="C181" s="115" t="s">
        <v>212</v>
      </c>
      <c r="D181" s="136">
        <v>10</v>
      </c>
      <c r="E181" s="136">
        <f>'PENERIMAAN OBAT PKD'!H175</f>
        <v>0</v>
      </c>
      <c r="F181" s="136">
        <f t="shared" si="12"/>
        <v>10</v>
      </c>
      <c r="G181" s="136">
        <f>DISTRIBUSI!Z176</f>
        <v>5</v>
      </c>
      <c r="H181" s="277">
        <f t="shared" si="13"/>
        <v>5</v>
      </c>
      <c r="I181" s="268">
        <v>10</v>
      </c>
      <c r="J181" s="231" t="e">
        <f>'STOK OPNAME GUDANG'!#REF!</f>
        <v>#REF!</v>
      </c>
      <c r="K181" s="232"/>
      <c r="L181" s="66">
        <f t="shared" si="10"/>
        <v>0</v>
      </c>
      <c r="M181" s="66">
        <f>DISTRIBUSI!Z176</f>
        <v>5</v>
      </c>
      <c r="N181" s="66">
        <f t="shared" si="11"/>
        <v>0</v>
      </c>
      <c r="O181" s="133"/>
    </row>
    <row r="182" spans="1:41" ht="20.149999999999999" customHeight="1" x14ac:dyDescent="0.5">
      <c r="A182" s="235"/>
      <c r="B182" s="236"/>
      <c r="C182" s="144"/>
      <c r="D182" s="136"/>
      <c r="E182" s="136"/>
      <c r="F182" s="46"/>
      <c r="G182" s="46"/>
      <c r="H182" s="214"/>
      <c r="I182" s="268"/>
      <c r="J182" s="223"/>
      <c r="K182" s="223"/>
      <c r="L182" s="223"/>
      <c r="M182" s="223"/>
      <c r="N182" s="223"/>
      <c r="O182" s="233"/>
    </row>
    <row r="183" spans="1:41" ht="20.149999999999999" customHeight="1" x14ac:dyDescent="0.5">
      <c r="A183" s="235"/>
      <c r="B183" s="236"/>
      <c r="C183" s="144"/>
      <c r="D183" s="136"/>
      <c r="E183" s="46"/>
      <c r="F183" s="46"/>
      <c r="G183" s="46"/>
      <c r="H183" s="214"/>
      <c r="I183" s="269"/>
      <c r="J183" s="239"/>
      <c r="K183" s="239"/>
      <c r="L183" s="239"/>
      <c r="M183" s="239"/>
      <c r="N183" s="239"/>
      <c r="O183" s="240"/>
    </row>
    <row r="184" spans="1:41" ht="20.149999999999999" customHeight="1" thickBot="1" x14ac:dyDescent="0.55000000000000004">
      <c r="A184" s="241"/>
      <c r="B184" s="242"/>
      <c r="C184" s="243"/>
      <c r="D184" s="234"/>
      <c r="E184" s="238"/>
      <c r="F184" s="238"/>
      <c r="G184" s="234"/>
      <c r="H184" s="278"/>
      <c r="I184" s="270"/>
      <c r="J184" s="134"/>
      <c r="K184" s="134"/>
      <c r="L184" s="134"/>
      <c r="M184" s="134"/>
      <c r="N184" s="134"/>
      <c r="O184" s="135"/>
    </row>
    <row r="185" spans="1:41" s="38" customFormat="1" ht="18.5" thickTop="1" x14ac:dyDescent="0.5">
      <c r="A185" s="50"/>
      <c r="B185" s="51"/>
      <c r="C185" s="52"/>
      <c r="D185" s="41"/>
      <c r="E185" s="41"/>
      <c r="F185" s="70"/>
      <c r="G185" s="41"/>
      <c r="H185" s="62"/>
      <c r="I185" s="41"/>
      <c r="J185" s="72"/>
      <c r="K185" s="72"/>
      <c r="L185" s="72"/>
      <c r="M185" s="72"/>
      <c r="N185" s="72"/>
      <c r="O185" s="72"/>
    </row>
    <row r="186" spans="1:41" s="38" customFormat="1" ht="18" x14ac:dyDescent="0.5">
      <c r="A186" s="73"/>
      <c r="B186" s="74"/>
      <c r="C186" s="326" t="s">
        <v>247</v>
      </c>
      <c r="D186" s="326" t="s">
        <v>248</v>
      </c>
      <c r="E186" s="326" t="s">
        <v>234</v>
      </c>
      <c r="F186" s="68"/>
      <c r="G186" s="68"/>
      <c r="H186" s="65"/>
      <c r="I186" s="68"/>
      <c r="J186" s="75"/>
      <c r="K186" s="75"/>
      <c r="L186" s="75"/>
      <c r="M186" s="75"/>
      <c r="N186" s="75"/>
      <c r="O186" s="75"/>
    </row>
    <row r="187" spans="1:41" s="38" customFormat="1" ht="18" x14ac:dyDescent="0.5">
      <c r="A187" s="77"/>
      <c r="B187" s="78"/>
      <c r="C187" s="326"/>
      <c r="D187" s="326"/>
      <c r="E187" s="326"/>
      <c r="F187" s="68"/>
      <c r="G187" s="68"/>
      <c r="H187" s="65"/>
      <c r="I187" s="68"/>
      <c r="J187" s="75"/>
      <c r="K187" s="75"/>
      <c r="L187" s="75"/>
      <c r="M187" s="75"/>
      <c r="N187" s="75"/>
      <c r="O187" s="75"/>
    </row>
    <row r="188" spans="1:41" s="38" customFormat="1" ht="18" x14ac:dyDescent="0.5">
      <c r="A188" s="77"/>
      <c r="B188" s="78"/>
      <c r="C188" s="327"/>
      <c r="D188" s="327"/>
      <c r="E188" s="327"/>
      <c r="F188" s="68"/>
      <c r="G188" s="68"/>
      <c r="H188" s="65"/>
      <c r="I188" s="68"/>
      <c r="J188" s="75"/>
      <c r="K188" s="75"/>
      <c r="L188" s="75"/>
      <c r="M188" s="75"/>
      <c r="N188" s="75"/>
      <c r="O188" s="75"/>
    </row>
    <row r="189" spans="1:41" s="38" customFormat="1" ht="18" x14ac:dyDescent="0.5">
      <c r="A189" s="79"/>
      <c r="B189" s="80"/>
      <c r="C189" s="328"/>
      <c r="D189" s="328"/>
      <c r="E189" s="328"/>
      <c r="F189" s="68"/>
      <c r="G189" s="68"/>
      <c r="H189" s="65"/>
      <c r="I189" s="68"/>
      <c r="J189" s="75"/>
      <c r="K189" s="75"/>
      <c r="L189" s="75"/>
      <c r="M189" s="75"/>
      <c r="N189" s="75"/>
      <c r="O189" s="75"/>
    </row>
    <row r="190" spans="1:41" s="38" customFormat="1" ht="18" x14ac:dyDescent="0.5">
      <c r="A190" s="55"/>
      <c r="B190" s="56"/>
      <c r="C190" s="57"/>
      <c r="D190" s="53"/>
      <c r="E190" s="53"/>
      <c r="F190" s="53"/>
      <c r="G190" s="53"/>
      <c r="H190" s="53"/>
      <c r="I190" s="41"/>
      <c r="J190" s="41"/>
      <c r="K190" s="41"/>
      <c r="L190" s="41"/>
      <c r="M190" s="41"/>
      <c r="N190" s="41"/>
      <c r="O190" s="41"/>
    </row>
    <row r="191" spans="1:41" ht="20.149999999999999" customHeight="1" x14ac:dyDescent="0.5">
      <c r="A191" s="38"/>
      <c r="B191" s="274"/>
      <c r="C191" s="38"/>
      <c r="D191" s="54"/>
      <c r="E191" s="54"/>
      <c r="F191" s="54"/>
      <c r="G191" s="38"/>
      <c r="H191" s="38"/>
      <c r="I191" s="41"/>
      <c r="J191" s="41"/>
      <c r="K191" s="271" t="s">
        <v>490</v>
      </c>
      <c r="L191" s="38"/>
      <c r="M191" s="41"/>
      <c r="N191" s="41"/>
      <c r="O191" s="41"/>
      <c r="P191" s="41"/>
      <c r="Q191" s="41"/>
      <c r="R191" s="68"/>
      <c r="S191" s="68"/>
      <c r="T191" s="68"/>
      <c r="U191" s="68"/>
      <c r="V191" s="68"/>
      <c r="W191" s="68"/>
      <c r="X191" s="68"/>
      <c r="Y191" s="68"/>
      <c r="Z191" s="68"/>
      <c r="AO191" s="76"/>
    </row>
    <row r="192" spans="1:41" ht="20.149999999999999" customHeight="1" x14ac:dyDescent="0.5">
      <c r="A192" s="38"/>
      <c r="B192" s="274" t="s">
        <v>486</v>
      </c>
      <c r="C192" s="38"/>
      <c r="D192" s="54"/>
      <c r="E192" s="54"/>
      <c r="F192" s="54"/>
      <c r="G192" s="38"/>
      <c r="H192" s="38"/>
      <c r="I192" s="41"/>
      <c r="J192" s="41"/>
      <c r="K192" s="271"/>
      <c r="L192" s="38"/>
      <c r="M192" s="41"/>
      <c r="N192" s="41"/>
      <c r="O192" s="41"/>
      <c r="P192" s="41"/>
      <c r="Q192" s="41"/>
      <c r="R192" s="68"/>
      <c r="S192" s="68"/>
      <c r="T192" s="68"/>
      <c r="U192" s="68"/>
      <c r="V192" s="68"/>
      <c r="W192" s="68"/>
      <c r="X192" s="68"/>
      <c r="Y192" s="68"/>
      <c r="Z192" s="68"/>
      <c r="AO192" s="76"/>
    </row>
    <row r="193" spans="1:52" ht="20.149999999999999" customHeight="1" x14ac:dyDescent="0.5">
      <c r="A193" s="38"/>
      <c r="B193" s="274" t="s">
        <v>487</v>
      </c>
      <c r="C193" s="38"/>
      <c r="D193" s="54"/>
      <c r="E193" s="54"/>
      <c r="F193" s="54"/>
      <c r="G193" s="38"/>
      <c r="H193" s="38"/>
      <c r="I193" s="41"/>
      <c r="J193" s="41"/>
      <c r="K193" s="271" t="s">
        <v>311</v>
      </c>
      <c r="L193" s="38"/>
      <c r="M193" s="41"/>
      <c r="N193" s="41"/>
      <c r="O193" s="41"/>
      <c r="P193" s="41"/>
      <c r="Q193" s="41"/>
      <c r="R193" s="68"/>
      <c r="S193" s="68"/>
      <c r="T193" s="68"/>
      <c r="U193" s="68"/>
      <c r="V193" s="68"/>
      <c r="W193" s="68"/>
      <c r="X193" s="68"/>
      <c r="Y193" s="68"/>
      <c r="Z193" s="68"/>
      <c r="AO193" s="76"/>
    </row>
    <row r="194" spans="1:52" ht="18" x14ac:dyDescent="0.5">
      <c r="A194" s="38"/>
      <c r="B194" s="274"/>
      <c r="C194" s="38"/>
      <c r="D194" s="41"/>
      <c r="E194" s="41"/>
      <c r="F194" s="41"/>
      <c r="G194" s="38"/>
      <c r="H194" s="38"/>
      <c r="I194" s="38"/>
      <c r="J194" s="41"/>
      <c r="K194" s="271"/>
      <c r="L194" s="38"/>
      <c r="M194" s="41"/>
      <c r="N194" s="41"/>
      <c r="O194" s="41"/>
      <c r="P194" s="41"/>
      <c r="Q194" s="41"/>
      <c r="R194" s="68"/>
      <c r="S194" s="68"/>
      <c r="T194" s="68"/>
      <c r="U194" s="68"/>
      <c r="V194" s="68"/>
      <c r="W194" s="68"/>
      <c r="X194" s="68"/>
      <c r="Y194" s="68"/>
      <c r="Z194" s="68"/>
      <c r="AO194" s="76"/>
    </row>
    <row r="195" spans="1:52" s="38" customFormat="1" ht="20.149999999999999" customHeight="1" x14ac:dyDescent="0.5">
      <c r="B195" s="274"/>
      <c r="J195" s="41"/>
      <c r="K195" s="27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Z195" s="39"/>
    </row>
    <row r="196" spans="1:52" s="38" customFormat="1" ht="20.149999999999999" customHeight="1" x14ac:dyDescent="0.5">
      <c r="B196" s="274"/>
      <c r="J196" s="41"/>
      <c r="K196" s="27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Z196" s="39"/>
    </row>
    <row r="197" spans="1:52" s="38" customFormat="1" ht="20.149999999999999" customHeight="1" x14ac:dyDescent="0.5">
      <c r="B197" s="275" t="s">
        <v>488</v>
      </c>
      <c r="J197" s="41"/>
      <c r="K197" s="272" t="s">
        <v>484</v>
      </c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Z197" s="39"/>
    </row>
    <row r="198" spans="1:52" s="38" customFormat="1" ht="18" x14ac:dyDescent="0.5">
      <c r="B198" s="276" t="s">
        <v>489</v>
      </c>
      <c r="J198" s="41"/>
      <c r="K198" s="273" t="s">
        <v>485</v>
      </c>
      <c r="L198" s="41"/>
      <c r="M198" s="41"/>
      <c r="N198" s="41"/>
      <c r="O198" s="41"/>
    </row>
    <row r="199" spans="1:52" s="38" customFormat="1" ht="18" x14ac:dyDescent="0.5">
      <c r="J199" s="41"/>
      <c r="K199" s="41"/>
      <c r="L199" s="41"/>
      <c r="M199" s="41"/>
      <c r="N199" s="41"/>
      <c r="O199" s="41"/>
    </row>
    <row r="200" spans="1:52" s="38" customFormat="1" ht="20.149999999999999" customHeight="1" x14ac:dyDescent="0.5">
      <c r="A200" s="62"/>
      <c r="C200" s="40"/>
      <c r="F200" s="40"/>
      <c r="G200" s="41"/>
      <c r="H200" s="62"/>
      <c r="J200" s="82"/>
      <c r="K200" s="82"/>
      <c r="L200" s="82"/>
      <c r="M200" s="82"/>
      <c r="N200" s="82"/>
      <c r="O200" s="82"/>
    </row>
    <row r="201" spans="1:52" s="38" customFormat="1" ht="20.149999999999999" customHeight="1" x14ac:dyDescent="0.5">
      <c r="A201" s="62"/>
      <c r="C201" s="40"/>
      <c r="F201" s="40"/>
      <c r="G201" s="41"/>
      <c r="H201" s="62"/>
      <c r="J201" s="82"/>
      <c r="K201" s="82"/>
      <c r="L201" s="82"/>
      <c r="M201" s="82"/>
      <c r="N201" s="82"/>
      <c r="O201" s="82"/>
    </row>
    <row r="202" spans="1:52" s="38" customFormat="1" ht="20.149999999999999" customHeight="1" x14ac:dyDescent="0.5">
      <c r="A202" s="62"/>
      <c r="C202" s="40"/>
      <c r="F202" s="40"/>
      <c r="G202" s="41"/>
      <c r="H202" s="62"/>
      <c r="J202" s="82"/>
      <c r="K202" s="82"/>
      <c r="L202" s="82"/>
      <c r="M202" s="82"/>
      <c r="N202" s="82"/>
      <c r="O202" s="82"/>
    </row>
    <row r="203" spans="1:52" s="38" customFormat="1" ht="18" x14ac:dyDescent="0.5">
      <c r="A203" s="62"/>
      <c r="C203" s="40"/>
      <c r="F203" s="40"/>
      <c r="G203" s="41"/>
      <c r="H203" s="62"/>
      <c r="J203" s="82"/>
      <c r="K203" s="82"/>
      <c r="L203" s="82"/>
      <c r="M203" s="82"/>
      <c r="N203" s="82"/>
      <c r="O203" s="82"/>
    </row>
    <row r="204" spans="1:52" s="38" customFormat="1" ht="18" x14ac:dyDescent="0.5">
      <c r="A204" s="65"/>
      <c r="B204" s="65"/>
      <c r="C204" s="65"/>
      <c r="D204" s="65"/>
      <c r="E204" s="65"/>
      <c r="F204" s="65"/>
      <c r="G204" s="65"/>
      <c r="H204" s="65"/>
      <c r="I204" s="65"/>
      <c r="J204" s="81"/>
      <c r="K204" s="81"/>
      <c r="L204" s="81"/>
      <c r="M204" s="81"/>
      <c r="N204" s="81"/>
      <c r="O204" s="81"/>
    </row>
    <row r="205" spans="1:52" s="38" customFormat="1" ht="18" x14ac:dyDescent="0.5">
      <c r="A205" s="65"/>
      <c r="B205" s="65"/>
      <c r="C205" s="65"/>
      <c r="D205" s="65"/>
      <c r="E205" s="65"/>
      <c r="F205" s="65"/>
      <c r="G205" s="65"/>
      <c r="H205" s="65"/>
      <c r="I205" s="65"/>
      <c r="J205" s="81"/>
      <c r="K205" s="81"/>
      <c r="L205" s="81"/>
      <c r="M205" s="81"/>
      <c r="N205" s="81"/>
      <c r="O205" s="81"/>
    </row>
    <row r="206" spans="1:52" s="38" customFormat="1" ht="18" x14ac:dyDescent="0.5">
      <c r="A206" s="65"/>
      <c r="B206" s="65"/>
      <c r="C206" s="65"/>
      <c r="D206" s="65"/>
      <c r="E206" s="65"/>
      <c r="F206" s="65"/>
      <c r="G206" s="65"/>
      <c r="H206" s="65"/>
      <c r="I206" s="65"/>
      <c r="J206" s="81"/>
      <c r="K206" s="81"/>
      <c r="L206" s="81"/>
      <c r="M206" s="81"/>
      <c r="N206" s="81"/>
      <c r="O206" s="81"/>
    </row>
    <row r="207" spans="1:52" s="38" customFormat="1" ht="18" x14ac:dyDescent="0.5">
      <c r="A207" s="65"/>
      <c r="B207" s="65"/>
      <c r="C207" s="65"/>
      <c r="D207" s="65"/>
      <c r="E207" s="65"/>
      <c r="F207" s="65"/>
      <c r="G207" s="65"/>
      <c r="H207" s="65"/>
      <c r="I207" s="65"/>
      <c r="J207" s="81"/>
      <c r="K207" s="81"/>
      <c r="L207" s="81"/>
      <c r="M207" s="81"/>
      <c r="N207" s="81"/>
      <c r="O207" s="81"/>
    </row>
    <row r="208" spans="1:52" s="38" customFormat="1" ht="18" x14ac:dyDescent="0.5">
      <c r="A208" s="65"/>
      <c r="B208" s="65"/>
      <c r="C208" s="65"/>
      <c r="D208" s="65"/>
      <c r="E208" s="65"/>
      <c r="F208" s="65"/>
      <c r="G208" s="65"/>
      <c r="H208" s="65"/>
      <c r="I208" s="65"/>
      <c r="J208" s="81"/>
      <c r="K208" s="81"/>
      <c r="L208" s="81"/>
      <c r="M208" s="81"/>
      <c r="N208" s="81"/>
      <c r="O208" s="81"/>
    </row>
    <row r="209" spans="1:15" s="38" customFormat="1" ht="18" x14ac:dyDescent="0.5">
      <c r="A209" s="65"/>
      <c r="B209" s="65"/>
      <c r="C209" s="65"/>
      <c r="D209" s="65"/>
      <c r="E209" s="65"/>
      <c r="F209" s="65"/>
      <c r="G209" s="65"/>
      <c r="H209" s="65"/>
      <c r="I209" s="65"/>
      <c r="J209" s="81"/>
      <c r="K209" s="81"/>
      <c r="L209" s="81"/>
      <c r="M209" s="81"/>
      <c r="N209" s="81"/>
      <c r="O209" s="81"/>
    </row>
  </sheetData>
  <mergeCells count="29">
    <mergeCell ref="C186:C187"/>
    <mergeCell ref="D186:D187"/>
    <mergeCell ref="E186:E187"/>
    <mergeCell ref="C188:C189"/>
    <mergeCell ref="D188:D189"/>
    <mergeCell ref="E188:E189"/>
    <mergeCell ref="I12:I13"/>
    <mergeCell ref="J12:N12"/>
    <mergeCell ref="O12:O13"/>
    <mergeCell ref="A8:B8"/>
    <mergeCell ref="A9:B9"/>
    <mergeCell ref="K9:L9"/>
    <mergeCell ref="A10:B10"/>
    <mergeCell ref="K10:L10"/>
    <mergeCell ref="D12:D13"/>
    <mergeCell ref="E12:E13"/>
    <mergeCell ref="F12:F13"/>
    <mergeCell ref="G12:G13"/>
    <mergeCell ref="H12:H13"/>
    <mergeCell ref="A12:A13"/>
    <mergeCell ref="B12:B13"/>
    <mergeCell ref="C12:C13"/>
    <mergeCell ref="A6:B6"/>
    <mergeCell ref="A7:B7"/>
    <mergeCell ref="A1:O1"/>
    <mergeCell ref="A2:O2"/>
    <mergeCell ref="A3:B3"/>
    <mergeCell ref="A4:B4"/>
    <mergeCell ref="A5:B5"/>
  </mergeCells>
  <pageMargins left="0.45" right="0.33" top="0.65" bottom="0.74803149606299202" header="0.31496062992126" footer="0.31496062992126"/>
  <pageSetup paperSize="14" scale="9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88"/>
  <sheetViews>
    <sheetView topLeftCell="A91" workbookViewId="0">
      <selection activeCell="G102" sqref="G102"/>
    </sheetView>
  </sheetViews>
  <sheetFormatPr defaultColWidth="9.1796875" defaultRowHeight="18" x14ac:dyDescent="0.5"/>
  <cols>
    <col min="1" max="1" width="5.54296875" style="38" customWidth="1"/>
    <col min="2" max="2" width="48.26953125" style="38" customWidth="1"/>
    <col min="3" max="3" width="17.7265625" style="38" customWidth="1"/>
    <col min="4" max="4" width="9.7265625" style="38" customWidth="1"/>
    <col min="5" max="5" width="11.1796875" style="38" customWidth="1"/>
    <col min="6" max="6" width="10.26953125" style="38" customWidth="1"/>
    <col min="7" max="7" width="9.7265625" style="38" customWidth="1"/>
    <col min="8" max="8" width="10.6328125" style="38" customWidth="1"/>
    <col min="9" max="9" width="9.7265625" style="38" customWidth="1"/>
    <col min="10" max="15" width="7.7265625" style="41" customWidth="1"/>
    <col min="16" max="16384" width="9.1796875" style="38"/>
  </cols>
  <sheetData>
    <row r="1" spans="1:50" ht="19.5" x14ac:dyDescent="0.6">
      <c r="A1" s="313" t="s">
        <v>149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AX1" s="39"/>
    </row>
    <row r="2" spans="1:50" ht="19.5" x14ac:dyDescent="0.6">
      <c r="A2" s="313" t="s">
        <v>150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AX2" s="39"/>
    </row>
    <row r="3" spans="1:50" x14ac:dyDescent="0.5">
      <c r="A3" s="320"/>
      <c r="B3" s="320"/>
      <c r="C3" s="40"/>
      <c r="F3" s="40"/>
      <c r="G3" s="41"/>
      <c r="H3" s="62"/>
      <c r="J3" s="38"/>
      <c r="K3" s="38"/>
      <c r="L3" s="38"/>
      <c r="M3" s="38"/>
      <c r="N3" s="38"/>
      <c r="O3" s="38"/>
      <c r="AX3" s="39"/>
    </row>
    <row r="4" spans="1:50" ht="19.5" x14ac:dyDescent="0.6">
      <c r="A4" s="314" t="s">
        <v>151</v>
      </c>
      <c r="B4" s="314"/>
      <c r="C4" s="42" t="s">
        <v>312</v>
      </c>
      <c r="F4" s="40"/>
      <c r="G4" s="41"/>
      <c r="H4" s="62"/>
      <c r="J4" s="38"/>
      <c r="K4" s="38"/>
      <c r="L4" s="38"/>
      <c r="M4" s="38"/>
      <c r="N4" s="38"/>
      <c r="O4" s="38"/>
      <c r="AX4" s="39"/>
    </row>
    <row r="5" spans="1:50" ht="19.5" x14ac:dyDescent="0.6">
      <c r="A5" s="314" t="s">
        <v>153</v>
      </c>
      <c r="B5" s="314"/>
      <c r="C5" s="42" t="s">
        <v>482</v>
      </c>
      <c r="F5" s="40"/>
      <c r="G5" s="41"/>
      <c r="H5" s="62"/>
      <c r="J5" s="38"/>
      <c r="K5" s="38"/>
      <c r="L5" s="38"/>
      <c r="M5" s="38"/>
      <c r="N5" s="38"/>
      <c r="O5" s="38"/>
      <c r="AX5" s="39"/>
    </row>
    <row r="6" spans="1:50" ht="19.5" x14ac:dyDescent="0.6">
      <c r="A6" s="314" t="s">
        <v>154</v>
      </c>
      <c r="B6" s="314"/>
      <c r="C6" s="42" t="s">
        <v>482</v>
      </c>
      <c r="F6" s="40"/>
      <c r="G6" s="41"/>
      <c r="H6" s="62"/>
      <c r="J6" s="38"/>
      <c r="K6" s="38"/>
      <c r="L6" s="38"/>
      <c r="M6" s="38"/>
      <c r="N6" s="38"/>
      <c r="O6" s="38"/>
      <c r="AX6" s="39"/>
    </row>
    <row r="7" spans="1:50" ht="19.5" x14ac:dyDescent="0.6">
      <c r="A7" s="314" t="s">
        <v>155</v>
      </c>
      <c r="B7" s="314"/>
      <c r="C7" s="42" t="s">
        <v>156</v>
      </c>
      <c r="F7" s="40"/>
      <c r="G7" s="41"/>
      <c r="H7" s="62"/>
      <c r="J7" s="38"/>
      <c r="K7" s="38"/>
      <c r="L7" s="38"/>
      <c r="M7" s="38"/>
      <c r="N7" s="38"/>
      <c r="O7" s="38"/>
      <c r="AX7" s="39"/>
    </row>
    <row r="8" spans="1:50" ht="19.5" x14ac:dyDescent="0.6">
      <c r="A8" s="314" t="s">
        <v>157</v>
      </c>
      <c r="B8" s="314"/>
      <c r="C8" s="42" t="s">
        <v>158</v>
      </c>
      <c r="F8" s="40"/>
      <c r="G8" s="41"/>
      <c r="H8" s="62"/>
      <c r="J8" s="38"/>
      <c r="K8" s="38"/>
      <c r="L8" s="38"/>
      <c r="M8" s="38"/>
      <c r="N8" s="38"/>
      <c r="O8" s="38"/>
      <c r="AX8" s="39"/>
    </row>
    <row r="9" spans="1:50" ht="19.5" x14ac:dyDescent="0.6">
      <c r="A9" s="313"/>
      <c r="B9" s="313"/>
      <c r="C9" s="40"/>
      <c r="F9" s="40"/>
      <c r="G9" s="41"/>
      <c r="H9" s="62"/>
      <c r="J9" s="38"/>
      <c r="K9" s="314" t="s">
        <v>159</v>
      </c>
      <c r="L9" s="314"/>
      <c r="M9" s="43" t="s">
        <v>483</v>
      </c>
      <c r="N9" s="38"/>
      <c r="O9" s="38"/>
      <c r="AX9" s="39"/>
    </row>
    <row r="10" spans="1:50" ht="19.5" x14ac:dyDescent="0.6">
      <c r="A10" s="314"/>
      <c r="B10" s="314"/>
      <c r="C10" s="40"/>
      <c r="F10" s="40"/>
      <c r="G10" s="41"/>
      <c r="H10" s="62"/>
      <c r="J10" s="38"/>
      <c r="K10" s="314" t="s">
        <v>160</v>
      </c>
      <c r="L10" s="314"/>
      <c r="M10" s="43">
        <v>2026</v>
      </c>
      <c r="N10" s="38"/>
      <c r="O10" s="38"/>
      <c r="W10" s="38">
        <v>12</v>
      </c>
      <c r="AX10" s="39"/>
    </row>
    <row r="11" spans="1:50" ht="19.5" x14ac:dyDescent="0.5">
      <c r="A11" s="329" t="s">
        <v>0</v>
      </c>
      <c r="B11" s="330" t="s">
        <v>1</v>
      </c>
      <c r="C11" s="294" t="s">
        <v>2</v>
      </c>
      <c r="D11" s="292" t="s">
        <v>161</v>
      </c>
      <c r="E11" s="292" t="s">
        <v>162</v>
      </c>
      <c r="F11" s="292" t="s">
        <v>163</v>
      </c>
      <c r="G11" s="292" t="s">
        <v>164</v>
      </c>
      <c r="H11" s="292" t="s">
        <v>165</v>
      </c>
      <c r="I11" s="292" t="s">
        <v>166</v>
      </c>
      <c r="J11" s="292" t="s">
        <v>167</v>
      </c>
      <c r="K11" s="292"/>
      <c r="L11" s="292"/>
      <c r="M11" s="292"/>
      <c r="N11" s="292"/>
      <c r="O11" s="292" t="s">
        <v>168</v>
      </c>
    </row>
    <row r="12" spans="1:50" ht="39" x14ac:dyDescent="0.5">
      <c r="A12" s="329"/>
      <c r="B12" s="330"/>
      <c r="C12" s="294"/>
      <c r="D12" s="292"/>
      <c r="E12" s="292"/>
      <c r="F12" s="292"/>
      <c r="G12" s="292"/>
      <c r="H12" s="292"/>
      <c r="I12" s="292"/>
      <c r="J12" s="175" t="s">
        <v>169</v>
      </c>
      <c r="K12" s="175" t="s">
        <v>170</v>
      </c>
      <c r="L12" s="175" t="s">
        <v>171</v>
      </c>
      <c r="M12" s="175" t="s">
        <v>172</v>
      </c>
      <c r="N12" s="175" t="s">
        <v>173</v>
      </c>
      <c r="O12" s="292"/>
    </row>
    <row r="13" spans="1:50" ht="19" x14ac:dyDescent="0.5">
      <c r="A13" s="44">
        <v>1</v>
      </c>
      <c r="B13" s="44">
        <v>2</v>
      </c>
      <c r="C13" s="44">
        <v>4</v>
      </c>
      <c r="D13" s="44">
        <v>5</v>
      </c>
      <c r="E13" s="44">
        <v>6</v>
      </c>
      <c r="F13" s="44">
        <v>7</v>
      </c>
      <c r="G13" s="44">
        <v>8</v>
      </c>
      <c r="H13" s="44">
        <v>9</v>
      </c>
      <c r="I13" s="44">
        <v>10</v>
      </c>
      <c r="J13" s="44">
        <v>11</v>
      </c>
      <c r="K13" s="44">
        <v>12</v>
      </c>
      <c r="L13" s="44">
        <v>13</v>
      </c>
      <c r="M13" s="44">
        <v>14</v>
      </c>
      <c r="N13" s="44">
        <v>15</v>
      </c>
      <c r="O13" s="44">
        <v>16</v>
      </c>
    </row>
    <row r="14" spans="1:50" ht="20.149999999999999" customHeight="1" x14ac:dyDescent="0.6">
      <c r="A14" s="187">
        <v>1</v>
      </c>
      <c r="B14" s="145" t="s">
        <v>309</v>
      </c>
      <c r="C14" s="146"/>
      <c r="D14" s="146"/>
      <c r="E14" s="146"/>
      <c r="F14" s="146"/>
      <c r="G14" s="146"/>
      <c r="H14" s="146"/>
      <c r="I14" s="48"/>
      <c r="J14" s="104"/>
      <c r="K14" s="104"/>
      <c r="L14" s="104"/>
      <c r="M14" s="104"/>
      <c r="N14" s="104"/>
      <c r="O14" s="104"/>
    </row>
    <row r="15" spans="1:50" ht="20.149999999999999" customHeight="1" x14ac:dyDescent="0.5">
      <c r="A15" s="11">
        <v>2</v>
      </c>
      <c r="B15" s="178" t="s">
        <v>148</v>
      </c>
      <c r="C15" s="144" t="s">
        <v>177</v>
      </c>
      <c r="D15" s="46"/>
      <c r="E15" s="46">
        <f>'PENERIMAAN OBAT PROGRAM'!G10</f>
        <v>0</v>
      </c>
      <c r="F15" s="47">
        <f>D15+E15</f>
        <v>0</v>
      </c>
      <c r="G15" s="47">
        <f>DISTRIBUSI!Z184</f>
        <v>0</v>
      </c>
      <c r="H15" s="46">
        <f t="shared" ref="H15:H78" si="0">F15-G15</f>
        <v>0</v>
      </c>
      <c r="I15" s="48"/>
      <c r="J15" s="177"/>
      <c r="K15" s="230"/>
      <c r="L15" s="49"/>
      <c r="M15" s="49"/>
      <c r="N15" s="49"/>
      <c r="O15" s="49"/>
      <c r="R15" s="38">
        <v>0</v>
      </c>
      <c r="S15" s="91">
        <f>H15-R15</f>
        <v>0</v>
      </c>
    </row>
    <row r="16" spans="1:50" ht="20.149999999999999" customHeight="1" x14ac:dyDescent="0.5">
      <c r="A16" s="11">
        <v>3</v>
      </c>
      <c r="B16" s="178" t="s">
        <v>391</v>
      </c>
      <c r="C16" s="144" t="s">
        <v>48</v>
      </c>
      <c r="D16" s="46"/>
      <c r="E16" s="46">
        <f>'PENERIMAAN OBAT PROGRAM'!G11</f>
        <v>0</v>
      </c>
      <c r="F16" s="47">
        <f t="shared" ref="F16:F79" si="1">D16+E16</f>
        <v>0</v>
      </c>
      <c r="G16" s="47">
        <f>DISTRIBUSI!Z185</f>
        <v>0</v>
      </c>
      <c r="H16" s="46">
        <f t="shared" si="0"/>
        <v>0</v>
      </c>
      <c r="I16" s="140"/>
      <c r="J16" s="177"/>
      <c r="K16" s="230"/>
      <c r="L16" s="49"/>
      <c r="M16" s="49"/>
      <c r="N16" s="49"/>
      <c r="O16" s="49"/>
      <c r="R16" s="38">
        <v>0</v>
      </c>
      <c r="S16" s="91">
        <f t="shared" ref="S16:S79" si="2">H16-R16</f>
        <v>0</v>
      </c>
    </row>
    <row r="17" spans="1:19" x14ac:dyDescent="0.5">
      <c r="A17" s="11">
        <v>4</v>
      </c>
      <c r="B17" s="178" t="s">
        <v>283</v>
      </c>
      <c r="C17" s="144" t="s">
        <v>6</v>
      </c>
      <c r="D17" s="46">
        <v>4300</v>
      </c>
      <c r="E17" s="46">
        <f>'PENERIMAAN OBAT PROGRAM'!G12</f>
        <v>20000</v>
      </c>
      <c r="F17" s="47">
        <f t="shared" si="1"/>
        <v>24300</v>
      </c>
      <c r="G17" s="47">
        <f>DISTRIBUSI!Z186</f>
        <v>4300</v>
      </c>
      <c r="H17" s="46">
        <f t="shared" si="0"/>
        <v>20000</v>
      </c>
      <c r="I17" s="48"/>
      <c r="J17" s="151"/>
      <c r="K17" s="230"/>
      <c r="L17" s="49"/>
      <c r="M17" s="49"/>
      <c r="N17" s="49"/>
      <c r="O17" s="49"/>
      <c r="R17" s="38">
        <v>2700</v>
      </c>
      <c r="S17" s="91">
        <f t="shared" si="2"/>
        <v>17300</v>
      </c>
    </row>
    <row r="18" spans="1:19" ht="20.149999999999999" customHeight="1" x14ac:dyDescent="0.5">
      <c r="A18" s="11">
        <v>5</v>
      </c>
      <c r="B18" s="178" t="s">
        <v>392</v>
      </c>
      <c r="C18" s="144" t="s">
        <v>177</v>
      </c>
      <c r="D18" s="46"/>
      <c r="E18" s="46">
        <f>'PENERIMAAN OBAT PROGRAM'!G13</f>
        <v>0</v>
      </c>
      <c r="F18" s="47">
        <f t="shared" si="1"/>
        <v>0</v>
      </c>
      <c r="G18" s="47">
        <f>DISTRIBUSI!Z187</f>
        <v>0</v>
      </c>
      <c r="H18" s="46">
        <f t="shared" si="0"/>
        <v>0</v>
      </c>
      <c r="I18" s="48"/>
      <c r="J18" s="177"/>
      <c r="K18" s="230"/>
      <c r="L18" s="49"/>
      <c r="M18" s="49"/>
      <c r="N18" s="49"/>
      <c r="O18" s="49"/>
      <c r="R18" s="38">
        <v>0</v>
      </c>
      <c r="S18" s="91">
        <f t="shared" si="2"/>
        <v>0</v>
      </c>
    </row>
    <row r="19" spans="1:19" ht="20.149999999999999" customHeight="1" x14ac:dyDescent="0.5">
      <c r="A19" s="11">
        <v>6</v>
      </c>
      <c r="B19" s="178" t="s">
        <v>176</v>
      </c>
      <c r="C19" s="144" t="s">
        <v>33</v>
      </c>
      <c r="D19" s="46"/>
      <c r="E19" s="46">
        <f>'PENERIMAAN OBAT PROGRAM'!G14</f>
        <v>0</v>
      </c>
      <c r="F19" s="47">
        <f t="shared" si="1"/>
        <v>0</v>
      </c>
      <c r="G19" s="47">
        <f>DISTRIBUSI!Z188</f>
        <v>0</v>
      </c>
      <c r="H19" s="46">
        <f t="shared" si="0"/>
        <v>0</v>
      </c>
      <c r="I19" s="48"/>
      <c r="J19" s="177"/>
      <c r="K19" s="230"/>
      <c r="L19" s="45"/>
      <c r="M19" s="45"/>
      <c r="N19" s="45"/>
      <c r="O19" s="45"/>
      <c r="R19" s="38">
        <v>0</v>
      </c>
      <c r="S19" s="91">
        <f t="shared" si="2"/>
        <v>0</v>
      </c>
    </row>
    <row r="20" spans="1:19" ht="20.149999999999999" customHeight="1" x14ac:dyDescent="0.6">
      <c r="A20" s="11">
        <v>7</v>
      </c>
      <c r="B20" s="181" t="s">
        <v>175</v>
      </c>
      <c r="C20" s="144" t="s">
        <v>33</v>
      </c>
      <c r="D20" s="46">
        <v>50</v>
      </c>
      <c r="E20" s="46">
        <f>'PENERIMAAN OBAT PROGRAM'!G15</f>
        <v>0</v>
      </c>
      <c r="F20" s="47">
        <f t="shared" si="1"/>
        <v>50</v>
      </c>
      <c r="G20" s="47">
        <f>DISTRIBUSI!Z189</f>
        <v>0</v>
      </c>
      <c r="H20" s="46">
        <f t="shared" si="0"/>
        <v>50</v>
      </c>
      <c r="I20" s="48"/>
      <c r="J20" s="177"/>
      <c r="K20" s="230"/>
      <c r="L20" s="104"/>
      <c r="M20" s="104"/>
      <c r="N20" s="104"/>
      <c r="O20" s="104"/>
      <c r="R20" s="38">
        <v>0</v>
      </c>
      <c r="S20" s="91">
        <f t="shared" si="2"/>
        <v>50</v>
      </c>
    </row>
    <row r="21" spans="1:19" ht="20.149999999999999" customHeight="1" x14ac:dyDescent="0.5">
      <c r="A21" s="11">
        <v>8</v>
      </c>
      <c r="B21" s="178"/>
      <c r="C21" s="144"/>
      <c r="D21" s="46"/>
      <c r="E21" s="46">
        <f>'PENERIMAAN OBAT PROGRAM'!G16</f>
        <v>0</v>
      </c>
      <c r="F21" s="47">
        <f t="shared" si="1"/>
        <v>0</v>
      </c>
      <c r="G21" s="47">
        <f>DISTRIBUSI!Z190</f>
        <v>0</v>
      </c>
      <c r="H21" s="46">
        <f t="shared" si="0"/>
        <v>0</v>
      </c>
      <c r="I21" s="48"/>
      <c r="J21" s="177"/>
      <c r="K21" s="230"/>
      <c r="L21" s="49"/>
      <c r="M21" s="49"/>
      <c r="N21" s="49"/>
      <c r="O21" s="49"/>
      <c r="R21" s="38">
        <v>0</v>
      </c>
      <c r="S21" s="91">
        <f t="shared" si="2"/>
        <v>0</v>
      </c>
    </row>
    <row r="22" spans="1:19" ht="20.149999999999999" customHeight="1" x14ac:dyDescent="0.5">
      <c r="A22" s="11">
        <v>9</v>
      </c>
      <c r="B22" s="178"/>
      <c r="C22" s="144"/>
      <c r="D22" s="46"/>
      <c r="E22" s="46">
        <f>'PENERIMAAN OBAT PROGRAM'!G17</f>
        <v>0</v>
      </c>
      <c r="F22" s="47">
        <f t="shared" si="1"/>
        <v>0</v>
      </c>
      <c r="G22" s="47">
        <f>DISTRIBUSI!Z191</f>
        <v>0</v>
      </c>
      <c r="H22" s="46">
        <f t="shared" si="0"/>
        <v>0</v>
      </c>
      <c r="I22" s="48"/>
      <c r="J22" s="177"/>
      <c r="K22" s="230"/>
      <c r="L22" s="49"/>
      <c r="M22" s="49"/>
      <c r="N22" s="49"/>
      <c r="O22" s="49"/>
      <c r="R22" s="38">
        <v>0</v>
      </c>
      <c r="S22" s="91">
        <f t="shared" si="2"/>
        <v>0</v>
      </c>
    </row>
    <row r="23" spans="1:19" ht="20.149999999999999" customHeight="1" x14ac:dyDescent="0.5">
      <c r="A23" s="11">
        <v>10</v>
      </c>
      <c r="B23" s="178"/>
      <c r="C23" s="144"/>
      <c r="D23" s="46"/>
      <c r="E23" s="46">
        <f>'PENERIMAAN OBAT PROGRAM'!G18</f>
        <v>0</v>
      </c>
      <c r="F23" s="47">
        <f t="shared" si="1"/>
        <v>0</v>
      </c>
      <c r="G23" s="47">
        <f>DISTRIBUSI!Z192</f>
        <v>0</v>
      </c>
      <c r="H23" s="46">
        <f t="shared" si="0"/>
        <v>0</v>
      </c>
      <c r="I23" s="48"/>
      <c r="J23" s="177"/>
      <c r="K23" s="230"/>
      <c r="L23" s="49"/>
      <c r="M23" s="49"/>
      <c r="N23" s="49"/>
      <c r="O23" s="49"/>
      <c r="R23" s="38">
        <v>0</v>
      </c>
      <c r="S23" s="91">
        <f t="shared" si="2"/>
        <v>0</v>
      </c>
    </row>
    <row r="24" spans="1:19" ht="20.149999999999999" customHeight="1" x14ac:dyDescent="0.5">
      <c r="A24" s="187">
        <v>11</v>
      </c>
      <c r="B24" s="188" t="s">
        <v>178</v>
      </c>
      <c r="C24" s="146"/>
      <c r="D24" s="146"/>
      <c r="E24" s="146"/>
      <c r="F24" s="146"/>
      <c r="G24" s="146"/>
      <c r="H24" s="146"/>
      <c r="I24" s="48"/>
      <c r="J24" s="177"/>
      <c r="K24" s="230"/>
      <c r="L24" s="49"/>
      <c r="M24" s="49"/>
      <c r="N24" s="49"/>
      <c r="O24" s="49"/>
      <c r="S24" s="91">
        <f t="shared" si="2"/>
        <v>0</v>
      </c>
    </row>
    <row r="25" spans="1:19" ht="20.149999999999999" customHeight="1" x14ac:dyDescent="0.5">
      <c r="A25" s="11">
        <v>12</v>
      </c>
      <c r="B25" s="182" t="s">
        <v>179</v>
      </c>
      <c r="C25" s="144" t="s">
        <v>4</v>
      </c>
      <c r="D25" s="46"/>
      <c r="E25" s="46">
        <f>'PENERIMAAN OBAT PROGRAM'!G20</f>
        <v>0</v>
      </c>
      <c r="F25" s="47">
        <f t="shared" si="1"/>
        <v>0</v>
      </c>
      <c r="G25" s="47">
        <f>DISTRIBUSI!Z194</f>
        <v>0</v>
      </c>
      <c r="H25" s="46">
        <f t="shared" si="0"/>
        <v>0</v>
      </c>
      <c r="I25" s="48"/>
      <c r="J25" s="177"/>
      <c r="K25" s="230"/>
      <c r="L25" s="49"/>
      <c r="M25" s="49"/>
      <c r="N25" s="49"/>
      <c r="O25" s="49"/>
      <c r="R25" s="38">
        <v>0</v>
      </c>
      <c r="S25" s="91">
        <f t="shared" si="2"/>
        <v>0</v>
      </c>
    </row>
    <row r="26" spans="1:19" ht="20.149999999999999" customHeight="1" x14ac:dyDescent="0.5">
      <c r="A26" s="11">
        <v>13</v>
      </c>
      <c r="B26" s="183" t="s">
        <v>181</v>
      </c>
      <c r="C26" s="144" t="s">
        <v>182</v>
      </c>
      <c r="D26" s="46"/>
      <c r="E26" s="46">
        <f>'PENERIMAAN OBAT PROGRAM'!G21</f>
        <v>0</v>
      </c>
      <c r="F26" s="47">
        <f t="shared" si="1"/>
        <v>0</v>
      </c>
      <c r="G26" s="47">
        <f>DISTRIBUSI!Z195</f>
        <v>0</v>
      </c>
      <c r="H26" s="46">
        <f t="shared" si="0"/>
        <v>0</v>
      </c>
      <c r="I26" s="48"/>
      <c r="J26" s="177"/>
      <c r="K26" s="230"/>
      <c r="L26" s="49"/>
      <c r="M26" s="49"/>
      <c r="N26" s="49"/>
      <c r="O26" s="49"/>
      <c r="R26" s="38">
        <v>0</v>
      </c>
      <c r="S26" s="91">
        <f t="shared" si="2"/>
        <v>0</v>
      </c>
    </row>
    <row r="27" spans="1:19" ht="20.149999999999999" customHeight="1" x14ac:dyDescent="0.5">
      <c r="A27" s="11">
        <v>14</v>
      </c>
      <c r="B27" s="183" t="s">
        <v>184</v>
      </c>
      <c r="C27" s="144" t="s">
        <v>4</v>
      </c>
      <c r="D27" s="46"/>
      <c r="E27" s="46">
        <f>'PENERIMAAN OBAT PROGRAM'!G22</f>
        <v>0</v>
      </c>
      <c r="F27" s="47">
        <f t="shared" si="1"/>
        <v>0</v>
      </c>
      <c r="G27" s="47">
        <f>DISTRIBUSI!Z196</f>
        <v>0</v>
      </c>
      <c r="H27" s="46">
        <f t="shared" si="0"/>
        <v>0</v>
      </c>
      <c r="I27" s="48"/>
      <c r="J27" s="177"/>
      <c r="K27" s="230"/>
      <c r="L27" s="49"/>
      <c r="M27" s="49"/>
      <c r="N27" s="49"/>
      <c r="O27" s="49"/>
      <c r="R27" s="38">
        <v>0</v>
      </c>
      <c r="S27" s="91">
        <f t="shared" si="2"/>
        <v>0</v>
      </c>
    </row>
    <row r="28" spans="1:19" ht="20.149999999999999" customHeight="1" x14ac:dyDescent="0.5">
      <c r="A28" s="11">
        <v>15</v>
      </c>
      <c r="B28" s="183" t="s">
        <v>353</v>
      </c>
      <c r="C28" s="144" t="s">
        <v>48</v>
      </c>
      <c r="D28" s="46"/>
      <c r="E28" s="46">
        <f>'PENERIMAAN OBAT PROGRAM'!G23</f>
        <v>0</v>
      </c>
      <c r="F28" s="47">
        <f t="shared" si="1"/>
        <v>0</v>
      </c>
      <c r="G28" s="47">
        <f>DISTRIBUSI!Z197</f>
        <v>0</v>
      </c>
      <c r="H28" s="46">
        <f t="shared" si="0"/>
        <v>0</v>
      </c>
      <c r="I28" s="48"/>
      <c r="J28" s="177"/>
      <c r="K28" s="230"/>
      <c r="L28" s="49"/>
      <c r="M28" s="49"/>
      <c r="N28" s="49"/>
      <c r="O28" s="49"/>
      <c r="R28" s="38">
        <v>0</v>
      </c>
      <c r="S28" s="91">
        <f t="shared" si="2"/>
        <v>0</v>
      </c>
    </row>
    <row r="29" spans="1:19" ht="20.149999999999999" customHeight="1" x14ac:dyDescent="0.5">
      <c r="A29" s="11">
        <v>16</v>
      </c>
      <c r="B29" s="178" t="s">
        <v>183</v>
      </c>
      <c r="C29" s="144" t="s">
        <v>4</v>
      </c>
      <c r="D29" s="46"/>
      <c r="E29" s="46">
        <f>'PENERIMAAN OBAT PROGRAM'!G24</f>
        <v>0</v>
      </c>
      <c r="F29" s="47">
        <f t="shared" si="1"/>
        <v>0</v>
      </c>
      <c r="G29" s="47">
        <f>DISTRIBUSI!Z198</f>
        <v>0</v>
      </c>
      <c r="H29" s="46">
        <f t="shared" si="0"/>
        <v>0</v>
      </c>
      <c r="I29" s="48"/>
      <c r="J29" s="177"/>
      <c r="K29" s="230"/>
      <c r="L29" s="49"/>
      <c r="M29" s="49"/>
      <c r="N29" s="49"/>
      <c r="O29" s="49"/>
      <c r="R29" s="38">
        <v>0</v>
      </c>
      <c r="S29" s="91">
        <f t="shared" si="2"/>
        <v>0</v>
      </c>
    </row>
    <row r="30" spans="1:19" ht="20.149999999999999" customHeight="1" x14ac:dyDescent="0.5">
      <c r="A30" s="11">
        <v>17</v>
      </c>
      <c r="B30" s="178" t="s">
        <v>180</v>
      </c>
      <c r="C30" s="144" t="s">
        <v>4</v>
      </c>
      <c r="D30" s="46">
        <v>40</v>
      </c>
      <c r="E30" s="46">
        <f>'PENERIMAAN OBAT PROGRAM'!G25</f>
        <v>0</v>
      </c>
      <c r="F30" s="47">
        <f t="shared" si="1"/>
        <v>40</v>
      </c>
      <c r="G30" s="47">
        <f>DISTRIBUSI!Z199</f>
        <v>40</v>
      </c>
      <c r="H30" s="46">
        <f t="shared" si="0"/>
        <v>0</v>
      </c>
      <c r="I30" s="48"/>
      <c r="J30" s="177"/>
      <c r="K30" s="230"/>
      <c r="L30" s="49"/>
      <c r="M30" s="49"/>
      <c r="N30" s="49"/>
      <c r="O30" s="49"/>
      <c r="R30" s="38">
        <v>0</v>
      </c>
      <c r="S30" s="91">
        <f t="shared" si="2"/>
        <v>0</v>
      </c>
    </row>
    <row r="31" spans="1:19" ht="20.149999999999999" customHeight="1" x14ac:dyDescent="0.5">
      <c r="A31" s="11">
        <v>18</v>
      </c>
      <c r="B31" s="178" t="s">
        <v>185</v>
      </c>
      <c r="C31" s="144" t="s">
        <v>4</v>
      </c>
      <c r="D31" s="46"/>
      <c r="E31" s="46">
        <f>'PENERIMAAN OBAT PROGRAM'!G26</f>
        <v>0</v>
      </c>
      <c r="F31" s="47">
        <f t="shared" si="1"/>
        <v>0</v>
      </c>
      <c r="G31" s="47">
        <f>DISTRIBUSI!Z200</f>
        <v>0</v>
      </c>
      <c r="H31" s="46">
        <f t="shared" si="0"/>
        <v>0</v>
      </c>
      <c r="I31" s="48"/>
      <c r="J31" s="177"/>
      <c r="K31" s="230"/>
      <c r="L31" s="45"/>
      <c r="M31" s="45"/>
      <c r="N31" s="45"/>
      <c r="O31" s="45"/>
      <c r="R31" s="38">
        <v>0</v>
      </c>
      <c r="S31" s="91">
        <f t="shared" si="2"/>
        <v>0</v>
      </c>
    </row>
    <row r="32" spans="1:19" ht="20.149999999999999" customHeight="1" x14ac:dyDescent="0.5">
      <c r="A32" s="11">
        <v>19</v>
      </c>
      <c r="B32" s="178" t="s">
        <v>267</v>
      </c>
      <c r="C32" s="144" t="s">
        <v>4</v>
      </c>
      <c r="D32" s="46"/>
      <c r="E32" s="46">
        <f>'PENERIMAAN OBAT PROGRAM'!G27</f>
        <v>0</v>
      </c>
      <c r="F32" s="47">
        <f t="shared" si="1"/>
        <v>0</v>
      </c>
      <c r="G32" s="47">
        <f>DISTRIBUSI!Z201</f>
        <v>0</v>
      </c>
      <c r="H32" s="46">
        <f t="shared" si="0"/>
        <v>0</v>
      </c>
      <c r="I32" s="48"/>
      <c r="J32" s="177"/>
      <c r="K32" s="230"/>
      <c r="L32" s="49"/>
      <c r="M32" s="49"/>
      <c r="N32" s="49"/>
      <c r="O32" s="49"/>
      <c r="R32" s="38">
        <v>0</v>
      </c>
      <c r="S32" s="91">
        <f t="shared" si="2"/>
        <v>0</v>
      </c>
    </row>
    <row r="33" spans="1:19" ht="20.149999999999999" customHeight="1" x14ac:dyDescent="0.6">
      <c r="A33" s="11">
        <v>20</v>
      </c>
      <c r="B33" s="178" t="s">
        <v>186</v>
      </c>
      <c r="C33" s="144" t="s">
        <v>4</v>
      </c>
      <c r="D33" s="46"/>
      <c r="E33" s="46">
        <f>'PENERIMAAN OBAT PROGRAM'!G28</f>
        <v>0</v>
      </c>
      <c r="F33" s="47">
        <f t="shared" si="1"/>
        <v>0</v>
      </c>
      <c r="G33" s="47">
        <f>DISTRIBUSI!Z202</f>
        <v>0</v>
      </c>
      <c r="H33" s="46">
        <f t="shared" si="0"/>
        <v>0</v>
      </c>
      <c r="I33" s="48"/>
      <c r="J33" s="177"/>
      <c r="K33" s="230"/>
      <c r="L33" s="104"/>
      <c r="M33" s="104"/>
      <c r="N33" s="104"/>
      <c r="O33" s="104"/>
      <c r="R33" s="38">
        <v>0</v>
      </c>
      <c r="S33" s="91">
        <f t="shared" si="2"/>
        <v>0</v>
      </c>
    </row>
    <row r="34" spans="1:19" ht="20.149999999999999" customHeight="1" x14ac:dyDescent="0.5">
      <c r="A34" s="11">
        <v>21</v>
      </c>
      <c r="B34" s="178" t="s">
        <v>266</v>
      </c>
      <c r="C34" s="144" t="s">
        <v>4</v>
      </c>
      <c r="D34" s="46"/>
      <c r="E34" s="46">
        <f>'PENERIMAAN OBAT PROGRAM'!G29</f>
        <v>50</v>
      </c>
      <c r="F34" s="47">
        <f t="shared" si="1"/>
        <v>50</v>
      </c>
      <c r="G34" s="47">
        <f>DISTRIBUSI!Z203</f>
        <v>40</v>
      </c>
      <c r="H34" s="46">
        <f t="shared" si="0"/>
        <v>10</v>
      </c>
      <c r="I34" s="48"/>
      <c r="J34" s="177"/>
      <c r="K34" s="230"/>
      <c r="L34" s="49"/>
      <c r="M34" s="49"/>
      <c r="N34" s="49"/>
      <c r="O34" s="49"/>
      <c r="R34" s="38">
        <v>0</v>
      </c>
      <c r="S34" s="91">
        <f t="shared" si="2"/>
        <v>10</v>
      </c>
    </row>
    <row r="35" spans="1:19" ht="20.149999999999999" customHeight="1" x14ac:dyDescent="0.5">
      <c r="A35" s="11">
        <v>22</v>
      </c>
      <c r="B35" s="178" t="s">
        <v>187</v>
      </c>
      <c r="C35" s="144" t="s">
        <v>188</v>
      </c>
      <c r="D35" s="46"/>
      <c r="E35" s="46">
        <f>'PENERIMAAN OBAT PROGRAM'!G30</f>
        <v>0</v>
      </c>
      <c r="F35" s="47">
        <f t="shared" si="1"/>
        <v>0</v>
      </c>
      <c r="G35" s="47">
        <f>DISTRIBUSI!Z204</f>
        <v>0</v>
      </c>
      <c r="H35" s="46">
        <f t="shared" si="0"/>
        <v>0</v>
      </c>
      <c r="I35" s="48"/>
      <c r="J35" s="177"/>
      <c r="K35" s="230"/>
      <c r="L35" s="49"/>
      <c r="M35" s="49"/>
      <c r="N35" s="49"/>
      <c r="O35" s="49"/>
      <c r="R35" s="38">
        <v>0</v>
      </c>
      <c r="S35" s="91">
        <f t="shared" si="2"/>
        <v>0</v>
      </c>
    </row>
    <row r="36" spans="1:19" ht="20.149999999999999" customHeight="1" x14ac:dyDescent="0.5">
      <c r="A36" s="11">
        <v>23</v>
      </c>
      <c r="B36" s="178" t="s">
        <v>393</v>
      </c>
      <c r="C36" s="144"/>
      <c r="D36" s="46"/>
      <c r="E36" s="46">
        <f>'PENERIMAAN OBAT PROGRAM'!G31</f>
        <v>0</v>
      </c>
      <c r="F36" s="47">
        <f t="shared" si="1"/>
        <v>0</v>
      </c>
      <c r="G36" s="47">
        <f>DISTRIBUSI!Z205</f>
        <v>0</v>
      </c>
      <c r="H36" s="46">
        <f t="shared" si="0"/>
        <v>0</v>
      </c>
      <c r="I36" s="48"/>
      <c r="J36" s="177"/>
      <c r="K36" s="230"/>
      <c r="L36" s="49"/>
      <c r="M36" s="49"/>
      <c r="N36" s="49"/>
      <c r="O36" s="49"/>
      <c r="R36" s="38">
        <v>0</v>
      </c>
      <c r="S36" s="91">
        <f t="shared" si="2"/>
        <v>0</v>
      </c>
    </row>
    <row r="37" spans="1:19" ht="20.149999999999999" customHeight="1" x14ac:dyDescent="0.5">
      <c r="A37" s="11">
        <v>24</v>
      </c>
      <c r="B37" s="183" t="s">
        <v>428</v>
      </c>
      <c r="C37" s="144" t="s">
        <v>6</v>
      </c>
      <c r="D37" s="46"/>
      <c r="E37" s="46">
        <f>'PENERIMAAN OBAT PROGRAM'!G32</f>
        <v>0</v>
      </c>
      <c r="F37" s="47">
        <f t="shared" si="1"/>
        <v>0</v>
      </c>
      <c r="G37" s="47">
        <f>DISTRIBUSI!Z206</f>
        <v>0</v>
      </c>
      <c r="H37" s="46">
        <f t="shared" si="0"/>
        <v>0</v>
      </c>
      <c r="I37" s="48"/>
      <c r="J37" s="177"/>
      <c r="K37" s="230"/>
      <c r="L37" s="45"/>
      <c r="M37" s="45"/>
      <c r="N37" s="45"/>
      <c r="O37" s="45"/>
      <c r="R37" s="38">
        <v>0</v>
      </c>
      <c r="S37" s="91">
        <f t="shared" si="2"/>
        <v>0</v>
      </c>
    </row>
    <row r="38" spans="1:19" ht="20.149999999999999" customHeight="1" x14ac:dyDescent="0.5">
      <c r="A38" s="11">
        <v>25</v>
      </c>
      <c r="B38" s="183" t="s">
        <v>429</v>
      </c>
      <c r="C38" s="144" t="s">
        <v>48</v>
      </c>
      <c r="D38" s="46"/>
      <c r="E38" s="46">
        <f>'PENERIMAAN OBAT PROGRAM'!G33</f>
        <v>409</v>
      </c>
      <c r="F38" s="47">
        <f t="shared" si="1"/>
        <v>409</v>
      </c>
      <c r="G38" s="47">
        <f>DISTRIBUSI!Z207</f>
        <v>47</v>
      </c>
      <c r="H38" s="46">
        <f t="shared" si="0"/>
        <v>362</v>
      </c>
      <c r="I38" s="48"/>
      <c r="J38" s="177"/>
      <c r="K38" s="230"/>
      <c r="L38" s="49"/>
      <c r="M38" s="49"/>
      <c r="N38" s="49"/>
      <c r="O38" s="49"/>
      <c r="R38" s="38">
        <v>0</v>
      </c>
      <c r="S38" s="91">
        <f t="shared" si="2"/>
        <v>362</v>
      </c>
    </row>
    <row r="39" spans="1:19" ht="20.149999999999999" customHeight="1" x14ac:dyDescent="0.5">
      <c r="A39" s="11">
        <v>26</v>
      </c>
      <c r="B39" s="178" t="s">
        <v>430</v>
      </c>
      <c r="C39" s="144" t="s">
        <v>188</v>
      </c>
      <c r="D39" s="46"/>
      <c r="E39" s="46">
        <f>'PENERIMAAN OBAT PROGRAM'!G34</f>
        <v>0</v>
      </c>
      <c r="F39" s="47">
        <f t="shared" si="1"/>
        <v>0</v>
      </c>
      <c r="G39" s="47">
        <f>DISTRIBUSI!Z208</f>
        <v>0</v>
      </c>
      <c r="H39" s="46">
        <f t="shared" si="0"/>
        <v>0</v>
      </c>
      <c r="I39" s="48"/>
      <c r="J39" s="177"/>
      <c r="K39" s="230"/>
      <c r="L39" s="49"/>
      <c r="M39" s="49"/>
      <c r="N39" s="49"/>
      <c r="O39" s="49"/>
      <c r="R39" s="38">
        <v>0</v>
      </c>
      <c r="S39" s="91">
        <f t="shared" si="2"/>
        <v>0</v>
      </c>
    </row>
    <row r="40" spans="1:19" ht="20.149999999999999" customHeight="1" x14ac:dyDescent="0.5">
      <c r="A40" s="11">
        <v>27</v>
      </c>
      <c r="B40" s="184"/>
      <c r="C40" s="144"/>
      <c r="D40" s="46"/>
      <c r="E40" s="46">
        <f>'PENERIMAAN OBAT PROGRAM'!G35</f>
        <v>0</v>
      </c>
      <c r="F40" s="47">
        <f t="shared" si="1"/>
        <v>0</v>
      </c>
      <c r="G40" s="47">
        <f>DISTRIBUSI!Z209</f>
        <v>0</v>
      </c>
      <c r="H40" s="46">
        <f t="shared" si="0"/>
        <v>0</v>
      </c>
      <c r="I40" s="48"/>
      <c r="J40" s="177"/>
      <c r="K40" s="230"/>
      <c r="L40" s="49"/>
      <c r="M40" s="49"/>
      <c r="N40" s="49"/>
      <c r="O40" s="49"/>
      <c r="R40" s="38">
        <v>0</v>
      </c>
      <c r="S40" s="91">
        <f t="shared" si="2"/>
        <v>0</v>
      </c>
    </row>
    <row r="41" spans="1:19" ht="20.149999999999999" customHeight="1" x14ac:dyDescent="0.5">
      <c r="A41" s="187">
        <v>28</v>
      </c>
      <c r="B41" s="189" t="s">
        <v>189</v>
      </c>
      <c r="C41" s="146"/>
      <c r="D41" s="146"/>
      <c r="E41" s="146"/>
      <c r="F41" s="146"/>
      <c r="G41" s="146"/>
      <c r="H41" s="146"/>
      <c r="I41" s="48"/>
      <c r="J41" s="177"/>
      <c r="K41" s="230"/>
      <c r="L41" s="45"/>
      <c r="M41" s="45"/>
      <c r="N41" s="45"/>
      <c r="O41" s="45"/>
      <c r="S41" s="91">
        <f t="shared" si="2"/>
        <v>0</v>
      </c>
    </row>
    <row r="42" spans="1:19" ht="20.149999999999999" customHeight="1" x14ac:dyDescent="0.5">
      <c r="A42" s="11">
        <v>29</v>
      </c>
      <c r="B42" s="183" t="s">
        <v>268</v>
      </c>
      <c r="C42" s="144" t="s">
        <v>6</v>
      </c>
      <c r="D42" s="46"/>
      <c r="E42" s="46">
        <f>'PENERIMAAN OBAT PROGRAM'!G37</f>
        <v>0</v>
      </c>
      <c r="F42" s="47">
        <f t="shared" si="1"/>
        <v>0</v>
      </c>
      <c r="G42" s="47">
        <f>DISTRIBUSI!Z211</f>
        <v>0</v>
      </c>
      <c r="H42" s="46">
        <f t="shared" si="0"/>
        <v>0</v>
      </c>
      <c r="I42" s="48"/>
      <c r="J42" s="177"/>
      <c r="K42" s="230"/>
      <c r="L42" s="49"/>
      <c r="M42" s="49"/>
      <c r="N42" s="49"/>
      <c r="O42" s="49"/>
      <c r="R42" s="38">
        <v>18</v>
      </c>
      <c r="S42" s="91">
        <f t="shared" si="2"/>
        <v>-18</v>
      </c>
    </row>
    <row r="43" spans="1:19" ht="20.149999999999999" customHeight="1" x14ac:dyDescent="0.5">
      <c r="A43" s="11">
        <v>30</v>
      </c>
      <c r="B43" s="178" t="s">
        <v>269</v>
      </c>
      <c r="C43" s="144" t="s">
        <v>182</v>
      </c>
      <c r="D43" s="46"/>
      <c r="E43" s="46">
        <f>'PENERIMAAN OBAT PROGRAM'!G38</f>
        <v>0</v>
      </c>
      <c r="F43" s="47">
        <f t="shared" si="1"/>
        <v>0</v>
      </c>
      <c r="G43" s="47">
        <f>DISTRIBUSI!Z212</f>
        <v>0</v>
      </c>
      <c r="H43" s="46">
        <f t="shared" si="0"/>
        <v>0</v>
      </c>
      <c r="I43" s="48"/>
      <c r="J43" s="177"/>
      <c r="K43" s="230"/>
      <c r="L43" s="49"/>
      <c r="M43" s="49"/>
      <c r="N43" s="49"/>
      <c r="O43" s="49"/>
      <c r="R43" s="38">
        <v>0</v>
      </c>
      <c r="S43" s="91">
        <f t="shared" si="2"/>
        <v>0</v>
      </c>
    </row>
    <row r="44" spans="1:19" ht="20.149999999999999" customHeight="1" x14ac:dyDescent="0.5">
      <c r="A44" s="11">
        <v>31</v>
      </c>
      <c r="B44" s="178" t="s">
        <v>284</v>
      </c>
      <c r="C44" s="144" t="s">
        <v>48</v>
      </c>
      <c r="D44" s="46"/>
      <c r="E44" s="46">
        <f>'PENERIMAAN OBAT PROGRAM'!G39</f>
        <v>0</v>
      </c>
      <c r="F44" s="47">
        <f t="shared" si="1"/>
        <v>0</v>
      </c>
      <c r="G44" s="47">
        <f>DISTRIBUSI!Z213</f>
        <v>0</v>
      </c>
      <c r="H44" s="46">
        <f t="shared" si="0"/>
        <v>0</v>
      </c>
      <c r="I44" s="48"/>
      <c r="J44" s="177"/>
      <c r="K44" s="230"/>
      <c r="L44" s="49"/>
      <c r="M44" s="49"/>
      <c r="N44" s="49"/>
      <c r="O44" s="49"/>
      <c r="R44" s="38">
        <v>0</v>
      </c>
      <c r="S44" s="91">
        <f t="shared" si="2"/>
        <v>0</v>
      </c>
    </row>
    <row r="45" spans="1:19" ht="20.149999999999999" customHeight="1" x14ac:dyDescent="0.5">
      <c r="A45" s="11">
        <v>32</v>
      </c>
      <c r="B45" s="178" t="s">
        <v>190</v>
      </c>
      <c r="C45" s="144" t="s">
        <v>6</v>
      </c>
      <c r="D45" s="46"/>
      <c r="E45" s="46">
        <f>'PENERIMAAN OBAT PROGRAM'!G40</f>
        <v>0</v>
      </c>
      <c r="F45" s="47">
        <f t="shared" si="1"/>
        <v>0</v>
      </c>
      <c r="G45" s="47">
        <f>DISTRIBUSI!Z214</f>
        <v>0</v>
      </c>
      <c r="H45" s="46">
        <f t="shared" si="0"/>
        <v>0</v>
      </c>
      <c r="I45" s="48"/>
      <c r="J45" s="177"/>
      <c r="K45" s="230"/>
      <c r="L45" s="49"/>
      <c r="M45" s="49"/>
      <c r="N45" s="49"/>
      <c r="O45" s="49"/>
      <c r="R45" s="38">
        <v>16</v>
      </c>
      <c r="S45" s="91">
        <f t="shared" si="2"/>
        <v>-16</v>
      </c>
    </row>
    <row r="46" spans="1:19" ht="20.149999999999999" customHeight="1" x14ac:dyDescent="0.5">
      <c r="A46" s="11">
        <v>33</v>
      </c>
      <c r="B46" s="178" t="s">
        <v>357</v>
      </c>
      <c r="C46" s="144" t="s">
        <v>108</v>
      </c>
      <c r="D46" s="46"/>
      <c r="E46" s="46">
        <f>'PENERIMAAN OBAT PROGRAM'!G41</f>
        <v>0</v>
      </c>
      <c r="F46" s="47">
        <f t="shared" si="1"/>
        <v>0</v>
      </c>
      <c r="G46" s="47">
        <f>DISTRIBUSI!Z215</f>
        <v>0</v>
      </c>
      <c r="H46" s="46">
        <f t="shared" si="0"/>
        <v>0</v>
      </c>
      <c r="I46" s="48"/>
      <c r="J46" s="177"/>
      <c r="K46" s="230"/>
      <c r="L46" s="49"/>
      <c r="M46" s="49"/>
      <c r="N46" s="49"/>
      <c r="O46" s="49"/>
      <c r="R46" s="38">
        <v>0</v>
      </c>
      <c r="S46" s="91">
        <f t="shared" si="2"/>
        <v>0</v>
      </c>
    </row>
    <row r="47" spans="1:19" ht="20.149999999999999" customHeight="1" x14ac:dyDescent="0.5">
      <c r="A47" s="11">
        <v>34</v>
      </c>
      <c r="B47" s="178" t="s">
        <v>358</v>
      </c>
      <c r="C47" s="144" t="s">
        <v>108</v>
      </c>
      <c r="D47" s="46"/>
      <c r="E47" s="46">
        <f>'PENERIMAAN OBAT PROGRAM'!G42</f>
        <v>0</v>
      </c>
      <c r="F47" s="47">
        <f t="shared" si="1"/>
        <v>0</v>
      </c>
      <c r="G47" s="47">
        <f>DISTRIBUSI!Z216</f>
        <v>0</v>
      </c>
      <c r="H47" s="46">
        <f t="shared" si="0"/>
        <v>0</v>
      </c>
      <c r="I47" s="48"/>
      <c r="J47" s="177"/>
      <c r="K47" s="230"/>
      <c r="L47" s="49"/>
      <c r="M47" s="49"/>
      <c r="N47" s="49"/>
      <c r="O47" s="49"/>
      <c r="R47" s="38">
        <v>0</v>
      </c>
      <c r="S47" s="91">
        <f t="shared" si="2"/>
        <v>0</v>
      </c>
    </row>
    <row r="48" spans="1:19" ht="20.149999999999999" customHeight="1" x14ac:dyDescent="0.6">
      <c r="A48" s="11">
        <v>35</v>
      </c>
      <c r="B48" s="178" t="s">
        <v>356</v>
      </c>
      <c r="C48" s="144" t="s">
        <v>108</v>
      </c>
      <c r="D48" s="46"/>
      <c r="E48" s="46">
        <f>'PENERIMAAN OBAT PROGRAM'!G43</f>
        <v>0</v>
      </c>
      <c r="F48" s="47">
        <f t="shared" si="1"/>
        <v>0</v>
      </c>
      <c r="G48" s="47">
        <f>DISTRIBUSI!Z217</f>
        <v>0</v>
      </c>
      <c r="H48" s="46">
        <f t="shared" si="0"/>
        <v>0</v>
      </c>
      <c r="I48" s="48"/>
      <c r="J48" s="177"/>
      <c r="K48" s="230"/>
      <c r="L48" s="104"/>
      <c r="M48" s="104"/>
      <c r="N48" s="104"/>
      <c r="O48" s="104"/>
      <c r="R48" s="38">
        <v>0</v>
      </c>
      <c r="S48" s="91">
        <f t="shared" si="2"/>
        <v>0</v>
      </c>
    </row>
    <row r="49" spans="1:19" ht="20.149999999999999" customHeight="1" x14ac:dyDescent="0.5">
      <c r="A49" s="11">
        <v>36</v>
      </c>
      <c r="B49" s="178" t="s">
        <v>354</v>
      </c>
      <c r="C49" s="144" t="s">
        <v>355</v>
      </c>
      <c r="D49" s="46"/>
      <c r="E49" s="46">
        <f>'PENERIMAAN OBAT PROGRAM'!G44</f>
        <v>0</v>
      </c>
      <c r="F49" s="47">
        <f t="shared" si="1"/>
        <v>0</v>
      </c>
      <c r="G49" s="47">
        <f>DISTRIBUSI!Z218</f>
        <v>0</v>
      </c>
      <c r="H49" s="46">
        <f t="shared" si="0"/>
        <v>0</v>
      </c>
      <c r="I49" s="48"/>
      <c r="J49" s="177"/>
      <c r="K49" s="230"/>
      <c r="L49" s="45"/>
      <c r="M49" s="45"/>
      <c r="N49" s="45"/>
      <c r="O49" s="45"/>
      <c r="R49" s="38">
        <v>0</v>
      </c>
      <c r="S49" s="91">
        <f t="shared" si="2"/>
        <v>0</v>
      </c>
    </row>
    <row r="50" spans="1:19" ht="20.149999999999999" customHeight="1" x14ac:dyDescent="0.5">
      <c r="A50" s="11">
        <v>37</v>
      </c>
      <c r="B50" s="178" t="s">
        <v>394</v>
      </c>
      <c r="C50" s="144" t="s">
        <v>395</v>
      </c>
      <c r="D50" s="46"/>
      <c r="E50" s="46">
        <f>'PENERIMAAN OBAT PROGRAM'!G45</f>
        <v>0</v>
      </c>
      <c r="F50" s="47">
        <f t="shared" si="1"/>
        <v>0</v>
      </c>
      <c r="G50" s="47">
        <f>DISTRIBUSI!Z219</f>
        <v>0</v>
      </c>
      <c r="H50" s="46">
        <f t="shared" si="0"/>
        <v>0</v>
      </c>
      <c r="I50" s="48"/>
      <c r="J50" s="177"/>
      <c r="K50" s="230"/>
      <c r="L50" s="49"/>
      <c r="M50" s="49"/>
      <c r="N50" s="49"/>
      <c r="O50" s="49"/>
      <c r="R50" s="38">
        <v>0</v>
      </c>
      <c r="S50" s="91">
        <f t="shared" si="2"/>
        <v>0</v>
      </c>
    </row>
    <row r="51" spans="1:19" ht="20.149999999999999" customHeight="1" x14ac:dyDescent="0.5">
      <c r="A51" s="11">
        <v>38</v>
      </c>
      <c r="B51" s="183" t="s">
        <v>431</v>
      </c>
      <c r="C51" s="144" t="s">
        <v>48</v>
      </c>
      <c r="D51" s="46"/>
      <c r="E51" s="46">
        <f>'PENERIMAAN OBAT PROGRAM'!G46</f>
        <v>0</v>
      </c>
      <c r="F51" s="47">
        <f t="shared" si="1"/>
        <v>0</v>
      </c>
      <c r="G51" s="47">
        <f>DISTRIBUSI!Z220</f>
        <v>0</v>
      </c>
      <c r="H51" s="46">
        <f t="shared" si="0"/>
        <v>0</v>
      </c>
      <c r="I51" s="48"/>
      <c r="J51" s="177"/>
      <c r="K51" s="230"/>
      <c r="L51" s="49"/>
      <c r="M51" s="49"/>
      <c r="N51" s="49"/>
      <c r="O51" s="49"/>
      <c r="R51" s="38">
        <v>0</v>
      </c>
      <c r="S51" s="91">
        <f t="shared" si="2"/>
        <v>0</v>
      </c>
    </row>
    <row r="52" spans="1:19" ht="20.149999999999999" customHeight="1" x14ac:dyDescent="0.5">
      <c r="A52" s="11">
        <v>39</v>
      </c>
      <c r="B52" s="178"/>
      <c r="C52" s="144"/>
      <c r="D52" s="46"/>
      <c r="E52" s="46">
        <f>'PENERIMAAN OBAT PROGRAM'!G47</f>
        <v>0</v>
      </c>
      <c r="F52" s="47">
        <f t="shared" si="1"/>
        <v>0</v>
      </c>
      <c r="G52" s="47">
        <f>DISTRIBUSI!Z221</f>
        <v>0</v>
      </c>
      <c r="H52" s="46">
        <f t="shared" si="0"/>
        <v>0</v>
      </c>
      <c r="I52" s="48"/>
      <c r="J52" s="177"/>
      <c r="K52" s="230"/>
      <c r="L52" s="49"/>
      <c r="M52" s="49"/>
      <c r="N52" s="49"/>
      <c r="O52" s="49"/>
      <c r="R52" s="38">
        <v>0</v>
      </c>
      <c r="S52" s="91">
        <f t="shared" si="2"/>
        <v>0</v>
      </c>
    </row>
    <row r="53" spans="1:19" ht="20.149999999999999" customHeight="1" x14ac:dyDescent="0.5">
      <c r="A53" s="11">
        <v>40</v>
      </c>
      <c r="B53" s="178"/>
      <c r="C53" s="144"/>
      <c r="D53" s="46"/>
      <c r="E53" s="46">
        <f>'PENERIMAAN OBAT PROGRAM'!G48</f>
        <v>0</v>
      </c>
      <c r="F53" s="47">
        <f t="shared" si="1"/>
        <v>0</v>
      </c>
      <c r="G53" s="47">
        <f>DISTRIBUSI!Z222</f>
        <v>0</v>
      </c>
      <c r="H53" s="46">
        <f t="shared" si="0"/>
        <v>0</v>
      </c>
      <c r="I53" s="48"/>
      <c r="J53" s="177"/>
      <c r="K53" s="230"/>
      <c r="L53" s="49"/>
      <c r="M53" s="49"/>
      <c r="N53" s="49"/>
      <c r="O53" s="49"/>
      <c r="R53" s="38">
        <v>0</v>
      </c>
      <c r="S53" s="91">
        <f t="shared" si="2"/>
        <v>0</v>
      </c>
    </row>
    <row r="54" spans="1:19" ht="20.149999999999999" customHeight="1" x14ac:dyDescent="0.5">
      <c r="A54" s="187">
        <v>41</v>
      </c>
      <c r="B54" s="188" t="s">
        <v>191</v>
      </c>
      <c r="C54" s="146"/>
      <c r="D54" s="146"/>
      <c r="E54" s="146"/>
      <c r="F54" s="146"/>
      <c r="G54" s="146"/>
      <c r="H54" s="146"/>
      <c r="I54" s="48"/>
      <c r="J54" s="177"/>
      <c r="K54" s="230"/>
      <c r="L54" s="49"/>
      <c r="M54" s="49"/>
      <c r="N54" s="49"/>
      <c r="O54" s="49"/>
      <c r="S54" s="91">
        <f t="shared" si="2"/>
        <v>0</v>
      </c>
    </row>
    <row r="55" spans="1:19" ht="20.149999999999999" customHeight="1" x14ac:dyDescent="0.5">
      <c r="A55" s="11">
        <v>42</v>
      </c>
      <c r="B55" s="178" t="s">
        <v>192</v>
      </c>
      <c r="C55" s="144" t="s">
        <v>6</v>
      </c>
      <c r="D55" s="46"/>
      <c r="E55" s="46">
        <f>'PENERIMAAN OBAT PROGRAM'!G50</f>
        <v>0</v>
      </c>
      <c r="F55" s="47">
        <f t="shared" si="1"/>
        <v>0</v>
      </c>
      <c r="G55" s="47">
        <f>DISTRIBUSI!Z224</f>
        <v>0</v>
      </c>
      <c r="H55" s="46">
        <f t="shared" si="0"/>
        <v>0</v>
      </c>
      <c r="I55" s="48"/>
      <c r="J55" s="177"/>
      <c r="K55" s="230"/>
      <c r="L55" s="49"/>
      <c r="M55" s="49"/>
      <c r="N55" s="49"/>
      <c r="O55" s="49"/>
      <c r="R55" s="38">
        <v>0</v>
      </c>
      <c r="S55" s="91">
        <f t="shared" si="2"/>
        <v>0</v>
      </c>
    </row>
    <row r="56" spans="1:19" ht="20.149999999999999" customHeight="1" x14ac:dyDescent="0.5">
      <c r="A56" s="11">
        <v>43</v>
      </c>
      <c r="B56" s="178" t="s">
        <v>285</v>
      </c>
      <c r="C56" s="144" t="s">
        <v>48</v>
      </c>
      <c r="D56" s="46"/>
      <c r="E56" s="46">
        <f>'PENERIMAAN OBAT PROGRAM'!G51</f>
        <v>0</v>
      </c>
      <c r="F56" s="47">
        <f t="shared" si="1"/>
        <v>0</v>
      </c>
      <c r="G56" s="47">
        <f>DISTRIBUSI!Z225</f>
        <v>0</v>
      </c>
      <c r="H56" s="46">
        <f t="shared" si="0"/>
        <v>0</v>
      </c>
      <c r="I56" s="48"/>
      <c r="J56" s="177"/>
      <c r="K56" s="230"/>
      <c r="L56" s="49"/>
      <c r="M56" s="49"/>
      <c r="N56" s="49"/>
      <c r="O56" s="49"/>
      <c r="R56" s="38">
        <v>0</v>
      </c>
      <c r="S56" s="91">
        <f t="shared" si="2"/>
        <v>0</v>
      </c>
    </row>
    <row r="57" spans="1:19" ht="20.149999999999999" customHeight="1" x14ac:dyDescent="0.5">
      <c r="A57" s="11">
        <v>44</v>
      </c>
      <c r="B57" s="178" t="s">
        <v>359</v>
      </c>
      <c r="C57" s="144" t="s">
        <v>48</v>
      </c>
      <c r="D57" s="46"/>
      <c r="E57" s="46">
        <f>'PENERIMAAN OBAT PROGRAM'!G52</f>
        <v>0</v>
      </c>
      <c r="F57" s="47">
        <f t="shared" si="1"/>
        <v>0</v>
      </c>
      <c r="G57" s="47">
        <f>DISTRIBUSI!Z226</f>
        <v>0</v>
      </c>
      <c r="H57" s="46">
        <f t="shared" si="0"/>
        <v>0</v>
      </c>
      <c r="I57" s="48"/>
      <c r="J57" s="177"/>
      <c r="K57" s="230"/>
      <c r="L57" s="49"/>
      <c r="M57" s="49"/>
      <c r="N57" s="49"/>
      <c r="O57" s="49"/>
      <c r="R57" s="38">
        <v>0</v>
      </c>
      <c r="S57" s="91">
        <f t="shared" si="2"/>
        <v>0</v>
      </c>
    </row>
    <row r="58" spans="1:19" ht="20.149999999999999" customHeight="1" x14ac:dyDescent="0.6">
      <c r="A58" s="11">
        <v>45</v>
      </c>
      <c r="B58" s="178"/>
      <c r="C58" s="144"/>
      <c r="D58" s="46"/>
      <c r="E58" s="46">
        <f>'PENERIMAAN OBAT PROGRAM'!G53</f>
        <v>0</v>
      </c>
      <c r="F58" s="47">
        <f t="shared" si="1"/>
        <v>0</v>
      </c>
      <c r="G58" s="47">
        <f>DISTRIBUSI!Z227</f>
        <v>0</v>
      </c>
      <c r="H58" s="46">
        <f t="shared" si="0"/>
        <v>0</v>
      </c>
      <c r="I58" s="48"/>
      <c r="J58" s="177"/>
      <c r="K58" s="230"/>
      <c r="L58" s="104"/>
      <c r="M58" s="104"/>
      <c r="N58" s="104"/>
      <c r="O58" s="104"/>
      <c r="R58" s="38">
        <v>0</v>
      </c>
      <c r="S58" s="91">
        <f t="shared" si="2"/>
        <v>0</v>
      </c>
    </row>
    <row r="59" spans="1:19" ht="20.149999999999999" customHeight="1" x14ac:dyDescent="0.5">
      <c r="A59" s="11">
        <v>46</v>
      </c>
      <c r="B59" s="178"/>
      <c r="C59" s="144"/>
      <c r="D59" s="46"/>
      <c r="E59" s="46">
        <f>'PENERIMAAN OBAT PROGRAM'!G54</f>
        <v>0</v>
      </c>
      <c r="F59" s="47">
        <f t="shared" si="1"/>
        <v>0</v>
      </c>
      <c r="G59" s="47">
        <f>DISTRIBUSI!Z228</f>
        <v>0</v>
      </c>
      <c r="H59" s="46">
        <f t="shared" si="0"/>
        <v>0</v>
      </c>
      <c r="I59" s="48"/>
      <c r="J59" s="177"/>
      <c r="K59" s="230"/>
      <c r="L59" s="45"/>
      <c r="M59" s="45"/>
      <c r="N59" s="45"/>
      <c r="O59" s="45"/>
      <c r="R59" s="38">
        <v>0</v>
      </c>
      <c r="S59" s="91">
        <f t="shared" si="2"/>
        <v>0</v>
      </c>
    </row>
    <row r="60" spans="1:19" ht="20.149999999999999" customHeight="1" x14ac:dyDescent="0.5">
      <c r="A60" s="11">
        <v>47</v>
      </c>
      <c r="B60" s="178"/>
      <c r="C60" s="144"/>
      <c r="D60" s="46"/>
      <c r="E60" s="46">
        <f>'PENERIMAAN OBAT PROGRAM'!G55</f>
        <v>0</v>
      </c>
      <c r="F60" s="47">
        <f t="shared" si="1"/>
        <v>0</v>
      </c>
      <c r="G60" s="47">
        <f>DISTRIBUSI!Z229</f>
        <v>0</v>
      </c>
      <c r="H60" s="46">
        <f t="shared" si="0"/>
        <v>0</v>
      </c>
      <c r="I60" s="48"/>
      <c r="J60" s="177"/>
      <c r="K60" s="230"/>
      <c r="L60" s="49"/>
      <c r="M60" s="49"/>
      <c r="N60" s="49"/>
      <c r="O60" s="49"/>
      <c r="R60" s="38">
        <v>0</v>
      </c>
      <c r="S60" s="91">
        <f t="shared" si="2"/>
        <v>0</v>
      </c>
    </row>
    <row r="61" spans="1:19" ht="20.149999999999999" customHeight="1" x14ac:dyDescent="0.5">
      <c r="A61" s="187">
        <v>48</v>
      </c>
      <c r="B61" s="188" t="s">
        <v>193</v>
      </c>
      <c r="C61" s="146"/>
      <c r="D61" s="146"/>
      <c r="E61" s="146"/>
      <c r="F61" s="146"/>
      <c r="G61" s="146"/>
      <c r="H61" s="146"/>
      <c r="I61" s="48"/>
      <c r="J61" s="177"/>
      <c r="K61" s="230"/>
      <c r="L61" s="49"/>
      <c r="M61" s="49"/>
      <c r="N61" s="49"/>
      <c r="O61" s="49"/>
      <c r="S61" s="91">
        <f t="shared" si="2"/>
        <v>0</v>
      </c>
    </row>
    <row r="62" spans="1:19" ht="27.75" customHeight="1" x14ac:dyDescent="0.5">
      <c r="A62" s="11">
        <v>49</v>
      </c>
      <c r="B62" s="178" t="s">
        <v>194</v>
      </c>
      <c r="C62" s="144" t="s">
        <v>6</v>
      </c>
      <c r="D62" s="46">
        <v>200</v>
      </c>
      <c r="E62" s="46">
        <f>'PENERIMAAN OBAT PROGRAM'!G57</f>
        <v>0</v>
      </c>
      <c r="F62" s="47">
        <f t="shared" si="1"/>
        <v>200</v>
      </c>
      <c r="G62" s="47">
        <f>DISTRIBUSI!Z231</f>
        <v>0</v>
      </c>
      <c r="H62" s="46">
        <f t="shared" si="0"/>
        <v>200</v>
      </c>
      <c r="I62" s="48"/>
      <c r="J62" s="177"/>
      <c r="K62" s="230"/>
      <c r="L62" s="49"/>
      <c r="M62" s="49"/>
      <c r="N62" s="49"/>
      <c r="O62" s="49"/>
      <c r="R62" s="38">
        <v>100</v>
      </c>
      <c r="S62" s="91">
        <f t="shared" si="2"/>
        <v>100</v>
      </c>
    </row>
    <row r="63" spans="1:19" ht="20.149999999999999" customHeight="1" x14ac:dyDescent="0.5">
      <c r="A63" s="11">
        <v>50</v>
      </c>
      <c r="B63" s="178" t="s">
        <v>195</v>
      </c>
      <c r="C63" s="144" t="s">
        <v>6</v>
      </c>
      <c r="D63" s="46"/>
      <c r="E63" s="46">
        <f>'PENERIMAAN OBAT PROGRAM'!G58</f>
        <v>0</v>
      </c>
      <c r="F63" s="47">
        <f t="shared" si="1"/>
        <v>0</v>
      </c>
      <c r="G63" s="47">
        <f>DISTRIBUSI!Z232</f>
        <v>0</v>
      </c>
      <c r="H63" s="46">
        <f t="shared" si="0"/>
        <v>0</v>
      </c>
      <c r="I63" s="48"/>
      <c r="J63" s="177"/>
      <c r="K63" s="230"/>
      <c r="L63" s="49"/>
      <c r="M63" s="49"/>
      <c r="N63" s="49"/>
      <c r="O63" s="49"/>
      <c r="R63" s="38">
        <v>0</v>
      </c>
      <c r="S63" s="91">
        <f t="shared" si="2"/>
        <v>0</v>
      </c>
    </row>
    <row r="64" spans="1:19" ht="20.149999999999999" customHeight="1" x14ac:dyDescent="0.5">
      <c r="A64" s="11">
        <v>51</v>
      </c>
      <c r="B64" s="178" t="s">
        <v>196</v>
      </c>
      <c r="C64" s="144" t="s">
        <v>6</v>
      </c>
      <c r="D64" s="46"/>
      <c r="E64" s="46">
        <f>'PENERIMAAN OBAT PROGRAM'!G59</f>
        <v>0</v>
      </c>
      <c r="F64" s="47">
        <f t="shared" si="1"/>
        <v>0</v>
      </c>
      <c r="G64" s="47">
        <f>DISTRIBUSI!Z233</f>
        <v>0</v>
      </c>
      <c r="H64" s="46">
        <f t="shared" si="0"/>
        <v>0</v>
      </c>
      <c r="I64" s="48"/>
      <c r="J64" s="177"/>
      <c r="K64" s="230"/>
      <c r="L64" s="45"/>
      <c r="M64" s="45"/>
      <c r="N64" s="45"/>
      <c r="O64" s="45"/>
      <c r="R64" s="38">
        <v>0</v>
      </c>
      <c r="S64" s="91">
        <f t="shared" si="2"/>
        <v>0</v>
      </c>
    </row>
    <row r="65" spans="1:41" ht="20.149999999999999" customHeight="1" x14ac:dyDescent="0.5">
      <c r="A65" s="11">
        <v>52</v>
      </c>
      <c r="B65" s="184" t="s">
        <v>361</v>
      </c>
      <c r="C65" s="144" t="s">
        <v>6</v>
      </c>
      <c r="D65" s="46"/>
      <c r="E65" s="46">
        <f>'PENERIMAAN OBAT PROGRAM'!G60</f>
        <v>0</v>
      </c>
      <c r="F65" s="47">
        <f t="shared" si="1"/>
        <v>0</v>
      </c>
      <c r="G65" s="47">
        <f>DISTRIBUSI!Z234</f>
        <v>0</v>
      </c>
      <c r="H65" s="46">
        <f t="shared" si="0"/>
        <v>0</v>
      </c>
      <c r="I65" s="48"/>
      <c r="J65" s="177"/>
      <c r="K65" s="230"/>
      <c r="L65" s="49"/>
      <c r="M65" s="49"/>
      <c r="N65" s="49"/>
      <c r="O65" s="49"/>
      <c r="R65" s="38">
        <v>0</v>
      </c>
      <c r="S65" s="91">
        <f t="shared" si="2"/>
        <v>0</v>
      </c>
    </row>
    <row r="66" spans="1:41" ht="20.149999999999999" customHeight="1" x14ac:dyDescent="0.5">
      <c r="A66" s="11">
        <v>53</v>
      </c>
      <c r="B66" s="184" t="s">
        <v>270</v>
      </c>
      <c r="C66" s="144" t="s">
        <v>198</v>
      </c>
      <c r="D66" s="46"/>
      <c r="E66" s="46">
        <f>'PENERIMAAN OBAT PROGRAM'!G61</f>
        <v>0</v>
      </c>
      <c r="F66" s="47">
        <f t="shared" si="1"/>
        <v>0</v>
      </c>
      <c r="G66" s="47">
        <f>DISTRIBUSI!Z235</f>
        <v>0</v>
      </c>
      <c r="H66" s="46">
        <f t="shared" si="0"/>
        <v>0</v>
      </c>
      <c r="I66" s="48"/>
      <c r="J66" s="177"/>
      <c r="K66" s="230"/>
      <c r="L66" s="49"/>
      <c r="M66" s="49"/>
      <c r="N66" s="49"/>
      <c r="O66" s="49"/>
      <c r="R66" s="38">
        <v>0</v>
      </c>
      <c r="S66" s="91">
        <f t="shared" si="2"/>
        <v>0</v>
      </c>
    </row>
    <row r="67" spans="1:41" ht="20.149999999999999" customHeight="1" x14ac:dyDescent="0.5">
      <c r="A67" s="11">
        <v>54</v>
      </c>
      <c r="B67" s="184" t="s">
        <v>360</v>
      </c>
      <c r="C67" s="144" t="s">
        <v>6</v>
      </c>
      <c r="D67" s="46"/>
      <c r="E67" s="46">
        <f>'PENERIMAAN OBAT PROGRAM'!G62</f>
        <v>0</v>
      </c>
      <c r="F67" s="47">
        <f t="shared" si="1"/>
        <v>0</v>
      </c>
      <c r="G67" s="47">
        <f>DISTRIBUSI!Z236</f>
        <v>0</v>
      </c>
      <c r="H67" s="46">
        <f t="shared" si="0"/>
        <v>0</v>
      </c>
      <c r="I67" s="48"/>
      <c r="J67" s="177"/>
      <c r="K67" s="230"/>
      <c r="L67" s="49"/>
      <c r="M67" s="49"/>
      <c r="N67" s="49"/>
      <c r="O67" s="49"/>
      <c r="R67" s="38">
        <v>0</v>
      </c>
      <c r="S67" s="91">
        <f t="shared" si="2"/>
        <v>0</v>
      </c>
    </row>
    <row r="68" spans="1:41" ht="20.149999999999999" customHeight="1" x14ac:dyDescent="0.5">
      <c r="A68" s="11">
        <v>55</v>
      </c>
      <c r="B68" s="184" t="s">
        <v>197</v>
      </c>
      <c r="C68" s="144" t="s">
        <v>6</v>
      </c>
      <c r="D68" s="46"/>
      <c r="E68" s="46">
        <f>'PENERIMAAN OBAT PROGRAM'!G63</f>
        <v>0</v>
      </c>
      <c r="F68" s="47">
        <f t="shared" si="1"/>
        <v>0</v>
      </c>
      <c r="G68" s="47">
        <f>DISTRIBUSI!Z237</f>
        <v>0</v>
      </c>
      <c r="H68" s="46">
        <f t="shared" si="0"/>
        <v>0</v>
      </c>
      <c r="I68" s="48"/>
      <c r="J68" s="177"/>
      <c r="K68" s="230"/>
      <c r="L68" s="49"/>
      <c r="M68" s="49"/>
      <c r="N68" s="49"/>
      <c r="O68" s="49"/>
      <c r="R68" s="38">
        <v>0</v>
      </c>
      <c r="S68" s="91">
        <f t="shared" si="2"/>
        <v>0</v>
      </c>
    </row>
    <row r="69" spans="1:41" s="41" customFormat="1" ht="20.149999999999999" customHeight="1" x14ac:dyDescent="0.5">
      <c r="A69" s="11">
        <v>56</v>
      </c>
      <c r="B69" s="184"/>
      <c r="C69" s="144"/>
      <c r="D69" s="46"/>
      <c r="E69" s="46">
        <f>'PENERIMAAN OBAT PROGRAM'!G64</f>
        <v>0</v>
      </c>
      <c r="F69" s="47">
        <f t="shared" si="1"/>
        <v>0</v>
      </c>
      <c r="G69" s="47">
        <f>DISTRIBUSI!Z238</f>
        <v>0</v>
      </c>
      <c r="H69" s="46">
        <f t="shared" si="0"/>
        <v>0</v>
      </c>
      <c r="I69" s="48"/>
      <c r="J69" s="177"/>
      <c r="K69" s="230"/>
      <c r="L69" s="45"/>
      <c r="M69" s="45"/>
      <c r="N69" s="45"/>
      <c r="O69" s="45"/>
      <c r="R69" s="41">
        <v>0</v>
      </c>
      <c r="S69" s="91">
        <f t="shared" si="2"/>
        <v>0</v>
      </c>
    </row>
    <row r="70" spans="1:41" ht="20.149999999999999" customHeight="1" x14ac:dyDescent="0.5">
      <c r="A70" s="11">
        <v>57</v>
      </c>
      <c r="B70" s="184"/>
      <c r="C70" s="144"/>
      <c r="D70" s="46"/>
      <c r="E70" s="46">
        <f>'PENERIMAAN OBAT PROGRAM'!G65</f>
        <v>0</v>
      </c>
      <c r="F70" s="47">
        <f t="shared" si="1"/>
        <v>0</v>
      </c>
      <c r="G70" s="47">
        <f>DISTRIBUSI!Z239</f>
        <v>0</v>
      </c>
      <c r="H70" s="46">
        <f t="shared" si="0"/>
        <v>0</v>
      </c>
      <c r="I70" s="48"/>
      <c r="J70" s="177"/>
      <c r="K70" s="230"/>
      <c r="L70" s="49"/>
      <c r="M70" s="49"/>
      <c r="N70" s="49"/>
      <c r="O70" s="49"/>
      <c r="R70" s="38">
        <v>0</v>
      </c>
      <c r="S70" s="91">
        <f t="shared" si="2"/>
        <v>0</v>
      </c>
      <c r="AO70" s="38">
        <v>14</v>
      </c>
    </row>
    <row r="71" spans="1:41" ht="20.149999999999999" customHeight="1" x14ac:dyDescent="0.5">
      <c r="A71" s="11">
        <v>58</v>
      </c>
      <c r="B71" s="184"/>
      <c r="C71" s="144"/>
      <c r="D71" s="46"/>
      <c r="E71" s="46">
        <f>'PENERIMAAN OBAT PROGRAM'!G66</f>
        <v>0</v>
      </c>
      <c r="F71" s="47">
        <f t="shared" si="1"/>
        <v>0</v>
      </c>
      <c r="G71" s="47">
        <f>DISTRIBUSI!Z240</f>
        <v>0</v>
      </c>
      <c r="H71" s="46">
        <f t="shared" si="0"/>
        <v>0</v>
      </c>
      <c r="I71" s="48"/>
      <c r="J71" s="177"/>
      <c r="K71" s="230"/>
      <c r="L71" s="49"/>
      <c r="M71" s="49"/>
      <c r="N71" s="49"/>
      <c r="O71" s="49"/>
      <c r="R71" s="38">
        <v>0</v>
      </c>
      <c r="S71" s="91">
        <f t="shared" si="2"/>
        <v>0</v>
      </c>
      <c r="AO71" s="38">
        <v>12</v>
      </c>
    </row>
    <row r="72" spans="1:41" ht="20.149999999999999" customHeight="1" x14ac:dyDescent="0.5">
      <c r="A72" s="187">
        <v>59</v>
      </c>
      <c r="B72" s="189" t="s">
        <v>199</v>
      </c>
      <c r="C72" s="146"/>
      <c r="D72" s="146"/>
      <c r="E72" s="146"/>
      <c r="F72" s="146"/>
      <c r="G72" s="146"/>
      <c r="H72" s="146"/>
      <c r="I72" s="48"/>
      <c r="J72" s="177"/>
      <c r="K72" s="230"/>
      <c r="L72" s="49"/>
      <c r="M72" s="49"/>
      <c r="N72" s="49"/>
      <c r="O72" s="49"/>
      <c r="S72" s="91">
        <f t="shared" si="2"/>
        <v>0</v>
      </c>
      <c r="AO72" s="38">
        <v>14</v>
      </c>
    </row>
    <row r="73" spans="1:41" ht="20.149999999999999" customHeight="1" x14ac:dyDescent="0.5">
      <c r="A73" s="11">
        <v>60</v>
      </c>
      <c r="B73" s="184" t="s">
        <v>367</v>
      </c>
      <c r="C73" s="144" t="s">
        <v>363</v>
      </c>
      <c r="D73" s="46"/>
      <c r="E73" s="46">
        <f>'PENERIMAAN OBAT PROGRAM'!G68</f>
        <v>0</v>
      </c>
      <c r="F73" s="47">
        <f t="shared" si="1"/>
        <v>0</v>
      </c>
      <c r="G73" s="47">
        <f>DISTRIBUSI!Z242</f>
        <v>0</v>
      </c>
      <c r="H73" s="46">
        <f t="shared" si="0"/>
        <v>0</v>
      </c>
      <c r="I73" s="48"/>
      <c r="J73" s="177"/>
      <c r="K73" s="230"/>
      <c r="L73" s="49"/>
      <c r="M73" s="49"/>
      <c r="N73" s="49"/>
      <c r="O73" s="49"/>
      <c r="R73" s="38">
        <v>0</v>
      </c>
      <c r="S73" s="91">
        <f t="shared" si="2"/>
        <v>0</v>
      </c>
      <c r="AO73" s="38">
        <v>19</v>
      </c>
    </row>
    <row r="74" spans="1:41" ht="20.149999999999999" customHeight="1" x14ac:dyDescent="0.5">
      <c r="A74" s="11">
        <v>61</v>
      </c>
      <c r="B74" s="184" t="s">
        <v>302</v>
      </c>
      <c r="C74" s="144" t="s">
        <v>294</v>
      </c>
      <c r="D74" s="46"/>
      <c r="E74" s="46">
        <f>'PENERIMAAN OBAT PROGRAM'!G69</f>
        <v>0</v>
      </c>
      <c r="F74" s="47">
        <f t="shared" si="1"/>
        <v>0</v>
      </c>
      <c r="G74" s="47">
        <f>DISTRIBUSI!Z243</f>
        <v>0</v>
      </c>
      <c r="H74" s="46">
        <f t="shared" si="0"/>
        <v>0</v>
      </c>
      <c r="I74" s="48"/>
      <c r="J74" s="177"/>
      <c r="K74" s="230"/>
      <c r="L74" s="49"/>
      <c r="M74" s="49"/>
      <c r="N74" s="49"/>
      <c r="O74" s="49"/>
      <c r="R74" s="38">
        <v>0</v>
      </c>
      <c r="S74" s="91">
        <f t="shared" si="2"/>
        <v>0</v>
      </c>
      <c r="AO74" s="38">
        <v>17</v>
      </c>
    </row>
    <row r="75" spans="1:41" ht="20.149999999999999" customHeight="1" x14ac:dyDescent="0.5">
      <c r="A75" s="11">
        <v>62</v>
      </c>
      <c r="B75" s="184" t="s">
        <v>364</v>
      </c>
      <c r="C75" s="144" t="s">
        <v>6</v>
      </c>
      <c r="D75" s="46"/>
      <c r="E75" s="46">
        <f>'PENERIMAAN OBAT PROGRAM'!G70</f>
        <v>0</v>
      </c>
      <c r="F75" s="47">
        <f t="shared" si="1"/>
        <v>0</v>
      </c>
      <c r="G75" s="47">
        <f>DISTRIBUSI!Z244</f>
        <v>0</v>
      </c>
      <c r="H75" s="46">
        <f t="shared" si="0"/>
        <v>0</v>
      </c>
      <c r="I75" s="48"/>
      <c r="J75" s="177"/>
      <c r="K75" s="230"/>
      <c r="L75" s="45"/>
      <c r="M75" s="45"/>
      <c r="N75" s="45"/>
      <c r="O75" s="45"/>
      <c r="R75" s="38">
        <v>0</v>
      </c>
      <c r="S75" s="91">
        <f t="shared" si="2"/>
        <v>0</v>
      </c>
      <c r="AO75" s="38">
        <v>13</v>
      </c>
    </row>
    <row r="76" spans="1:41" ht="20.149999999999999" customHeight="1" x14ac:dyDescent="0.5">
      <c r="A76" s="11">
        <v>63</v>
      </c>
      <c r="B76" s="184" t="s">
        <v>307</v>
      </c>
      <c r="C76" s="144" t="s">
        <v>6</v>
      </c>
      <c r="D76" s="46"/>
      <c r="E76" s="46">
        <f>'PENERIMAAN OBAT PROGRAM'!G71</f>
        <v>0</v>
      </c>
      <c r="F76" s="47">
        <f t="shared" si="1"/>
        <v>0</v>
      </c>
      <c r="G76" s="47">
        <f>DISTRIBUSI!Z245</f>
        <v>0</v>
      </c>
      <c r="H76" s="46">
        <f t="shared" si="0"/>
        <v>0</v>
      </c>
      <c r="I76" s="48"/>
      <c r="J76" s="177"/>
      <c r="K76" s="230"/>
      <c r="L76" s="49"/>
      <c r="M76" s="49"/>
      <c r="N76" s="49"/>
      <c r="O76" s="49"/>
      <c r="R76" s="38">
        <v>0</v>
      </c>
      <c r="S76" s="91">
        <f t="shared" si="2"/>
        <v>0</v>
      </c>
      <c r="AO76" s="38">
        <v>19</v>
      </c>
    </row>
    <row r="77" spans="1:41" ht="20.149999999999999" customHeight="1" x14ac:dyDescent="0.5">
      <c r="A77" s="11">
        <v>64</v>
      </c>
      <c r="B77" s="184" t="s">
        <v>366</v>
      </c>
      <c r="C77" s="144" t="s">
        <v>6</v>
      </c>
      <c r="D77" s="46"/>
      <c r="E77" s="46">
        <f>'PENERIMAAN OBAT PROGRAM'!G72</f>
        <v>0</v>
      </c>
      <c r="F77" s="47">
        <f t="shared" si="1"/>
        <v>0</v>
      </c>
      <c r="G77" s="47">
        <f>DISTRIBUSI!Z246</f>
        <v>0</v>
      </c>
      <c r="H77" s="46">
        <f t="shared" si="0"/>
        <v>0</v>
      </c>
      <c r="I77" s="48"/>
      <c r="J77" s="177"/>
      <c r="K77" s="230"/>
      <c r="L77" s="49"/>
      <c r="M77" s="49"/>
      <c r="N77" s="49"/>
      <c r="O77" s="49"/>
      <c r="R77" s="38">
        <v>0</v>
      </c>
      <c r="S77" s="91">
        <f t="shared" si="2"/>
        <v>0</v>
      </c>
      <c r="AO77" s="38">
        <v>13</v>
      </c>
    </row>
    <row r="78" spans="1:41" ht="20.149999999999999" customHeight="1" x14ac:dyDescent="0.5">
      <c r="A78" s="11">
        <v>65</v>
      </c>
      <c r="B78" s="184" t="s">
        <v>362</v>
      </c>
      <c r="C78" s="144" t="s">
        <v>363</v>
      </c>
      <c r="D78" s="46"/>
      <c r="E78" s="46">
        <f>'PENERIMAAN OBAT PROGRAM'!G73</f>
        <v>0</v>
      </c>
      <c r="F78" s="47">
        <f t="shared" si="1"/>
        <v>0</v>
      </c>
      <c r="G78" s="47">
        <f>DISTRIBUSI!Z247</f>
        <v>0</v>
      </c>
      <c r="H78" s="46">
        <f t="shared" si="0"/>
        <v>0</v>
      </c>
      <c r="I78" s="48"/>
      <c r="J78" s="177"/>
      <c r="K78" s="230"/>
      <c r="L78" s="49"/>
      <c r="M78" s="49"/>
      <c r="N78" s="49"/>
      <c r="O78" s="49"/>
      <c r="R78" s="38">
        <v>0</v>
      </c>
      <c r="S78" s="91">
        <f t="shared" si="2"/>
        <v>0</v>
      </c>
      <c r="AO78" s="38">
        <v>17</v>
      </c>
    </row>
    <row r="79" spans="1:41" x14ac:dyDescent="0.5">
      <c r="A79" s="11">
        <v>66</v>
      </c>
      <c r="B79" s="184" t="s">
        <v>368</v>
      </c>
      <c r="C79" s="144" t="s">
        <v>363</v>
      </c>
      <c r="D79" s="46"/>
      <c r="E79" s="46">
        <f>'PENERIMAAN OBAT PROGRAM'!G74</f>
        <v>0</v>
      </c>
      <c r="F79" s="47">
        <f t="shared" si="1"/>
        <v>0</v>
      </c>
      <c r="G79" s="47">
        <f>DISTRIBUSI!Z248</f>
        <v>0</v>
      </c>
      <c r="H79" s="46">
        <f t="shared" ref="H79:H142" si="3">F79-G79</f>
        <v>0</v>
      </c>
      <c r="I79" s="48"/>
      <c r="J79" s="177"/>
      <c r="K79" s="230"/>
      <c r="L79" s="49"/>
      <c r="M79" s="49"/>
      <c r="N79" s="49"/>
      <c r="O79" s="49"/>
      <c r="R79" s="38">
        <v>0</v>
      </c>
      <c r="S79" s="91">
        <f t="shared" si="2"/>
        <v>0</v>
      </c>
      <c r="AO79" s="38">
        <v>11</v>
      </c>
    </row>
    <row r="80" spans="1:41" ht="20.149999999999999" customHeight="1" x14ac:dyDescent="0.5">
      <c r="A80" s="11">
        <v>67</v>
      </c>
      <c r="B80" s="178" t="s">
        <v>370</v>
      </c>
      <c r="C80" s="144" t="s">
        <v>363</v>
      </c>
      <c r="D80" s="46"/>
      <c r="E80" s="46">
        <f>'PENERIMAAN OBAT PROGRAM'!G75</f>
        <v>0</v>
      </c>
      <c r="F80" s="47">
        <f t="shared" ref="F80:F143" si="4">D80+E80</f>
        <v>0</v>
      </c>
      <c r="G80" s="47">
        <f>DISTRIBUSI!Z249</f>
        <v>0</v>
      </c>
      <c r="H80" s="46">
        <f t="shared" si="3"/>
        <v>0</v>
      </c>
      <c r="I80" s="48"/>
      <c r="J80" s="177"/>
      <c r="K80" s="230"/>
      <c r="L80" s="49"/>
      <c r="M80" s="49"/>
      <c r="N80" s="49"/>
      <c r="O80" s="49"/>
      <c r="R80" s="38">
        <v>0</v>
      </c>
      <c r="S80" s="91">
        <f t="shared" ref="S80:S143" si="5">H80-R80</f>
        <v>0</v>
      </c>
      <c r="AO80" s="38">
        <v>13</v>
      </c>
    </row>
    <row r="81" spans="1:41" ht="20.149999999999999" customHeight="1" x14ac:dyDescent="0.6">
      <c r="A81" s="11">
        <v>68</v>
      </c>
      <c r="B81" s="178" t="s">
        <v>369</v>
      </c>
      <c r="C81" s="144" t="s">
        <v>363</v>
      </c>
      <c r="D81" s="46"/>
      <c r="E81" s="46">
        <f>'PENERIMAAN OBAT PROGRAM'!G76</f>
        <v>0</v>
      </c>
      <c r="F81" s="47">
        <f t="shared" si="4"/>
        <v>0</v>
      </c>
      <c r="G81" s="47">
        <f>DISTRIBUSI!Z250</f>
        <v>0</v>
      </c>
      <c r="H81" s="46">
        <f t="shared" si="3"/>
        <v>0</v>
      </c>
      <c r="I81" s="48"/>
      <c r="J81" s="177"/>
      <c r="K81" s="230"/>
      <c r="L81" s="104"/>
      <c r="M81" s="104"/>
      <c r="N81" s="104"/>
      <c r="O81" s="104"/>
      <c r="R81" s="38">
        <v>0</v>
      </c>
      <c r="S81" s="91">
        <f t="shared" si="5"/>
        <v>0</v>
      </c>
      <c r="AO81" s="38">
        <v>28</v>
      </c>
    </row>
    <row r="82" spans="1:41" x14ac:dyDescent="0.5">
      <c r="A82" s="11">
        <v>69</v>
      </c>
      <c r="B82" s="183" t="s">
        <v>200</v>
      </c>
      <c r="C82" s="144" t="s">
        <v>201</v>
      </c>
      <c r="D82" s="46"/>
      <c r="E82" s="46">
        <f>'PENERIMAAN OBAT PROGRAM'!G77</f>
        <v>0</v>
      </c>
      <c r="F82" s="47">
        <f t="shared" si="4"/>
        <v>0</v>
      </c>
      <c r="G82" s="47">
        <f>DISTRIBUSI!Z251</f>
        <v>0</v>
      </c>
      <c r="H82" s="46">
        <f t="shared" si="3"/>
        <v>0</v>
      </c>
      <c r="I82" s="48"/>
      <c r="J82" s="177"/>
      <c r="K82" s="230"/>
      <c r="L82" s="49"/>
      <c r="M82" s="49"/>
      <c r="N82" s="49"/>
      <c r="O82" s="49"/>
      <c r="R82" s="38">
        <v>0</v>
      </c>
      <c r="S82" s="91">
        <f t="shared" si="5"/>
        <v>0</v>
      </c>
      <c r="AO82" s="38">
        <v>18</v>
      </c>
    </row>
    <row r="83" spans="1:41" ht="20.149999999999999" customHeight="1" x14ac:dyDescent="0.5">
      <c r="A83" s="11">
        <v>70</v>
      </c>
      <c r="B83" s="178" t="s">
        <v>279</v>
      </c>
      <c r="C83" s="144" t="s">
        <v>201</v>
      </c>
      <c r="D83" s="46"/>
      <c r="E83" s="46">
        <f>'PENERIMAAN OBAT PROGRAM'!G78</f>
        <v>0</v>
      </c>
      <c r="F83" s="47">
        <f t="shared" si="4"/>
        <v>0</v>
      </c>
      <c r="G83" s="47">
        <f>DISTRIBUSI!Z252</f>
        <v>0</v>
      </c>
      <c r="H83" s="46">
        <f t="shared" si="3"/>
        <v>0</v>
      </c>
      <c r="I83" s="48"/>
      <c r="J83" s="177"/>
      <c r="K83" s="230"/>
      <c r="L83" s="49"/>
      <c r="M83" s="49"/>
      <c r="N83" s="49"/>
      <c r="O83" s="49"/>
      <c r="R83" s="38">
        <v>0</v>
      </c>
      <c r="S83" s="91">
        <f t="shared" si="5"/>
        <v>0</v>
      </c>
      <c r="AO83" s="38">
        <v>11</v>
      </c>
    </row>
    <row r="84" spans="1:41" ht="20.149999999999999" customHeight="1" x14ac:dyDescent="0.5">
      <c r="A84" s="11">
        <v>71</v>
      </c>
      <c r="B84" s="183" t="s">
        <v>365</v>
      </c>
      <c r="C84" s="144" t="s">
        <v>6</v>
      </c>
      <c r="D84" s="46"/>
      <c r="E84" s="46">
        <f>'PENERIMAAN OBAT PROGRAM'!G79</f>
        <v>0</v>
      </c>
      <c r="F84" s="47">
        <f t="shared" si="4"/>
        <v>0</v>
      </c>
      <c r="G84" s="47">
        <f>DISTRIBUSI!Z253</f>
        <v>0</v>
      </c>
      <c r="H84" s="46">
        <f t="shared" si="3"/>
        <v>0</v>
      </c>
      <c r="I84" s="48"/>
      <c r="J84" s="177"/>
      <c r="K84" s="230"/>
      <c r="L84" s="49"/>
      <c r="M84" s="49"/>
      <c r="N84" s="49"/>
      <c r="O84" s="49"/>
      <c r="R84" s="38">
        <v>0</v>
      </c>
      <c r="S84" s="91">
        <f t="shared" si="5"/>
        <v>0</v>
      </c>
      <c r="AO84" s="38">
        <v>5</v>
      </c>
    </row>
    <row r="85" spans="1:41" ht="20.149999999999999" customHeight="1" x14ac:dyDescent="0.5">
      <c r="A85" s="11">
        <v>72</v>
      </c>
      <c r="B85" s="183" t="s">
        <v>271</v>
      </c>
      <c r="C85" s="144" t="s">
        <v>204</v>
      </c>
      <c r="D85" s="46"/>
      <c r="E85" s="46">
        <f>'PENERIMAAN OBAT PROGRAM'!G80</f>
        <v>0</v>
      </c>
      <c r="F85" s="47">
        <f t="shared" si="4"/>
        <v>0</v>
      </c>
      <c r="G85" s="47">
        <f>DISTRIBUSI!Z254</f>
        <v>0</v>
      </c>
      <c r="H85" s="46">
        <f t="shared" si="3"/>
        <v>0</v>
      </c>
      <c r="I85" s="48"/>
      <c r="J85" s="177"/>
      <c r="K85" s="230"/>
      <c r="L85" s="49"/>
      <c r="M85" s="49"/>
      <c r="N85" s="49"/>
      <c r="O85" s="49"/>
      <c r="R85" s="38">
        <v>0</v>
      </c>
      <c r="S85" s="91">
        <f t="shared" si="5"/>
        <v>0</v>
      </c>
      <c r="AO85" s="38">
        <v>1</v>
      </c>
    </row>
    <row r="86" spans="1:41" ht="20.149999999999999" customHeight="1" x14ac:dyDescent="0.5">
      <c r="A86" s="11">
        <v>73</v>
      </c>
      <c r="B86" s="182" t="s">
        <v>306</v>
      </c>
      <c r="C86" s="144" t="s">
        <v>48</v>
      </c>
      <c r="D86" s="46"/>
      <c r="E86" s="46">
        <f>'PENERIMAAN OBAT PROGRAM'!G81</f>
        <v>0</v>
      </c>
      <c r="F86" s="47">
        <f t="shared" si="4"/>
        <v>0</v>
      </c>
      <c r="G86" s="47">
        <f>DISTRIBUSI!Z255</f>
        <v>0</v>
      </c>
      <c r="H86" s="46">
        <f t="shared" si="3"/>
        <v>0</v>
      </c>
      <c r="I86" s="48"/>
      <c r="J86" s="177"/>
      <c r="K86" s="230"/>
      <c r="L86" s="49"/>
      <c r="M86" s="49"/>
      <c r="N86" s="49"/>
      <c r="O86" s="49"/>
      <c r="R86" s="38">
        <v>0</v>
      </c>
      <c r="S86" s="91">
        <f t="shared" si="5"/>
        <v>0</v>
      </c>
      <c r="AO86" s="38">
        <v>4</v>
      </c>
    </row>
    <row r="87" spans="1:41" x14ac:dyDescent="0.5">
      <c r="A87" s="11">
        <v>74</v>
      </c>
      <c r="B87" s="178" t="s">
        <v>396</v>
      </c>
      <c r="C87" s="144" t="s">
        <v>33</v>
      </c>
      <c r="D87" s="46"/>
      <c r="E87" s="46">
        <f>'PENERIMAAN OBAT PROGRAM'!G82</f>
        <v>0</v>
      </c>
      <c r="F87" s="47">
        <f t="shared" si="4"/>
        <v>0</v>
      </c>
      <c r="G87" s="47">
        <f>DISTRIBUSI!Z256</f>
        <v>0</v>
      </c>
      <c r="H87" s="46">
        <f t="shared" si="3"/>
        <v>0</v>
      </c>
      <c r="I87" s="48"/>
      <c r="J87" s="177"/>
      <c r="K87" s="230"/>
      <c r="L87" s="49"/>
      <c r="M87" s="49"/>
      <c r="N87" s="49"/>
      <c r="O87" s="49"/>
      <c r="R87" s="38">
        <v>0</v>
      </c>
      <c r="S87" s="91">
        <f t="shared" si="5"/>
        <v>0</v>
      </c>
    </row>
    <row r="88" spans="1:41" x14ac:dyDescent="0.5">
      <c r="A88" s="11">
        <v>75</v>
      </c>
      <c r="B88" s="183" t="s">
        <v>432</v>
      </c>
      <c r="C88" s="144" t="s">
        <v>6</v>
      </c>
      <c r="D88" s="46"/>
      <c r="E88" s="46">
        <f>'PENERIMAAN OBAT PROGRAM'!G83</f>
        <v>0</v>
      </c>
      <c r="F88" s="47">
        <f t="shared" si="4"/>
        <v>0</v>
      </c>
      <c r="G88" s="47">
        <f>DISTRIBUSI!Z257</f>
        <v>0</v>
      </c>
      <c r="H88" s="46">
        <f t="shared" si="3"/>
        <v>0</v>
      </c>
      <c r="I88" s="48"/>
      <c r="J88" s="177"/>
      <c r="K88" s="230"/>
      <c r="L88" s="49"/>
      <c r="M88" s="49"/>
      <c r="N88" s="49"/>
      <c r="O88" s="49"/>
      <c r="R88" s="38">
        <v>0</v>
      </c>
      <c r="S88" s="91">
        <f t="shared" si="5"/>
        <v>0</v>
      </c>
    </row>
    <row r="89" spans="1:41" ht="19.5" x14ac:dyDescent="0.6">
      <c r="A89" s="11">
        <v>76</v>
      </c>
      <c r="B89" s="183" t="s">
        <v>305</v>
      </c>
      <c r="C89" s="144" t="s">
        <v>6</v>
      </c>
      <c r="D89" s="46"/>
      <c r="E89" s="46">
        <f>'PENERIMAAN OBAT PROGRAM'!G84</f>
        <v>0</v>
      </c>
      <c r="F89" s="47">
        <f t="shared" si="4"/>
        <v>0</v>
      </c>
      <c r="G89" s="47">
        <f>DISTRIBUSI!Z258</f>
        <v>0</v>
      </c>
      <c r="H89" s="46">
        <f t="shared" si="3"/>
        <v>0</v>
      </c>
      <c r="I89" s="48"/>
      <c r="J89" s="177"/>
      <c r="K89" s="230"/>
      <c r="L89" s="104"/>
      <c r="M89" s="104"/>
      <c r="N89" s="104"/>
      <c r="O89" s="104"/>
      <c r="R89" s="38">
        <v>0</v>
      </c>
      <c r="S89" s="91">
        <f t="shared" si="5"/>
        <v>0</v>
      </c>
      <c r="AO89" s="38">
        <v>4</v>
      </c>
    </row>
    <row r="90" spans="1:41" ht="20.149999999999999" customHeight="1" x14ac:dyDescent="0.5">
      <c r="A90" s="11">
        <v>77</v>
      </c>
      <c r="B90" s="183" t="s">
        <v>303</v>
      </c>
      <c r="C90" s="144" t="s">
        <v>6</v>
      </c>
      <c r="D90" s="46"/>
      <c r="E90" s="46">
        <f>'PENERIMAAN OBAT PROGRAM'!G85</f>
        <v>0</v>
      </c>
      <c r="F90" s="47">
        <f t="shared" si="4"/>
        <v>0</v>
      </c>
      <c r="G90" s="47">
        <f>DISTRIBUSI!Z259</f>
        <v>0</v>
      </c>
      <c r="H90" s="46">
        <f t="shared" si="3"/>
        <v>0</v>
      </c>
      <c r="I90" s="48"/>
      <c r="J90" s="177"/>
      <c r="K90" s="230"/>
      <c r="L90" s="49"/>
      <c r="M90" s="49"/>
      <c r="N90" s="49"/>
      <c r="O90" s="49"/>
      <c r="R90" s="38">
        <v>0</v>
      </c>
      <c r="S90" s="91">
        <f t="shared" si="5"/>
        <v>0</v>
      </c>
      <c r="AO90" s="38">
        <v>6</v>
      </c>
    </row>
    <row r="91" spans="1:41" ht="20.149999999999999" customHeight="1" x14ac:dyDescent="0.5">
      <c r="A91" s="11">
        <v>78</v>
      </c>
      <c r="B91" s="178" t="s">
        <v>304</v>
      </c>
      <c r="C91" s="144" t="s">
        <v>182</v>
      </c>
      <c r="D91" s="46"/>
      <c r="E91" s="46">
        <f>'PENERIMAAN OBAT PROGRAM'!G86</f>
        <v>0</v>
      </c>
      <c r="F91" s="47">
        <f t="shared" si="4"/>
        <v>0</v>
      </c>
      <c r="G91" s="47">
        <f>DISTRIBUSI!Z260</f>
        <v>0</v>
      </c>
      <c r="H91" s="46">
        <f t="shared" si="3"/>
        <v>0</v>
      </c>
      <c r="I91" s="48"/>
      <c r="J91" s="177"/>
      <c r="K91" s="230"/>
      <c r="L91" s="49"/>
      <c r="M91" s="49"/>
      <c r="N91" s="49"/>
      <c r="O91" s="49"/>
      <c r="R91" s="38">
        <v>6</v>
      </c>
      <c r="S91" s="91">
        <f t="shared" si="5"/>
        <v>-6</v>
      </c>
    </row>
    <row r="92" spans="1:41" ht="20.149999999999999" customHeight="1" x14ac:dyDescent="0.5">
      <c r="A92" s="11">
        <v>79</v>
      </c>
      <c r="B92" s="178" t="s">
        <v>202</v>
      </c>
      <c r="C92" s="144" t="s">
        <v>201</v>
      </c>
      <c r="D92" s="46"/>
      <c r="E92" s="46">
        <f>'PENERIMAAN OBAT PROGRAM'!G87</f>
        <v>0</v>
      </c>
      <c r="F92" s="47">
        <f t="shared" si="4"/>
        <v>0</v>
      </c>
      <c r="G92" s="47">
        <f>DISTRIBUSI!Z261</f>
        <v>0</v>
      </c>
      <c r="H92" s="46">
        <f t="shared" si="3"/>
        <v>0</v>
      </c>
      <c r="I92" s="48"/>
      <c r="J92" s="177"/>
      <c r="K92" s="230"/>
      <c r="L92" s="49"/>
      <c r="M92" s="49"/>
      <c r="N92" s="49"/>
      <c r="O92" s="49"/>
      <c r="R92" s="38">
        <v>0</v>
      </c>
      <c r="S92" s="91">
        <f t="shared" si="5"/>
        <v>0</v>
      </c>
    </row>
    <row r="93" spans="1:41" ht="20.149999999999999" customHeight="1" x14ac:dyDescent="0.5">
      <c r="A93" s="11">
        <v>80</v>
      </c>
      <c r="B93" s="178" t="s">
        <v>433</v>
      </c>
      <c r="C93" s="144" t="s">
        <v>203</v>
      </c>
      <c r="D93" s="46"/>
      <c r="E93" s="46">
        <f>'PENERIMAAN OBAT PROGRAM'!G88</f>
        <v>0</v>
      </c>
      <c r="F93" s="47">
        <f t="shared" si="4"/>
        <v>0</v>
      </c>
      <c r="G93" s="47">
        <f>DISTRIBUSI!Z262</f>
        <v>0</v>
      </c>
      <c r="H93" s="46">
        <f t="shared" si="3"/>
        <v>0</v>
      </c>
      <c r="I93" s="48"/>
      <c r="J93" s="177"/>
      <c r="K93" s="230"/>
      <c r="L93" s="49"/>
      <c r="M93" s="49"/>
      <c r="N93" s="49"/>
      <c r="O93" s="49"/>
      <c r="R93" s="38">
        <v>0</v>
      </c>
      <c r="S93" s="91">
        <f t="shared" si="5"/>
        <v>0</v>
      </c>
    </row>
    <row r="94" spans="1:41" x14ac:dyDescent="0.5">
      <c r="A94" s="11">
        <v>81</v>
      </c>
      <c r="B94" s="178"/>
      <c r="C94" s="144"/>
      <c r="D94" s="46"/>
      <c r="E94" s="46">
        <f>'PENERIMAAN OBAT PROGRAM'!G89</f>
        <v>0</v>
      </c>
      <c r="F94" s="47">
        <f t="shared" si="4"/>
        <v>0</v>
      </c>
      <c r="G94" s="47">
        <f>DISTRIBUSI!Z263</f>
        <v>0</v>
      </c>
      <c r="H94" s="46">
        <f t="shared" si="3"/>
        <v>0</v>
      </c>
      <c r="I94" s="48"/>
      <c r="J94" s="177"/>
      <c r="K94" s="230"/>
      <c r="L94" s="49"/>
      <c r="M94" s="49"/>
      <c r="N94" s="49"/>
      <c r="O94" s="49"/>
      <c r="R94" s="38">
        <v>0</v>
      </c>
      <c r="S94" s="91">
        <f t="shared" si="5"/>
        <v>0</v>
      </c>
    </row>
    <row r="95" spans="1:41" ht="28.5" customHeight="1" x14ac:dyDescent="0.5">
      <c r="A95" s="11">
        <v>82</v>
      </c>
      <c r="B95" s="178"/>
      <c r="C95" s="144"/>
      <c r="D95" s="46"/>
      <c r="E95" s="46">
        <f>'PENERIMAAN OBAT PROGRAM'!G90</f>
        <v>0</v>
      </c>
      <c r="F95" s="47">
        <f t="shared" si="4"/>
        <v>0</v>
      </c>
      <c r="G95" s="47">
        <f>DISTRIBUSI!Z264</f>
        <v>0</v>
      </c>
      <c r="H95" s="46">
        <f t="shared" si="3"/>
        <v>0</v>
      </c>
      <c r="I95" s="48"/>
      <c r="J95" s="177"/>
      <c r="K95" s="230"/>
      <c r="L95" s="49"/>
      <c r="M95" s="49"/>
      <c r="N95" s="49"/>
      <c r="O95" s="49"/>
      <c r="R95" s="38">
        <v>0</v>
      </c>
      <c r="S95" s="91">
        <f t="shared" si="5"/>
        <v>0</v>
      </c>
    </row>
    <row r="96" spans="1:41" ht="26.25" customHeight="1" x14ac:dyDescent="0.5">
      <c r="A96" s="11">
        <v>83</v>
      </c>
      <c r="B96" s="178"/>
      <c r="C96" s="144"/>
      <c r="D96" s="46"/>
      <c r="E96" s="46">
        <f>'PENERIMAAN OBAT PROGRAM'!G91</f>
        <v>0</v>
      </c>
      <c r="F96" s="47">
        <f t="shared" si="4"/>
        <v>0</v>
      </c>
      <c r="G96" s="47">
        <f>DISTRIBUSI!Z265</f>
        <v>0</v>
      </c>
      <c r="H96" s="46">
        <f t="shared" si="3"/>
        <v>0</v>
      </c>
      <c r="I96" s="48"/>
      <c r="J96" s="177"/>
      <c r="K96" s="230"/>
      <c r="L96" s="49"/>
      <c r="M96" s="49"/>
      <c r="N96" s="49"/>
      <c r="O96" s="49"/>
      <c r="R96" s="38">
        <v>0</v>
      </c>
      <c r="S96" s="91">
        <f t="shared" si="5"/>
        <v>0</v>
      </c>
    </row>
    <row r="97" spans="1:19" ht="20.149999999999999" customHeight="1" x14ac:dyDescent="0.5">
      <c r="A97" s="187">
        <v>84</v>
      </c>
      <c r="B97" s="190" t="s">
        <v>205</v>
      </c>
      <c r="C97" s="146"/>
      <c r="D97" s="146"/>
      <c r="E97" s="146"/>
      <c r="F97" s="146"/>
      <c r="G97" s="146"/>
      <c r="H97" s="146"/>
      <c r="I97" s="48"/>
      <c r="J97" s="177"/>
      <c r="K97" s="230"/>
      <c r="L97" s="49"/>
      <c r="M97" s="49"/>
      <c r="N97" s="49"/>
      <c r="O97" s="49"/>
      <c r="S97" s="91">
        <f t="shared" si="5"/>
        <v>0</v>
      </c>
    </row>
    <row r="98" spans="1:19" ht="20.149999999999999" customHeight="1" x14ac:dyDescent="0.5">
      <c r="A98" s="11">
        <v>85</v>
      </c>
      <c r="B98" s="184" t="s">
        <v>206</v>
      </c>
      <c r="C98" s="144" t="s">
        <v>177</v>
      </c>
      <c r="D98" s="46">
        <v>75</v>
      </c>
      <c r="E98" s="46">
        <f>'PENERIMAAN OBAT PROGRAM'!G93</f>
        <v>200</v>
      </c>
      <c r="F98" s="47">
        <f t="shared" si="4"/>
        <v>275</v>
      </c>
      <c r="G98" s="47">
        <f>DISTRIBUSI!Z267</f>
        <v>100</v>
      </c>
      <c r="H98" s="46">
        <f t="shared" si="3"/>
        <v>175</v>
      </c>
      <c r="I98" s="48"/>
      <c r="J98" s="177"/>
      <c r="K98" s="230"/>
      <c r="L98" s="49"/>
      <c r="M98" s="49"/>
      <c r="N98" s="49"/>
      <c r="O98" s="49"/>
      <c r="R98" s="38">
        <v>50</v>
      </c>
      <c r="S98" s="91">
        <f t="shared" si="5"/>
        <v>125</v>
      </c>
    </row>
    <row r="99" spans="1:19" ht="20.149999999999999" customHeight="1" x14ac:dyDescent="0.5">
      <c r="A99" s="11">
        <v>86</v>
      </c>
      <c r="B99" s="178" t="s">
        <v>257</v>
      </c>
      <c r="C99" s="144" t="s">
        <v>48</v>
      </c>
      <c r="D99" s="46"/>
      <c r="E99" s="46">
        <f>'PENERIMAAN OBAT PROGRAM'!G94</f>
        <v>0</v>
      </c>
      <c r="F99" s="47">
        <f t="shared" si="4"/>
        <v>0</v>
      </c>
      <c r="G99" s="47">
        <f>DISTRIBUSI!Z268</f>
        <v>0</v>
      </c>
      <c r="H99" s="46">
        <f t="shared" si="3"/>
        <v>0</v>
      </c>
      <c r="I99" s="48"/>
      <c r="J99" s="177"/>
      <c r="K99" s="230"/>
      <c r="L99" s="45"/>
      <c r="M99" s="45"/>
      <c r="N99" s="45"/>
      <c r="O99" s="45"/>
      <c r="R99" s="38">
        <v>0</v>
      </c>
      <c r="S99" s="91">
        <f t="shared" si="5"/>
        <v>0</v>
      </c>
    </row>
    <row r="100" spans="1:19" ht="20.149999999999999" customHeight="1" x14ac:dyDescent="0.5">
      <c r="A100" s="11">
        <v>87</v>
      </c>
      <c r="B100" s="184" t="s">
        <v>272</v>
      </c>
      <c r="C100" s="144" t="s">
        <v>198</v>
      </c>
      <c r="D100" s="46">
        <v>600</v>
      </c>
      <c r="E100" s="46">
        <f>'PENERIMAAN OBAT PROGRAM'!G95</f>
        <v>0</v>
      </c>
      <c r="F100" s="47">
        <f t="shared" si="4"/>
        <v>600</v>
      </c>
      <c r="G100" s="47">
        <f>DISTRIBUSI!Z269</f>
        <v>0</v>
      </c>
      <c r="H100" s="46">
        <f t="shared" si="3"/>
        <v>600</v>
      </c>
      <c r="I100" s="48"/>
      <c r="J100" s="177"/>
      <c r="K100" s="230"/>
      <c r="L100" s="49"/>
      <c r="M100" s="49"/>
      <c r="N100" s="49"/>
      <c r="O100" s="49"/>
      <c r="R100" s="38">
        <v>0</v>
      </c>
      <c r="S100" s="91">
        <f t="shared" si="5"/>
        <v>600</v>
      </c>
    </row>
    <row r="101" spans="1:19" ht="20.149999999999999" customHeight="1" x14ac:dyDescent="0.6">
      <c r="A101" s="11">
        <v>88</v>
      </c>
      <c r="B101" s="180"/>
      <c r="C101" s="144"/>
      <c r="D101" s="46"/>
      <c r="E101" s="46">
        <f>'PENERIMAAN OBAT PROGRAM'!G96</f>
        <v>0</v>
      </c>
      <c r="F101" s="47">
        <f t="shared" si="4"/>
        <v>0</v>
      </c>
      <c r="G101" s="47">
        <f>DISTRIBUSI!Z270</f>
        <v>0</v>
      </c>
      <c r="H101" s="46">
        <f t="shared" si="3"/>
        <v>0</v>
      </c>
      <c r="I101" s="48"/>
      <c r="J101" s="177"/>
      <c r="K101" s="230"/>
      <c r="L101" s="104"/>
      <c r="M101" s="104"/>
      <c r="N101" s="104"/>
      <c r="O101" s="104"/>
      <c r="R101" s="38">
        <v>0</v>
      </c>
      <c r="S101" s="91">
        <f t="shared" si="5"/>
        <v>0</v>
      </c>
    </row>
    <row r="102" spans="1:19" ht="20.149999999999999" customHeight="1" x14ac:dyDescent="0.5">
      <c r="A102" s="11">
        <v>89</v>
      </c>
      <c r="B102" s="185"/>
      <c r="C102" s="144"/>
      <c r="D102" s="46"/>
      <c r="E102" s="46">
        <f>'PENERIMAAN OBAT PROGRAM'!G97</f>
        <v>0</v>
      </c>
      <c r="F102" s="47">
        <f t="shared" si="4"/>
        <v>0</v>
      </c>
      <c r="G102" s="47">
        <f>DISTRIBUSI!Z271</f>
        <v>0</v>
      </c>
      <c r="H102" s="46">
        <f t="shared" si="3"/>
        <v>0</v>
      </c>
      <c r="I102" s="48"/>
      <c r="J102" s="177"/>
      <c r="K102" s="230"/>
      <c r="L102" s="45"/>
      <c r="M102" s="45"/>
      <c r="N102" s="45"/>
      <c r="O102" s="45"/>
      <c r="R102" s="38">
        <v>0</v>
      </c>
      <c r="S102" s="91">
        <f t="shared" si="5"/>
        <v>0</v>
      </c>
    </row>
    <row r="103" spans="1:19" ht="20.149999999999999" customHeight="1" x14ac:dyDescent="0.5">
      <c r="A103" s="11">
        <v>90</v>
      </c>
      <c r="B103" s="185"/>
      <c r="C103" s="144"/>
      <c r="D103" s="46"/>
      <c r="E103" s="46">
        <f>'PENERIMAAN OBAT PROGRAM'!G98</f>
        <v>0</v>
      </c>
      <c r="F103" s="47">
        <f t="shared" si="4"/>
        <v>0</v>
      </c>
      <c r="G103" s="47">
        <f>DISTRIBUSI!Z272</f>
        <v>0</v>
      </c>
      <c r="H103" s="46">
        <f t="shared" si="3"/>
        <v>0</v>
      </c>
      <c r="I103" s="48"/>
      <c r="J103" s="177"/>
      <c r="K103" s="230"/>
      <c r="L103" s="49"/>
      <c r="M103" s="49"/>
      <c r="N103" s="49"/>
      <c r="O103" s="49"/>
      <c r="R103" s="38">
        <v>0</v>
      </c>
      <c r="S103" s="91">
        <f t="shared" si="5"/>
        <v>0</v>
      </c>
    </row>
    <row r="104" spans="1:19" ht="20.149999999999999" customHeight="1" x14ac:dyDescent="0.5">
      <c r="A104" s="187">
        <v>91</v>
      </c>
      <c r="B104" s="189" t="s">
        <v>207</v>
      </c>
      <c r="C104" s="146"/>
      <c r="D104" s="146"/>
      <c r="E104" s="146"/>
      <c r="F104" s="146"/>
      <c r="G104" s="146"/>
      <c r="H104" s="146"/>
      <c r="I104" s="48"/>
      <c r="J104" s="177"/>
      <c r="K104" s="230"/>
      <c r="L104" s="49"/>
      <c r="M104" s="49"/>
      <c r="N104" s="49"/>
      <c r="O104" s="49"/>
      <c r="S104" s="91">
        <f t="shared" si="5"/>
        <v>0</v>
      </c>
    </row>
    <row r="105" spans="1:19" ht="20.149999999999999" customHeight="1" x14ac:dyDescent="0.5">
      <c r="A105" s="11">
        <v>92</v>
      </c>
      <c r="B105" s="186" t="s">
        <v>208</v>
      </c>
      <c r="C105" s="144" t="s">
        <v>209</v>
      </c>
      <c r="D105" s="46"/>
      <c r="E105" s="46">
        <f>'PENERIMAAN OBAT PROGRAM'!G100</f>
        <v>0</v>
      </c>
      <c r="F105" s="47">
        <f t="shared" si="4"/>
        <v>0</v>
      </c>
      <c r="G105" s="47">
        <f>DISTRIBUSI!Z274</f>
        <v>0</v>
      </c>
      <c r="H105" s="46">
        <f t="shared" si="3"/>
        <v>0</v>
      </c>
      <c r="I105" s="48"/>
      <c r="J105" s="177"/>
      <c r="K105" s="230"/>
      <c r="L105" s="49"/>
      <c r="M105" s="49"/>
      <c r="N105" s="49"/>
      <c r="O105" s="49"/>
      <c r="R105" s="38">
        <v>0</v>
      </c>
      <c r="S105" s="91">
        <f t="shared" si="5"/>
        <v>0</v>
      </c>
    </row>
    <row r="106" spans="1:19" ht="20.149999999999999" customHeight="1" x14ac:dyDescent="0.6">
      <c r="A106" s="11">
        <v>93</v>
      </c>
      <c r="B106" s="184" t="s">
        <v>286</v>
      </c>
      <c r="C106" s="144" t="s">
        <v>209</v>
      </c>
      <c r="D106" s="46"/>
      <c r="E106" s="46">
        <f>'PENERIMAAN OBAT PROGRAM'!G101</f>
        <v>0</v>
      </c>
      <c r="F106" s="47">
        <f t="shared" si="4"/>
        <v>0</v>
      </c>
      <c r="G106" s="47">
        <f>DISTRIBUSI!Z275</f>
        <v>0</v>
      </c>
      <c r="H106" s="46">
        <f t="shared" si="3"/>
        <v>0</v>
      </c>
      <c r="I106" s="48"/>
      <c r="J106" s="177"/>
      <c r="K106" s="230"/>
      <c r="L106" s="104"/>
      <c r="M106" s="104"/>
      <c r="N106" s="104"/>
      <c r="O106" s="104"/>
      <c r="R106" s="38">
        <v>0</v>
      </c>
      <c r="S106" s="91">
        <f t="shared" si="5"/>
        <v>0</v>
      </c>
    </row>
    <row r="107" spans="1:19" ht="20.149999999999999" customHeight="1" x14ac:dyDescent="0.5">
      <c r="A107" s="11">
        <v>94</v>
      </c>
      <c r="B107" s="184"/>
      <c r="C107" s="144"/>
      <c r="D107" s="46"/>
      <c r="E107" s="46">
        <f>'PENERIMAAN OBAT PROGRAM'!G102</f>
        <v>0</v>
      </c>
      <c r="F107" s="47">
        <f t="shared" si="4"/>
        <v>0</v>
      </c>
      <c r="G107" s="47">
        <f>DISTRIBUSI!Z276</f>
        <v>0</v>
      </c>
      <c r="H107" s="46">
        <f t="shared" si="3"/>
        <v>0</v>
      </c>
      <c r="I107" s="48"/>
      <c r="J107" s="177"/>
      <c r="K107" s="230"/>
      <c r="L107" s="49"/>
      <c r="M107" s="49"/>
      <c r="N107" s="49"/>
      <c r="O107" s="49"/>
      <c r="R107" s="38">
        <v>0</v>
      </c>
      <c r="S107" s="91">
        <f t="shared" si="5"/>
        <v>0</v>
      </c>
    </row>
    <row r="108" spans="1:19" ht="20.149999999999999" customHeight="1" x14ac:dyDescent="0.5">
      <c r="A108" s="11">
        <v>95</v>
      </c>
      <c r="B108" s="184"/>
      <c r="C108" s="144"/>
      <c r="D108" s="46"/>
      <c r="E108" s="46">
        <f>'PENERIMAAN OBAT PROGRAM'!G103</f>
        <v>0</v>
      </c>
      <c r="F108" s="47">
        <f t="shared" si="4"/>
        <v>0</v>
      </c>
      <c r="G108" s="47">
        <f>DISTRIBUSI!Z277</f>
        <v>0</v>
      </c>
      <c r="H108" s="46">
        <f t="shared" si="3"/>
        <v>0</v>
      </c>
      <c r="I108" s="48"/>
      <c r="J108" s="177"/>
      <c r="K108" s="230"/>
      <c r="L108" s="49"/>
      <c r="M108" s="49"/>
      <c r="N108" s="49"/>
      <c r="O108" s="49"/>
      <c r="R108" s="38">
        <v>0</v>
      </c>
      <c r="S108" s="91">
        <f t="shared" si="5"/>
        <v>0</v>
      </c>
    </row>
    <row r="109" spans="1:19" ht="20.149999999999999" customHeight="1" x14ac:dyDescent="0.5">
      <c r="A109" s="11">
        <v>96</v>
      </c>
      <c r="B109" s="180"/>
      <c r="C109" s="144"/>
      <c r="D109" s="46"/>
      <c r="E109" s="46">
        <f>'PENERIMAAN OBAT PROGRAM'!G104</f>
        <v>0</v>
      </c>
      <c r="F109" s="47">
        <f t="shared" si="4"/>
        <v>0</v>
      </c>
      <c r="G109" s="47">
        <f>DISTRIBUSI!Z278</f>
        <v>0</v>
      </c>
      <c r="H109" s="46">
        <f t="shared" si="3"/>
        <v>0</v>
      </c>
      <c r="I109" s="48"/>
      <c r="J109" s="177"/>
      <c r="K109" s="230"/>
      <c r="L109" s="49"/>
      <c r="M109" s="49"/>
      <c r="N109" s="49"/>
      <c r="O109" s="49"/>
      <c r="R109" s="38">
        <v>0</v>
      </c>
      <c r="S109" s="91">
        <f t="shared" si="5"/>
        <v>0</v>
      </c>
    </row>
    <row r="110" spans="1:19" ht="20.149999999999999" customHeight="1" x14ac:dyDescent="0.5">
      <c r="A110" s="187">
        <v>97</v>
      </c>
      <c r="B110" s="191" t="s">
        <v>210</v>
      </c>
      <c r="C110" s="146"/>
      <c r="D110" s="146"/>
      <c r="E110" s="146"/>
      <c r="F110" s="146"/>
      <c r="G110" s="146"/>
      <c r="H110" s="146"/>
      <c r="I110" s="48"/>
      <c r="J110" s="177"/>
      <c r="K110" s="230"/>
      <c r="L110" s="49"/>
      <c r="M110" s="49"/>
      <c r="N110" s="49"/>
      <c r="O110" s="49"/>
      <c r="S110" s="91">
        <f t="shared" si="5"/>
        <v>0</v>
      </c>
    </row>
    <row r="111" spans="1:19" ht="20.149999999999999" customHeight="1" x14ac:dyDescent="0.5">
      <c r="A111" s="11">
        <v>98</v>
      </c>
      <c r="B111" s="180" t="s">
        <v>213</v>
      </c>
      <c r="C111" s="144" t="s">
        <v>212</v>
      </c>
      <c r="D111" s="46"/>
      <c r="E111" s="46">
        <f>'PENERIMAAN OBAT PROGRAM'!G106</f>
        <v>0</v>
      </c>
      <c r="F111" s="47">
        <f t="shared" si="4"/>
        <v>0</v>
      </c>
      <c r="G111" s="47">
        <f>DISTRIBUSI!Z280</f>
        <v>0</v>
      </c>
      <c r="H111" s="46">
        <f t="shared" si="3"/>
        <v>0</v>
      </c>
      <c r="I111" s="48">
        <v>200</v>
      </c>
      <c r="J111" s="177"/>
      <c r="K111" s="230"/>
      <c r="L111" s="49"/>
      <c r="M111" s="49"/>
      <c r="N111" s="49"/>
      <c r="O111" s="49"/>
      <c r="R111" s="38">
        <v>0</v>
      </c>
      <c r="S111" s="91">
        <f t="shared" si="5"/>
        <v>0</v>
      </c>
    </row>
    <row r="112" spans="1:19" ht="20.149999999999999" customHeight="1" x14ac:dyDescent="0.5">
      <c r="A112" s="11">
        <v>99</v>
      </c>
      <c r="B112" s="184" t="s">
        <v>211</v>
      </c>
      <c r="C112" s="144" t="s">
        <v>212</v>
      </c>
      <c r="D112" s="46"/>
      <c r="E112" s="46">
        <f>'PENERIMAAN OBAT PROGRAM'!G107</f>
        <v>0</v>
      </c>
      <c r="F112" s="47">
        <f t="shared" si="4"/>
        <v>0</v>
      </c>
      <c r="G112" s="47">
        <f>DISTRIBUSI!Z281</f>
        <v>0</v>
      </c>
      <c r="H112" s="46">
        <f t="shared" si="3"/>
        <v>0</v>
      </c>
      <c r="I112" s="48">
        <v>1600</v>
      </c>
      <c r="J112" s="177"/>
      <c r="K112" s="230"/>
      <c r="L112" s="49"/>
      <c r="M112" s="49"/>
      <c r="N112" s="49"/>
      <c r="O112" s="49"/>
      <c r="R112" s="38">
        <v>0</v>
      </c>
      <c r="S112" s="91">
        <f t="shared" si="5"/>
        <v>0</v>
      </c>
    </row>
    <row r="113" spans="1:19" ht="20.149999999999999" customHeight="1" x14ac:dyDescent="0.5">
      <c r="A113" s="11">
        <v>100</v>
      </c>
      <c r="B113" s="180" t="s">
        <v>214</v>
      </c>
      <c r="C113" s="144" t="s">
        <v>212</v>
      </c>
      <c r="D113" s="46"/>
      <c r="E113" s="46">
        <f>'PENERIMAAN OBAT PROGRAM'!G108</f>
        <v>0</v>
      </c>
      <c r="F113" s="47">
        <f t="shared" si="4"/>
        <v>0</v>
      </c>
      <c r="G113" s="47">
        <f>DISTRIBUSI!Z282</f>
        <v>0</v>
      </c>
      <c r="H113" s="46">
        <f t="shared" si="3"/>
        <v>0</v>
      </c>
      <c r="I113" s="48"/>
      <c r="J113" s="177"/>
      <c r="K113" s="230"/>
      <c r="L113" s="49"/>
      <c r="M113" s="49"/>
      <c r="N113" s="49"/>
      <c r="O113" s="49"/>
      <c r="R113" s="38">
        <v>0</v>
      </c>
      <c r="S113" s="91">
        <f t="shared" si="5"/>
        <v>0</v>
      </c>
    </row>
    <row r="114" spans="1:19" ht="20.149999999999999" customHeight="1" x14ac:dyDescent="0.5">
      <c r="A114" s="11">
        <v>101</v>
      </c>
      <c r="B114" s="180" t="s">
        <v>215</v>
      </c>
      <c r="C114" s="144" t="s">
        <v>212</v>
      </c>
      <c r="D114" s="46"/>
      <c r="E114" s="46">
        <f>'PENERIMAAN OBAT PROGRAM'!G109</f>
        <v>0</v>
      </c>
      <c r="F114" s="47">
        <f t="shared" si="4"/>
        <v>0</v>
      </c>
      <c r="G114" s="47">
        <f>DISTRIBUSI!Z283</f>
        <v>0</v>
      </c>
      <c r="H114" s="46">
        <f t="shared" si="3"/>
        <v>0</v>
      </c>
      <c r="I114" s="48"/>
      <c r="J114" s="177"/>
      <c r="K114" s="230"/>
      <c r="L114" s="49"/>
      <c r="M114" s="49"/>
      <c r="N114" s="49"/>
      <c r="O114" s="49"/>
      <c r="R114" s="38">
        <v>0</v>
      </c>
      <c r="S114" s="91">
        <f t="shared" si="5"/>
        <v>0</v>
      </c>
    </row>
    <row r="115" spans="1:19" ht="20.149999999999999" customHeight="1" x14ac:dyDescent="0.5">
      <c r="A115" s="11">
        <v>102</v>
      </c>
      <c r="B115" s="180"/>
      <c r="C115" s="144"/>
      <c r="D115" s="46"/>
      <c r="E115" s="46">
        <f>'PENERIMAAN OBAT PROGRAM'!G110</f>
        <v>0</v>
      </c>
      <c r="F115" s="47">
        <f t="shared" si="4"/>
        <v>0</v>
      </c>
      <c r="G115" s="47">
        <f>DISTRIBUSI!Z284</f>
        <v>0</v>
      </c>
      <c r="H115" s="46">
        <f t="shared" si="3"/>
        <v>0</v>
      </c>
      <c r="I115" s="48"/>
      <c r="J115" s="177"/>
      <c r="K115" s="230"/>
      <c r="L115" s="49"/>
      <c r="M115" s="49"/>
      <c r="N115" s="49"/>
      <c r="O115" s="49"/>
      <c r="R115" s="38">
        <v>0</v>
      </c>
      <c r="S115" s="91">
        <f t="shared" si="5"/>
        <v>0</v>
      </c>
    </row>
    <row r="116" spans="1:19" ht="20.149999999999999" customHeight="1" x14ac:dyDescent="0.5">
      <c r="A116" s="11">
        <v>103</v>
      </c>
      <c r="B116" s="180"/>
      <c r="C116" s="144"/>
      <c r="D116" s="46"/>
      <c r="E116" s="46">
        <f>'PENERIMAAN OBAT PROGRAM'!G111</f>
        <v>0</v>
      </c>
      <c r="F116" s="47">
        <f t="shared" si="4"/>
        <v>0</v>
      </c>
      <c r="G116" s="47">
        <f>DISTRIBUSI!Z285</f>
        <v>0</v>
      </c>
      <c r="H116" s="46">
        <f t="shared" si="3"/>
        <v>0</v>
      </c>
      <c r="I116" s="48"/>
      <c r="J116" s="177"/>
      <c r="K116" s="230"/>
      <c r="L116" s="49"/>
      <c r="M116" s="49"/>
      <c r="N116" s="49"/>
      <c r="O116" s="49"/>
      <c r="R116" s="38">
        <v>0</v>
      </c>
      <c r="S116" s="91">
        <f t="shared" si="5"/>
        <v>0</v>
      </c>
    </row>
    <row r="117" spans="1:19" ht="20.149999999999999" customHeight="1" x14ac:dyDescent="0.5">
      <c r="A117" s="11">
        <v>104</v>
      </c>
      <c r="B117" s="180"/>
      <c r="C117" s="144"/>
      <c r="D117" s="46"/>
      <c r="E117" s="46">
        <f>'PENERIMAAN OBAT PROGRAM'!G112</f>
        <v>0</v>
      </c>
      <c r="F117" s="47">
        <f t="shared" si="4"/>
        <v>0</v>
      </c>
      <c r="G117" s="47">
        <f>DISTRIBUSI!Z286</f>
        <v>0</v>
      </c>
      <c r="H117" s="46">
        <f t="shared" si="3"/>
        <v>0</v>
      </c>
      <c r="I117" s="48"/>
      <c r="J117" s="177"/>
      <c r="K117" s="230"/>
      <c r="L117" s="49"/>
      <c r="M117" s="49"/>
      <c r="N117" s="49"/>
      <c r="O117" s="49"/>
      <c r="R117" s="38">
        <v>0</v>
      </c>
      <c r="S117" s="91">
        <f t="shared" si="5"/>
        <v>0</v>
      </c>
    </row>
    <row r="118" spans="1:19" ht="20.149999999999999" customHeight="1" x14ac:dyDescent="0.5">
      <c r="A118" s="187">
        <v>105</v>
      </c>
      <c r="B118" s="189" t="s">
        <v>216</v>
      </c>
      <c r="C118" s="146"/>
      <c r="D118" s="146"/>
      <c r="E118" s="146"/>
      <c r="F118" s="146"/>
      <c r="G118" s="146"/>
      <c r="H118" s="146"/>
      <c r="I118" s="48"/>
      <c r="J118" s="177"/>
      <c r="K118" s="230"/>
      <c r="L118" s="49"/>
      <c r="M118" s="49"/>
      <c r="N118" s="49"/>
      <c r="O118" s="49"/>
      <c r="S118" s="91">
        <f t="shared" si="5"/>
        <v>0</v>
      </c>
    </row>
    <row r="119" spans="1:19" ht="20.149999999999999" customHeight="1" x14ac:dyDescent="0.5">
      <c r="A119" s="11">
        <v>106</v>
      </c>
      <c r="B119" s="184" t="s">
        <v>397</v>
      </c>
      <c r="C119" s="144" t="s">
        <v>48</v>
      </c>
      <c r="D119" s="46"/>
      <c r="E119" s="46">
        <f>'PENERIMAAN OBAT PROGRAM'!G114</f>
        <v>0</v>
      </c>
      <c r="F119" s="47">
        <f t="shared" si="4"/>
        <v>0</v>
      </c>
      <c r="G119" s="47">
        <f>DISTRIBUSI!Z288</f>
        <v>0</v>
      </c>
      <c r="H119" s="46">
        <f t="shared" si="3"/>
        <v>0</v>
      </c>
      <c r="I119" s="48"/>
      <c r="J119" s="177"/>
      <c r="K119" s="230"/>
      <c r="L119" s="49"/>
      <c r="M119" s="49"/>
      <c r="N119" s="49"/>
      <c r="O119" s="49"/>
      <c r="R119" s="38">
        <v>0</v>
      </c>
      <c r="S119" s="91">
        <f t="shared" si="5"/>
        <v>0</v>
      </c>
    </row>
    <row r="120" spans="1:19" ht="20.149999999999999" customHeight="1" x14ac:dyDescent="0.5">
      <c r="A120" s="11">
        <v>107</v>
      </c>
      <c r="B120" s="184" t="s">
        <v>398</v>
      </c>
      <c r="C120" s="144" t="s">
        <v>48</v>
      </c>
      <c r="D120" s="46"/>
      <c r="E120" s="46">
        <f>'PENERIMAAN OBAT PROGRAM'!G115</f>
        <v>0</v>
      </c>
      <c r="F120" s="47">
        <f t="shared" si="4"/>
        <v>0</v>
      </c>
      <c r="G120" s="47">
        <f>DISTRIBUSI!Z289</f>
        <v>0</v>
      </c>
      <c r="H120" s="46">
        <f t="shared" si="3"/>
        <v>0</v>
      </c>
      <c r="I120" s="48"/>
      <c r="J120" s="177"/>
      <c r="K120" s="230"/>
      <c r="L120" s="49"/>
      <c r="M120" s="49"/>
      <c r="N120" s="49"/>
      <c r="O120" s="49"/>
      <c r="R120" s="38">
        <v>0</v>
      </c>
      <c r="S120" s="91">
        <f t="shared" si="5"/>
        <v>0</v>
      </c>
    </row>
    <row r="121" spans="1:19" ht="20.149999999999999" customHeight="1" x14ac:dyDescent="0.5">
      <c r="A121" s="11">
        <v>108</v>
      </c>
      <c r="B121" s="184" t="s">
        <v>295</v>
      </c>
      <c r="C121" s="144" t="s">
        <v>201</v>
      </c>
      <c r="D121" s="46"/>
      <c r="E121" s="46">
        <f>'PENERIMAAN OBAT PROGRAM'!G116</f>
        <v>0</v>
      </c>
      <c r="F121" s="47">
        <f t="shared" si="4"/>
        <v>0</v>
      </c>
      <c r="G121" s="47">
        <f>DISTRIBUSI!Z290</f>
        <v>0</v>
      </c>
      <c r="H121" s="46">
        <f t="shared" si="3"/>
        <v>0</v>
      </c>
      <c r="I121" s="48"/>
      <c r="J121" s="177"/>
      <c r="K121" s="230"/>
      <c r="L121" s="49"/>
      <c r="M121" s="49"/>
      <c r="N121" s="49"/>
      <c r="O121" s="49"/>
      <c r="R121" s="38">
        <v>0</v>
      </c>
      <c r="S121" s="91">
        <f t="shared" si="5"/>
        <v>0</v>
      </c>
    </row>
    <row r="122" spans="1:19" ht="20.149999999999999" customHeight="1" x14ac:dyDescent="0.5">
      <c r="A122" s="11">
        <v>109</v>
      </c>
      <c r="B122" s="184" t="s">
        <v>296</v>
      </c>
      <c r="C122" s="144" t="s">
        <v>201</v>
      </c>
      <c r="D122" s="46"/>
      <c r="E122" s="46">
        <f>'PENERIMAAN OBAT PROGRAM'!G117</f>
        <v>0</v>
      </c>
      <c r="F122" s="47">
        <f t="shared" si="4"/>
        <v>0</v>
      </c>
      <c r="G122" s="47">
        <f>DISTRIBUSI!Z291</f>
        <v>0</v>
      </c>
      <c r="H122" s="46">
        <f t="shared" si="3"/>
        <v>0</v>
      </c>
      <c r="I122" s="48"/>
      <c r="J122" s="177"/>
      <c r="K122" s="230"/>
      <c r="L122" s="49"/>
      <c r="M122" s="49"/>
      <c r="N122" s="49"/>
      <c r="O122" s="49"/>
      <c r="R122" s="38">
        <v>1</v>
      </c>
      <c r="S122" s="91">
        <f t="shared" si="5"/>
        <v>-1</v>
      </c>
    </row>
    <row r="123" spans="1:19" ht="20.149999999999999" customHeight="1" x14ac:dyDescent="0.5">
      <c r="A123" s="11">
        <v>110</v>
      </c>
      <c r="B123" s="184" t="s">
        <v>374</v>
      </c>
      <c r="C123" s="144" t="s">
        <v>6</v>
      </c>
      <c r="D123" s="46"/>
      <c r="E123" s="46">
        <f>'PENERIMAAN OBAT PROGRAM'!G118</f>
        <v>0</v>
      </c>
      <c r="F123" s="47">
        <f t="shared" si="4"/>
        <v>0</v>
      </c>
      <c r="G123" s="47">
        <f>DISTRIBUSI!Z292</f>
        <v>0</v>
      </c>
      <c r="H123" s="46">
        <f t="shared" si="3"/>
        <v>0</v>
      </c>
      <c r="I123" s="48"/>
      <c r="J123" s="177"/>
      <c r="K123" s="230"/>
      <c r="L123" s="49"/>
      <c r="M123" s="49"/>
      <c r="N123" s="49"/>
      <c r="O123" s="49"/>
      <c r="R123" s="38">
        <v>0</v>
      </c>
      <c r="S123" s="91">
        <f t="shared" si="5"/>
        <v>0</v>
      </c>
    </row>
    <row r="124" spans="1:19" ht="20.149999999999999" customHeight="1" x14ac:dyDescent="0.5">
      <c r="A124" s="11">
        <v>111</v>
      </c>
      <c r="B124" s="184" t="s">
        <v>399</v>
      </c>
      <c r="C124" s="144" t="s">
        <v>289</v>
      </c>
      <c r="D124" s="46"/>
      <c r="E124" s="46">
        <f>'PENERIMAAN OBAT PROGRAM'!G119</f>
        <v>0</v>
      </c>
      <c r="F124" s="47">
        <f t="shared" si="4"/>
        <v>0</v>
      </c>
      <c r="G124" s="47">
        <f>DISTRIBUSI!Z293</f>
        <v>0</v>
      </c>
      <c r="H124" s="46">
        <f t="shared" si="3"/>
        <v>0</v>
      </c>
      <c r="I124" s="48"/>
      <c r="J124" s="177"/>
      <c r="K124" s="230"/>
      <c r="L124" s="49"/>
      <c r="M124" s="49"/>
      <c r="N124" s="49"/>
      <c r="O124" s="49"/>
      <c r="R124" s="38">
        <v>0</v>
      </c>
      <c r="S124" s="91">
        <f t="shared" si="5"/>
        <v>0</v>
      </c>
    </row>
    <row r="125" spans="1:19" ht="20.149999999999999" customHeight="1" x14ac:dyDescent="0.5">
      <c r="A125" s="11">
        <v>112</v>
      </c>
      <c r="B125" s="184" t="s">
        <v>400</v>
      </c>
      <c r="C125" s="144" t="s">
        <v>273</v>
      </c>
      <c r="D125" s="46"/>
      <c r="E125" s="46">
        <f>'PENERIMAAN OBAT PROGRAM'!G120</f>
        <v>0</v>
      </c>
      <c r="F125" s="47">
        <f t="shared" si="4"/>
        <v>0</v>
      </c>
      <c r="G125" s="47">
        <f>DISTRIBUSI!Z294</f>
        <v>0</v>
      </c>
      <c r="H125" s="46">
        <f t="shared" si="3"/>
        <v>0</v>
      </c>
      <c r="I125" s="48"/>
      <c r="J125" s="177"/>
      <c r="K125" s="230"/>
      <c r="L125" s="49"/>
      <c r="M125" s="49"/>
      <c r="N125" s="49"/>
      <c r="O125" s="49"/>
      <c r="R125" s="38">
        <v>0</v>
      </c>
      <c r="S125" s="91">
        <f t="shared" si="5"/>
        <v>0</v>
      </c>
    </row>
    <row r="126" spans="1:19" ht="20.149999999999999" customHeight="1" x14ac:dyDescent="0.5">
      <c r="A126" s="11">
        <v>113</v>
      </c>
      <c r="B126" s="184" t="s">
        <v>373</v>
      </c>
      <c r="C126" s="144" t="s">
        <v>6</v>
      </c>
      <c r="D126" s="46"/>
      <c r="E126" s="46">
        <f>'PENERIMAAN OBAT PROGRAM'!G121</f>
        <v>0</v>
      </c>
      <c r="F126" s="47">
        <f t="shared" si="4"/>
        <v>0</v>
      </c>
      <c r="G126" s="47">
        <f>DISTRIBUSI!Z295</f>
        <v>0</v>
      </c>
      <c r="H126" s="46">
        <f t="shared" si="3"/>
        <v>0</v>
      </c>
      <c r="I126" s="48"/>
      <c r="J126" s="177"/>
      <c r="K126" s="230"/>
      <c r="L126" s="49"/>
      <c r="M126" s="49"/>
      <c r="N126" s="49"/>
      <c r="O126" s="49"/>
      <c r="R126" s="38">
        <v>0</v>
      </c>
      <c r="S126" s="91">
        <f t="shared" si="5"/>
        <v>0</v>
      </c>
    </row>
    <row r="127" spans="1:19" ht="20.149999999999999" customHeight="1" x14ac:dyDescent="0.5">
      <c r="A127" s="11">
        <v>114</v>
      </c>
      <c r="B127" s="184" t="s">
        <v>378</v>
      </c>
      <c r="C127" s="144" t="s">
        <v>4</v>
      </c>
      <c r="D127" s="46"/>
      <c r="E127" s="46">
        <f>'PENERIMAAN OBAT PROGRAM'!G122</f>
        <v>0</v>
      </c>
      <c r="F127" s="47">
        <f t="shared" si="4"/>
        <v>0</v>
      </c>
      <c r="G127" s="47">
        <f>DISTRIBUSI!Z296</f>
        <v>0</v>
      </c>
      <c r="H127" s="46">
        <f t="shared" si="3"/>
        <v>0</v>
      </c>
      <c r="I127" s="48"/>
      <c r="J127" s="177"/>
      <c r="K127" s="230"/>
      <c r="L127" s="49"/>
      <c r="M127" s="49"/>
      <c r="N127" s="49"/>
      <c r="O127" s="49"/>
      <c r="R127" s="38">
        <v>0</v>
      </c>
      <c r="S127" s="91">
        <f t="shared" si="5"/>
        <v>0</v>
      </c>
    </row>
    <row r="128" spans="1:19" ht="20.149999999999999" customHeight="1" x14ac:dyDescent="0.5">
      <c r="A128" s="11">
        <v>115</v>
      </c>
      <c r="B128" s="184" t="s">
        <v>301</v>
      </c>
      <c r="C128" s="144" t="s">
        <v>6</v>
      </c>
      <c r="D128" s="46"/>
      <c r="E128" s="46">
        <f>'PENERIMAAN OBAT PROGRAM'!G123</f>
        <v>0</v>
      </c>
      <c r="F128" s="47">
        <f t="shared" si="4"/>
        <v>0</v>
      </c>
      <c r="G128" s="47">
        <f>DISTRIBUSI!Z297</f>
        <v>0</v>
      </c>
      <c r="H128" s="46">
        <f t="shared" si="3"/>
        <v>0</v>
      </c>
      <c r="I128" s="48"/>
      <c r="J128" s="177"/>
      <c r="K128" s="230"/>
      <c r="L128" s="49"/>
      <c r="M128" s="49"/>
      <c r="N128" s="49"/>
      <c r="O128" s="49"/>
      <c r="R128" s="38">
        <v>0</v>
      </c>
      <c r="S128" s="91">
        <f t="shared" si="5"/>
        <v>0</v>
      </c>
    </row>
    <row r="129" spans="1:19" ht="19.5" customHeight="1" x14ac:dyDescent="0.5">
      <c r="A129" s="11">
        <v>116</v>
      </c>
      <c r="B129" s="184" t="s">
        <v>375</v>
      </c>
      <c r="C129" s="144" t="s">
        <v>212</v>
      </c>
      <c r="D129" s="46"/>
      <c r="E129" s="46">
        <f>'PENERIMAAN OBAT PROGRAM'!G124</f>
        <v>0</v>
      </c>
      <c r="F129" s="47">
        <f t="shared" si="4"/>
        <v>0</v>
      </c>
      <c r="G129" s="47">
        <f>DISTRIBUSI!Z298</f>
        <v>0</v>
      </c>
      <c r="H129" s="46">
        <f t="shared" si="3"/>
        <v>0</v>
      </c>
      <c r="I129" s="48"/>
      <c r="J129" s="177"/>
      <c r="K129" s="230"/>
      <c r="L129" s="49"/>
      <c r="M129" s="49"/>
      <c r="N129" s="49"/>
      <c r="O129" s="49"/>
      <c r="R129" s="38">
        <v>0</v>
      </c>
      <c r="S129" s="91">
        <f t="shared" si="5"/>
        <v>0</v>
      </c>
    </row>
    <row r="130" spans="1:19" x14ac:dyDescent="0.5">
      <c r="A130" s="11">
        <v>117</v>
      </c>
      <c r="B130" s="180" t="s">
        <v>297</v>
      </c>
      <c r="C130" s="144" t="s">
        <v>6</v>
      </c>
      <c r="D130" s="46"/>
      <c r="E130" s="46">
        <f>'PENERIMAAN OBAT PROGRAM'!G125</f>
        <v>0</v>
      </c>
      <c r="F130" s="47">
        <f t="shared" si="4"/>
        <v>0</v>
      </c>
      <c r="G130" s="47">
        <f>DISTRIBUSI!Z299</f>
        <v>0</v>
      </c>
      <c r="H130" s="46">
        <f t="shared" si="3"/>
        <v>0</v>
      </c>
      <c r="I130" s="48"/>
      <c r="J130" s="177"/>
      <c r="K130" s="230"/>
      <c r="L130" s="49"/>
      <c r="M130" s="49"/>
      <c r="N130" s="49"/>
      <c r="O130" s="49"/>
      <c r="R130" s="38">
        <v>0</v>
      </c>
      <c r="S130" s="91">
        <f t="shared" si="5"/>
        <v>0</v>
      </c>
    </row>
    <row r="131" spans="1:19" ht="20.149999999999999" customHeight="1" x14ac:dyDescent="0.5">
      <c r="A131" s="11">
        <v>118</v>
      </c>
      <c r="B131" s="178" t="s">
        <v>290</v>
      </c>
      <c r="C131" s="144" t="s">
        <v>274</v>
      </c>
      <c r="D131" s="46"/>
      <c r="E131" s="46">
        <f>'PENERIMAAN OBAT PROGRAM'!G126</f>
        <v>0</v>
      </c>
      <c r="F131" s="47">
        <f t="shared" si="4"/>
        <v>0</v>
      </c>
      <c r="G131" s="47">
        <f>DISTRIBUSI!Z300</f>
        <v>0</v>
      </c>
      <c r="H131" s="46">
        <f t="shared" si="3"/>
        <v>0</v>
      </c>
      <c r="I131" s="48"/>
      <c r="J131" s="177"/>
      <c r="K131" s="230"/>
      <c r="L131" s="49"/>
      <c r="M131" s="49"/>
      <c r="N131" s="49"/>
      <c r="O131" s="49"/>
      <c r="R131" s="38">
        <v>0</v>
      </c>
      <c r="S131" s="91">
        <f t="shared" si="5"/>
        <v>0</v>
      </c>
    </row>
    <row r="132" spans="1:19" ht="20.149999999999999" customHeight="1" x14ac:dyDescent="0.5">
      <c r="A132" s="11">
        <v>119</v>
      </c>
      <c r="B132" s="184" t="s">
        <v>292</v>
      </c>
      <c r="C132" s="144" t="s">
        <v>293</v>
      </c>
      <c r="D132" s="46"/>
      <c r="E132" s="46">
        <f>'PENERIMAAN OBAT PROGRAM'!G127</f>
        <v>0</v>
      </c>
      <c r="F132" s="47">
        <f t="shared" si="4"/>
        <v>0</v>
      </c>
      <c r="G132" s="47">
        <f>DISTRIBUSI!Z301</f>
        <v>0</v>
      </c>
      <c r="H132" s="46">
        <f t="shared" si="3"/>
        <v>0</v>
      </c>
      <c r="I132" s="48"/>
      <c r="J132" s="177"/>
      <c r="K132" s="230"/>
      <c r="L132" s="49"/>
      <c r="M132" s="49"/>
      <c r="N132" s="49"/>
      <c r="O132" s="49"/>
      <c r="R132" s="38">
        <v>0</v>
      </c>
      <c r="S132" s="91">
        <f t="shared" si="5"/>
        <v>0</v>
      </c>
    </row>
    <row r="133" spans="1:19" ht="20.149999999999999" customHeight="1" x14ac:dyDescent="0.5">
      <c r="A133" s="11">
        <v>120</v>
      </c>
      <c r="B133" s="184" t="s">
        <v>376</v>
      </c>
      <c r="C133" s="144" t="s">
        <v>108</v>
      </c>
      <c r="D133" s="46"/>
      <c r="E133" s="46">
        <f>'PENERIMAAN OBAT PROGRAM'!G128</f>
        <v>0</v>
      </c>
      <c r="F133" s="47">
        <f t="shared" si="4"/>
        <v>0</v>
      </c>
      <c r="G133" s="47">
        <f>DISTRIBUSI!Z302</f>
        <v>0</v>
      </c>
      <c r="H133" s="46">
        <f t="shared" si="3"/>
        <v>0</v>
      </c>
      <c r="I133" s="48"/>
      <c r="J133" s="177"/>
      <c r="K133" s="230"/>
      <c r="L133" s="49"/>
      <c r="M133" s="49"/>
      <c r="N133" s="49"/>
      <c r="O133" s="49"/>
      <c r="R133" s="38">
        <v>0</v>
      </c>
      <c r="S133" s="91">
        <f t="shared" si="5"/>
        <v>0</v>
      </c>
    </row>
    <row r="134" spans="1:19" ht="20.149999999999999" customHeight="1" x14ac:dyDescent="0.5">
      <c r="A134" s="11">
        <v>121</v>
      </c>
      <c r="B134" s="184" t="s">
        <v>298</v>
      </c>
      <c r="C134" s="144" t="s">
        <v>299</v>
      </c>
      <c r="D134" s="46"/>
      <c r="E134" s="46">
        <f>'PENERIMAAN OBAT PROGRAM'!G129</f>
        <v>0</v>
      </c>
      <c r="F134" s="47">
        <f t="shared" si="4"/>
        <v>0</v>
      </c>
      <c r="G134" s="47">
        <f>DISTRIBUSI!Z303</f>
        <v>0</v>
      </c>
      <c r="H134" s="46">
        <f t="shared" si="3"/>
        <v>0</v>
      </c>
      <c r="I134" s="48"/>
      <c r="J134" s="177"/>
      <c r="K134" s="230"/>
      <c r="L134" s="49"/>
      <c r="M134" s="49"/>
      <c r="N134" s="49"/>
      <c r="O134" s="49"/>
      <c r="R134" s="38">
        <v>0</v>
      </c>
      <c r="S134" s="91">
        <f t="shared" si="5"/>
        <v>0</v>
      </c>
    </row>
    <row r="135" spans="1:19" ht="20.149999999999999" customHeight="1" x14ac:dyDescent="0.5">
      <c r="A135" s="11">
        <v>122</v>
      </c>
      <c r="B135" s="184" t="s">
        <v>401</v>
      </c>
      <c r="C135" s="179" t="s">
        <v>274</v>
      </c>
      <c r="D135" s="46"/>
      <c r="E135" s="46">
        <f>'PENERIMAAN OBAT PROGRAM'!G130</f>
        <v>1</v>
      </c>
      <c r="F135" s="47">
        <f t="shared" si="4"/>
        <v>1</v>
      </c>
      <c r="G135" s="47">
        <f>DISTRIBUSI!Z304</f>
        <v>1</v>
      </c>
      <c r="H135" s="46">
        <f t="shared" si="3"/>
        <v>0</v>
      </c>
      <c r="I135" s="48"/>
      <c r="J135" s="177"/>
      <c r="K135" s="230"/>
      <c r="L135" s="49"/>
      <c r="M135" s="49"/>
      <c r="N135" s="49"/>
      <c r="O135" s="49"/>
      <c r="R135" s="38">
        <v>0</v>
      </c>
      <c r="S135" s="91">
        <f t="shared" si="5"/>
        <v>0</v>
      </c>
    </row>
    <row r="136" spans="1:19" ht="20.149999999999999" customHeight="1" x14ac:dyDescent="0.5">
      <c r="A136" s="11">
        <v>123</v>
      </c>
      <c r="B136" s="184" t="s">
        <v>300</v>
      </c>
      <c r="C136" s="179" t="s">
        <v>6</v>
      </c>
      <c r="D136" s="46"/>
      <c r="E136" s="46">
        <f>'PENERIMAAN OBAT PROGRAM'!G131</f>
        <v>0</v>
      </c>
      <c r="F136" s="47">
        <f t="shared" si="4"/>
        <v>0</v>
      </c>
      <c r="G136" s="47">
        <f>DISTRIBUSI!Z305</f>
        <v>0</v>
      </c>
      <c r="H136" s="46">
        <f t="shared" si="3"/>
        <v>0</v>
      </c>
      <c r="I136" s="48"/>
      <c r="J136" s="177"/>
      <c r="K136" s="230"/>
      <c r="L136" s="49"/>
      <c r="M136" s="49"/>
      <c r="N136" s="49"/>
      <c r="O136" s="49"/>
      <c r="R136" s="38">
        <v>0</v>
      </c>
      <c r="S136" s="91">
        <f t="shared" si="5"/>
        <v>0</v>
      </c>
    </row>
    <row r="137" spans="1:19" s="41" customFormat="1" ht="20.149999999999999" customHeight="1" x14ac:dyDescent="0.5">
      <c r="A137" s="11">
        <v>124</v>
      </c>
      <c r="B137" s="184" t="s">
        <v>402</v>
      </c>
      <c r="C137" s="179" t="s">
        <v>203</v>
      </c>
      <c r="D137" s="46"/>
      <c r="E137" s="46">
        <f>'PENERIMAAN OBAT PROGRAM'!G132</f>
        <v>0</v>
      </c>
      <c r="F137" s="47">
        <f t="shared" si="4"/>
        <v>0</v>
      </c>
      <c r="G137" s="47">
        <f>DISTRIBUSI!Z306</f>
        <v>0</v>
      </c>
      <c r="H137" s="46">
        <f t="shared" si="3"/>
        <v>0</v>
      </c>
      <c r="I137" s="48"/>
      <c r="J137" s="177"/>
      <c r="K137" s="230"/>
      <c r="L137" s="49"/>
      <c r="M137" s="49"/>
      <c r="N137" s="49"/>
      <c r="O137" s="49"/>
      <c r="R137" s="41">
        <v>0</v>
      </c>
      <c r="S137" s="91">
        <f t="shared" si="5"/>
        <v>0</v>
      </c>
    </row>
    <row r="138" spans="1:19" s="41" customFormat="1" ht="20.149999999999999" customHeight="1" x14ac:dyDescent="0.5">
      <c r="A138" s="11">
        <v>125</v>
      </c>
      <c r="B138" s="184" t="s">
        <v>403</v>
      </c>
      <c r="C138" s="179" t="s">
        <v>203</v>
      </c>
      <c r="D138" s="46"/>
      <c r="E138" s="46">
        <f>'PENERIMAAN OBAT PROGRAM'!G133</f>
        <v>0</v>
      </c>
      <c r="F138" s="47">
        <f t="shared" si="4"/>
        <v>0</v>
      </c>
      <c r="G138" s="47">
        <f>DISTRIBUSI!Z307</f>
        <v>0</v>
      </c>
      <c r="H138" s="46">
        <f t="shared" si="3"/>
        <v>0</v>
      </c>
      <c r="I138" s="48">
        <v>100</v>
      </c>
      <c r="J138" s="177"/>
      <c r="K138" s="230"/>
      <c r="L138" s="49"/>
      <c r="M138" s="49"/>
      <c r="N138" s="49"/>
      <c r="O138" s="49"/>
      <c r="R138" s="41">
        <v>0</v>
      </c>
      <c r="S138" s="91">
        <f t="shared" si="5"/>
        <v>0</v>
      </c>
    </row>
    <row r="139" spans="1:19" s="41" customFormat="1" ht="20.149999999999999" customHeight="1" x14ac:dyDescent="0.5">
      <c r="A139" s="11">
        <v>126</v>
      </c>
      <c r="B139" s="184" t="s">
        <v>404</v>
      </c>
      <c r="C139" s="179" t="s">
        <v>294</v>
      </c>
      <c r="D139" s="46"/>
      <c r="E139" s="46">
        <f>'PENERIMAAN OBAT PROGRAM'!G134</f>
        <v>0</v>
      </c>
      <c r="F139" s="47">
        <f t="shared" si="4"/>
        <v>0</v>
      </c>
      <c r="G139" s="47">
        <f>DISTRIBUSI!Z308</f>
        <v>0</v>
      </c>
      <c r="H139" s="46">
        <f t="shared" si="3"/>
        <v>0</v>
      </c>
      <c r="I139" s="48"/>
      <c r="J139" s="177"/>
      <c r="K139" s="230"/>
      <c r="L139" s="49"/>
      <c r="M139" s="49"/>
      <c r="N139" s="49"/>
      <c r="O139" s="49"/>
      <c r="R139" s="41">
        <v>0</v>
      </c>
      <c r="S139" s="91">
        <f t="shared" si="5"/>
        <v>0</v>
      </c>
    </row>
    <row r="140" spans="1:19" s="41" customFormat="1" ht="20.149999999999999" customHeight="1" x14ac:dyDescent="0.5">
      <c r="A140" s="11">
        <v>127</v>
      </c>
      <c r="B140" s="184" t="s">
        <v>372</v>
      </c>
      <c r="C140" s="179" t="s">
        <v>371</v>
      </c>
      <c r="D140" s="46"/>
      <c r="E140" s="46">
        <f>'PENERIMAAN OBAT PROGRAM'!G135</f>
        <v>0</v>
      </c>
      <c r="F140" s="47">
        <f t="shared" si="4"/>
        <v>0</v>
      </c>
      <c r="G140" s="47">
        <f>DISTRIBUSI!Z309</f>
        <v>0</v>
      </c>
      <c r="H140" s="46">
        <f t="shared" si="3"/>
        <v>0</v>
      </c>
      <c r="I140" s="48"/>
      <c r="J140" s="177"/>
      <c r="K140" s="230"/>
      <c r="L140" s="49"/>
      <c r="M140" s="49"/>
      <c r="N140" s="49"/>
      <c r="O140" s="49"/>
      <c r="R140" s="41">
        <v>3</v>
      </c>
      <c r="S140" s="91">
        <f t="shared" si="5"/>
        <v>-3</v>
      </c>
    </row>
    <row r="141" spans="1:19" s="41" customFormat="1" ht="20.149999999999999" customHeight="1" x14ac:dyDescent="0.5">
      <c r="A141" s="11">
        <v>128</v>
      </c>
      <c r="B141" s="184" t="s">
        <v>377</v>
      </c>
      <c r="C141" s="179" t="s">
        <v>212</v>
      </c>
      <c r="D141" s="46"/>
      <c r="E141" s="46">
        <f>'PENERIMAAN OBAT PROGRAM'!G136</f>
        <v>0</v>
      </c>
      <c r="F141" s="47">
        <f t="shared" si="4"/>
        <v>0</v>
      </c>
      <c r="G141" s="47">
        <f>DISTRIBUSI!Z310</f>
        <v>0</v>
      </c>
      <c r="H141" s="46">
        <f t="shared" si="3"/>
        <v>0</v>
      </c>
      <c r="I141" s="48"/>
      <c r="J141" s="177"/>
      <c r="K141" s="230"/>
      <c r="L141" s="49"/>
      <c r="M141" s="49"/>
      <c r="N141" s="49"/>
      <c r="O141" s="49"/>
      <c r="R141" s="41">
        <v>0</v>
      </c>
      <c r="S141" s="91">
        <f t="shared" si="5"/>
        <v>0</v>
      </c>
    </row>
    <row r="142" spans="1:19" s="41" customFormat="1" ht="28" customHeight="1" x14ac:dyDescent="0.5">
      <c r="A142" s="11">
        <v>129</v>
      </c>
      <c r="B142" s="180" t="s">
        <v>288</v>
      </c>
      <c r="C142" s="179" t="s">
        <v>273</v>
      </c>
      <c r="D142" s="46"/>
      <c r="E142" s="46">
        <f>'PENERIMAAN OBAT PROGRAM'!G137</f>
        <v>6</v>
      </c>
      <c r="F142" s="47">
        <f t="shared" si="4"/>
        <v>6</v>
      </c>
      <c r="G142" s="47">
        <f>DISTRIBUSI!Z311</f>
        <v>6</v>
      </c>
      <c r="H142" s="46">
        <f t="shared" si="3"/>
        <v>0</v>
      </c>
      <c r="I142" s="48">
        <v>6</v>
      </c>
      <c r="J142" s="177"/>
      <c r="K142" s="230"/>
      <c r="L142" s="49"/>
      <c r="M142" s="49"/>
      <c r="N142" s="49"/>
      <c r="O142" s="49"/>
      <c r="R142" s="41">
        <v>8</v>
      </c>
      <c r="S142" s="91">
        <f t="shared" si="5"/>
        <v>-8</v>
      </c>
    </row>
    <row r="143" spans="1:19" s="41" customFormat="1" ht="28" customHeight="1" x14ac:dyDescent="0.5">
      <c r="A143" s="11">
        <v>130</v>
      </c>
      <c r="B143" s="180" t="s">
        <v>287</v>
      </c>
      <c r="C143" s="179" t="s">
        <v>274</v>
      </c>
      <c r="D143" s="46"/>
      <c r="E143" s="46">
        <f>'PENERIMAAN OBAT PROGRAM'!G138</f>
        <v>5</v>
      </c>
      <c r="F143" s="47">
        <f t="shared" si="4"/>
        <v>5</v>
      </c>
      <c r="G143" s="47">
        <f>DISTRIBUSI!Z312</f>
        <v>5</v>
      </c>
      <c r="H143" s="46">
        <f t="shared" ref="H143:H158" si="6">F143-G143</f>
        <v>0</v>
      </c>
      <c r="I143" s="48">
        <v>5</v>
      </c>
      <c r="J143" s="177"/>
      <c r="K143" s="230"/>
      <c r="L143" s="49"/>
      <c r="M143" s="49"/>
      <c r="N143" s="49"/>
      <c r="O143" s="49"/>
      <c r="R143" s="41">
        <v>0</v>
      </c>
      <c r="S143" s="91">
        <f t="shared" si="5"/>
        <v>0</v>
      </c>
    </row>
    <row r="144" spans="1:19" s="41" customFormat="1" ht="20.149999999999999" customHeight="1" x14ac:dyDescent="0.5">
      <c r="A144" s="11">
        <v>131</v>
      </c>
      <c r="B144" s="184" t="s">
        <v>291</v>
      </c>
      <c r="C144" s="179" t="s">
        <v>273</v>
      </c>
      <c r="D144" s="46"/>
      <c r="E144" s="46">
        <f>'PENERIMAAN OBAT PROGRAM'!G139</f>
        <v>0</v>
      </c>
      <c r="F144" s="47">
        <f t="shared" ref="F144:F158" si="7">D144+E144</f>
        <v>0</v>
      </c>
      <c r="G144" s="47">
        <f>DISTRIBUSI!Z313</f>
        <v>0</v>
      </c>
      <c r="H144" s="46">
        <f t="shared" si="6"/>
        <v>0</v>
      </c>
      <c r="I144" s="48"/>
      <c r="J144" s="177"/>
      <c r="K144" s="230"/>
      <c r="L144" s="49"/>
      <c r="M144" s="49"/>
      <c r="N144" s="49"/>
      <c r="O144" s="49"/>
      <c r="R144" s="41">
        <v>0</v>
      </c>
      <c r="S144" s="91">
        <f t="shared" ref="S144:S160" si="8">H144-R144</f>
        <v>0</v>
      </c>
    </row>
    <row r="145" spans="1:19" s="41" customFormat="1" ht="20.149999999999999" customHeight="1" x14ac:dyDescent="0.5">
      <c r="A145" s="11">
        <v>132</v>
      </c>
      <c r="B145" s="184" t="s">
        <v>405</v>
      </c>
      <c r="C145" s="179" t="s">
        <v>203</v>
      </c>
      <c r="D145" s="46"/>
      <c r="E145" s="46">
        <f>'PENERIMAAN OBAT PROGRAM'!G140</f>
        <v>0</v>
      </c>
      <c r="F145" s="47">
        <f t="shared" si="7"/>
        <v>0</v>
      </c>
      <c r="G145" s="47">
        <f>DISTRIBUSI!Z314</f>
        <v>0</v>
      </c>
      <c r="H145" s="46">
        <f t="shared" si="6"/>
        <v>0</v>
      </c>
      <c r="I145" s="48"/>
      <c r="J145" s="177"/>
      <c r="K145" s="230"/>
      <c r="L145" s="49"/>
      <c r="M145" s="49"/>
      <c r="N145" s="49"/>
      <c r="O145" s="49"/>
      <c r="R145" s="41">
        <v>25</v>
      </c>
      <c r="S145" s="91">
        <f t="shared" si="8"/>
        <v>-25</v>
      </c>
    </row>
    <row r="146" spans="1:19" s="41" customFormat="1" ht="20.149999999999999" customHeight="1" x14ac:dyDescent="0.5">
      <c r="A146" s="11">
        <v>133</v>
      </c>
      <c r="B146" s="184" t="s">
        <v>406</v>
      </c>
      <c r="C146" s="179" t="s">
        <v>201</v>
      </c>
      <c r="D146" s="46"/>
      <c r="E146" s="46">
        <f>'PENERIMAAN OBAT PROGRAM'!G141</f>
        <v>0</v>
      </c>
      <c r="F146" s="47">
        <f t="shared" si="7"/>
        <v>0</v>
      </c>
      <c r="G146" s="47">
        <f>DISTRIBUSI!Z315</f>
        <v>0</v>
      </c>
      <c r="H146" s="46">
        <f t="shared" si="6"/>
        <v>0</v>
      </c>
      <c r="I146" s="48"/>
      <c r="J146" s="177"/>
      <c r="K146" s="230"/>
      <c r="L146" s="49"/>
      <c r="M146" s="49"/>
      <c r="N146" s="49"/>
      <c r="O146" s="49"/>
      <c r="R146" s="41">
        <v>0</v>
      </c>
      <c r="S146" s="91">
        <f t="shared" si="8"/>
        <v>0</v>
      </c>
    </row>
    <row r="147" spans="1:19" s="41" customFormat="1" ht="20.149999999999999" customHeight="1" x14ac:dyDescent="0.5">
      <c r="A147" s="11">
        <v>134</v>
      </c>
      <c r="B147" s="184" t="s">
        <v>407</v>
      </c>
      <c r="C147" s="179" t="s">
        <v>273</v>
      </c>
      <c r="D147" s="46"/>
      <c r="E147" s="46">
        <f>'PENERIMAAN OBAT PROGRAM'!G142</f>
        <v>0</v>
      </c>
      <c r="F147" s="47">
        <f t="shared" si="7"/>
        <v>0</v>
      </c>
      <c r="G147" s="47">
        <f>DISTRIBUSI!Z316</f>
        <v>0</v>
      </c>
      <c r="H147" s="46">
        <f t="shared" si="6"/>
        <v>0</v>
      </c>
      <c r="I147" s="48"/>
      <c r="J147" s="177"/>
      <c r="K147" s="230"/>
      <c r="L147" s="49"/>
      <c r="M147" s="49"/>
      <c r="N147" s="49"/>
      <c r="O147" s="49"/>
      <c r="R147" s="41">
        <v>0</v>
      </c>
      <c r="S147" s="91">
        <f t="shared" si="8"/>
        <v>0</v>
      </c>
    </row>
    <row r="148" spans="1:19" s="41" customFormat="1" ht="20.149999999999999" customHeight="1" x14ac:dyDescent="0.5">
      <c r="A148" s="11">
        <v>135</v>
      </c>
      <c r="B148" s="184" t="s">
        <v>408</v>
      </c>
      <c r="C148" s="179" t="s">
        <v>274</v>
      </c>
      <c r="D148" s="46"/>
      <c r="E148" s="46">
        <f>'PENERIMAAN OBAT PROGRAM'!G143</f>
        <v>1</v>
      </c>
      <c r="F148" s="47">
        <f t="shared" si="7"/>
        <v>1</v>
      </c>
      <c r="G148" s="47">
        <f>DISTRIBUSI!Z317</f>
        <v>1</v>
      </c>
      <c r="H148" s="46">
        <f t="shared" si="6"/>
        <v>0</v>
      </c>
      <c r="I148" s="48">
        <v>2</v>
      </c>
      <c r="J148" s="177"/>
      <c r="K148" s="230"/>
      <c r="L148" s="49"/>
      <c r="M148" s="49"/>
      <c r="N148" s="49"/>
      <c r="O148" s="49"/>
      <c r="R148" s="41">
        <v>0</v>
      </c>
      <c r="S148" s="91">
        <f t="shared" si="8"/>
        <v>0</v>
      </c>
    </row>
    <row r="149" spans="1:19" s="41" customFormat="1" ht="20.149999999999999" customHeight="1" x14ac:dyDescent="0.5">
      <c r="A149" s="11">
        <v>136</v>
      </c>
      <c r="B149" s="184" t="s">
        <v>409</v>
      </c>
      <c r="C149" s="179" t="s">
        <v>48</v>
      </c>
      <c r="D149" s="46"/>
      <c r="E149" s="46">
        <f>'PENERIMAAN OBAT PROGRAM'!G144</f>
        <v>0</v>
      </c>
      <c r="F149" s="47">
        <f t="shared" si="7"/>
        <v>0</v>
      </c>
      <c r="G149" s="47">
        <f>DISTRIBUSI!Z318</f>
        <v>0</v>
      </c>
      <c r="H149" s="46">
        <f t="shared" si="6"/>
        <v>0</v>
      </c>
      <c r="I149" s="48"/>
      <c r="J149" s="177"/>
      <c r="K149" s="230"/>
      <c r="L149" s="49"/>
      <c r="M149" s="49"/>
      <c r="N149" s="49"/>
      <c r="O149" s="49"/>
      <c r="R149" s="41">
        <v>0</v>
      </c>
      <c r="S149" s="91">
        <f t="shared" si="8"/>
        <v>0</v>
      </c>
    </row>
    <row r="150" spans="1:19" s="41" customFormat="1" ht="20.149999999999999" customHeight="1" x14ac:dyDescent="0.5">
      <c r="A150" s="11">
        <v>137</v>
      </c>
      <c r="B150" s="184" t="s">
        <v>434</v>
      </c>
      <c r="C150" s="179" t="s">
        <v>212</v>
      </c>
      <c r="D150" s="46"/>
      <c r="E150" s="46">
        <f>'PENERIMAAN OBAT PROGRAM'!G145</f>
        <v>0</v>
      </c>
      <c r="F150" s="47">
        <f t="shared" si="7"/>
        <v>0</v>
      </c>
      <c r="G150" s="47">
        <f>DISTRIBUSI!Z319</f>
        <v>0</v>
      </c>
      <c r="H150" s="46">
        <f t="shared" si="6"/>
        <v>0</v>
      </c>
      <c r="I150" s="48"/>
      <c r="J150" s="177"/>
      <c r="K150" s="230"/>
      <c r="L150" s="49"/>
      <c r="M150" s="49"/>
      <c r="N150" s="49"/>
      <c r="O150" s="49"/>
      <c r="R150" s="41">
        <v>0</v>
      </c>
      <c r="S150" s="91">
        <f t="shared" si="8"/>
        <v>0</v>
      </c>
    </row>
    <row r="151" spans="1:19" s="41" customFormat="1" ht="20.149999999999999" customHeight="1" x14ac:dyDescent="0.5">
      <c r="A151" s="11">
        <v>138</v>
      </c>
      <c r="B151" s="184"/>
      <c r="C151" s="179"/>
      <c r="D151" s="46"/>
      <c r="E151" s="46">
        <f>'PENERIMAAN OBAT PROGRAM'!G146</f>
        <v>0</v>
      </c>
      <c r="F151" s="47">
        <f t="shared" si="7"/>
        <v>0</v>
      </c>
      <c r="G151" s="47">
        <f>DISTRIBUSI!Z320</f>
        <v>0</v>
      </c>
      <c r="H151" s="46">
        <f t="shared" si="6"/>
        <v>0</v>
      </c>
      <c r="I151" s="48"/>
      <c r="J151" s="177"/>
      <c r="K151" s="230"/>
      <c r="L151" s="49"/>
      <c r="M151" s="49"/>
      <c r="N151" s="49"/>
      <c r="O151" s="49"/>
      <c r="R151" s="41">
        <v>0</v>
      </c>
      <c r="S151" s="91">
        <f t="shared" si="8"/>
        <v>0</v>
      </c>
    </row>
    <row r="152" spans="1:19" s="41" customFormat="1" ht="20.149999999999999" customHeight="1" x14ac:dyDescent="0.5">
      <c r="A152" s="11">
        <v>139</v>
      </c>
      <c r="B152" s="184"/>
      <c r="C152" s="179"/>
      <c r="D152" s="46"/>
      <c r="E152" s="46">
        <f>'PENERIMAAN OBAT PROGRAM'!G147</f>
        <v>0</v>
      </c>
      <c r="F152" s="47">
        <f t="shared" si="7"/>
        <v>0</v>
      </c>
      <c r="G152" s="47">
        <f>DISTRIBUSI!Z321</f>
        <v>0</v>
      </c>
      <c r="H152" s="46">
        <f t="shared" si="6"/>
        <v>0</v>
      </c>
      <c r="I152" s="48"/>
      <c r="J152" s="177"/>
      <c r="K152" s="230"/>
      <c r="L152" s="49"/>
      <c r="M152" s="49"/>
      <c r="N152" s="49"/>
      <c r="O152" s="49"/>
      <c r="R152" s="41">
        <v>0</v>
      </c>
      <c r="S152" s="91">
        <f t="shared" si="8"/>
        <v>0</v>
      </c>
    </row>
    <row r="153" spans="1:19" s="41" customFormat="1" ht="20.149999999999999" customHeight="1" x14ac:dyDescent="0.5">
      <c r="A153" s="11">
        <v>140</v>
      </c>
      <c r="B153" s="184"/>
      <c r="C153" s="179"/>
      <c r="D153" s="46"/>
      <c r="E153" s="46">
        <f>'PENERIMAAN OBAT PROGRAM'!G148</f>
        <v>0</v>
      </c>
      <c r="F153" s="47">
        <f t="shared" si="7"/>
        <v>0</v>
      </c>
      <c r="G153" s="47">
        <f>DISTRIBUSI!Z322</f>
        <v>0</v>
      </c>
      <c r="H153" s="46">
        <f t="shared" si="6"/>
        <v>0</v>
      </c>
      <c r="I153" s="48"/>
      <c r="J153" s="177"/>
      <c r="K153" s="230"/>
      <c r="L153" s="49"/>
      <c r="M153" s="49"/>
      <c r="N153" s="49"/>
      <c r="O153" s="49"/>
      <c r="R153" s="41">
        <v>0</v>
      </c>
      <c r="S153" s="91">
        <f t="shared" si="8"/>
        <v>0</v>
      </c>
    </row>
    <row r="154" spans="1:19" s="41" customFormat="1" ht="20.149999999999999" customHeight="1" x14ac:dyDescent="0.5">
      <c r="A154" s="187">
        <v>141</v>
      </c>
      <c r="B154" s="189" t="s">
        <v>275</v>
      </c>
      <c r="C154" s="146"/>
      <c r="D154" s="146"/>
      <c r="E154" s="146"/>
      <c r="F154" s="146"/>
      <c r="G154" s="146"/>
      <c r="H154" s="146"/>
      <c r="I154" s="48"/>
      <c r="J154" s="177"/>
      <c r="K154" s="230"/>
      <c r="L154" s="49"/>
      <c r="M154" s="49"/>
      <c r="N154" s="49"/>
      <c r="O154" s="49"/>
      <c r="S154" s="91">
        <f t="shared" si="8"/>
        <v>0</v>
      </c>
    </row>
    <row r="155" spans="1:19" s="41" customFormat="1" ht="20.149999999999999" customHeight="1" x14ac:dyDescent="0.5">
      <c r="A155" s="11">
        <v>142</v>
      </c>
      <c r="B155" s="184" t="s">
        <v>380</v>
      </c>
      <c r="C155" s="179" t="s">
        <v>294</v>
      </c>
      <c r="D155" s="46"/>
      <c r="E155" s="46">
        <f>'PENERIMAAN OBAT PROGRAM'!G150</f>
        <v>0</v>
      </c>
      <c r="F155" s="47">
        <f t="shared" si="7"/>
        <v>0</v>
      </c>
      <c r="G155" s="47">
        <f>DISTRIBUSI!Z324</f>
        <v>0</v>
      </c>
      <c r="H155" s="46">
        <f t="shared" si="6"/>
        <v>0</v>
      </c>
      <c r="I155" s="48"/>
      <c r="J155" s="177"/>
      <c r="K155" s="230"/>
      <c r="L155" s="49"/>
      <c r="M155" s="49"/>
      <c r="N155" s="49"/>
      <c r="O155" s="49"/>
      <c r="R155" s="41">
        <v>0</v>
      </c>
      <c r="S155" s="91">
        <f t="shared" si="8"/>
        <v>0</v>
      </c>
    </row>
    <row r="156" spans="1:19" s="41" customFormat="1" ht="20.149999999999999" customHeight="1" x14ac:dyDescent="0.5">
      <c r="A156" s="11">
        <v>143</v>
      </c>
      <c r="B156" s="184" t="s">
        <v>381</v>
      </c>
      <c r="C156" s="179" t="s">
        <v>382</v>
      </c>
      <c r="D156" s="46"/>
      <c r="E156" s="46">
        <f>'PENERIMAAN OBAT PROGRAM'!G151</f>
        <v>0</v>
      </c>
      <c r="F156" s="47">
        <f t="shared" si="7"/>
        <v>0</v>
      </c>
      <c r="G156" s="47">
        <f>DISTRIBUSI!Z325</f>
        <v>0</v>
      </c>
      <c r="H156" s="46">
        <f t="shared" si="6"/>
        <v>0</v>
      </c>
      <c r="I156" s="48"/>
      <c r="J156" s="177"/>
      <c r="K156" s="230"/>
      <c r="L156" s="49"/>
      <c r="M156" s="49"/>
      <c r="N156" s="49"/>
      <c r="O156" s="49"/>
      <c r="R156" s="41">
        <v>0</v>
      </c>
      <c r="S156" s="91">
        <f t="shared" si="8"/>
        <v>0</v>
      </c>
    </row>
    <row r="157" spans="1:19" s="41" customFormat="1" ht="20.149999999999999" customHeight="1" x14ac:dyDescent="0.5">
      <c r="A157" s="11">
        <v>144</v>
      </c>
      <c r="B157" s="184" t="s">
        <v>276</v>
      </c>
      <c r="C157" s="179" t="s">
        <v>212</v>
      </c>
      <c r="D157" s="46"/>
      <c r="E157" s="46">
        <f>'PENERIMAAN OBAT PROGRAM'!G152</f>
        <v>150</v>
      </c>
      <c r="F157" s="47">
        <f t="shared" si="7"/>
        <v>150</v>
      </c>
      <c r="G157" s="47">
        <f>DISTRIBUSI!Z326</f>
        <v>150</v>
      </c>
      <c r="H157" s="46">
        <f t="shared" si="6"/>
        <v>0</v>
      </c>
      <c r="I157" s="48"/>
      <c r="J157" s="177"/>
      <c r="K157" s="230"/>
      <c r="L157" s="49"/>
      <c r="M157" s="49"/>
      <c r="N157" s="49"/>
      <c r="O157" s="49"/>
      <c r="R157" s="41">
        <v>0</v>
      </c>
      <c r="S157" s="91">
        <f t="shared" si="8"/>
        <v>0</v>
      </c>
    </row>
    <row r="158" spans="1:19" s="41" customFormat="1" ht="20.149999999999999" customHeight="1" x14ac:dyDescent="0.5">
      <c r="A158" s="11">
        <v>145</v>
      </c>
      <c r="B158" s="184" t="s">
        <v>379</v>
      </c>
      <c r="C158" s="179" t="s">
        <v>212</v>
      </c>
      <c r="D158" s="46"/>
      <c r="E158" s="46">
        <f>'PENERIMAAN OBAT PROGRAM'!G153</f>
        <v>0</v>
      </c>
      <c r="F158" s="47">
        <f t="shared" si="7"/>
        <v>0</v>
      </c>
      <c r="G158" s="47">
        <f>DISTRIBUSI!Z327</f>
        <v>0</v>
      </c>
      <c r="H158" s="46">
        <f t="shared" si="6"/>
        <v>0</v>
      </c>
      <c r="I158" s="48"/>
      <c r="J158" s="177"/>
      <c r="K158" s="230"/>
      <c r="L158" s="49"/>
      <c r="M158" s="49"/>
      <c r="N158" s="49"/>
      <c r="O158" s="49"/>
      <c r="R158" s="41">
        <v>0</v>
      </c>
      <c r="S158" s="91">
        <f t="shared" si="8"/>
        <v>0</v>
      </c>
    </row>
    <row r="159" spans="1:19" s="41" customFormat="1" ht="20.149999999999999" customHeight="1" x14ac:dyDescent="0.5">
      <c r="A159" s="11">
        <v>146</v>
      </c>
      <c r="B159" s="184"/>
      <c r="C159" s="179"/>
      <c r="D159" s="46"/>
      <c r="E159" s="46">
        <f>'PENERIMAAN OBAT PROGRAM'!G154</f>
        <v>0</v>
      </c>
      <c r="F159" s="47">
        <f t="shared" ref="F159:F173" si="9">D159+E159</f>
        <v>0</v>
      </c>
      <c r="G159" s="47">
        <f>DISTRIBUSI!Z328</f>
        <v>0</v>
      </c>
      <c r="H159" s="46">
        <f t="shared" ref="H159:H173" si="10">F159-G159</f>
        <v>0</v>
      </c>
      <c r="I159" s="48"/>
      <c r="J159" s="177"/>
      <c r="K159" s="230"/>
      <c r="L159" s="49"/>
      <c r="M159" s="49"/>
      <c r="N159" s="49"/>
      <c r="O159" s="49"/>
      <c r="R159" s="41">
        <v>0</v>
      </c>
      <c r="S159" s="91">
        <f t="shared" si="8"/>
        <v>0</v>
      </c>
    </row>
    <row r="160" spans="1:19" s="41" customFormat="1" ht="20.149999999999999" customHeight="1" x14ac:dyDescent="0.5">
      <c r="A160" s="11">
        <v>147</v>
      </c>
      <c r="B160" s="184"/>
      <c r="C160" s="179"/>
      <c r="D160" s="46"/>
      <c r="E160" s="46">
        <f>'PENERIMAAN OBAT PROGRAM'!G155</f>
        <v>0</v>
      </c>
      <c r="F160" s="47">
        <f t="shared" si="9"/>
        <v>0</v>
      </c>
      <c r="G160" s="47">
        <f>DISTRIBUSI!Z329</f>
        <v>0</v>
      </c>
      <c r="H160" s="46">
        <f t="shared" si="10"/>
        <v>0</v>
      </c>
      <c r="I160" s="48"/>
      <c r="J160" s="177"/>
      <c r="K160" s="230"/>
      <c r="L160" s="49"/>
      <c r="M160" s="49"/>
      <c r="N160" s="49"/>
      <c r="O160" s="49"/>
      <c r="R160" s="41">
        <v>0</v>
      </c>
      <c r="S160" s="91">
        <f t="shared" si="8"/>
        <v>0</v>
      </c>
    </row>
    <row r="161" spans="1:50" s="41" customFormat="1" ht="20.149999999999999" customHeight="1" x14ac:dyDescent="0.5">
      <c r="A161" s="248">
        <v>148</v>
      </c>
      <c r="B161" s="248" t="s">
        <v>435</v>
      </c>
      <c r="C161" s="248"/>
      <c r="D161" s="279"/>
      <c r="E161" s="279">
        <f>'PENERIMAAN OBAT PROGRAM'!G156</f>
        <v>0</v>
      </c>
      <c r="F161" s="280">
        <f t="shared" si="9"/>
        <v>0</v>
      </c>
      <c r="G161" s="280">
        <f>DISTRIBUSI!Z330</f>
        <v>0</v>
      </c>
      <c r="H161" s="279">
        <f t="shared" si="10"/>
        <v>0</v>
      </c>
      <c r="I161" s="48"/>
      <c r="J161" s="177"/>
      <c r="K161" s="230"/>
      <c r="L161" s="49"/>
      <c r="M161" s="49"/>
      <c r="N161" s="49"/>
      <c r="O161" s="49"/>
    </row>
    <row r="162" spans="1:50" s="41" customFormat="1" ht="20.149999999999999" customHeight="1" x14ac:dyDescent="0.5">
      <c r="A162" s="148">
        <v>149</v>
      </c>
      <c r="B162" s="148" t="s">
        <v>436</v>
      </c>
      <c r="C162" s="148" t="s">
        <v>6</v>
      </c>
      <c r="D162" s="46"/>
      <c r="E162" s="46">
        <f>'PENERIMAAN OBAT PROGRAM'!G157</f>
        <v>0</v>
      </c>
      <c r="F162" s="47">
        <f t="shared" si="9"/>
        <v>0</v>
      </c>
      <c r="G162" s="47">
        <f>DISTRIBUSI!Z331</f>
        <v>0</v>
      </c>
      <c r="H162" s="46">
        <f t="shared" si="10"/>
        <v>0</v>
      </c>
      <c r="I162" s="48"/>
      <c r="J162" s="177"/>
      <c r="K162" s="230"/>
      <c r="L162" s="49"/>
      <c r="M162" s="49"/>
      <c r="N162" s="49"/>
      <c r="O162" s="49"/>
    </row>
    <row r="163" spans="1:50" s="41" customFormat="1" ht="20.149999999999999" customHeight="1" x14ac:dyDescent="0.5">
      <c r="A163" s="148">
        <v>150</v>
      </c>
      <c r="B163" s="148" t="s">
        <v>437</v>
      </c>
      <c r="C163" s="148" t="s">
        <v>6</v>
      </c>
      <c r="D163" s="46"/>
      <c r="E163" s="46">
        <f>'PENERIMAAN OBAT PROGRAM'!G158</f>
        <v>0</v>
      </c>
      <c r="F163" s="47">
        <f t="shared" si="9"/>
        <v>0</v>
      </c>
      <c r="G163" s="47">
        <f>DISTRIBUSI!Z332</f>
        <v>0</v>
      </c>
      <c r="H163" s="46">
        <f t="shared" si="10"/>
        <v>0</v>
      </c>
      <c r="I163" s="48"/>
      <c r="J163" s="177"/>
      <c r="K163" s="230"/>
      <c r="L163" s="49"/>
      <c r="M163" s="49"/>
      <c r="N163" s="49"/>
      <c r="O163" s="49"/>
    </row>
    <row r="164" spans="1:50" ht="20.149999999999999" customHeight="1" x14ac:dyDescent="0.5">
      <c r="A164" s="148">
        <v>151</v>
      </c>
      <c r="B164" s="148" t="s">
        <v>438</v>
      </c>
      <c r="C164" s="148" t="s">
        <v>6</v>
      </c>
      <c r="D164" s="46"/>
      <c r="E164" s="46">
        <f>'PENERIMAAN OBAT PROGRAM'!G159</f>
        <v>0</v>
      </c>
      <c r="F164" s="47">
        <f t="shared" si="9"/>
        <v>0</v>
      </c>
      <c r="G164" s="47">
        <f>DISTRIBUSI!Z333</f>
        <v>0</v>
      </c>
      <c r="H164" s="46">
        <f t="shared" si="10"/>
        <v>0</v>
      </c>
      <c r="I164" s="48"/>
      <c r="J164" s="177"/>
      <c r="K164" s="230"/>
      <c r="L164" s="49"/>
      <c r="M164" s="49"/>
      <c r="N164" s="49"/>
      <c r="O164" s="49"/>
      <c r="AX164" s="39"/>
    </row>
    <row r="165" spans="1:50" ht="20.149999999999999" customHeight="1" x14ac:dyDescent="0.5">
      <c r="A165" s="148">
        <v>152</v>
      </c>
      <c r="B165" s="148" t="s">
        <v>439</v>
      </c>
      <c r="C165" s="148" t="s">
        <v>6</v>
      </c>
      <c r="D165" s="46"/>
      <c r="E165" s="46">
        <f>'PENERIMAAN OBAT PROGRAM'!G160</f>
        <v>0</v>
      </c>
      <c r="F165" s="47">
        <f t="shared" si="9"/>
        <v>0</v>
      </c>
      <c r="G165" s="47">
        <f>DISTRIBUSI!Z334</f>
        <v>0</v>
      </c>
      <c r="H165" s="46">
        <f t="shared" si="10"/>
        <v>0</v>
      </c>
      <c r="I165" s="48"/>
      <c r="J165" s="177"/>
      <c r="K165" s="230"/>
      <c r="L165" s="49"/>
      <c r="M165" s="49"/>
      <c r="N165" s="49"/>
      <c r="O165" s="49"/>
      <c r="AX165" s="39"/>
    </row>
    <row r="166" spans="1:50" ht="20.149999999999999" customHeight="1" x14ac:dyDescent="0.5">
      <c r="A166" s="148">
        <v>153</v>
      </c>
      <c r="B166" s="148" t="s">
        <v>440</v>
      </c>
      <c r="C166" s="148" t="s">
        <v>6</v>
      </c>
      <c r="D166" s="46"/>
      <c r="E166" s="46">
        <f>'PENERIMAAN OBAT PROGRAM'!G161</f>
        <v>0</v>
      </c>
      <c r="F166" s="47">
        <f t="shared" si="9"/>
        <v>0</v>
      </c>
      <c r="G166" s="47">
        <f>DISTRIBUSI!Z335</f>
        <v>0</v>
      </c>
      <c r="H166" s="46">
        <f t="shared" si="10"/>
        <v>0</v>
      </c>
      <c r="I166" s="48"/>
      <c r="J166" s="177"/>
      <c r="K166" s="230"/>
      <c r="L166" s="49"/>
      <c r="M166" s="49"/>
      <c r="N166" s="49"/>
      <c r="O166" s="49"/>
      <c r="AX166" s="39"/>
    </row>
    <row r="167" spans="1:50" ht="20.149999999999999" customHeight="1" x14ac:dyDescent="0.5">
      <c r="A167" s="148">
        <v>154</v>
      </c>
      <c r="B167" s="148" t="s">
        <v>441</v>
      </c>
      <c r="C167" s="148" t="s">
        <v>6</v>
      </c>
      <c r="D167" s="46"/>
      <c r="E167" s="46">
        <f>'PENERIMAAN OBAT PROGRAM'!G162</f>
        <v>0</v>
      </c>
      <c r="F167" s="47">
        <f t="shared" si="9"/>
        <v>0</v>
      </c>
      <c r="G167" s="47">
        <f>DISTRIBUSI!Z336</f>
        <v>0</v>
      </c>
      <c r="H167" s="46">
        <f t="shared" si="10"/>
        <v>0</v>
      </c>
      <c r="I167" s="48"/>
      <c r="J167" s="177"/>
      <c r="K167" s="230"/>
      <c r="L167" s="49"/>
      <c r="M167" s="49"/>
      <c r="N167" s="49"/>
      <c r="O167" s="49"/>
      <c r="AX167" s="39"/>
    </row>
    <row r="168" spans="1:50" ht="20.149999999999999" hidden="1" customHeight="1" x14ac:dyDescent="0.5">
      <c r="A168" s="148">
        <v>155</v>
      </c>
      <c r="B168" s="148" t="s">
        <v>442</v>
      </c>
      <c r="C168" s="148" t="s">
        <v>6</v>
      </c>
      <c r="D168" s="46">
        <v>0</v>
      </c>
      <c r="E168" s="46">
        <f>'PENERIMAAN OBAT PROGRAM'!G163</f>
        <v>0</v>
      </c>
      <c r="F168" s="47">
        <f t="shared" si="9"/>
        <v>0</v>
      </c>
      <c r="G168" s="47">
        <f>DISTRIBUSI!Z337</f>
        <v>0</v>
      </c>
      <c r="H168" s="46">
        <f t="shared" si="10"/>
        <v>0</v>
      </c>
      <c r="I168" s="48"/>
      <c r="J168" s="177"/>
      <c r="K168" s="230"/>
      <c r="L168" s="49"/>
      <c r="M168" s="49"/>
      <c r="N168" s="49"/>
      <c r="O168" s="49"/>
      <c r="AX168" s="39"/>
    </row>
    <row r="169" spans="1:50" ht="20.149999999999999" hidden="1" customHeight="1" x14ac:dyDescent="0.5">
      <c r="A169" s="148">
        <v>156</v>
      </c>
      <c r="B169" s="148"/>
      <c r="C169" s="148"/>
      <c r="D169" s="46">
        <v>0</v>
      </c>
      <c r="E169" s="46">
        <f>'PENERIMAAN OBAT PROGRAM'!G164</f>
        <v>0</v>
      </c>
      <c r="F169" s="47">
        <f t="shared" si="9"/>
        <v>0</v>
      </c>
      <c r="G169" s="47">
        <f>DISTRIBUSI!Z338</f>
        <v>0</v>
      </c>
      <c r="H169" s="46">
        <f t="shared" si="10"/>
        <v>0</v>
      </c>
      <c r="I169" s="48"/>
      <c r="J169" s="177"/>
      <c r="K169" s="230"/>
      <c r="L169" s="49"/>
      <c r="M169" s="49"/>
      <c r="N169" s="49"/>
      <c r="O169" s="49"/>
      <c r="AX169" s="39"/>
    </row>
    <row r="170" spans="1:50" ht="20.149999999999999" hidden="1" customHeight="1" x14ac:dyDescent="0.5">
      <c r="A170" s="148">
        <v>157</v>
      </c>
      <c r="B170" s="148"/>
      <c r="C170" s="148"/>
      <c r="D170" s="46">
        <v>0</v>
      </c>
      <c r="E170" s="46">
        <f>'PENERIMAAN OBAT PROGRAM'!G165</f>
        <v>0</v>
      </c>
      <c r="F170" s="47">
        <f t="shared" si="9"/>
        <v>0</v>
      </c>
      <c r="G170" s="47">
        <f>DISTRIBUSI!Z339</f>
        <v>0</v>
      </c>
      <c r="H170" s="46">
        <f t="shared" si="10"/>
        <v>0</v>
      </c>
      <c r="I170" s="48"/>
      <c r="J170" s="177"/>
      <c r="K170" s="230"/>
      <c r="L170" s="49"/>
      <c r="M170" s="49"/>
      <c r="N170" s="49"/>
      <c r="O170" s="49"/>
      <c r="AX170" s="39"/>
    </row>
    <row r="171" spans="1:50" ht="20.149999999999999" hidden="1" customHeight="1" x14ac:dyDescent="0.5">
      <c r="A171" s="148">
        <v>158</v>
      </c>
      <c r="B171" s="148"/>
      <c r="C171" s="148"/>
      <c r="D171" s="46">
        <v>0</v>
      </c>
      <c r="E171" s="46">
        <f>'PENERIMAAN OBAT PROGRAM'!G166</f>
        <v>0</v>
      </c>
      <c r="F171" s="47">
        <f t="shared" si="9"/>
        <v>0</v>
      </c>
      <c r="G171" s="47">
        <f>DISTRIBUSI!Z340</f>
        <v>0</v>
      </c>
      <c r="H171" s="46">
        <f t="shared" si="10"/>
        <v>0</v>
      </c>
      <c r="I171" s="48"/>
      <c r="J171" s="177"/>
      <c r="K171" s="230"/>
      <c r="L171" s="49"/>
      <c r="M171" s="49"/>
      <c r="N171" s="49"/>
      <c r="O171" s="49"/>
      <c r="AX171" s="39"/>
    </row>
    <row r="172" spans="1:50" ht="20.149999999999999" hidden="1" customHeight="1" x14ac:dyDescent="0.5">
      <c r="A172" s="148">
        <v>159</v>
      </c>
      <c r="B172" s="148"/>
      <c r="C172" s="148"/>
      <c r="D172" s="46">
        <v>0</v>
      </c>
      <c r="E172" s="46">
        <f>'PENERIMAAN OBAT PROGRAM'!G167</f>
        <v>0</v>
      </c>
      <c r="F172" s="47">
        <f t="shared" si="9"/>
        <v>0</v>
      </c>
      <c r="G172" s="47">
        <f>DISTRIBUSI!Z359</f>
        <v>0</v>
      </c>
      <c r="H172" s="46">
        <f t="shared" si="10"/>
        <v>0</v>
      </c>
      <c r="I172" s="48"/>
      <c r="J172" s="177"/>
      <c r="K172" s="230"/>
      <c r="L172" s="49"/>
      <c r="M172" s="49"/>
      <c r="N172" s="49"/>
      <c r="O172" s="49"/>
      <c r="AX172" s="39"/>
    </row>
    <row r="173" spans="1:50" ht="20.149999999999999" hidden="1" customHeight="1" x14ac:dyDescent="0.5">
      <c r="A173" s="148"/>
      <c r="B173" s="148"/>
      <c r="C173" s="148"/>
      <c r="D173" s="46">
        <v>0</v>
      </c>
      <c r="E173" s="46">
        <f>'PENERIMAAN OBAT PROGRAM'!G168</f>
        <v>0</v>
      </c>
      <c r="F173" s="47">
        <f t="shared" si="9"/>
        <v>0</v>
      </c>
      <c r="G173" s="47">
        <f>DISTRIBUSI!Z360</f>
        <v>0</v>
      </c>
      <c r="H173" s="46">
        <f t="shared" si="10"/>
        <v>0</v>
      </c>
      <c r="I173" s="48"/>
      <c r="J173" s="177"/>
      <c r="K173" s="230"/>
      <c r="L173" s="49"/>
      <c r="M173" s="49"/>
      <c r="N173" s="49"/>
      <c r="O173" s="49"/>
      <c r="AX173" s="39"/>
    </row>
    <row r="174" spans="1:50" x14ac:dyDescent="0.5">
      <c r="A174" s="50"/>
      <c r="B174" s="51"/>
      <c r="C174" s="52"/>
      <c r="D174" s="41"/>
      <c r="E174" s="41"/>
      <c r="F174" s="70"/>
      <c r="G174" s="41"/>
      <c r="H174" s="71"/>
      <c r="I174" s="41"/>
      <c r="J174" s="72"/>
      <c r="K174" s="72"/>
      <c r="L174" s="72"/>
      <c r="M174" s="72"/>
      <c r="N174" s="72"/>
      <c r="O174" s="72"/>
      <c r="P174" s="41"/>
      <c r="Q174" s="68"/>
      <c r="R174" s="41"/>
      <c r="S174" s="86"/>
      <c r="T174" s="41"/>
      <c r="U174" s="41"/>
      <c r="V174" s="41"/>
      <c r="W174" s="41"/>
      <c r="X174" s="41"/>
      <c r="Y174" s="41"/>
      <c r="Z174" s="41"/>
      <c r="AO174" s="39"/>
    </row>
    <row r="175" spans="1:50" ht="17.149999999999999" customHeight="1" x14ac:dyDescent="0.5">
      <c r="A175" s="73"/>
      <c r="B175" s="74"/>
      <c r="C175" s="326" t="s">
        <v>247</v>
      </c>
      <c r="D175" s="326" t="s">
        <v>248</v>
      </c>
      <c r="E175" s="326" t="s">
        <v>234</v>
      </c>
      <c r="F175" s="68"/>
      <c r="G175" s="68"/>
      <c r="H175" s="68"/>
      <c r="I175" s="68"/>
      <c r="J175" s="75"/>
      <c r="K175" s="75"/>
      <c r="L175" s="75"/>
      <c r="M175" s="75"/>
      <c r="N175" s="75"/>
      <c r="O175" s="75"/>
      <c r="P175" s="68"/>
      <c r="Q175" s="68"/>
      <c r="R175" s="41"/>
      <c r="S175" s="86"/>
      <c r="T175" s="41"/>
      <c r="U175" s="41"/>
      <c r="V175" s="41"/>
      <c r="W175" s="41"/>
      <c r="X175" s="41"/>
      <c r="Y175" s="41"/>
      <c r="Z175" s="41"/>
      <c r="AO175" s="39"/>
    </row>
    <row r="176" spans="1:50" ht="17.149999999999999" customHeight="1" x14ac:dyDescent="0.5">
      <c r="A176" s="77"/>
      <c r="B176" s="78"/>
      <c r="C176" s="326"/>
      <c r="D176" s="326"/>
      <c r="E176" s="326"/>
      <c r="F176" s="68"/>
      <c r="G176" s="68"/>
      <c r="H176" s="68"/>
      <c r="I176" s="68"/>
      <c r="J176" s="75"/>
      <c r="K176" s="75"/>
      <c r="L176" s="75"/>
      <c r="M176" s="75"/>
      <c r="N176" s="75"/>
      <c r="O176" s="75"/>
      <c r="P176" s="68"/>
      <c r="Q176" s="68"/>
      <c r="R176" s="41"/>
      <c r="S176" s="86"/>
      <c r="T176" s="41"/>
      <c r="U176" s="41"/>
      <c r="V176" s="41"/>
      <c r="W176" s="41"/>
      <c r="X176" s="41"/>
      <c r="Y176" s="41"/>
      <c r="Z176" s="41"/>
      <c r="AO176" s="39"/>
    </row>
    <row r="177" spans="1:52" ht="17.149999999999999" customHeight="1" x14ac:dyDescent="0.5">
      <c r="A177" s="77"/>
      <c r="B177" s="78"/>
      <c r="C177" s="327"/>
      <c r="D177" s="327"/>
      <c r="E177" s="327">
        <f>SUM(C177:D178)</f>
        <v>0</v>
      </c>
      <c r="F177" s="68"/>
      <c r="G177" s="68"/>
      <c r="H177" s="68"/>
      <c r="I177" s="68"/>
      <c r="J177" s="75"/>
      <c r="K177" s="75"/>
      <c r="L177" s="75"/>
      <c r="M177" s="75"/>
      <c r="N177" s="75"/>
      <c r="O177" s="75"/>
      <c r="P177" s="68"/>
      <c r="Q177" s="68"/>
      <c r="R177" s="41"/>
      <c r="S177" s="41"/>
      <c r="T177" s="41"/>
      <c r="U177" s="41"/>
      <c r="V177" s="41"/>
      <c r="W177" s="41"/>
      <c r="X177" s="41"/>
      <c r="Y177" s="41"/>
      <c r="Z177" s="41"/>
      <c r="AO177" s="39"/>
    </row>
    <row r="178" spans="1:52" ht="17.149999999999999" customHeight="1" x14ac:dyDescent="0.5">
      <c r="A178" s="79"/>
      <c r="B178" s="80"/>
      <c r="C178" s="328"/>
      <c r="D178" s="328"/>
      <c r="E178" s="328"/>
      <c r="F178" s="68"/>
      <c r="G178" s="68"/>
      <c r="H178" s="68"/>
      <c r="I178" s="68"/>
      <c r="J178" s="75"/>
      <c r="K178" s="75"/>
      <c r="L178" s="75"/>
      <c r="M178" s="75"/>
      <c r="N178" s="75"/>
      <c r="O178" s="75"/>
      <c r="P178" s="68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O178" s="39"/>
    </row>
    <row r="179" spans="1:52" x14ac:dyDescent="0.5">
      <c r="A179" s="55"/>
      <c r="B179" s="56"/>
      <c r="C179" s="57"/>
      <c r="D179" s="53"/>
      <c r="E179" s="53"/>
      <c r="F179" s="53"/>
      <c r="G179" s="53"/>
      <c r="H179" s="54"/>
      <c r="I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O179" s="39"/>
    </row>
    <row r="180" spans="1:52" x14ac:dyDescent="0.5">
      <c r="D180" s="54"/>
      <c r="E180" s="54"/>
      <c r="F180" s="54"/>
      <c r="G180" s="54"/>
      <c r="H180" s="41"/>
      <c r="I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O180" s="39"/>
    </row>
    <row r="181" spans="1:52" s="65" customFormat="1" ht="20.149999999999999" customHeight="1" x14ac:dyDescent="0.5">
      <c r="A181" s="38"/>
      <c r="B181" s="274"/>
      <c r="C181" s="38"/>
      <c r="D181" s="54"/>
      <c r="E181" s="54"/>
      <c r="F181" s="54"/>
      <c r="G181" s="38"/>
      <c r="H181" s="41"/>
      <c r="I181" s="41"/>
      <c r="J181" s="41"/>
      <c r="K181" s="271" t="s">
        <v>490</v>
      </c>
      <c r="L181" s="38"/>
      <c r="M181" s="41"/>
      <c r="N181" s="41"/>
      <c r="O181" s="41"/>
      <c r="P181" s="41"/>
      <c r="Q181" s="41"/>
      <c r="R181" s="68"/>
      <c r="S181" s="68"/>
      <c r="T181" s="68"/>
      <c r="U181" s="68"/>
      <c r="V181" s="68"/>
      <c r="W181" s="68"/>
      <c r="X181" s="68"/>
      <c r="Y181" s="68"/>
      <c r="Z181" s="68"/>
      <c r="AO181" s="76"/>
    </row>
    <row r="182" spans="1:52" s="65" customFormat="1" ht="20.149999999999999" customHeight="1" x14ac:dyDescent="0.5">
      <c r="A182" s="38"/>
      <c r="B182" s="274" t="s">
        <v>486</v>
      </c>
      <c r="C182" s="38"/>
      <c r="D182" s="54"/>
      <c r="E182" s="54"/>
      <c r="F182" s="54"/>
      <c r="G182" s="38"/>
      <c r="H182" s="41"/>
      <c r="I182" s="41"/>
      <c r="J182" s="41"/>
      <c r="K182" s="271"/>
      <c r="L182" s="38"/>
      <c r="M182" s="41"/>
      <c r="N182" s="41"/>
      <c r="O182" s="41"/>
      <c r="P182" s="41"/>
      <c r="Q182" s="41"/>
      <c r="R182" s="68"/>
      <c r="S182" s="68"/>
      <c r="T182" s="68"/>
      <c r="U182" s="68"/>
      <c r="V182" s="68"/>
      <c r="W182" s="68"/>
      <c r="X182" s="68"/>
      <c r="Y182" s="68"/>
      <c r="Z182" s="68"/>
      <c r="AO182" s="76"/>
    </row>
    <row r="183" spans="1:52" s="65" customFormat="1" ht="20.149999999999999" customHeight="1" x14ac:dyDescent="0.5">
      <c r="A183" s="38"/>
      <c r="B183" s="274" t="s">
        <v>487</v>
      </c>
      <c r="C183" s="38"/>
      <c r="D183" s="54"/>
      <c r="E183" s="54"/>
      <c r="F183" s="54"/>
      <c r="G183" s="38"/>
      <c r="H183" s="41"/>
      <c r="I183" s="41"/>
      <c r="J183" s="41"/>
      <c r="K183" s="271" t="s">
        <v>311</v>
      </c>
      <c r="L183" s="38"/>
      <c r="M183" s="41"/>
      <c r="N183" s="41"/>
      <c r="O183" s="41"/>
      <c r="P183" s="41"/>
      <c r="Q183" s="41"/>
      <c r="R183" s="68"/>
      <c r="S183" s="68"/>
      <c r="T183" s="68"/>
      <c r="U183" s="68"/>
      <c r="V183" s="68"/>
      <c r="W183" s="68"/>
      <c r="X183" s="68"/>
      <c r="Y183" s="68"/>
      <c r="Z183" s="68"/>
      <c r="AO183" s="76"/>
    </row>
    <row r="184" spans="1:52" s="65" customFormat="1" x14ac:dyDescent="0.5">
      <c r="A184" s="38"/>
      <c r="B184" s="274"/>
      <c r="C184" s="38"/>
      <c r="D184" s="41"/>
      <c r="E184" s="41"/>
      <c r="F184" s="41"/>
      <c r="G184" s="38"/>
      <c r="H184" s="41"/>
      <c r="I184" s="38"/>
      <c r="J184" s="41"/>
      <c r="K184" s="271"/>
      <c r="L184" s="38"/>
      <c r="M184" s="41"/>
      <c r="N184" s="41"/>
      <c r="O184" s="41"/>
      <c r="P184" s="41"/>
      <c r="Q184" s="41"/>
      <c r="R184" s="68"/>
      <c r="S184" s="68"/>
      <c r="T184" s="68"/>
      <c r="U184" s="68"/>
      <c r="V184" s="68"/>
      <c r="W184" s="68"/>
      <c r="X184" s="68"/>
      <c r="Y184" s="68"/>
      <c r="Z184" s="68"/>
      <c r="AO184" s="76"/>
    </row>
    <row r="185" spans="1:52" ht="20.149999999999999" customHeight="1" x14ac:dyDescent="0.5">
      <c r="B185" s="274"/>
      <c r="K185" s="271"/>
      <c r="L185" s="38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Z185" s="39"/>
    </row>
    <row r="186" spans="1:52" ht="20.149999999999999" customHeight="1" x14ac:dyDescent="0.5">
      <c r="B186" s="274"/>
      <c r="K186" s="271"/>
      <c r="L186" s="38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Z186" s="39"/>
    </row>
    <row r="187" spans="1:52" ht="20.149999999999999" customHeight="1" x14ac:dyDescent="0.5">
      <c r="B187" s="275" t="s">
        <v>488</v>
      </c>
      <c r="K187" s="272" t="s">
        <v>484</v>
      </c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Z187" s="39"/>
    </row>
    <row r="188" spans="1:52" x14ac:dyDescent="0.5">
      <c r="B188" s="276" t="s">
        <v>489</v>
      </c>
      <c r="K188" s="273" t="s">
        <v>485</v>
      </c>
    </row>
  </sheetData>
  <mergeCells count="29">
    <mergeCell ref="C175:C176"/>
    <mergeCell ref="D175:D176"/>
    <mergeCell ref="E175:E176"/>
    <mergeCell ref="C177:C178"/>
    <mergeCell ref="D177:D178"/>
    <mergeCell ref="E177:E178"/>
    <mergeCell ref="H11:H12"/>
    <mergeCell ref="I11:I12"/>
    <mergeCell ref="B11:B12"/>
    <mergeCell ref="C11:C12"/>
    <mergeCell ref="D11:D12"/>
    <mergeCell ref="E11:E12"/>
    <mergeCell ref="G11:G12"/>
    <mergeCell ref="J11:N11"/>
    <mergeCell ref="A6:B6"/>
    <mergeCell ref="A1:O1"/>
    <mergeCell ref="A2:O2"/>
    <mergeCell ref="A3:B3"/>
    <mergeCell ref="A4:B4"/>
    <mergeCell ref="A5:B5"/>
    <mergeCell ref="O11:O12"/>
    <mergeCell ref="F11:F12"/>
    <mergeCell ref="A7:B7"/>
    <mergeCell ref="A8:B8"/>
    <mergeCell ref="A9:B9"/>
    <mergeCell ref="K9:L9"/>
    <mergeCell ref="A10:B10"/>
    <mergeCell ref="K10:L10"/>
    <mergeCell ref="A11:A12"/>
  </mergeCells>
  <pageMargins left="0.53" right="0.28000000000000003" top="0.47244094488188998" bottom="0.47244094488188998" header="0.31496062992126" footer="0.31496062992126"/>
  <pageSetup paperSize="14" scale="85" orientation="landscape" horizontalDpi="4294967294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41"/>
  <sheetViews>
    <sheetView workbookViewId="0">
      <selection activeCell="A2" sqref="A2"/>
    </sheetView>
  </sheetViews>
  <sheetFormatPr defaultRowHeight="14.5" x14ac:dyDescent="0.35"/>
  <cols>
    <col min="1" max="1" width="5.54296875" customWidth="1"/>
    <col min="2" max="2" width="42.7265625" customWidth="1"/>
    <col min="3" max="3" width="17.7265625" customWidth="1"/>
    <col min="4" max="18" width="9.26953125" customWidth="1"/>
  </cols>
  <sheetData>
    <row r="1" spans="1:26" s="2" customFormat="1" ht="20" x14ac:dyDescent="0.35">
      <c r="A1" s="23" t="s">
        <v>318</v>
      </c>
      <c r="B1" s="23"/>
      <c r="C1" s="7"/>
      <c r="F1" s="4"/>
      <c r="G1" s="5"/>
      <c r="H1" s="6"/>
    </row>
    <row r="2" spans="1:26" s="2" customFormat="1" ht="20" x14ac:dyDescent="0.35">
      <c r="A2" s="23" t="s">
        <v>451</v>
      </c>
      <c r="B2" s="23"/>
      <c r="C2" s="7"/>
      <c r="F2" s="4"/>
      <c r="G2" s="5"/>
      <c r="H2" s="6"/>
    </row>
    <row r="3" spans="1:26" s="2" customFormat="1" ht="20" x14ac:dyDescent="0.35">
      <c r="A3" s="23" t="s">
        <v>419</v>
      </c>
      <c r="B3" s="23"/>
      <c r="C3" s="7"/>
      <c r="F3" s="4"/>
      <c r="G3" s="5"/>
      <c r="H3" s="6"/>
    </row>
    <row r="4" spans="1:26" s="2" customFormat="1" ht="17.5" x14ac:dyDescent="0.5">
      <c r="A4" s="9"/>
      <c r="B4" s="9"/>
      <c r="C4" s="4"/>
      <c r="F4" s="4"/>
      <c r="G4" s="5"/>
      <c r="H4" s="6"/>
      <c r="K4" s="9"/>
      <c r="L4" s="9"/>
      <c r="M4" s="8"/>
      <c r="P4" s="8"/>
      <c r="Q4" s="8"/>
    </row>
    <row r="5" spans="1:26" s="2" customFormat="1" ht="18" thickBot="1" x14ac:dyDescent="0.55000000000000004">
      <c r="A5" s="9"/>
      <c r="B5" s="9"/>
      <c r="C5" s="4"/>
      <c r="D5" s="2" t="s">
        <v>448</v>
      </c>
      <c r="E5" s="2" t="s">
        <v>448</v>
      </c>
      <c r="F5" s="4"/>
      <c r="G5" s="5" t="s">
        <v>448</v>
      </c>
      <c r="H5" s="6"/>
      <c r="I5" s="2" t="s">
        <v>448</v>
      </c>
      <c r="J5" s="2" t="s">
        <v>448</v>
      </c>
      <c r="K5" s="9" t="s">
        <v>448</v>
      </c>
      <c r="L5" s="9" t="s">
        <v>448</v>
      </c>
      <c r="M5" s="8"/>
      <c r="P5" s="2" t="s">
        <v>411</v>
      </c>
      <c r="Q5" s="2" t="str">
        <f>'LPLPO GUDANG'!M9</f>
        <v>: FEBRUARI</v>
      </c>
    </row>
    <row r="6" spans="1:26" ht="25" customHeight="1" thickTop="1" x14ac:dyDescent="0.35">
      <c r="A6" s="333" t="s">
        <v>0</v>
      </c>
      <c r="B6" s="334" t="s">
        <v>1</v>
      </c>
      <c r="C6" s="335" t="s">
        <v>2</v>
      </c>
      <c r="D6" s="305" t="s">
        <v>452</v>
      </c>
      <c r="E6" s="305" t="s">
        <v>453</v>
      </c>
      <c r="F6" s="305" t="s">
        <v>454</v>
      </c>
      <c r="G6" s="305" t="s">
        <v>455</v>
      </c>
      <c r="H6" s="305" t="s">
        <v>456</v>
      </c>
      <c r="I6" s="305" t="s">
        <v>457</v>
      </c>
      <c r="J6" s="305" t="s">
        <v>458</v>
      </c>
      <c r="K6" s="305" t="s">
        <v>459</v>
      </c>
      <c r="L6" s="305" t="s">
        <v>460</v>
      </c>
      <c r="M6" s="305" t="s">
        <v>461</v>
      </c>
      <c r="N6" s="305" t="s">
        <v>462</v>
      </c>
      <c r="O6" s="305" t="s">
        <v>463</v>
      </c>
      <c r="P6" s="305" t="s">
        <v>464</v>
      </c>
      <c r="Q6" s="305" t="s">
        <v>465</v>
      </c>
      <c r="R6" s="315" t="s">
        <v>235</v>
      </c>
      <c r="S6" s="305" t="s">
        <v>466</v>
      </c>
      <c r="T6" s="305" t="s">
        <v>467</v>
      </c>
      <c r="U6" s="305" t="s">
        <v>468</v>
      </c>
      <c r="V6" s="305" t="s">
        <v>469</v>
      </c>
      <c r="W6" s="305" t="s">
        <v>470</v>
      </c>
      <c r="X6" s="305" t="s">
        <v>471</v>
      </c>
      <c r="Y6" s="305" t="s">
        <v>172</v>
      </c>
      <c r="Z6" s="305" t="s">
        <v>234</v>
      </c>
    </row>
    <row r="7" spans="1:26" ht="25" customHeight="1" thickBot="1" x14ac:dyDescent="0.4">
      <c r="A7" s="333"/>
      <c r="B7" s="334"/>
      <c r="C7" s="335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06"/>
      <c r="R7" s="332"/>
      <c r="S7" s="331"/>
      <c r="T7" s="331"/>
      <c r="U7" s="331"/>
      <c r="V7" s="331"/>
      <c r="W7" s="331"/>
      <c r="X7" s="331"/>
      <c r="Y7" s="331"/>
      <c r="Z7" s="331"/>
    </row>
    <row r="8" spans="1:26" ht="15.5" thickTop="1" x14ac:dyDescent="0.35">
      <c r="A8" s="107">
        <v>1</v>
      </c>
      <c r="B8" s="107">
        <v>2</v>
      </c>
      <c r="C8" s="107">
        <v>3</v>
      </c>
      <c r="D8" s="107">
        <v>4</v>
      </c>
      <c r="E8" s="107">
        <v>5</v>
      </c>
      <c r="F8" s="107">
        <v>6</v>
      </c>
      <c r="G8" s="107">
        <v>7</v>
      </c>
      <c r="H8" s="107">
        <v>8</v>
      </c>
      <c r="I8" s="107">
        <v>9</v>
      </c>
      <c r="J8" s="107">
        <v>10</v>
      </c>
      <c r="K8" s="107">
        <v>11</v>
      </c>
      <c r="L8" s="107">
        <v>12</v>
      </c>
      <c r="M8" s="107">
        <v>13</v>
      </c>
      <c r="N8" s="107">
        <v>14</v>
      </c>
      <c r="O8" s="107">
        <v>15</v>
      </c>
      <c r="P8" s="107">
        <v>16</v>
      </c>
      <c r="Q8" s="107">
        <v>17</v>
      </c>
      <c r="R8" s="107">
        <v>18</v>
      </c>
      <c r="S8" s="107">
        <v>19</v>
      </c>
      <c r="T8" s="107">
        <v>20</v>
      </c>
      <c r="U8" s="107">
        <v>21</v>
      </c>
      <c r="V8" s="107">
        <v>22</v>
      </c>
      <c r="W8" s="107">
        <v>23</v>
      </c>
      <c r="X8" s="107">
        <v>24</v>
      </c>
      <c r="Y8" s="107">
        <v>25</v>
      </c>
      <c r="Z8" s="107">
        <v>26</v>
      </c>
    </row>
    <row r="9" spans="1:26" ht="20.149999999999999" customHeight="1" x14ac:dyDescent="0.35">
      <c r="A9" s="59">
        <v>1</v>
      </c>
      <c r="B9" s="142" t="s">
        <v>3</v>
      </c>
      <c r="C9" s="218" t="s">
        <v>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3">
        <f>APOTIK!G8</f>
        <v>0</v>
      </c>
      <c r="S9" s="13">
        <f>DISTRIBUSI!S10</f>
        <v>0</v>
      </c>
      <c r="T9" s="12"/>
      <c r="U9" s="13">
        <f>DISTRIBUSI!U10</f>
        <v>0</v>
      </c>
      <c r="V9" s="13">
        <f>DISTRIBUSI!V10</f>
        <v>0</v>
      </c>
      <c r="W9" s="13">
        <f>DISTRIBUSI!W10</f>
        <v>0</v>
      </c>
      <c r="X9" s="13">
        <f>DISTRIBUSI!X10</f>
        <v>0</v>
      </c>
      <c r="Y9" s="13">
        <f>DISTRIBUSI!Y10</f>
        <v>0</v>
      </c>
      <c r="Z9" s="13">
        <f>SUM(D9:Y9)</f>
        <v>0</v>
      </c>
    </row>
    <row r="10" spans="1:26" ht="20.149999999999999" customHeight="1" x14ac:dyDescent="0.35">
      <c r="A10" s="59">
        <f>A9+1</f>
        <v>2</v>
      </c>
      <c r="B10" s="142" t="s">
        <v>5</v>
      </c>
      <c r="C10" s="153" t="s">
        <v>327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3">
        <f>APOTIK!G9</f>
        <v>0</v>
      </c>
      <c r="S10" s="13">
        <f>DISTRIBUSI!S11</f>
        <v>0</v>
      </c>
      <c r="T10" s="12"/>
      <c r="U10" s="13">
        <f>DISTRIBUSI!U11</f>
        <v>0</v>
      </c>
      <c r="V10" s="13">
        <f>DISTRIBUSI!V11</f>
        <v>0</v>
      </c>
      <c r="W10" s="13">
        <f>DISTRIBUSI!W11</f>
        <v>0</v>
      </c>
      <c r="X10" s="13">
        <f>DISTRIBUSI!X11</f>
        <v>0</v>
      </c>
      <c r="Y10" s="13">
        <f>DISTRIBUSI!Y11</f>
        <v>0</v>
      </c>
      <c r="Z10" s="13">
        <f t="shared" ref="Z10:Z73" si="0">SUM(D10:Y10)</f>
        <v>0</v>
      </c>
    </row>
    <row r="11" spans="1:26" ht="20.149999999999999" customHeight="1" x14ac:dyDescent="0.35">
      <c r="A11" s="59">
        <f t="shared" ref="A11:A74" si="1">A10+1</f>
        <v>3</v>
      </c>
      <c r="B11" s="142" t="s">
        <v>262</v>
      </c>
      <c r="C11" s="153" t="s">
        <v>48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3">
        <f>APOTIK!G10</f>
        <v>0</v>
      </c>
      <c r="S11" s="13">
        <f>DISTRIBUSI!S12</f>
        <v>0</v>
      </c>
      <c r="T11" s="12"/>
      <c r="U11" s="13">
        <f>DISTRIBUSI!U12</f>
        <v>0</v>
      </c>
      <c r="V11" s="13">
        <f>DISTRIBUSI!V12</f>
        <v>0</v>
      </c>
      <c r="W11" s="13">
        <f>DISTRIBUSI!W12</f>
        <v>0</v>
      </c>
      <c r="X11" s="13">
        <f>DISTRIBUSI!X12</f>
        <v>0</v>
      </c>
      <c r="Y11" s="13">
        <f>DISTRIBUSI!Y12</f>
        <v>0</v>
      </c>
      <c r="Z11" s="13">
        <f t="shared" si="0"/>
        <v>0</v>
      </c>
    </row>
    <row r="12" spans="1:26" ht="20.149999999999999" customHeight="1" x14ac:dyDescent="0.35">
      <c r="A12" s="59">
        <f t="shared" si="1"/>
        <v>4</v>
      </c>
      <c r="B12" s="142" t="s">
        <v>7</v>
      </c>
      <c r="C12" s="153" t="s">
        <v>328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3">
        <f>APOTIK!G11</f>
        <v>0</v>
      </c>
      <c r="S12" s="13">
        <f>DISTRIBUSI!S13</f>
        <v>0</v>
      </c>
      <c r="T12" s="12"/>
      <c r="U12" s="13">
        <f>DISTRIBUSI!U13</f>
        <v>0</v>
      </c>
      <c r="V12" s="13">
        <f>DISTRIBUSI!V13</f>
        <v>0</v>
      </c>
      <c r="W12" s="13">
        <f>DISTRIBUSI!W13</f>
        <v>0</v>
      </c>
      <c r="X12" s="13">
        <f>DISTRIBUSI!X13</f>
        <v>0</v>
      </c>
      <c r="Y12" s="13">
        <f>DISTRIBUSI!Y13</f>
        <v>0</v>
      </c>
      <c r="Z12" s="13">
        <f t="shared" si="0"/>
        <v>0</v>
      </c>
    </row>
    <row r="13" spans="1:26" ht="20.149999999999999" customHeight="1" x14ac:dyDescent="0.35">
      <c r="A13" s="59">
        <f t="shared" si="1"/>
        <v>5</v>
      </c>
      <c r="B13" s="142" t="s">
        <v>317</v>
      </c>
      <c r="C13" s="153" t="s">
        <v>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3">
        <f>APOTIK!G12</f>
        <v>0</v>
      </c>
      <c r="S13" s="13">
        <f>DISTRIBUSI!S14</f>
        <v>0</v>
      </c>
      <c r="T13" s="12"/>
      <c r="U13" s="13">
        <f>DISTRIBUSI!U14</f>
        <v>0</v>
      </c>
      <c r="V13" s="13">
        <f>DISTRIBUSI!V14</f>
        <v>0</v>
      </c>
      <c r="W13" s="13">
        <f>DISTRIBUSI!W14</f>
        <v>0</v>
      </c>
      <c r="X13" s="13">
        <f>DISTRIBUSI!X14</f>
        <v>0</v>
      </c>
      <c r="Y13" s="13">
        <f>DISTRIBUSI!Y14</f>
        <v>0</v>
      </c>
      <c r="Z13" s="13">
        <f t="shared" si="0"/>
        <v>0</v>
      </c>
    </row>
    <row r="14" spans="1:26" ht="20.149999999999999" customHeight="1" x14ac:dyDescent="0.35">
      <c r="A14" s="59">
        <f t="shared" si="1"/>
        <v>6</v>
      </c>
      <c r="B14" s="142" t="s">
        <v>8</v>
      </c>
      <c r="C14" s="154" t="s">
        <v>48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3">
        <f>APOTIK!G13</f>
        <v>0</v>
      </c>
      <c r="S14" s="13">
        <f>DISTRIBUSI!S15</f>
        <v>0</v>
      </c>
      <c r="T14" s="12"/>
      <c r="U14" s="13">
        <f>DISTRIBUSI!U15</f>
        <v>0</v>
      </c>
      <c r="V14" s="13">
        <f>DISTRIBUSI!V15</f>
        <v>0</v>
      </c>
      <c r="W14" s="13">
        <f>DISTRIBUSI!W15</f>
        <v>0</v>
      </c>
      <c r="X14" s="13">
        <f>DISTRIBUSI!X15</f>
        <v>0</v>
      </c>
      <c r="Y14" s="13">
        <f>DISTRIBUSI!Y15</f>
        <v>0</v>
      </c>
      <c r="Z14" s="13">
        <f t="shared" si="0"/>
        <v>0</v>
      </c>
    </row>
    <row r="15" spans="1:26" ht="20.149999999999999" customHeight="1" x14ac:dyDescent="0.35">
      <c r="A15" s="59">
        <f t="shared" si="1"/>
        <v>7</v>
      </c>
      <c r="B15" s="142" t="s">
        <v>9</v>
      </c>
      <c r="C15" s="154" t="s">
        <v>329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3">
        <f>APOTIK!G14</f>
        <v>0</v>
      </c>
      <c r="S15" s="13">
        <f>DISTRIBUSI!S16</f>
        <v>0</v>
      </c>
      <c r="T15" s="12"/>
      <c r="U15" s="13">
        <f>DISTRIBUSI!U16</f>
        <v>0</v>
      </c>
      <c r="V15" s="13">
        <f>DISTRIBUSI!V16</f>
        <v>0</v>
      </c>
      <c r="W15" s="13">
        <f>DISTRIBUSI!W16</f>
        <v>0</v>
      </c>
      <c r="X15" s="13">
        <f>DISTRIBUSI!X16</f>
        <v>0</v>
      </c>
      <c r="Y15" s="13">
        <f>DISTRIBUSI!Y16</f>
        <v>0</v>
      </c>
      <c r="Z15" s="13">
        <f t="shared" si="0"/>
        <v>0</v>
      </c>
    </row>
    <row r="16" spans="1:26" ht="20.149999999999999" customHeight="1" x14ac:dyDescent="0.35">
      <c r="A16" s="59">
        <f t="shared" si="1"/>
        <v>8</v>
      </c>
      <c r="B16" s="142" t="s">
        <v>250</v>
      </c>
      <c r="C16" s="154" t="s">
        <v>4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3">
        <f>APOTIK!G15</f>
        <v>0</v>
      </c>
      <c r="S16" s="13">
        <f>DISTRIBUSI!S17</f>
        <v>0</v>
      </c>
      <c r="T16" s="12"/>
      <c r="U16" s="13">
        <f>DISTRIBUSI!U17</f>
        <v>0</v>
      </c>
      <c r="V16" s="13">
        <f>DISTRIBUSI!V17</f>
        <v>15</v>
      </c>
      <c r="W16" s="13">
        <f>DISTRIBUSI!W17</f>
        <v>50</v>
      </c>
      <c r="X16" s="13">
        <f>DISTRIBUSI!X17</f>
        <v>0</v>
      </c>
      <c r="Y16" s="13">
        <f>DISTRIBUSI!Y17</f>
        <v>0</v>
      </c>
      <c r="Z16" s="13">
        <f t="shared" si="0"/>
        <v>65</v>
      </c>
    </row>
    <row r="17" spans="1:26" ht="30" x14ac:dyDescent="0.35">
      <c r="A17" s="59">
        <f t="shared" si="1"/>
        <v>9</v>
      </c>
      <c r="B17" s="142" t="s">
        <v>10</v>
      </c>
      <c r="C17" s="155" t="s">
        <v>319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3">
        <f>APOTIK!G16</f>
        <v>0</v>
      </c>
      <c r="S17" s="13">
        <f>DISTRIBUSI!S18</f>
        <v>0</v>
      </c>
      <c r="T17" s="12"/>
      <c r="U17" s="13">
        <f>DISTRIBUSI!U18</f>
        <v>0</v>
      </c>
      <c r="V17" s="13">
        <f>DISTRIBUSI!V18</f>
        <v>0</v>
      </c>
      <c r="W17" s="13">
        <f>DISTRIBUSI!W18</f>
        <v>0</v>
      </c>
      <c r="X17" s="13">
        <f>DISTRIBUSI!X18</f>
        <v>0</v>
      </c>
      <c r="Y17" s="13">
        <f>DISTRIBUSI!Y18</f>
        <v>0</v>
      </c>
      <c r="Z17" s="13">
        <f t="shared" si="0"/>
        <v>0</v>
      </c>
    </row>
    <row r="18" spans="1:26" ht="30" x14ac:dyDescent="0.35">
      <c r="A18" s="59">
        <f t="shared" si="1"/>
        <v>10</v>
      </c>
      <c r="B18" s="142" t="s">
        <v>10</v>
      </c>
      <c r="C18" s="153" t="s">
        <v>327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3">
        <f>APOTIK!G17</f>
        <v>0</v>
      </c>
      <c r="S18" s="13">
        <f>DISTRIBUSI!S19</f>
        <v>0</v>
      </c>
      <c r="T18" s="12"/>
      <c r="U18" s="13">
        <f>DISTRIBUSI!U19</f>
        <v>0</v>
      </c>
      <c r="V18" s="13">
        <f>DISTRIBUSI!V19</f>
        <v>0</v>
      </c>
      <c r="W18" s="13">
        <f>DISTRIBUSI!W19</f>
        <v>0</v>
      </c>
      <c r="X18" s="13">
        <f>DISTRIBUSI!X19</f>
        <v>0</v>
      </c>
      <c r="Y18" s="13">
        <f>DISTRIBUSI!Y19</f>
        <v>0</v>
      </c>
      <c r="Z18" s="13">
        <f t="shared" si="0"/>
        <v>0</v>
      </c>
    </row>
    <row r="19" spans="1:26" ht="18" x14ac:dyDescent="0.35">
      <c r="A19" s="59">
        <f t="shared" si="1"/>
        <v>11</v>
      </c>
      <c r="B19" s="142" t="s">
        <v>259</v>
      </c>
      <c r="C19" s="154" t="s">
        <v>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3">
        <f>APOTIK!G18</f>
        <v>0</v>
      </c>
      <c r="S19" s="13">
        <f>DISTRIBUSI!S20</f>
        <v>0</v>
      </c>
      <c r="T19" s="12"/>
      <c r="U19" s="13">
        <f>DISTRIBUSI!U20</f>
        <v>0</v>
      </c>
      <c r="V19" s="13">
        <f>DISTRIBUSI!V20</f>
        <v>0</v>
      </c>
      <c r="W19" s="13">
        <f>DISTRIBUSI!W20</f>
        <v>0</v>
      </c>
      <c r="X19" s="13">
        <f>DISTRIBUSI!X20</f>
        <v>0</v>
      </c>
      <c r="Y19" s="13">
        <f>DISTRIBUSI!Y20</f>
        <v>0</v>
      </c>
      <c r="Z19" s="13">
        <f t="shared" si="0"/>
        <v>0</v>
      </c>
    </row>
    <row r="20" spans="1:26" ht="60" x14ac:dyDescent="0.35">
      <c r="A20" s="59">
        <f t="shared" si="1"/>
        <v>12</v>
      </c>
      <c r="B20" s="142" t="s">
        <v>11</v>
      </c>
      <c r="C20" s="156" t="s">
        <v>330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3">
        <f>APOTIK!G19</f>
        <v>0</v>
      </c>
      <c r="S20" s="13">
        <f>DISTRIBUSI!S21</f>
        <v>0</v>
      </c>
      <c r="T20" s="12"/>
      <c r="U20" s="13">
        <f>DISTRIBUSI!U21</f>
        <v>0</v>
      </c>
      <c r="V20" s="13">
        <f>DISTRIBUSI!V21</f>
        <v>0</v>
      </c>
      <c r="W20" s="13">
        <f>DISTRIBUSI!W21</f>
        <v>0</v>
      </c>
      <c r="X20" s="13">
        <f>DISTRIBUSI!X21</f>
        <v>0</v>
      </c>
      <c r="Y20" s="13">
        <f>DISTRIBUSI!Y21</f>
        <v>0</v>
      </c>
      <c r="Z20" s="13">
        <f t="shared" si="0"/>
        <v>0</v>
      </c>
    </row>
    <row r="21" spans="1:26" ht="20.149999999999999" customHeight="1" x14ac:dyDescent="0.35">
      <c r="A21" s="59">
        <f t="shared" si="1"/>
        <v>13</v>
      </c>
      <c r="B21" s="142" t="s">
        <v>12</v>
      </c>
      <c r="C21" s="157" t="s">
        <v>327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3">
        <f>APOTIK!G20</f>
        <v>0</v>
      </c>
      <c r="S21" s="13">
        <f>DISTRIBUSI!S22</f>
        <v>0</v>
      </c>
      <c r="T21" s="12"/>
      <c r="U21" s="13">
        <f>DISTRIBUSI!U22</f>
        <v>0</v>
      </c>
      <c r="V21" s="13">
        <f>DISTRIBUSI!V22</f>
        <v>0</v>
      </c>
      <c r="W21" s="13">
        <f>DISTRIBUSI!W22</f>
        <v>0</v>
      </c>
      <c r="X21" s="13">
        <f>DISTRIBUSI!X22</f>
        <v>0</v>
      </c>
      <c r="Y21" s="13">
        <f>DISTRIBUSI!Y22</f>
        <v>0</v>
      </c>
      <c r="Z21" s="13">
        <f t="shared" si="0"/>
        <v>0</v>
      </c>
    </row>
    <row r="22" spans="1:26" ht="20.149999999999999" customHeight="1" x14ac:dyDescent="0.35">
      <c r="A22" s="59">
        <f t="shared" si="1"/>
        <v>14</v>
      </c>
      <c r="B22" s="142" t="s">
        <v>277</v>
      </c>
      <c r="C22" s="157" t="s">
        <v>327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3">
        <f>APOTIK!G21</f>
        <v>0</v>
      </c>
      <c r="S22" s="13">
        <f>DISTRIBUSI!S23</f>
        <v>0</v>
      </c>
      <c r="T22" s="12"/>
      <c r="U22" s="13">
        <f>DISTRIBUSI!U23</f>
        <v>0</v>
      </c>
      <c r="V22" s="13">
        <f>DISTRIBUSI!V23</f>
        <v>0</v>
      </c>
      <c r="W22" s="13">
        <f>DISTRIBUSI!W23</f>
        <v>0</v>
      </c>
      <c r="X22" s="13">
        <f>DISTRIBUSI!X23</f>
        <v>0</v>
      </c>
      <c r="Y22" s="13">
        <f>DISTRIBUSI!Y23</f>
        <v>0</v>
      </c>
      <c r="Z22" s="13">
        <f t="shared" si="0"/>
        <v>0</v>
      </c>
    </row>
    <row r="23" spans="1:26" ht="20.149999999999999" customHeight="1" x14ac:dyDescent="0.35">
      <c r="A23" s="59">
        <f t="shared" si="1"/>
        <v>15</v>
      </c>
      <c r="B23" s="142" t="s">
        <v>13</v>
      </c>
      <c r="C23" s="158" t="s">
        <v>327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3">
        <f>APOTIK!G22</f>
        <v>0</v>
      </c>
      <c r="S23" s="13">
        <f>DISTRIBUSI!S24</f>
        <v>0</v>
      </c>
      <c r="T23" s="12"/>
      <c r="U23" s="13">
        <f>DISTRIBUSI!U24</f>
        <v>0</v>
      </c>
      <c r="V23" s="13">
        <f>DISTRIBUSI!V24</f>
        <v>0</v>
      </c>
      <c r="W23" s="13">
        <f>DISTRIBUSI!W24</f>
        <v>0</v>
      </c>
      <c r="X23" s="13">
        <f>DISTRIBUSI!X24</f>
        <v>0</v>
      </c>
      <c r="Y23" s="13">
        <f>DISTRIBUSI!Y24</f>
        <v>0</v>
      </c>
      <c r="Z23" s="13">
        <f t="shared" si="0"/>
        <v>0</v>
      </c>
    </row>
    <row r="24" spans="1:26" ht="20.149999999999999" customHeight="1" x14ac:dyDescent="0.35">
      <c r="A24" s="59">
        <f t="shared" si="1"/>
        <v>16</v>
      </c>
      <c r="B24" s="142" t="s">
        <v>14</v>
      </c>
      <c r="C24" s="158" t="s">
        <v>327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3">
        <f>APOTIK!G23</f>
        <v>0</v>
      </c>
      <c r="S24" s="13">
        <f>DISTRIBUSI!S25</f>
        <v>0</v>
      </c>
      <c r="T24" s="12"/>
      <c r="U24" s="13">
        <f>DISTRIBUSI!U25</f>
        <v>0</v>
      </c>
      <c r="V24" s="13">
        <f>DISTRIBUSI!V25</f>
        <v>0</v>
      </c>
      <c r="W24" s="13">
        <f>DISTRIBUSI!W25</f>
        <v>0</v>
      </c>
      <c r="X24" s="13">
        <f>DISTRIBUSI!X25</f>
        <v>0</v>
      </c>
      <c r="Y24" s="13">
        <f>DISTRIBUSI!Y25</f>
        <v>0</v>
      </c>
      <c r="Z24" s="13">
        <f t="shared" si="0"/>
        <v>0</v>
      </c>
    </row>
    <row r="25" spans="1:26" ht="20.149999999999999" customHeight="1" x14ac:dyDescent="0.35">
      <c r="A25" s="59">
        <f t="shared" si="1"/>
        <v>17</v>
      </c>
      <c r="B25" s="142" t="s">
        <v>15</v>
      </c>
      <c r="C25" s="157" t="s">
        <v>4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3">
        <f>APOTIK!G24</f>
        <v>0</v>
      </c>
      <c r="S25" s="13">
        <f>DISTRIBUSI!S26</f>
        <v>0</v>
      </c>
      <c r="T25" s="12"/>
      <c r="U25" s="13">
        <f>DISTRIBUSI!U26</f>
        <v>0</v>
      </c>
      <c r="V25" s="13">
        <f>DISTRIBUSI!V26</f>
        <v>0</v>
      </c>
      <c r="W25" s="13">
        <f>DISTRIBUSI!W26</f>
        <v>0</v>
      </c>
      <c r="X25" s="13">
        <f>DISTRIBUSI!X26</f>
        <v>0</v>
      </c>
      <c r="Y25" s="13">
        <f>DISTRIBUSI!Y26</f>
        <v>0</v>
      </c>
      <c r="Z25" s="13">
        <f t="shared" si="0"/>
        <v>0</v>
      </c>
    </row>
    <row r="26" spans="1:26" ht="20.149999999999999" customHeight="1" x14ac:dyDescent="0.35">
      <c r="A26" s="59">
        <f t="shared" si="1"/>
        <v>18</v>
      </c>
      <c r="B26" s="142" t="s">
        <v>320</v>
      </c>
      <c r="C26" s="157" t="s">
        <v>331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3">
        <f>APOTIK!G25</f>
        <v>0</v>
      </c>
      <c r="S26" s="13">
        <f>DISTRIBUSI!S27</f>
        <v>0</v>
      </c>
      <c r="T26" s="12"/>
      <c r="U26" s="13">
        <f>DISTRIBUSI!U27</f>
        <v>0</v>
      </c>
      <c r="V26" s="13">
        <f>DISTRIBUSI!V27</f>
        <v>0</v>
      </c>
      <c r="W26" s="13">
        <f>DISTRIBUSI!W27</f>
        <v>0</v>
      </c>
      <c r="X26" s="13">
        <f>DISTRIBUSI!X27</f>
        <v>0</v>
      </c>
      <c r="Y26" s="13">
        <f>DISTRIBUSI!Y27</f>
        <v>0</v>
      </c>
      <c r="Z26" s="13">
        <f t="shared" si="0"/>
        <v>0</v>
      </c>
    </row>
    <row r="27" spans="1:26" ht="20.149999999999999" customHeight="1" x14ac:dyDescent="0.35">
      <c r="A27" s="59">
        <f t="shared" si="1"/>
        <v>19</v>
      </c>
      <c r="B27" s="142" t="s">
        <v>17</v>
      </c>
      <c r="C27" s="157" t="s">
        <v>332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3">
        <f>APOTIK!G26</f>
        <v>0</v>
      </c>
      <c r="S27" s="13">
        <f>DISTRIBUSI!S28</f>
        <v>0</v>
      </c>
      <c r="T27" s="12"/>
      <c r="U27" s="13">
        <f>DISTRIBUSI!U28</f>
        <v>0</v>
      </c>
      <c r="V27" s="13">
        <f>DISTRIBUSI!V28</f>
        <v>0</v>
      </c>
      <c r="W27" s="13">
        <f>DISTRIBUSI!W28</f>
        <v>0</v>
      </c>
      <c r="X27" s="13">
        <f>DISTRIBUSI!X28</f>
        <v>0</v>
      </c>
      <c r="Y27" s="13">
        <f>DISTRIBUSI!Y28</f>
        <v>0</v>
      </c>
      <c r="Z27" s="13">
        <f t="shared" si="0"/>
        <v>0</v>
      </c>
    </row>
    <row r="28" spans="1:26" ht="20.149999999999999" customHeight="1" x14ac:dyDescent="0.35">
      <c r="A28" s="59">
        <f t="shared" si="1"/>
        <v>20</v>
      </c>
      <c r="B28" s="142" t="s">
        <v>18</v>
      </c>
      <c r="C28" s="157" t="s">
        <v>333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3">
        <f>APOTIK!G27</f>
        <v>0</v>
      </c>
      <c r="S28" s="13">
        <f>DISTRIBUSI!S29</f>
        <v>0</v>
      </c>
      <c r="T28" s="12"/>
      <c r="U28" s="13">
        <f>DISTRIBUSI!U29</f>
        <v>0</v>
      </c>
      <c r="V28" s="13">
        <f>DISTRIBUSI!V29</f>
        <v>0</v>
      </c>
      <c r="W28" s="13">
        <f>DISTRIBUSI!W29</f>
        <v>0</v>
      </c>
      <c r="X28" s="13">
        <f>DISTRIBUSI!X29</f>
        <v>0</v>
      </c>
      <c r="Y28" s="13">
        <f>DISTRIBUSI!Y29</f>
        <v>0</v>
      </c>
      <c r="Z28" s="13">
        <f t="shared" si="0"/>
        <v>0</v>
      </c>
    </row>
    <row r="29" spans="1:26" ht="20.149999999999999" customHeight="1" x14ac:dyDescent="0.35">
      <c r="A29" s="59">
        <f t="shared" si="1"/>
        <v>21</v>
      </c>
      <c r="B29" s="142" t="s">
        <v>412</v>
      </c>
      <c r="C29" s="117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3">
        <f>APOTIK!G28</f>
        <v>0</v>
      </c>
      <c r="S29" s="13">
        <f>DISTRIBUSI!S30</f>
        <v>0</v>
      </c>
      <c r="T29" s="12"/>
      <c r="U29" s="13">
        <f>DISTRIBUSI!U30</f>
        <v>0</v>
      </c>
      <c r="V29" s="13">
        <f>DISTRIBUSI!V30</f>
        <v>0</v>
      </c>
      <c r="W29" s="13">
        <f>DISTRIBUSI!W30</f>
        <v>0</v>
      </c>
      <c r="X29" s="13">
        <f>DISTRIBUSI!X30</f>
        <v>0</v>
      </c>
      <c r="Y29" s="13">
        <f>DISTRIBUSI!Y30</f>
        <v>0</v>
      </c>
      <c r="Z29" s="13">
        <f t="shared" si="0"/>
        <v>0</v>
      </c>
    </row>
    <row r="30" spans="1:26" ht="20.149999999999999" customHeight="1" x14ac:dyDescent="0.35">
      <c r="A30" s="59">
        <f t="shared" si="1"/>
        <v>22</v>
      </c>
      <c r="B30" s="142" t="s">
        <v>19</v>
      </c>
      <c r="C30" s="155" t="s">
        <v>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3">
        <f>APOTIK!G29</f>
        <v>0</v>
      </c>
      <c r="S30" s="13">
        <f>DISTRIBUSI!S31</f>
        <v>0</v>
      </c>
      <c r="T30" s="12"/>
      <c r="U30" s="13">
        <f>DISTRIBUSI!U31</f>
        <v>0</v>
      </c>
      <c r="V30" s="13">
        <f>DISTRIBUSI!V31</f>
        <v>0</v>
      </c>
      <c r="W30" s="13">
        <f>DISTRIBUSI!W31</f>
        <v>0</v>
      </c>
      <c r="X30" s="13">
        <f>DISTRIBUSI!X31</f>
        <v>0</v>
      </c>
      <c r="Y30" s="13">
        <f>DISTRIBUSI!Y31</f>
        <v>0</v>
      </c>
      <c r="Z30" s="13">
        <f t="shared" si="0"/>
        <v>0</v>
      </c>
    </row>
    <row r="31" spans="1:26" ht="20.149999999999999" customHeight="1" x14ac:dyDescent="0.35">
      <c r="A31" s="59">
        <f t="shared" si="1"/>
        <v>23</v>
      </c>
      <c r="B31" s="142" t="s">
        <v>260</v>
      </c>
      <c r="C31" s="155" t="s">
        <v>254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3">
        <f>APOTIK!G30</f>
        <v>0</v>
      </c>
      <c r="S31" s="13">
        <f>DISTRIBUSI!S32</f>
        <v>0</v>
      </c>
      <c r="T31" s="12"/>
      <c r="U31" s="13">
        <f>DISTRIBUSI!U32</f>
        <v>0</v>
      </c>
      <c r="V31" s="13">
        <f>DISTRIBUSI!V32</f>
        <v>0</v>
      </c>
      <c r="W31" s="13">
        <f>DISTRIBUSI!W32</f>
        <v>0</v>
      </c>
      <c r="X31" s="13">
        <f>DISTRIBUSI!X32</f>
        <v>0</v>
      </c>
      <c r="Y31" s="13">
        <f>DISTRIBUSI!Y32</f>
        <v>0</v>
      </c>
      <c r="Z31" s="13">
        <f t="shared" si="0"/>
        <v>0</v>
      </c>
    </row>
    <row r="32" spans="1:26" ht="20.149999999999999" customHeight="1" x14ac:dyDescent="0.35">
      <c r="A32" s="59">
        <f t="shared" si="1"/>
        <v>24</v>
      </c>
      <c r="B32" s="142" t="s">
        <v>104</v>
      </c>
      <c r="C32" s="155" t="s">
        <v>334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3">
        <f>APOTIK!G31</f>
        <v>0</v>
      </c>
      <c r="S32" s="13">
        <f>DISTRIBUSI!S33</f>
        <v>0</v>
      </c>
      <c r="T32" s="12"/>
      <c r="U32" s="13">
        <f>DISTRIBUSI!U33</f>
        <v>0</v>
      </c>
      <c r="V32" s="13">
        <f>DISTRIBUSI!V33</f>
        <v>0</v>
      </c>
      <c r="W32" s="13">
        <f>DISTRIBUSI!W33</f>
        <v>0</v>
      </c>
      <c r="X32" s="13">
        <f>DISTRIBUSI!X33</f>
        <v>0</v>
      </c>
      <c r="Y32" s="13">
        <f>DISTRIBUSI!Y33</f>
        <v>0</v>
      </c>
      <c r="Z32" s="13">
        <f t="shared" si="0"/>
        <v>0</v>
      </c>
    </row>
    <row r="33" spans="1:26" ht="20.149999999999999" customHeight="1" x14ac:dyDescent="0.35">
      <c r="A33" s="59">
        <f t="shared" si="1"/>
        <v>25</v>
      </c>
      <c r="B33" s="142" t="s">
        <v>20</v>
      </c>
      <c r="C33" s="157" t="s">
        <v>335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3">
        <f>APOTIK!G32</f>
        <v>0</v>
      </c>
      <c r="S33" s="13">
        <f>DISTRIBUSI!S34</f>
        <v>5</v>
      </c>
      <c r="T33" s="12"/>
      <c r="U33" s="13">
        <f>DISTRIBUSI!U34</f>
        <v>0</v>
      </c>
      <c r="V33" s="13">
        <f>DISTRIBUSI!V34</f>
        <v>0</v>
      </c>
      <c r="W33" s="13">
        <f>DISTRIBUSI!W34</f>
        <v>0</v>
      </c>
      <c r="X33" s="13">
        <f>DISTRIBUSI!X34</f>
        <v>0</v>
      </c>
      <c r="Y33" s="13">
        <f>DISTRIBUSI!Y34</f>
        <v>0</v>
      </c>
      <c r="Z33" s="13">
        <f t="shared" si="0"/>
        <v>5</v>
      </c>
    </row>
    <row r="34" spans="1:26" ht="20.149999999999999" customHeight="1" x14ac:dyDescent="0.35">
      <c r="A34" s="59">
        <f t="shared" si="1"/>
        <v>26</v>
      </c>
      <c r="B34" s="142" t="s">
        <v>22</v>
      </c>
      <c r="C34" s="157" t="s">
        <v>330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3">
        <f>APOTIK!G33</f>
        <v>0</v>
      </c>
      <c r="S34" s="13">
        <f>DISTRIBUSI!S35</f>
        <v>0</v>
      </c>
      <c r="T34" s="12"/>
      <c r="U34" s="13">
        <f>DISTRIBUSI!U35</f>
        <v>0</v>
      </c>
      <c r="V34" s="13">
        <f>DISTRIBUSI!V35</f>
        <v>0</v>
      </c>
      <c r="W34" s="13">
        <f>DISTRIBUSI!W35</f>
        <v>0</v>
      </c>
      <c r="X34" s="13">
        <f>DISTRIBUSI!X35</f>
        <v>0</v>
      </c>
      <c r="Y34" s="13">
        <f>DISTRIBUSI!Y35</f>
        <v>0</v>
      </c>
      <c r="Z34" s="13">
        <f t="shared" si="0"/>
        <v>0</v>
      </c>
    </row>
    <row r="35" spans="1:26" ht="20.149999999999999" customHeight="1" x14ac:dyDescent="0.35">
      <c r="A35" s="59">
        <f t="shared" si="1"/>
        <v>27</v>
      </c>
      <c r="B35" s="142" t="s">
        <v>21</v>
      </c>
      <c r="C35" s="159" t="s">
        <v>330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3">
        <f>APOTIK!G34</f>
        <v>0</v>
      </c>
      <c r="S35" s="13">
        <f>DISTRIBUSI!S36</f>
        <v>0</v>
      </c>
      <c r="T35" s="12"/>
      <c r="U35" s="13">
        <f>DISTRIBUSI!U36</f>
        <v>0</v>
      </c>
      <c r="V35" s="13">
        <f>DISTRIBUSI!V36</f>
        <v>0</v>
      </c>
      <c r="W35" s="13">
        <f>DISTRIBUSI!W36</f>
        <v>0</v>
      </c>
      <c r="X35" s="13">
        <f>DISTRIBUSI!X36</f>
        <v>0</v>
      </c>
      <c r="Y35" s="13">
        <f>DISTRIBUSI!Y36</f>
        <v>0</v>
      </c>
      <c r="Z35" s="13">
        <f t="shared" si="0"/>
        <v>0</v>
      </c>
    </row>
    <row r="36" spans="1:26" ht="20.149999999999999" customHeight="1" x14ac:dyDescent="0.35">
      <c r="A36" s="59">
        <f t="shared" si="1"/>
        <v>28</v>
      </c>
      <c r="B36" s="142" t="s">
        <v>23</v>
      </c>
      <c r="C36" s="155" t="s">
        <v>336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3">
        <f>APOTIK!G35</f>
        <v>0</v>
      </c>
      <c r="S36" s="13">
        <f>DISTRIBUSI!S37</f>
        <v>0</v>
      </c>
      <c r="T36" s="12"/>
      <c r="U36" s="13">
        <f>DISTRIBUSI!U37</f>
        <v>0</v>
      </c>
      <c r="V36" s="13">
        <f>DISTRIBUSI!V37</f>
        <v>0</v>
      </c>
      <c r="W36" s="13">
        <f>DISTRIBUSI!W37</f>
        <v>0</v>
      </c>
      <c r="X36" s="13">
        <f>DISTRIBUSI!X37</f>
        <v>0</v>
      </c>
      <c r="Y36" s="13">
        <f>DISTRIBUSI!Y37</f>
        <v>0</v>
      </c>
      <c r="Z36" s="13">
        <f t="shared" si="0"/>
        <v>0</v>
      </c>
    </row>
    <row r="37" spans="1:26" ht="36" x14ac:dyDescent="0.35">
      <c r="A37" s="59">
        <f t="shared" si="1"/>
        <v>29</v>
      </c>
      <c r="B37" s="142" t="s">
        <v>25</v>
      </c>
      <c r="C37" s="157" t="s">
        <v>327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3">
        <f>APOTIK!G36</f>
        <v>0</v>
      </c>
      <c r="S37" s="13">
        <f>DISTRIBUSI!S38</f>
        <v>0</v>
      </c>
      <c r="T37" s="12"/>
      <c r="U37" s="13">
        <f>DISTRIBUSI!U38</f>
        <v>0</v>
      </c>
      <c r="V37" s="13">
        <f>DISTRIBUSI!V38</f>
        <v>0</v>
      </c>
      <c r="W37" s="13">
        <f>DISTRIBUSI!W38</f>
        <v>0</v>
      </c>
      <c r="X37" s="13">
        <f>DISTRIBUSI!X38</f>
        <v>0</v>
      </c>
      <c r="Y37" s="13">
        <f>DISTRIBUSI!Y38</f>
        <v>0</v>
      </c>
      <c r="Z37" s="13">
        <f t="shared" si="0"/>
        <v>0</v>
      </c>
    </row>
    <row r="38" spans="1:26" ht="20.149999999999999" customHeight="1" x14ac:dyDescent="0.35">
      <c r="A38" s="59">
        <f t="shared" si="1"/>
        <v>30</v>
      </c>
      <c r="B38" s="142" t="s">
        <v>24</v>
      </c>
      <c r="C38" s="160" t="s">
        <v>4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3">
        <f>APOTIK!G37</f>
        <v>0</v>
      </c>
      <c r="S38" s="13">
        <f>DISTRIBUSI!S39</f>
        <v>0</v>
      </c>
      <c r="T38" s="12"/>
      <c r="U38" s="13">
        <f>DISTRIBUSI!U39</f>
        <v>0</v>
      </c>
      <c r="V38" s="13">
        <f>DISTRIBUSI!V39</f>
        <v>0</v>
      </c>
      <c r="W38" s="13">
        <f>DISTRIBUSI!W39</f>
        <v>0</v>
      </c>
      <c r="X38" s="13">
        <f>DISTRIBUSI!X39</f>
        <v>0</v>
      </c>
      <c r="Y38" s="13">
        <f>DISTRIBUSI!Y39</f>
        <v>0</v>
      </c>
      <c r="Z38" s="13">
        <f t="shared" si="0"/>
        <v>0</v>
      </c>
    </row>
    <row r="39" spans="1:26" ht="20.149999999999999" customHeight="1" x14ac:dyDescent="0.35">
      <c r="A39" s="59">
        <f t="shared" si="1"/>
        <v>31</v>
      </c>
      <c r="B39" s="142" t="s">
        <v>26</v>
      </c>
      <c r="C39" s="157" t="s">
        <v>48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3">
        <f>APOTIK!G38</f>
        <v>0</v>
      </c>
      <c r="S39" s="13">
        <f>DISTRIBUSI!S40</f>
        <v>0</v>
      </c>
      <c r="T39" s="12"/>
      <c r="U39" s="13">
        <f>DISTRIBUSI!U40</f>
        <v>0</v>
      </c>
      <c r="V39" s="13">
        <f>DISTRIBUSI!V40</f>
        <v>0</v>
      </c>
      <c r="W39" s="13">
        <f>DISTRIBUSI!W40</f>
        <v>0</v>
      </c>
      <c r="X39" s="13">
        <f>DISTRIBUSI!X40</f>
        <v>0</v>
      </c>
      <c r="Y39" s="13">
        <f>DISTRIBUSI!Y40</f>
        <v>0</v>
      </c>
      <c r="Z39" s="13">
        <f t="shared" si="0"/>
        <v>0</v>
      </c>
    </row>
    <row r="40" spans="1:26" ht="20.149999999999999" customHeight="1" x14ac:dyDescent="0.35">
      <c r="A40" s="59">
        <f t="shared" si="1"/>
        <v>32</v>
      </c>
      <c r="B40" s="142" t="s">
        <v>27</v>
      </c>
      <c r="C40" s="157" t="s">
        <v>337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3">
        <f>APOTIK!G39</f>
        <v>0</v>
      </c>
      <c r="S40" s="13">
        <f>DISTRIBUSI!S41</f>
        <v>0</v>
      </c>
      <c r="T40" s="12"/>
      <c r="U40" s="13">
        <f>DISTRIBUSI!U41</f>
        <v>0</v>
      </c>
      <c r="V40" s="13">
        <f>DISTRIBUSI!V41</f>
        <v>0</v>
      </c>
      <c r="W40" s="13">
        <f>DISTRIBUSI!W41</f>
        <v>0</v>
      </c>
      <c r="X40" s="13">
        <f>DISTRIBUSI!X41</f>
        <v>0</v>
      </c>
      <c r="Y40" s="13">
        <f>DISTRIBUSI!Y41</f>
        <v>0</v>
      </c>
      <c r="Z40" s="13">
        <f t="shared" si="0"/>
        <v>0</v>
      </c>
    </row>
    <row r="41" spans="1:26" ht="20.149999999999999" customHeight="1" x14ac:dyDescent="0.35">
      <c r="A41" s="59">
        <f t="shared" si="1"/>
        <v>33</v>
      </c>
      <c r="B41" s="142" t="s">
        <v>28</v>
      </c>
      <c r="C41" s="157" t="s">
        <v>338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3">
        <f>APOTIK!G40</f>
        <v>0</v>
      </c>
      <c r="S41" s="13">
        <f>DISTRIBUSI!S42</f>
        <v>0</v>
      </c>
      <c r="T41" s="12"/>
      <c r="U41" s="13">
        <f>DISTRIBUSI!U42</f>
        <v>0</v>
      </c>
      <c r="V41" s="13">
        <f>DISTRIBUSI!V42</f>
        <v>0</v>
      </c>
      <c r="W41" s="13">
        <f>DISTRIBUSI!W42</f>
        <v>0</v>
      </c>
      <c r="X41" s="13">
        <f>DISTRIBUSI!X42</f>
        <v>0</v>
      </c>
      <c r="Y41" s="13">
        <f>DISTRIBUSI!Y42</f>
        <v>0</v>
      </c>
      <c r="Z41" s="13">
        <f t="shared" si="0"/>
        <v>0</v>
      </c>
    </row>
    <row r="42" spans="1:26" ht="20.149999999999999" customHeight="1" x14ac:dyDescent="0.35">
      <c r="A42" s="59">
        <f t="shared" si="1"/>
        <v>34</v>
      </c>
      <c r="B42" s="142" t="s">
        <v>29</v>
      </c>
      <c r="C42" s="157" t="s">
        <v>339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3">
        <f>APOTIK!G41</f>
        <v>0</v>
      </c>
      <c r="S42" s="13">
        <f>DISTRIBUSI!S43</f>
        <v>0</v>
      </c>
      <c r="T42" s="12"/>
      <c r="U42" s="13">
        <f>DISTRIBUSI!U43</f>
        <v>0</v>
      </c>
      <c r="V42" s="13">
        <f>DISTRIBUSI!V43</f>
        <v>0</v>
      </c>
      <c r="W42" s="13">
        <f>DISTRIBUSI!W43</f>
        <v>0</v>
      </c>
      <c r="X42" s="13">
        <f>DISTRIBUSI!X43</f>
        <v>0</v>
      </c>
      <c r="Y42" s="13">
        <f>DISTRIBUSI!Y43</f>
        <v>0</v>
      </c>
      <c r="Z42" s="13">
        <f t="shared" si="0"/>
        <v>0</v>
      </c>
    </row>
    <row r="43" spans="1:26" ht="20.149999999999999" customHeight="1" x14ac:dyDescent="0.35">
      <c r="A43" s="59">
        <f t="shared" si="1"/>
        <v>35</v>
      </c>
      <c r="B43" s="142" t="s">
        <v>30</v>
      </c>
      <c r="C43" s="161" t="s">
        <v>337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3">
        <f>APOTIK!G42</f>
        <v>0</v>
      </c>
      <c r="S43" s="13">
        <f>DISTRIBUSI!S44</f>
        <v>0</v>
      </c>
      <c r="T43" s="12"/>
      <c r="U43" s="13">
        <f>DISTRIBUSI!U44</f>
        <v>0</v>
      </c>
      <c r="V43" s="13">
        <f>DISTRIBUSI!V44</f>
        <v>0</v>
      </c>
      <c r="W43" s="13">
        <f>DISTRIBUSI!W44</f>
        <v>0</v>
      </c>
      <c r="X43" s="13">
        <f>DISTRIBUSI!X44</f>
        <v>0</v>
      </c>
      <c r="Y43" s="13">
        <f>DISTRIBUSI!Y44</f>
        <v>0</v>
      </c>
      <c r="Z43" s="13">
        <f t="shared" si="0"/>
        <v>0</v>
      </c>
    </row>
    <row r="44" spans="1:26" ht="20.149999999999999" customHeight="1" x14ac:dyDescent="0.35">
      <c r="A44" s="59">
        <f t="shared" si="1"/>
        <v>36</v>
      </c>
      <c r="B44" s="142" t="s">
        <v>31</v>
      </c>
      <c r="C44" s="162" t="s">
        <v>327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3">
        <f>APOTIK!G43</f>
        <v>0</v>
      </c>
      <c r="S44" s="13">
        <f>DISTRIBUSI!S45</f>
        <v>0</v>
      </c>
      <c r="T44" s="12"/>
      <c r="U44" s="13">
        <f>DISTRIBUSI!U45</f>
        <v>0</v>
      </c>
      <c r="V44" s="13">
        <f>DISTRIBUSI!V45</f>
        <v>0</v>
      </c>
      <c r="W44" s="13">
        <f>DISTRIBUSI!W45</f>
        <v>0</v>
      </c>
      <c r="X44" s="13">
        <f>DISTRIBUSI!X45</f>
        <v>0</v>
      </c>
      <c r="Y44" s="13">
        <f>DISTRIBUSI!Y45</f>
        <v>0</v>
      </c>
      <c r="Z44" s="13">
        <f t="shared" si="0"/>
        <v>0</v>
      </c>
    </row>
    <row r="45" spans="1:26" ht="20.149999999999999" customHeight="1" x14ac:dyDescent="0.35">
      <c r="A45" s="59">
        <f t="shared" si="1"/>
        <v>37</v>
      </c>
      <c r="B45" s="142" t="s">
        <v>32</v>
      </c>
      <c r="C45" s="162" t="s">
        <v>340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3">
        <f>APOTIK!G44</f>
        <v>0</v>
      </c>
      <c r="S45" s="13">
        <f>DISTRIBUSI!S46</f>
        <v>0</v>
      </c>
      <c r="T45" s="12"/>
      <c r="U45" s="13">
        <f>DISTRIBUSI!U46</f>
        <v>0</v>
      </c>
      <c r="V45" s="13">
        <f>DISTRIBUSI!V46</f>
        <v>0</v>
      </c>
      <c r="W45" s="13">
        <f>DISTRIBUSI!W46</f>
        <v>0</v>
      </c>
      <c r="X45" s="13">
        <f>DISTRIBUSI!X46</f>
        <v>0</v>
      </c>
      <c r="Y45" s="13">
        <f>DISTRIBUSI!Y46</f>
        <v>0</v>
      </c>
      <c r="Z45" s="13">
        <f t="shared" si="0"/>
        <v>0</v>
      </c>
    </row>
    <row r="46" spans="1:26" ht="20.149999999999999" customHeight="1" x14ac:dyDescent="0.35">
      <c r="A46" s="59">
        <f t="shared" si="1"/>
        <v>38</v>
      </c>
      <c r="B46" s="142" t="s">
        <v>34</v>
      </c>
      <c r="C46" s="157" t="s">
        <v>48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3">
        <f>APOTIK!G45</f>
        <v>0</v>
      </c>
      <c r="S46" s="13">
        <f>DISTRIBUSI!S47</f>
        <v>0</v>
      </c>
      <c r="T46" s="12"/>
      <c r="U46" s="13">
        <f>DISTRIBUSI!U47</f>
        <v>0</v>
      </c>
      <c r="V46" s="13">
        <f>DISTRIBUSI!V47</f>
        <v>0</v>
      </c>
      <c r="W46" s="13">
        <f>DISTRIBUSI!W47</f>
        <v>0</v>
      </c>
      <c r="X46" s="13">
        <f>DISTRIBUSI!X47</f>
        <v>0</v>
      </c>
      <c r="Y46" s="13">
        <f>DISTRIBUSI!Y47</f>
        <v>0</v>
      </c>
      <c r="Z46" s="13">
        <f t="shared" si="0"/>
        <v>0</v>
      </c>
    </row>
    <row r="47" spans="1:26" ht="20.149999999999999" customHeight="1" x14ac:dyDescent="0.35">
      <c r="A47" s="59">
        <f t="shared" si="1"/>
        <v>39</v>
      </c>
      <c r="B47" s="142" t="s">
        <v>35</v>
      </c>
      <c r="C47" s="155" t="s">
        <v>4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3">
        <f>APOTIK!G46</f>
        <v>0</v>
      </c>
      <c r="S47" s="13">
        <f>DISTRIBUSI!S48</f>
        <v>0</v>
      </c>
      <c r="T47" s="12"/>
      <c r="U47" s="13">
        <f>DISTRIBUSI!U48</f>
        <v>0</v>
      </c>
      <c r="V47" s="13">
        <f>DISTRIBUSI!V48</f>
        <v>0</v>
      </c>
      <c r="W47" s="13">
        <f>DISTRIBUSI!W48</f>
        <v>0</v>
      </c>
      <c r="X47" s="13">
        <f>DISTRIBUSI!X48</f>
        <v>0</v>
      </c>
      <c r="Y47" s="13">
        <f>DISTRIBUSI!Y48</f>
        <v>0</v>
      </c>
      <c r="Z47" s="13">
        <f t="shared" si="0"/>
        <v>0</v>
      </c>
    </row>
    <row r="48" spans="1:26" ht="20.149999999999999" customHeight="1" x14ac:dyDescent="0.5">
      <c r="A48" s="59">
        <f t="shared" si="1"/>
        <v>40</v>
      </c>
      <c r="B48" s="142" t="s">
        <v>282</v>
      </c>
      <c r="C48" s="250" t="s">
        <v>48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3">
        <f>APOTIK!G47</f>
        <v>0</v>
      </c>
      <c r="S48" s="13">
        <f>DISTRIBUSI!S49</f>
        <v>0</v>
      </c>
      <c r="T48" s="12"/>
      <c r="U48" s="13">
        <f>DISTRIBUSI!U49</f>
        <v>0</v>
      </c>
      <c r="V48" s="13">
        <f>DISTRIBUSI!V49</f>
        <v>0</v>
      </c>
      <c r="W48" s="13">
        <f>DISTRIBUSI!W49</f>
        <v>0</v>
      </c>
      <c r="X48" s="13">
        <f>DISTRIBUSI!X49</f>
        <v>0</v>
      </c>
      <c r="Y48" s="13">
        <f>DISTRIBUSI!Y49</f>
        <v>0</v>
      </c>
      <c r="Z48" s="13">
        <f t="shared" si="0"/>
        <v>0</v>
      </c>
    </row>
    <row r="49" spans="1:26" ht="20.149999999999999" customHeight="1" x14ac:dyDescent="0.35">
      <c r="A49" s="59">
        <f t="shared" si="1"/>
        <v>41</v>
      </c>
      <c r="B49" s="142" t="s">
        <v>36</v>
      </c>
      <c r="C49" s="157" t="s">
        <v>341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3">
        <f>APOTIK!G48</f>
        <v>0</v>
      </c>
      <c r="S49" s="13">
        <f>DISTRIBUSI!S50</f>
        <v>0</v>
      </c>
      <c r="T49" s="12"/>
      <c r="U49" s="13">
        <f>DISTRIBUSI!U50</f>
        <v>0</v>
      </c>
      <c r="V49" s="13">
        <f>DISTRIBUSI!V50</f>
        <v>0</v>
      </c>
      <c r="W49" s="13">
        <f>DISTRIBUSI!W50</f>
        <v>0</v>
      </c>
      <c r="X49" s="13">
        <f>DISTRIBUSI!X50</f>
        <v>0</v>
      </c>
      <c r="Y49" s="13">
        <f>DISTRIBUSI!Y50</f>
        <v>0</v>
      </c>
      <c r="Z49" s="13">
        <f t="shared" si="0"/>
        <v>0</v>
      </c>
    </row>
    <row r="50" spans="1:26" ht="20.149999999999999" customHeight="1" x14ac:dyDescent="0.35">
      <c r="A50" s="59">
        <f t="shared" si="1"/>
        <v>42</v>
      </c>
      <c r="B50" s="142" t="s">
        <v>38</v>
      </c>
      <c r="C50" s="155" t="s">
        <v>337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3">
        <f>APOTIK!G49</f>
        <v>0</v>
      </c>
      <c r="S50" s="13">
        <f>DISTRIBUSI!S51</f>
        <v>0</v>
      </c>
      <c r="T50" s="12"/>
      <c r="U50" s="13">
        <f>DISTRIBUSI!U51</f>
        <v>0</v>
      </c>
      <c r="V50" s="13">
        <f>DISTRIBUSI!V51</f>
        <v>0</v>
      </c>
      <c r="W50" s="13">
        <f>DISTRIBUSI!W51</f>
        <v>0</v>
      </c>
      <c r="X50" s="13">
        <f>DISTRIBUSI!X51</f>
        <v>0</v>
      </c>
      <c r="Y50" s="13">
        <f>DISTRIBUSI!Y51</f>
        <v>0</v>
      </c>
      <c r="Z50" s="13">
        <f t="shared" si="0"/>
        <v>0</v>
      </c>
    </row>
    <row r="51" spans="1:26" ht="20.149999999999999" customHeight="1" x14ac:dyDescent="0.35">
      <c r="A51" s="59">
        <f t="shared" si="1"/>
        <v>43</v>
      </c>
      <c r="B51" s="142" t="s">
        <v>37</v>
      </c>
      <c r="C51" s="157" t="s">
        <v>327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3">
        <f>APOTIK!G50</f>
        <v>0</v>
      </c>
      <c r="S51" s="13">
        <f>DISTRIBUSI!S52</f>
        <v>0</v>
      </c>
      <c r="T51" s="12"/>
      <c r="U51" s="13">
        <f>DISTRIBUSI!U52</f>
        <v>0</v>
      </c>
      <c r="V51" s="13">
        <f>DISTRIBUSI!V52</f>
        <v>0</v>
      </c>
      <c r="W51" s="13">
        <f>DISTRIBUSI!W52</f>
        <v>0</v>
      </c>
      <c r="X51" s="13">
        <f>DISTRIBUSI!X52</f>
        <v>0</v>
      </c>
      <c r="Y51" s="13">
        <f>DISTRIBUSI!Y52</f>
        <v>0</v>
      </c>
      <c r="Z51" s="13">
        <f t="shared" si="0"/>
        <v>0</v>
      </c>
    </row>
    <row r="52" spans="1:26" ht="20.149999999999999" customHeight="1" x14ac:dyDescent="0.35">
      <c r="A52" s="59">
        <f t="shared" si="1"/>
        <v>44</v>
      </c>
      <c r="B52" s="142" t="s">
        <v>261</v>
      </c>
      <c r="C52" s="157" t="s">
        <v>337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3">
        <f>APOTIK!G51</f>
        <v>0</v>
      </c>
      <c r="S52" s="13">
        <f>DISTRIBUSI!S53</f>
        <v>0</v>
      </c>
      <c r="T52" s="12"/>
      <c r="U52" s="13">
        <f>DISTRIBUSI!U53</f>
        <v>0</v>
      </c>
      <c r="V52" s="13">
        <f>DISTRIBUSI!V53</f>
        <v>0</v>
      </c>
      <c r="W52" s="13">
        <f>DISTRIBUSI!W53</f>
        <v>0</v>
      </c>
      <c r="X52" s="13">
        <f>DISTRIBUSI!X53</f>
        <v>0</v>
      </c>
      <c r="Y52" s="13">
        <f>DISTRIBUSI!Y53</f>
        <v>0</v>
      </c>
      <c r="Z52" s="13">
        <f t="shared" si="0"/>
        <v>0</v>
      </c>
    </row>
    <row r="53" spans="1:26" ht="20.149999999999999" customHeight="1" x14ac:dyDescent="0.35">
      <c r="A53" s="59">
        <f t="shared" si="1"/>
        <v>45</v>
      </c>
      <c r="B53" s="142" t="s">
        <v>39</v>
      </c>
      <c r="C53" s="157" t="s">
        <v>342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3">
        <f>APOTIK!G52</f>
        <v>0</v>
      </c>
      <c r="S53" s="13">
        <f>DISTRIBUSI!S54</f>
        <v>0</v>
      </c>
      <c r="T53" s="12"/>
      <c r="U53" s="13">
        <f>DISTRIBUSI!U54</f>
        <v>0</v>
      </c>
      <c r="V53" s="13">
        <f>DISTRIBUSI!V54</f>
        <v>0</v>
      </c>
      <c r="W53" s="13">
        <f>DISTRIBUSI!W54</f>
        <v>0</v>
      </c>
      <c r="X53" s="13">
        <f>DISTRIBUSI!X54</f>
        <v>0</v>
      </c>
      <c r="Y53" s="13">
        <f>DISTRIBUSI!Y54</f>
        <v>0</v>
      </c>
      <c r="Z53" s="13">
        <f t="shared" si="0"/>
        <v>0</v>
      </c>
    </row>
    <row r="54" spans="1:26" ht="20.149999999999999" customHeight="1" x14ac:dyDescent="0.35">
      <c r="A54" s="59">
        <f t="shared" si="1"/>
        <v>46</v>
      </c>
      <c r="B54" s="142" t="s">
        <v>40</v>
      </c>
      <c r="C54" s="155" t="s">
        <v>177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3">
        <f>APOTIK!G53</f>
        <v>0</v>
      </c>
      <c r="S54" s="13">
        <f>DISTRIBUSI!S55</f>
        <v>0</v>
      </c>
      <c r="T54" s="12"/>
      <c r="U54" s="13">
        <f>DISTRIBUSI!U55</f>
        <v>0</v>
      </c>
      <c r="V54" s="13">
        <f>DISTRIBUSI!V55</f>
        <v>0</v>
      </c>
      <c r="W54" s="13">
        <f>DISTRIBUSI!W55</f>
        <v>0</v>
      </c>
      <c r="X54" s="13">
        <f>DISTRIBUSI!X55</f>
        <v>0</v>
      </c>
      <c r="Y54" s="13">
        <f>DISTRIBUSI!Y55</f>
        <v>0</v>
      </c>
      <c r="Z54" s="13">
        <f t="shared" si="0"/>
        <v>0</v>
      </c>
    </row>
    <row r="55" spans="1:26" ht="20.149999999999999" customHeight="1" x14ac:dyDescent="0.35">
      <c r="A55" s="59">
        <f t="shared" si="1"/>
        <v>47</v>
      </c>
      <c r="B55" s="142" t="s">
        <v>265</v>
      </c>
      <c r="C55" s="155" t="s">
        <v>343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3">
        <f>APOTIK!G54</f>
        <v>0</v>
      </c>
      <c r="S55" s="13">
        <f>DISTRIBUSI!S56</f>
        <v>0</v>
      </c>
      <c r="T55" s="12"/>
      <c r="U55" s="13">
        <f>DISTRIBUSI!U56</f>
        <v>0</v>
      </c>
      <c r="V55" s="13">
        <f>DISTRIBUSI!V56</f>
        <v>0</v>
      </c>
      <c r="W55" s="13">
        <f>DISTRIBUSI!W56</f>
        <v>0</v>
      </c>
      <c r="X55" s="13">
        <f>DISTRIBUSI!X56</f>
        <v>0</v>
      </c>
      <c r="Y55" s="13">
        <f>DISTRIBUSI!Y56</f>
        <v>0</v>
      </c>
      <c r="Z55" s="13">
        <f t="shared" si="0"/>
        <v>0</v>
      </c>
    </row>
    <row r="56" spans="1:26" ht="36" x14ac:dyDescent="0.35">
      <c r="A56" s="59">
        <f t="shared" si="1"/>
        <v>48</v>
      </c>
      <c r="B56" s="142" t="s">
        <v>41</v>
      </c>
      <c r="C56" s="157" t="s">
        <v>327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3">
        <f>APOTIK!G55</f>
        <v>0</v>
      </c>
      <c r="S56" s="13">
        <f>DISTRIBUSI!S57</f>
        <v>0</v>
      </c>
      <c r="T56" s="12"/>
      <c r="U56" s="13">
        <f>DISTRIBUSI!U57</f>
        <v>0</v>
      </c>
      <c r="V56" s="13">
        <f>DISTRIBUSI!V57</f>
        <v>0</v>
      </c>
      <c r="W56" s="13">
        <f>DISTRIBUSI!W57</f>
        <v>0</v>
      </c>
      <c r="X56" s="13">
        <f>DISTRIBUSI!X57</f>
        <v>0</v>
      </c>
      <c r="Y56" s="13">
        <f>DISTRIBUSI!Y57</f>
        <v>0</v>
      </c>
      <c r="Z56" s="13">
        <f t="shared" si="0"/>
        <v>0</v>
      </c>
    </row>
    <row r="57" spans="1:26" ht="20.149999999999999" customHeight="1" x14ac:dyDescent="0.35">
      <c r="A57" s="59">
        <f t="shared" si="1"/>
        <v>49</v>
      </c>
      <c r="B57" s="142" t="s">
        <v>105</v>
      </c>
      <c r="C57" s="163" t="s">
        <v>327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3">
        <f>APOTIK!G56</f>
        <v>0</v>
      </c>
      <c r="S57" s="13">
        <f>DISTRIBUSI!S58</f>
        <v>0</v>
      </c>
      <c r="T57" s="12"/>
      <c r="U57" s="13">
        <f>DISTRIBUSI!U58</f>
        <v>0</v>
      </c>
      <c r="V57" s="13">
        <f>DISTRIBUSI!V58</f>
        <v>0</v>
      </c>
      <c r="W57" s="13">
        <f>DISTRIBUSI!W58</f>
        <v>0</v>
      </c>
      <c r="X57" s="13">
        <f>DISTRIBUSI!X58</f>
        <v>0</v>
      </c>
      <c r="Y57" s="13">
        <f>DISTRIBUSI!Y58</f>
        <v>0</v>
      </c>
      <c r="Z57" s="13">
        <f t="shared" si="0"/>
        <v>0</v>
      </c>
    </row>
    <row r="58" spans="1:26" ht="20.149999999999999" customHeight="1" x14ac:dyDescent="0.35">
      <c r="A58" s="59">
        <f t="shared" si="1"/>
        <v>50</v>
      </c>
      <c r="B58" s="142" t="s">
        <v>42</v>
      </c>
      <c r="C58" s="163" t="s">
        <v>321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3">
        <f>APOTIK!G57</f>
        <v>0</v>
      </c>
      <c r="S58" s="13">
        <f>DISTRIBUSI!S59</f>
        <v>0</v>
      </c>
      <c r="T58" s="12"/>
      <c r="U58" s="13">
        <f>DISTRIBUSI!U59</f>
        <v>0</v>
      </c>
      <c r="V58" s="13">
        <f>DISTRIBUSI!V59</f>
        <v>0</v>
      </c>
      <c r="W58" s="13">
        <f>DISTRIBUSI!W59</f>
        <v>0</v>
      </c>
      <c r="X58" s="13">
        <f>DISTRIBUSI!X59</f>
        <v>0</v>
      </c>
      <c r="Y58" s="13">
        <f>DISTRIBUSI!Y59</f>
        <v>0</v>
      </c>
      <c r="Z58" s="13">
        <f t="shared" si="0"/>
        <v>0</v>
      </c>
    </row>
    <row r="59" spans="1:26" ht="20.149999999999999" customHeight="1" x14ac:dyDescent="0.35">
      <c r="A59" s="59">
        <f t="shared" si="1"/>
        <v>51</v>
      </c>
      <c r="B59" s="142" t="s">
        <v>43</v>
      </c>
      <c r="C59" s="157" t="s">
        <v>327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3">
        <f>APOTIK!G58</f>
        <v>0</v>
      </c>
      <c r="S59" s="13">
        <f>DISTRIBUSI!S60</f>
        <v>0</v>
      </c>
      <c r="T59" s="12"/>
      <c r="U59" s="13">
        <f>DISTRIBUSI!U60</f>
        <v>0</v>
      </c>
      <c r="V59" s="13">
        <f>DISTRIBUSI!V60</f>
        <v>0</v>
      </c>
      <c r="W59" s="13">
        <f>DISTRIBUSI!W60</f>
        <v>0</v>
      </c>
      <c r="X59" s="13">
        <f>DISTRIBUSI!X60</f>
        <v>0</v>
      </c>
      <c r="Y59" s="13">
        <f>DISTRIBUSI!Y60</f>
        <v>0</v>
      </c>
      <c r="Z59" s="13">
        <f t="shared" si="0"/>
        <v>0</v>
      </c>
    </row>
    <row r="60" spans="1:26" ht="20.149999999999999" customHeight="1" x14ac:dyDescent="0.35">
      <c r="A60" s="59">
        <f t="shared" si="1"/>
        <v>52</v>
      </c>
      <c r="B60" s="142" t="s">
        <v>44</v>
      </c>
      <c r="C60" s="155" t="s">
        <v>327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3">
        <f>APOTIK!G59</f>
        <v>0</v>
      </c>
      <c r="S60" s="13">
        <f>DISTRIBUSI!S61</f>
        <v>0</v>
      </c>
      <c r="T60" s="12"/>
      <c r="U60" s="13">
        <f>DISTRIBUSI!U61</f>
        <v>0</v>
      </c>
      <c r="V60" s="13">
        <f>DISTRIBUSI!V61</f>
        <v>0</v>
      </c>
      <c r="W60" s="13">
        <f>DISTRIBUSI!W61</f>
        <v>0</v>
      </c>
      <c r="X60" s="13">
        <f>DISTRIBUSI!X61</f>
        <v>0</v>
      </c>
      <c r="Y60" s="13">
        <f>DISTRIBUSI!Y61</f>
        <v>0</v>
      </c>
      <c r="Z60" s="13">
        <f t="shared" si="0"/>
        <v>0</v>
      </c>
    </row>
    <row r="61" spans="1:26" ht="20.149999999999999" customHeight="1" x14ac:dyDescent="0.35">
      <c r="A61" s="59">
        <f t="shared" si="1"/>
        <v>53</v>
      </c>
      <c r="B61" s="142" t="s">
        <v>45</v>
      </c>
      <c r="C61" s="161" t="s">
        <v>335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3">
        <f>APOTIK!G60</f>
        <v>0</v>
      </c>
      <c r="S61" s="13">
        <f>DISTRIBUSI!S62</f>
        <v>0</v>
      </c>
      <c r="T61" s="12"/>
      <c r="U61" s="13">
        <f>DISTRIBUSI!U62</f>
        <v>0</v>
      </c>
      <c r="V61" s="13">
        <f>DISTRIBUSI!V62</f>
        <v>0</v>
      </c>
      <c r="W61" s="13">
        <f>DISTRIBUSI!W62</f>
        <v>0</v>
      </c>
      <c r="X61" s="13">
        <f>DISTRIBUSI!X62</f>
        <v>0</v>
      </c>
      <c r="Y61" s="13">
        <f>DISTRIBUSI!Y62</f>
        <v>0</v>
      </c>
      <c r="Z61" s="13">
        <f t="shared" si="0"/>
        <v>0</v>
      </c>
    </row>
    <row r="62" spans="1:26" ht="20.149999999999999" customHeight="1" x14ac:dyDescent="0.35">
      <c r="A62" s="59">
        <f t="shared" si="1"/>
        <v>54</v>
      </c>
      <c r="B62" s="142" t="s">
        <v>46</v>
      </c>
      <c r="C62" s="161" t="s">
        <v>344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3">
        <f>APOTIK!G61</f>
        <v>0</v>
      </c>
      <c r="S62" s="13">
        <f>DISTRIBUSI!S63</f>
        <v>0</v>
      </c>
      <c r="T62" s="12"/>
      <c r="U62" s="13">
        <f>DISTRIBUSI!U63</f>
        <v>0</v>
      </c>
      <c r="V62" s="13">
        <f>DISTRIBUSI!V63</f>
        <v>0</v>
      </c>
      <c r="W62" s="13">
        <f>DISTRIBUSI!W63</f>
        <v>0</v>
      </c>
      <c r="X62" s="13">
        <f>DISTRIBUSI!X63</f>
        <v>0</v>
      </c>
      <c r="Y62" s="13">
        <f>DISTRIBUSI!Y63</f>
        <v>0</v>
      </c>
      <c r="Z62" s="13">
        <f t="shared" si="0"/>
        <v>0</v>
      </c>
    </row>
    <row r="63" spans="1:26" ht="18" x14ac:dyDescent="0.35">
      <c r="A63" s="59">
        <f t="shared" si="1"/>
        <v>55</v>
      </c>
      <c r="B63" s="142" t="s">
        <v>47</v>
      </c>
      <c r="C63" s="157" t="s">
        <v>48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3">
        <f>APOTIK!G62</f>
        <v>0</v>
      </c>
      <c r="S63" s="13">
        <f>DISTRIBUSI!S64</f>
        <v>0</v>
      </c>
      <c r="T63" s="12"/>
      <c r="U63" s="13">
        <f>DISTRIBUSI!U64</f>
        <v>0</v>
      </c>
      <c r="V63" s="13">
        <f>DISTRIBUSI!V64</f>
        <v>0</v>
      </c>
      <c r="W63" s="13">
        <f>DISTRIBUSI!W64</f>
        <v>0</v>
      </c>
      <c r="X63" s="13">
        <f>DISTRIBUSI!X64</f>
        <v>0</v>
      </c>
      <c r="Y63" s="13">
        <f>DISTRIBUSI!Y64</f>
        <v>0</v>
      </c>
      <c r="Z63" s="13">
        <f t="shared" si="0"/>
        <v>0</v>
      </c>
    </row>
    <row r="64" spans="1:26" ht="20.149999999999999" customHeight="1" x14ac:dyDescent="0.35">
      <c r="A64" s="59">
        <f t="shared" si="1"/>
        <v>56</v>
      </c>
      <c r="B64" s="142" t="s">
        <v>49</v>
      </c>
      <c r="C64" s="157" t="s">
        <v>341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3">
        <f>APOTIK!G63</f>
        <v>0</v>
      </c>
      <c r="S64" s="13">
        <f>DISTRIBUSI!S65</f>
        <v>0</v>
      </c>
      <c r="T64" s="12"/>
      <c r="U64" s="13">
        <f>DISTRIBUSI!U65</f>
        <v>0</v>
      </c>
      <c r="V64" s="13">
        <f>DISTRIBUSI!V65</f>
        <v>0</v>
      </c>
      <c r="W64" s="13">
        <f>DISTRIBUSI!W65</f>
        <v>0</v>
      </c>
      <c r="X64" s="13">
        <f>DISTRIBUSI!X65</f>
        <v>0</v>
      </c>
      <c r="Y64" s="13">
        <f>DISTRIBUSI!Y65</f>
        <v>0</v>
      </c>
      <c r="Z64" s="13">
        <f t="shared" si="0"/>
        <v>0</v>
      </c>
    </row>
    <row r="65" spans="1:26" ht="20.149999999999999" customHeight="1" x14ac:dyDescent="0.35">
      <c r="A65" s="59">
        <f t="shared" si="1"/>
        <v>57</v>
      </c>
      <c r="B65" s="142" t="s">
        <v>50</v>
      </c>
      <c r="C65" s="157" t="s">
        <v>327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3">
        <f>APOTIK!G64</f>
        <v>0</v>
      </c>
      <c r="S65" s="13">
        <f>DISTRIBUSI!S66</f>
        <v>0</v>
      </c>
      <c r="T65" s="12"/>
      <c r="U65" s="13">
        <f>DISTRIBUSI!U66</f>
        <v>0</v>
      </c>
      <c r="V65" s="13">
        <f>DISTRIBUSI!V66</f>
        <v>0</v>
      </c>
      <c r="W65" s="13">
        <f>DISTRIBUSI!W66</f>
        <v>0</v>
      </c>
      <c r="X65" s="13">
        <f>DISTRIBUSI!X66</f>
        <v>0</v>
      </c>
      <c r="Y65" s="13">
        <f>DISTRIBUSI!Y66</f>
        <v>0</v>
      </c>
      <c r="Z65" s="13">
        <f t="shared" si="0"/>
        <v>0</v>
      </c>
    </row>
    <row r="66" spans="1:26" ht="20.149999999999999" customHeight="1" x14ac:dyDescent="0.35">
      <c r="A66" s="59">
        <f t="shared" si="1"/>
        <v>58</v>
      </c>
      <c r="B66" s="142" t="s">
        <v>51</v>
      </c>
      <c r="C66" s="157" t="s">
        <v>327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3">
        <f>APOTIK!G65</f>
        <v>0</v>
      </c>
      <c r="S66" s="13">
        <f>DISTRIBUSI!S67</f>
        <v>0</v>
      </c>
      <c r="T66" s="12"/>
      <c r="U66" s="13">
        <f>DISTRIBUSI!U67</f>
        <v>0</v>
      </c>
      <c r="V66" s="13">
        <f>DISTRIBUSI!V67</f>
        <v>0</v>
      </c>
      <c r="W66" s="13">
        <f>DISTRIBUSI!W67</f>
        <v>0</v>
      </c>
      <c r="X66" s="13">
        <f>DISTRIBUSI!X67</f>
        <v>0</v>
      </c>
      <c r="Y66" s="13">
        <f>DISTRIBUSI!Y67</f>
        <v>0</v>
      </c>
      <c r="Z66" s="13">
        <f t="shared" si="0"/>
        <v>0</v>
      </c>
    </row>
    <row r="67" spans="1:26" ht="20.149999999999999" customHeight="1" x14ac:dyDescent="0.35">
      <c r="A67" s="59">
        <f t="shared" si="1"/>
        <v>59</v>
      </c>
      <c r="B67" s="142" t="s">
        <v>251</v>
      </c>
      <c r="C67" s="157" t="s">
        <v>327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3">
        <f>APOTIK!G66</f>
        <v>0</v>
      </c>
      <c r="S67" s="13">
        <f>DISTRIBUSI!S68</f>
        <v>0</v>
      </c>
      <c r="T67" s="12"/>
      <c r="U67" s="13">
        <f>DISTRIBUSI!U68</f>
        <v>0</v>
      </c>
      <c r="V67" s="13">
        <f>DISTRIBUSI!V68</f>
        <v>0</v>
      </c>
      <c r="W67" s="13">
        <f>DISTRIBUSI!W68</f>
        <v>0</v>
      </c>
      <c r="X67" s="13">
        <f>DISTRIBUSI!X68</f>
        <v>0</v>
      </c>
      <c r="Y67" s="13">
        <f>DISTRIBUSI!Y68</f>
        <v>0</v>
      </c>
      <c r="Z67" s="13">
        <f t="shared" si="0"/>
        <v>0</v>
      </c>
    </row>
    <row r="68" spans="1:26" ht="20.149999999999999" customHeight="1" x14ac:dyDescent="0.35">
      <c r="A68" s="59">
        <f t="shared" si="1"/>
        <v>60</v>
      </c>
      <c r="B68" s="142" t="s">
        <v>52</v>
      </c>
      <c r="C68" s="157" t="s">
        <v>327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3">
        <f>APOTIK!G67</f>
        <v>0</v>
      </c>
      <c r="S68" s="13">
        <f>DISTRIBUSI!S69</f>
        <v>0</v>
      </c>
      <c r="T68" s="12"/>
      <c r="U68" s="13">
        <f>DISTRIBUSI!U69</f>
        <v>0</v>
      </c>
      <c r="V68" s="13">
        <f>DISTRIBUSI!V69</f>
        <v>0</v>
      </c>
      <c r="W68" s="13">
        <f>DISTRIBUSI!W69</f>
        <v>0</v>
      </c>
      <c r="X68" s="13">
        <f>DISTRIBUSI!X69</f>
        <v>0</v>
      </c>
      <c r="Y68" s="13">
        <f>DISTRIBUSI!Y69</f>
        <v>0</v>
      </c>
      <c r="Z68" s="13">
        <f t="shared" si="0"/>
        <v>0</v>
      </c>
    </row>
    <row r="69" spans="1:26" ht="20.149999999999999" customHeight="1" x14ac:dyDescent="0.35">
      <c r="A69" s="59">
        <f t="shared" si="1"/>
        <v>61</v>
      </c>
      <c r="B69" s="142" t="s">
        <v>53</v>
      </c>
      <c r="C69" s="160" t="s">
        <v>48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3">
        <f>APOTIK!G68</f>
        <v>0</v>
      </c>
      <c r="S69" s="13">
        <f>DISTRIBUSI!S70</f>
        <v>0</v>
      </c>
      <c r="T69" s="12"/>
      <c r="U69" s="13">
        <f>DISTRIBUSI!U70</f>
        <v>0</v>
      </c>
      <c r="V69" s="13">
        <f>DISTRIBUSI!V70</f>
        <v>0</v>
      </c>
      <c r="W69" s="13">
        <f>DISTRIBUSI!W70</f>
        <v>0</v>
      </c>
      <c r="X69" s="13">
        <f>DISTRIBUSI!X70</f>
        <v>0</v>
      </c>
      <c r="Y69" s="13">
        <f>DISTRIBUSI!Y70</f>
        <v>0</v>
      </c>
      <c r="Z69" s="13">
        <f t="shared" si="0"/>
        <v>0</v>
      </c>
    </row>
    <row r="70" spans="1:26" ht="36" x14ac:dyDescent="0.35">
      <c r="A70" s="59">
        <f t="shared" si="1"/>
        <v>62</v>
      </c>
      <c r="B70" s="142" t="s">
        <v>54</v>
      </c>
      <c r="C70" s="157" t="s">
        <v>332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3">
        <f>APOTIK!G69</f>
        <v>0</v>
      </c>
      <c r="S70" s="13">
        <f>DISTRIBUSI!S71</f>
        <v>0</v>
      </c>
      <c r="T70" s="12"/>
      <c r="U70" s="13">
        <f>DISTRIBUSI!U71</f>
        <v>0</v>
      </c>
      <c r="V70" s="13">
        <f>DISTRIBUSI!V71</f>
        <v>0</v>
      </c>
      <c r="W70" s="13">
        <f>DISTRIBUSI!W71</f>
        <v>0</v>
      </c>
      <c r="X70" s="13">
        <f>DISTRIBUSI!X71</f>
        <v>0</v>
      </c>
      <c r="Y70" s="13">
        <f>DISTRIBUSI!Y71</f>
        <v>0</v>
      </c>
      <c r="Z70" s="13">
        <f t="shared" si="0"/>
        <v>0</v>
      </c>
    </row>
    <row r="71" spans="1:26" ht="20.149999999999999" customHeight="1" x14ac:dyDescent="0.35">
      <c r="A71" s="59">
        <f t="shared" si="1"/>
        <v>63</v>
      </c>
      <c r="B71" s="142" t="s">
        <v>252</v>
      </c>
      <c r="C71" s="155" t="s">
        <v>340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3">
        <f>APOTIK!G70</f>
        <v>0</v>
      </c>
      <c r="S71" s="13">
        <f>DISTRIBUSI!S72</f>
        <v>0</v>
      </c>
      <c r="T71" s="12"/>
      <c r="U71" s="13">
        <f>DISTRIBUSI!U72</f>
        <v>0</v>
      </c>
      <c r="V71" s="13">
        <f>DISTRIBUSI!V72</f>
        <v>0</v>
      </c>
      <c r="W71" s="13">
        <f>DISTRIBUSI!W72</f>
        <v>0</v>
      </c>
      <c r="X71" s="13">
        <f>DISTRIBUSI!X72</f>
        <v>0</v>
      </c>
      <c r="Y71" s="13">
        <f>DISTRIBUSI!Y72</f>
        <v>0</v>
      </c>
      <c r="Z71" s="13">
        <f t="shared" si="0"/>
        <v>0</v>
      </c>
    </row>
    <row r="72" spans="1:26" ht="20.149999999999999" customHeight="1" x14ac:dyDescent="0.35">
      <c r="A72" s="59">
        <f t="shared" si="1"/>
        <v>64</v>
      </c>
      <c r="B72" s="142" t="s">
        <v>55</v>
      </c>
      <c r="C72" s="153" t="s">
        <v>346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3">
        <f>APOTIK!G71</f>
        <v>0</v>
      </c>
      <c r="S72" s="13">
        <f>DISTRIBUSI!S73</f>
        <v>10</v>
      </c>
      <c r="T72" s="12"/>
      <c r="U72" s="13">
        <f>DISTRIBUSI!U73</f>
        <v>0</v>
      </c>
      <c r="V72" s="13">
        <f>DISTRIBUSI!V73</f>
        <v>0</v>
      </c>
      <c r="W72" s="13">
        <f>DISTRIBUSI!W73</f>
        <v>0</v>
      </c>
      <c r="X72" s="13">
        <f>DISTRIBUSI!X73</f>
        <v>0</v>
      </c>
      <c r="Y72" s="13">
        <f>DISTRIBUSI!Y73</f>
        <v>0</v>
      </c>
      <c r="Z72" s="13">
        <f t="shared" si="0"/>
        <v>10</v>
      </c>
    </row>
    <row r="73" spans="1:26" ht="18" x14ac:dyDescent="0.35">
      <c r="A73" s="59">
        <f t="shared" si="1"/>
        <v>65</v>
      </c>
      <c r="B73" s="142" t="s">
        <v>56</v>
      </c>
      <c r="C73" s="162" t="s">
        <v>347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3">
        <f>APOTIK!G72</f>
        <v>0</v>
      </c>
      <c r="S73" s="13">
        <f>DISTRIBUSI!S74</f>
        <v>0</v>
      </c>
      <c r="T73" s="12"/>
      <c r="U73" s="13">
        <f>DISTRIBUSI!U74</f>
        <v>0</v>
      </c>
      <c r="V73" s="13">
        <f>DISTRIBUSI!V74</f>
        <v>0</v>
      </c>
      <c r="W73" s="13">
        <f>DISTRIBUSI!W74</f>
        <v>0</v>
      </c>
      <c r="X73" s="13">
        <f>DISTRIBUSI!X74</f>
        <v>0</v>
      </c>
      <c r="Y73" s="13">
        <f>DISTRIBUSI!Y74</f>
        <v>0</v>
      </c>
      <c r="Z73" s="13">
        <f t="shared" si="0"/>
        <v>0</v>
      </c>
    </row>
    <row r="74" spans="1:26" ht="18" x14ac:dyDescent="0.35">
      <c r="A74" s="59">
        <f t="shared" si="1"/>
        <v>66</v>
      </c>
      <c r="B74" s="142" t="s">
        <v>57</v>
      </c>
      <c r="C74" s="161" t="s">
        <v>48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3">
        <f>APOTIK!G73</f>
        <v>0</v>
      </c>
      <c r="S74" s="13">
        <f>DISTRIBUSI!S75</f>
        <v>0</v>
      </c>
      <c r="T74" s="12"/>
      <c r="U74" s="13">
        <f>DISTRIBUSI!U75</f>
        <v>0</v>
      </c>
      <c r="V74" s="13">
        <f>DISTRIBUSI!V75</f>
        <v>0</v>
      </c>
      <c r="W74" s="13">
        <f>DISTRIBUSI!W75</f>
        <v>0</v>
      </c>
      <c r="X74" s="13">
        <f>DISTRIBUSI!X75</f>
        <v>0</v>
      </c>
      <c r="Y74" s="13">
        <f>DISTRIBUSI!Y75</f>
        <v>0</v>
      </c>
      <c r="Z74" s="13">
        <f t="shared" ref="Z74:Z137" si="2">SUM(D74:Y74)</f>
        <v>0</v>
      </c>
    </row>
    <row r="75" spans="1:26" ht="18" x14ac:dyDescent="0.35">
      <c r="A75" s="59">
        <f t="shared" ref="A75:A138" si="3">A74+1</f>
        <v>67</v>
      </c>
      <c r="B75" s="142" t="s">
        <v>59</v>
      </c>
      <c r="C75" s="157" t="s">
        <v>48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3">
        <f>APOTIK!G74</f>
        <v>0</v>
      </c>
      <c r="S75" s="13">
        <f>DISTRIBUSI!S76</f>
        <v>0</v>
      </c>
      <c r="T75" s="12"/>
      <c r="U75" s="13">
        <f>DISTRIBUSI!U76</f>
        <v>0</v>
      </c>
      <c r="V75" s="13">
        <f>DISTRIBUSI!V76</f>
        <v>0</v>
      </c>
      <c r="W75" s="13">
        <f>DISTRIBUSI!W76</f>
        <v>0</v>
      </c>
      <c r="X75" s="13">
        <f>DISTRIBUSI!X76</f>
        <v>0</v>
      </c>
      <c r="Y75" s="13">
        <f>DISTRIBUSI!Y76</f>
        <v>0</v>
      </c>
      <c r="Z75" s="13">
        <f t="shared" si="2"/>
        <v>0</v>
      </c>
    </row>
    <row r="76" spans="1:26" ht="20.149999999999999" customHeight="1" x14ac:dyDescent="0.35">
      <c r="A76" s="59">
        <f t="shared" si="3"/>
        <v>68</v>
      </c>
      <c r="B76" s="142" t="s">
        <v>58</v>
      </c>
      <c r="C76" s="157" t="s">
        <v>48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3">
        <f>APOTIK!G75</f>
        <v>0</v>
      </c>
      <c r="S76" s="13">
        <f>DISTRIBUSI!S77</f>
        <v>0</v>
      </c>
      <c r="T76" s="12"/>
      <c r="U76" s="13">
        <f>DISTRIBUSI!U77</f>
        <v>0</v>
      </c>
      <c r="V76" s="13">
        <f>DISTRIBUSI!V77</f>
        <v>0</v>
      </c>
      <c r="W76" s="13">
        <f>DISTRIBUSI!W77</f>
        <v>0</v>
      </c>
      <c r="X76" s="13">
        <f>DISTRIBUSI!X77</f>
        <v>0</v>
      </c>
      <c r="Y76" s="13">
        <f>DISTRIBUSI!Y77</f>
        <v>0</v>
      </c>
      <c r="Z76" s="13">
        <f t="shared" si="2"/>
        <v>0</v>
      </c>
    </row>
    <row r="77" spans="1:26" ht="36" x14ac:dyDescent="0.35">
      <c r="A77" s="59">
        <f t="shared" si="3"/>
        <v>69</v>
      </c>
      <c r="B77" s="142" t="s">
        <v>60</v>
      </c>
      <c r="C77" s="157" t="s">
        <v>327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3">
        <f>APOTIK!G76</f>
        <v>0</v>
      </c>
      <c r="S77" s="13">
        <f>DISTRIBUSI!S78</f>
        <v>0</v>
      </c>
      <c r="T77" s="12"/>
      <c r="U77" s="13">
        <f>DISTRIBUSI!U78</f>
        <v>0</v>
      </c>
      <c r="V77" s="13">
        <f>DISTRIBUSI!V78</f>
        <v>0</v>
      </c>
      <c r="W77" s="13">
        <f>DISTRIBUSI!W78</f>
        <v>0</v>
      </c>
      <c r="X77" s="13">
        <f>DISTRIBUSI!X78</f>
        <v>0</v>
      </c>
      <c r="Y77" s="13">
        <f>DISTRIBUSI!Y78</f>
        <v>0</v>
      </c>
      <c r="Z77" s="13">
        <f t="shared" si="2"/>
        <v>0</v>
      </c>
    </row>
    <row r="78" spans="1:26" ht="36" x14ac:dyDescent="0.35">
      <c r="A78" s="59">
        <f t="shared" si="3"/>
        <v>70</v>
      </c>
      <c r="B78" s="142" t="s">
        <v>280</v>
      </c>
      <c r="C78" s="157" t="s">
        <v>327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3">
        <f>APOTIK!G77</f>
        <v>0</v>
      </c>
      <c r="S78" s="13">
        <f>DISTRIBUSI!S79</f>
        <v>0</v>
      </c>
      <c r="T78" s="12"/>
      <c r="U78" s="13">
        <f>DISTRIBUSI!U79</f>
        <v>0</v>
      </c>
      <c r="V78" s="13">
        <f>DISTRIBUSI!V79</f>
        <v>0</v>
      </c>
      <c r="W78" s="13">
        <f>DISTRIBUSI!W79</f>
        <v>0</v>
      </c>
      <c r="X78" s="13">
        <f>DISTRIBUSI!X79</f>
        <v>0</v>
      </c>
      <c r="Y78" s="13">
        <f>DISTRIBUSI!Y79</f>
        <v>0</v>
      </c>
      <c r="Z78" s="13">
        <f t="shared" si="2"/>
        <v>0</v>
      </c>
    </row>
    <row r="79" spans="1:26" ht="20.149999999999999" customHeight="1" x14ac:dyDescent="0.35">
      <c r="A79" s="59">
        <f t="shared" si="3"/>
        <v>71</v>
      </c>
      <c r="B79" s="142" t="s">
        <v>61</v>
      </c>
      <c r="C79" s="157" t="s">
        <v>327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3">
        <f>APOTIK!G78</f>
        <v>0</v>
      </c>
      <c r="S79" s="13">
        <f>DISTRIBUSI!S80</f>
        <v>0</v>
      </c>
      <c r="T79" s="12"/>
      <c r="U79" s="13">
        <f>DISTRIBUSI!U80</f>
        <v>0</v>
      </c>
      <c r="V79" s="13">
        <f>DISTRIBUSI!V80</f>
        <v>0</v>
      </c>
      <c r="W79" s="13">
        <f>DISTRIBUSI!W80</f>
        <v>0</v>
      </c>
      <c r="X79" s="13">
        <f>DISTRIBUSI!X80</f>
        <v>0</v>
      </c>
      <c r="Y79" s="13">
        <f>DISTRIBUSI!Y80</f>
        <v>0</v>
      </c>
      <c r="Z79" s="13">
        <f t="shared" si="2"/>
        <v>0</v>
      </c>
    </row>
    <row r="80" spans="1:26" ht="45" x14ac:dyDescent="0.35">
      <c r="A80" s="59">
        <f t="shared" si="3"/>
        <v>72</v>
      </c>
      <c r="B80" s="142" t="s">
        <v>253</v>
      </c>
      <c r="C80" s="157" t="s">
        <v>327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3">
        <f>APOTIK!G79</f>
        <v>0</v>
      </c>
      <c r="S80" s="13">
        <f>DISTRIBUSI!S81</f>
        <v>0</v>
      </c>
      <c r="T80" s="12"/>
      <c r="U80" s="13">
        <f>DISTRIBUSI!U81</f>
        <v>0</v>
      </c>
      <c r="V80" s="13">
        <f>DISTRIBUSI!V81</f>
        <v>0</v>
      </c>
      <c r="W80" s="13">
        <f>DISTRIBUSI!W81</f>
        <v>0</v>
      </c>
      <c r="X80" s="13">
        <f>DISTRIBUSI!X81</f>
        <v>0</v>
      </c>
      <c r="Y80" s="13">
        <f>DISTRIBUSI!Y81</f>
        <v>0</v>
      </c>
      <c r="Z80" s="13">
        <f t="shared" si="2"/>
        <v>0</v>
      </c>
    </row>
    <row r="81" spans="1:26" ht="45" x14ac:dyDescent="0.35">
      <c r="A81" s="59">
        <f t="shared" si="3"/>
        <v>73</v>
      </c>
      <c r="B81" s="142" t="s">
        <v>62</v>
      </c>
      <c r="C81" s="157" t="s">
        <v>319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3">
        <f>APOTIK!G80</f>
        <v>0</v>
      </c>
      <c r="S81" s="13">
        <f>DISTRIBUSI!S82</f>
        <v>0</v>
      </c>
      <c r="T81" s="12"/>
      <c r="U81" s="13">
        <f>DISTRIBUSI!U82</f>
        <v>0</v>
      </c>
      <c r="V81" s="13">
        <f>DISTRIBUSI!V82</f>
        <v>0</v>
      </c>
      <c r="W81" s="13">
        <f>DISTRIBUSI!W82</f>
        <v>0</v>
      </c>
      <c r="X81" s="13">
        <f>DISTRIBUSI!X82</f>
        <v>0</v>
      </c>
      <c r="Y81" s="13">
        <f>DISTRIBUSI!Y82</f>
        <v>0</v>
      </c>
      <c r="Z81" s="13">
        <f t="shared" si="2"/>
        <v>0</v>
      </c>
    </row>
    <row r="82" spans="1:26" ht="20.149999999999999" customHeight="1" x14ac:dyDescent="0.35">
      <c r="A82" s="59">
        <f t="shared" si="3"/>
        <v>74</v>
      </c>
      <c r="B82" s="142" t="s">
        <v>63</v>
      </c>
      <c r="C82" s="155" t="s">
        <v>348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3">
        <f>APOTIK!G81</f>
        <v>0</v>
      </c>
      <c r="S82" s="13">
        <f>DISTRIBUSI!S83</f>
        <v>0</v>
      </c>
      <c r="T82" s="12"/>
      <c r="U82" s="13">
        <f>DISTRIBUSI!U83</f>
        <v>0</v>
      </c>
      <c r="V82" s="13">
        <f>DISTRIBUSI!V83</f>
        <v>0</v>
      </c>
      <c r="W82" s="13">
        <f>DISTRIBUSI!W83</f>
        <v>0</v>
      </c>
      <c r="X82" s="13">
        <f>DISTRIBUSI!X83</f>
        <v>0</v>
      </c>
      <c r="Y82" s="13">
        <f>DISTRIBUSI!Y83</f>
        <v>0</v>
      </c>
      <c r="Z82" s="13">
        <f t="shared" si="2"/>
        <v>0</v>
      </c>
    </row>
    <row r="83" spans="1:26" ht="20.149999999999999" customHeight="1" x14ac:dyDescent="0.35">
      <c r="A83" s="59">
        <f t="shared" si="3"/>
        <v>75</v>
      </c>
      <c r="B83" s="142" t="s">
        <v>106</v>
      </c>
      <c r="C83" s="165" t="s">
        <v>4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3">
        <f>APOTIK!G82</f>
        <v>0</v>
      </c>
      <c r="S83" s="13">
        <f>DISTRIBUSI!S84</f>
        <v>0</v>
      </c>
      <c r="T83" s="12"/>
      <c r="U83" s="13">
        <f>DISTRIBUSI!U84</f>
        <v>0</v>
      </c>
      <c r="V83" s="13">
        <f>DISTRIBUSI!V84</f>
        <v>0</v>
      </c>
      <c r="W83" s="13">
        <f>DISTRIBUSI!W84</f>
        <v>0</v>
      </c>
      <c r="X83" s="13">
        <f>DISTRIBUSI!X84</f>
        <v>0</v>
      </c>
      <c r="Y83" s="13">
        <f>DISTRIBUSI!Y84</f>
        <v>0</v>
      </c>
      <c r="Z83" s="13">
        <f t="shared" si="2"/>
        <v>0</v>
      </c>
    </row>
    <row r="84" spans="1:26" ht="20.149999999999999" customHeight="1" x14ac:dyDescent="0.35">
      <c r="A84" s="59">
        <f t="shared" si="3"/>
        <v>76</v>
      </c>
      <c r="B84" s="142" t="s">
        <v>65</v>
      </c>
      <c r="C84" s="157" t="s">
        <v>344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3">
        <f>APOTIK!G83</f>
        <v>0</v>
      </c>
      <c r="S84" s="13">
        <f>DISTRIBUSI!S85</f>
        <v>0</v>
      </c>
      <c r="T84" s="12"/>
      <c r="U84" s="13">
        <f>DISTRIBUSI!U85</f>
        <v>0</v>
      </c>
      <c r="V84" s="13">
        <f>DISTRIBUSI!V85</f>
        <v>0</v>
      </c>
      <c r="W84" s="13">
        <f>DISTRIBUSI!W85</f>
        <v>0</v>
      </c>
      <c r="X84" s="13">
        <f>DISTRIBUSI!X85</f>
        <v>0</v>
      </c>
      <c r="Y84" s="13">
        <f>DISTRIBUSI!Y85</f>
        <v>0</v>
      </c>
      <c r="Z84" s="13">
        <f t="shared" si="2"/>
        <v>0</v>
      </c>
    </row>
    <row r="85" spans="1:26" ht="20.149999999999999" customHeight="1" x14ac:dyDescent="0.35">
      <c r="A85" s="59">
        <f t="shared" si="3"/>
        <v>77</v>
      </c>
      <c r="B85" s="142" t="s">
        <v>264</v>
      </c>
      <c r="C85" s="157" t="s">
        <v>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3">
        <f>APOTIK!G84</f>
        <v>0</v>
      </c>
      <c r="S85" s="13">
        <f>DISTRIBUSI!S86</f>
        <v>0</v>
      </c>
      <c r="T85" s="12"/>
      <c r="U85" s="13">
        <f>DISTRIBUSI!U86</f>
        <v>0</v>
      </c>
      <c r="V85" s="13">
        <f>DISTRIBUSI!V86</f>
        <v>0</v>
      </c>
      <c r="W85" s="13">
        <f>DISTRIBUSI!W86</f>
        <v>0</v>
      </c>
      <c r="X85" s="13">
        <f>DISTRIBUSI!X86</f>
        <v>0</v>
      </c>
      <c r="Y85" s="13">
        <f>DISTRIBUSI!Y86</f>
        <v>0</v>
      </c>
      <c r="Z85" s="13">
        <f t="shared" si="2"/>
        <v>0</v>
      </c>
    </row>
    <row r="86" spans="1:26" ht="20.149999999999999" customHeight="1" x14ac:dyDescent="0.35">
      <c r="A86" s="59">
        <f t="shared" si="3"/>
        <v>78</v>
      </c>
      <c r="B86" s="142" t="s">
        <v>66</v>
      </c>
      <c r="C86" s="161" t="s">
        <v>327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3">
        <f>APOTIK!G85</f>
        <v>0</v>
      </c>
      <c r="S86" s="13">
        <f>DISTRIBUSI!S87</f>
        <v>0</v>
      </c>
      <c r="T86" s="12"/>
      <c r="U86" s="13">
        <f>DISTRIBUSI!U87</f>
        <v>0</v>
      </c>
      <c r="V86" s="13">
        <f>DISTRIBUSI!V87</f>
        <v>0</v>
      </c>
      <c r="W86" s="13">
        <f>DISTRIBUSI!W87</f>
        <v>0</v>
      </c>
      <c r="X86" s="13">
        <f>DISTRIBUSI!X87</f>
        <v>0</v>
      </c>
      <c r="Y86" s="13">
        <f>DISTRIBUSI!Y87</f>
        <v>0</v>
      </c>
      <c r="Z86" s="13">
        <f t="shared" si="2"/>
        <v>0</v>
      </c>
    </row>
    <row r="87" spans="1:26" ht="20.149999999999999" customHeight="1" x14ac:dyDescent="0.35">
      <c r="A87" s="59">
        <f t="shared" si="3"/>
        <v>79</v>
      </c>
      <c r="B87" s="142" t="s">
        <v>67</v>
      </c>
      <c r="C87" s="157" t="s">
        <v>327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3">
        <f>APOTIK!G86</f>
        <v>0</v>
      </c>
      <c r="S87" s="13">
        <f>DISTRIBUSI!S88</f>
        <v>0</v>
      </c>
      <c r="T87" s="12"/>
      <c r="U87" s="13">
        <f>DISTRIBUSI!U88</f>
        <v>0</v>
      </c>
      <c r="V87" s="13">
        <f>DISTRIBUSI!V88</f>
        <v>0</v>
      </c>
      <c r="W87" s="13">
        <f>DISTRIBUSI!W88</f>
        <v>0</v>
      </c>
      <c r="X87" s="13">
        <f>DISTRIBUSI!X88</f>
        <v>0</v>
      </c>
      <c r="Y87" s="13">
        <f>DISTRIBUSI!Y88</f>
        <v>0</v>
      </c>
      <c r="Z87" s="13">
        <f t="shared" si="2"/>
        <v>0</v>
      </c>
    </row>
    <row r="88" spans="1:26" ht="20.149999999999999" customHeight="1" x14ac:dyDescent="0.35">
      <c r="A88" s="59">
        <f t="shared" si="3"/>
        <v>80</v>
      </c>
      <c r="B88" s="142" t="s">
        <v>68</v>
      </c>
      <c r="C88" s="157" t="s">
        <v>327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3">
        <f>APOTIK!G87</f>
        <v>0</v>
      </c>
      <c r="S88" s="13">
        <f>DISTRIBUSI!S89</f>
        <v>0</v>
      </c>
      <c r="T88" s="12"/>
      <c r="U88" s="13">
        <f>DISTRIBUSI!U89</f>
        <v>0</v>
      </c>
      <c r="V88" s="13">
        <f>DISTRIBUSI!V89</f>
        <v>0</v>
      </c>
      <c r="W88" s="13">
        <f>DISTRIBUSI!W89</f>
        <v>0</v>
      </c>
      <c r="X88" s="13">
        <f>DISTRIBUSI!X89</f>
        <v>0</v>
      </c>
      <c r="Y88" s="13">
        <f>DISTRIBUSI!Y89</f>
        <v>0</v>
      </c>
      <c r="Z88" s="13">
        <f t="shared" si="2"/>
        <v>0</v>
      </c>
    </row>
    <row r="89" spans="1:26" ht="20.149999999999999" customHeight="1" x14ac:dyDescent="0.35">
      <c r="A89" s="59">
        <f t="shared" si="3"/>
        <v>81</v>
      </c>
      <c r="B89" s="142" t="s">
        <v>69</v>
      </c>
      <c r="C89" s="45" t="s">
        <v>327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3">
        <f>APOTIK!G88</f>
        <v>0</v>
      </c>
      <c r="S89" s="13">
        <f>DISTRIBUSI!S90</f>
        <v>0</v>
      </c>
      <c r="T89" s="12"/>
      <c r="U89" s="13">
        <f>DISTRIBUSI!U90</f>
        <v>0</v>
      </c>
      <c r="V89" s="13">
        <f>DISTRIBUSI!V90</f>
        <v>0</v>
      </c>
      <c r="W89" s="13">
        <f>DISTRIBUSI!W90</f>
        <v>0</v>
      </c>
      <c r="X89" s="13">
        <f>DISTRIBUSI!X90</f>
        <v>0</v>
      </c>
      <c r="Y89" s="13">
        <f>DISTRIBUSI!Y90</f>
        <v>0</v>
      </c>
      <c r="Z89" s="13">
        <f t="shared" si="2"/>
        <v>0</v>
      </c>
    </row>
    <row r="90" spans="1:26" ht="20.149999999999999" customHeight="1" x14ac:dyDescent="0.35">
      <c r="A90" s="59">
        <f t="shared" si="3"/>
        <v>82</v>
      </c>
      <c r="B90" s="142" t="s">
        <v>257</v>
      </c>
      <c r="C90" s="157" t="s">
        <v>48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3">
        <f>APOTIK!G89</f>
        <v>0</v>
      </c>
      <c r="S90" s="13">
        <f>DISTRIBUSI!S91</f>
        <v>0</v>
      </c>
      <c r="T90" s="12"/>
      <c r="U90" s="13">
        <f>DISTRIBUSI!U91</f>
        <v>0</v>
      </c>
      <c r="V90" s="13">
        <f>DISTRIBUSI!V91</f>
        <v>0</v>
      </c>
      <c r="W90" s="13">
        <f>DISTRIBUSI!W91</f>
        <v>0</v>
      </c>
      <c r="X90" s="13">
        <f>DISTRIBUSI!X91</f>
        <v>0</v>
      </c>
      <c r="Y90" s="13">
        <f>DISTRIBUSI!Y91</f>
        <v>0</v>
      </c>
      <c r="Z90" s="13">
        <f t="shared" si="2"/>
        <v>0</v>
      </c>
    </row>
    <row r="91" spans="1:26" ht="20.149999999999999" customHeight="1" x14ac:dyDescent="0.35">
      <c r="A91" s="59">
        <f t="shared" si="3"/>
        <v>83</v>
      </c>
      <c r="B91" s="142" t="s">
        <v>70</v>
      </c>
      <c r="C91" s="160" t="s">
        <v>349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3">
        <f>APOTIK!G90</f>
        <v>0</v>
      </c>
      <c r="S91" s="13">
        <f>DISTRIBUSI!S92</f>
        <v>0</v>
      </c>
      <c r="T91" s="12"/>
      <c r="U91" s="13">
        <f>DISTRIBUSI!U92</f>
        <v>0</v>
      </c>
      <c r="V91" s="13">
        <f>DISTRIBUSI!V92</f>
        <v>0</v>
      </c>
      <c r="W91" s="13">
        <f>DISTRIBUSI!W92</f>
        <v>0</v>
      </c>
      <c r="X91" s="13">
        <f>DISTRIBUSI!X92</f>
        <v>0</v>
      </c>
      <c r="Y91" s="13">
        <f>DISTRIBUSI!Y92</f>
        <v>0</v>
      </c>
      <c r="Z91" s="13">
        <f t="shared" si="2"/>
        <v>0</v>
      </c>
    </row>
    <row r="92" spans="1:26" ht="20.149999999999999" customHeight="1" x14ac:dyDescent="0.35">
      <c r="A92" s="59">
        <f t="shared" si="3"/>
        <v>84</v>
      </c>
      <c r="B92" s="142" t="s">
        <v>72</v>
      </c>
      <c r="C92" s="160" t="s">
        <v>321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3">
        <f>APOTIK!G91</f>
        <v>0</v>
      </c>
      <c r="S92" s="13">
        <f>DISTRIBUSI!S93</f>
        <v>40</v>
      </c>
      <c r="T92" s="12"/>
      <c r="U92" s="13">
        <f>DISTRIBUSI!U93</f>
        <v>0</v>
      </c>
      <c r="V92" s="13">
        <f>DISTRIBUSI!V93</f>
        <v>10</v>
      </c>
      <c r="W92" s="13">
        <f>DISTRIBUSI!W93</f>
        <v>0</v>
      </c>
      <c r="X92" s="13">
        <f>DISTRIBUSI!X93</f>
        <v>0</v>
      </c>
      <c r="Y92" s="13">
        <f>DISTRIBUSI!Y93</f>
        <v>0</v>
      </c>
      <c r="Z92" s="13">
        <f t="shared" si="2"/>
        <v>50</v>
      </c>
    </row>
    <row r="93" spans="1:26" ht="20.149999999999999" customHeight="1" x14ac:dyDescent="0.35">
      <c r="A93" s="59">
        <f t="shared" si="3"/>
        <v>85</v>
      </c>
      <c r="B93" s="142" t="s">
        <v>71</v>
      </c>
      <c r="C93" s="160" t="s">
        <v>340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3">
        <f>APOTIK!G92</f>
        <v>0</v>
      </c>
      <c r="S93" s="13">
        <f>DISTRIBUSI!S94</f>
        <v>0</v>
      </c>
      <c r="T93" s="12"/>
      <c r="U93" s="13">
        <f>DISTRIBUSI!U94</f>
        <v>0</v>
      </c>
      <c r="V93" s="13">
        <f>DISTRIBUSI!V94</f>
        <v>0</v>
      </c>
      <c r="W93" s="13">
        <f>DISTRIBUSI!W94</f>
        <v>0</v>
      </c>
      <c r="X93" s="13">
        <f>DISTRIBUSI!X94</f>
        <v>0</v>
      </c>
      <c r="Y93" s="13">
        <f>DISTRIBUSI!Y94</f>
        <v>0</v>
      </c>
      <c r="Z93" s="13">
        <f t="shared" si="2"/>
        <v>0</v>
      </c>
    </row>
    <row r="94" spans="1:26" ht="20.149999999999999" customHeight="1" x14ac:dyDescent="0.35">
      <c r="A94" s="59">
        <f t="shared" si="3"/>
        <v>86</v>
      </c>
      <c r="B94" s="142" t="s">
        <v>73</v>
      </c>
      <c r="C94" s="159" t="s">
        <v>332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3">
        <f>APOTIK!G93</f>
        <v>0</v>
      </c>
      <c r="S94" s="13">
        <f>DISTRIBUSI!S95</f>
        <v>0</v>
      </c>
      <c r="T94" s="12"/>
      <c r="U94" s="13">
        <f>DISTRIBUSI!U95</f>
        <v>0</v>
      </c>
      <c r="V94" s="13">
        <f>DISTRIBUSI!V95</f>
        <v>0</v>
      </c>
      <c r="W94" s="13">
        <f>DISTRIBUSI!W95</f>
        <v>0</v>
      </c>
      <c r="X94" s="13">
        <f>DISTRIBUSI!X95</f>
        <v>0</v>
      </c>
      <c r="Y94" s="13">
        <f>DISTRIBUSI!Y95</f>
        <v>0</v>
      </c>
      <c r="Z94" s="13">
        <f t="shared" si="2"/>
        <v>0</v>
      </c>
    </row>
    <row r="95" spans="1:26" ht="20.149999999999999" customHeight="1" x14ac:dyDescent="0.35">
      <c r="A95" s="59">
        <f t="shared" si="3"/>
        <v>87</v>
      </c>
      <c r="B95" s="142" t="s">
        <v>74</v>
      </c>
      <c r="C95" s="157" t="s">
        <v>327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3">
        <f>APOTIK!G94</f>
        <v>0</v>
      </c>
      <c r="S95" s="13">
        <f>DISTRIBUSI!S96</f>
        <v>0</v>
      </c>
      <c r="T95" s="12"/>
      <c r="U95" s="13">
        <f>DISTRIBUSI!U96</f>
        <v>0</v>
      </c>
      <c r="V95" s="13">
        <f>DISTRIBUSI!V96</f>
        <v>0</v>
      </c>
      <c r="W95" s="13">
        <f>DISTRIBUSI!W96</f>
        <v>0</v>
      </c>
      <c r="X95" s="13">
        <f>DISTRIBUSI!X96</f>
        <v>0</v>
      </c>
      <c r="Y95" s="13">
        <f>DISTRIBUSI!Y96</f>
        <v>0</v>
      </c>
      <c r="Z95" s="13">
        <f t="shared" si="2"/>
        <v>0</v>
      </c>
    </row>
    <row r="96" spans="1:26" ht="20.149999999999999" customHeight="1" x14ac:dyDescent="0.35">
      <c r="A96" s="59">
        <f t="shared" si="3"/>
        <v>88</v>
      </c>
      <c r="B96" s="142" t="s">
        <v>75</v>
      </c>
      <c r="C96" s="166" t="s">
        <v>327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3">
        <f>APOTIK!G95</f>
        <v>0</v>
      </c>
      <c r="S96" s="13">
        <f>DISTRIBUSI!S97</f>
        <v>0</v>
      </c>
      <c r="T96" s="12"/>
      <c r="U96" s="13">
        <f>DISTRIBUSI!U97</f>
        <v>0</v>
      </c>
      <c r="V96" s="13">
        <f>DISTRIBUSI!V97</f>
        <v>0</v>
      </c>
      <c r="W96" s="13">
        <f>DISTRIBUSI!W97</f>
        <v>0</v>
      </c>
      <c r="X96" s="13">
        <f>DISTRIBUSI!X97</f>
        <v>0</v>
      </c>
      <c r="Y96" s="13">
        <f>DISTRIBUSI!Y97</f>
        <v>0</v>
      </c>
      <c r="Z96" s="13">
        <f t="shared" si="2"/>
        <v>0</v>
      </c>
    </row>
    <row r="97" spans="1:26" ht="20.149999999999999" customHeight="1" x14ac:dyDescent="0.35">
      <c r="A97" s="59">
        <f t="shared" si="3"/>
        <v>89</v>
      </c>
      <c r="B97" s="142" t="s">
        <v>281</v>
      </c>
      <c r="C97" s="154" t="s">
        <v>188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3">
        <f>APOTIK!G96</f>
        <v>0</v>
      </c>
      <c r="S97" s="13">
        <f>DISTRIBUSI!S98</f>
        <v>0</v>
      </c>
      <c r="T97" s="12"/>
      <c r="U97" s="13">
        <f>DISTRIBUSI!U98</f>
        <v>0</v>
      </c>
      <c r="V97" s="13">
        <f>DISTRIBUSI!V98</f>
        <v>0</v>
      </c>
      <c r="W97" s="13">
        <f>DISTRIBUSI!W98</f>
        <v>0</v>
      </c>
      <c r="X97" s="13">
        <f>DISTRIBUSI!X98</f>
        <v>0</v>
      </c>
      <c r="Y97" s="13">
        <f>DISTRIBUSI!Y98</f>
        <v>0</v>
      </c>
      <c r="Z97" s="13">
        <f t="shared" si="2"/>
        <v>0</v>
      </c>
    </row>
    <row r="98" spans="1:26" ht="20.149999999999999" customHeight="1" x14ac:dyDescent="0.35">
      <c r="A98" s="59">
        <f t="shared" si="3"/>
        <v>90</v>
      </c>
      <c r="B98" s="142" t="s">
        <v>76</v>
      </c>
      <c r="C98" s="154" t="s">
        <v>4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3">
        <f>APOTIK!G97</f>
        <v>0</v>
      </c>
      <c r="S98" s="13">
        <f>DISTRIBUSI!S99</f>
        <v>0</v>
      </c>
      <c r="T98" s="12"/>
      <c r="U98" s="13">
        <f>DISTRIBUSI!U99</f>
        <v>0</v>
      </c>
      <c r="V98" s="13">
        <f>DISTRIBUSI!V99</f>
        <v>0</v>
      </c>
      <c r="W98" s="13">
        <f>DISTRIBUSI!W99</f>
        <v>0</v>
      </c>
      <c r="X98" s="13">
        <f>DISTRIBUSI!X99</f>
        <v>0</v>
      </c>
      <c r="Y98" s="13">
        <f>DISTRIBUSI!Y99</f>
        <v>0</v>
      </c>
      <c r="Z98" s="13">
        <f t="shared" si="2"/>
        <v>0</v>
      </c>
    </row>
    <row r="99" spans="1:26" ht="20.149999999999999" customHeight="1" x14ac:dyDescent="0.35">
      <c r="A99" s="59">
        <f t="shared" si="3"/>
        <v>91</v>
      </c>
      <c r="B99" s="142" t="s">
        <v>77</v>
      </c>
      <c r="C99" s="154" t="s">
        <v>64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3">
        <f>APOTIK!G98</f>
        <v>0</v>
      </c>
      <c r="S99" s="13">
        <f>DISTRIBUSI!S100</f>
        <v>0</v>
      </c>
      <c r="T99" s="12"/>
      <c r="U99" s="13">
        <f>DISTRIBUSI!U100</f>
        <v>0</v>
      </c>
      <c r="V99" s="13">
        <f>DISTRIBUSI!V100</f>
        <v>0</v>
      </c>
      <c r="W99" s="13">
        <f>DISTRIBUSI!W100</f>
        <v>0</v>
      </c>
      <c r="X99" s="13">
        <f>DISTRIBUSI!X100</f>
        <v>0</v>
      </c>
      <c r="Y99" s="13">
        <f>DISTRIBUSI!Y100</f>
        <v>0</v>
      </c>
      <c r="Z99" s="13">
        <f t="shared" si="2"/>
        <v>0</v>
      </c>
    </row>
    <row r="100" spans="1:26" ht="20.149999999999999" customHeight="1" x14ac:dyDescent="0.35">
      <c r="A100" s="59">
        <f t="shared" si="3"/>
        <v>92</v>
      </c>
      <c r="B100" s="142" t="s">
        <v>78</v>
      </c>
      <c r="C100" s="157" t="s">
        <v>345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3">
        <f>APOTIK!G99</f>
        <v>0</v>
      </c>
      <c r="S100" s="13">
        <f>DISTRIBUSI!S101</f>
        <v>0</v>
      </c>
      <c r="T100" s="12"/>
      <c r="U100" s="13">
        <f>DISTRIBUSI!U101</f>
        <v>0</v>
      </c>
      <c r="V100" s="13">
        <f>DISTRIBUSI!V101</f>
        <v>0</v>
      </c>
      <c r="W100" s="13">
        <f>DISTRIBUSI!W101</f>
        <v>0</v>
      </c>
      <c r="X100" s="13">
        <f>DISTRIBUSI!X101</f>
        <v>0</v>
      </c>
      <c r="Y100" s="13">
        <f>DISTRIBUSI!Y101</f>
        <v>0</v>
      </c>
      <c r="Z100" s="13">
        <f t="shared" si="2"/>
        <v>0</v>
      </c>
    </row>
    <row r="101" spans="1:26" ht="20.149999999999999" customHeight="1" x14ac:dyDescent="0.5">
      <c r="A101" s="59">
        <f t="shared" si="3"/>
        <v>93</v>
      </c>
      <c r="B101" s="142" t="s">
        <v>79</v>
      </c>
      <c r="C101" s="167" t="s">
        <v>4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3">
        <f>APOTIK!G100</f>
        <v>0</v>
      </c>
      <c r="S101" s="13">
        <f>DISTRIBUSI!S102</f>
        <v>0</v>
      </c>
      <c r="T101" s="12"/>
      <c r="U101" s="13">
        <f>DISTRIBUSI!U102</f>
        <v>0</v>
      </c>
      <c r="V101" s="13">
        <f>DISTRIBUSI!V102</f>
        <v>0</v>
      </c>
      <c r="W101" s="13">
        <f>DISTRIBUSI!W102</f>
        <v>0</v>
      </c>
      <c r="X101" s="13">
        <f>DISTRIBUSI!X102</f>
        <v>0</v>
      </c>
      <c r="Y101" s="13">
        <f>DISTRIBUSI!Y102</f>
        <v>0</v>
      </c>
      <c r="Z101" s="13">
        <f t="shared" si="2"/>
        <v>0</v>
      </c>
    </row>
    <row r="102" spans="1:26" ht="20.149999999999999" customHeight="1" x14ac:dyDescent="0.35">
      <c r="A102" s="59">
        <f t="shared" si="3"/>
        <v>94</v>
      </c>
      <c r="B102" s="142" t="s">
        <v>80</v>
      </c>
      <c r="C102" s="157" t="s">
        <v>350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3">
        <f>APOTIK!G101</f>
        <v>0</v>
      </c>
      <c r="S102" s="13">
        <f>DISTRIBUSI!S103</f>
        <v>0</v>
      </c>
      <c r="T102" s="12"/>
      <c r="U102" s="13">
        <f>DISTRIBUSI!U103</f>
        <v>0</v>
      </c>
      <c r="V102" s="13">
        <f>DISTRIBUSI!V103</f>
        <v>0</v>
      </c>
      <c r="W102" s="13">
        <f>DISTRIBUSI!W103</f>
        <v>0</v>
      </c>
      <c r="X102" s="13">
        <f>DISTRIBUSI!X103</f>
        <v>0</v>
      </c>
      <c r="Y102" s="13">
        <f>DISTRIBUSI!Y103</f>
        <v>0</v>
      </c>
      <c r="Z102" s="13">
        <f t="shared" si="2"/>
        <v>0</v>
      </c>
    </row>
    <row r="103" spans="1:26" ht="20.149999999999999" customHeight="1" x14ac:dyDescent="0.35">
      <c r="A103" s="59">
        <f t="shared" si="3"/>
        <v>95</v>
      </c>
      <c r="B103" s="142" t="s">
        <v>263</v>
      </c>
      <c r="C103" s="168" t="s">
        <v>48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3">
        <f>APOTIK!G102</f>
        <v>0</v>
      </c>
      <c r="S103" s="13">
        <f>DISTRIBUSI!S104</f>
        <v>0</v>
      </c>
      <c r="T103" s="12"/>
      <c r="U103" s="13">
        <f>DISTRIBUSI!U104</f>
        <v>0</v>
      </c>
      <c r="V103" s="13">
        <f>DISTRIBUSI!V104</f>
        <v>0</v>
      </c>
      <c r="W103" s="13">
        <f>DISTRIBUSI!W104</f>
        <v>0</v>
      </c>
      <c r="X103" s="13">
        <f>DISTRIBUSI!X104</f>
        <v>0</v>
      </c>
      <c r="Y103" s="13">
        <f>DISTRIBUSI!Y104</f>
        <v>0</v>
      </c>
      <c r="Z103" s="13">
        <f t="shared" si="2"/>
        <v>0</v>
      </c>
    </row>
    <row r="104" spans="1:26" ht="20.149999999999999" customHeight="1" x14ac:dyDescent="0.35">
      <c r="A104" s="59">
        <f t="shared" si="3"/>
        <v>96</v>
      </c>
      <c r="B104" s="142" t="s">
        <v>81</v>
      </c>
      <c r="C104" s="157" t="s">
        <v>48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3">
        <f>APOTIK!G103</f>
        <v>0</v>
      </c>
      <c r="S104" s="13">
        <f>DISTRIBUSI!S105</f>
        <v>0</v>
      </c>
      <c r="T104" s="12"/>
      <c r="U104" s="13">
        <f>DISTRIBUSI!U105</f>
        <v>0</v>
      </c>
      <c r="V104" s="13">
        <f>DISTRIBUSI!V105</f>
        <v>0</v>
      </c>
      <c r="W104" s="13">
        <f>DISTRIBUSI!W105</f>
        <v>0</v>
      </c>
      <c r="X104" s="13">
        <f>DISTRIBUSI!X105</f>
        <v>0</v>
      </c>
      <c r="Y104" s="13">
        <f>DISTRIBUSI!Y105</f>
        <v>0</v>
      </c>
      <c r="Z104" s="13">
        <f t="shared" si="2"/>
        <v>0</v>
      </c>
    </row>
    <row r="105" spans="1:26" ht="20.149999999999999" customHeight="1" x14ac:dyDescent="0.35">
      <c r="A105" s="59">
        <f t="shared" si="3"/>
        <v>97</v>
      </c>
      <c r="B105" s="142" t="s">
        <v>82</v>
      </c>
      <c r="C105" s="154" t="s">
        <v>327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3">
        <f>APOTIK!G104</f>
        <v>0</v>
      </c>
      <c r="S105" s="13">
        <f>DISTRIBUSI!S106</f>
        <v>0</v>
      </c>
      <c r="T105" s="12"/>
      <c r="U105" s="13">
        <f>DISTRIBUSI!U106</f>
        <v>0</v>
      </c>
      <c r="V105" s="13">
        <f>DISTRIBUSI!V106</f>
        <v>0</v>
      </c>
      <c r="W105" s="13">
        <f>DISTRIBUSI!W106</f>
        <v>0</v>
      </c>
      <c r="X105" s="13">
        <f>DISTRIBUSI!X106</f>
        <v>0</v>
      </c>
      <c r="Y105" s="13">
        <f>DISTRIBUSI!Y106</f>
        <v>0</v>
      </c>
      <c r="Z105" s="13">
        <f t="shared" si="2"/>
        <v>0</v>
      </c>
    </row>
    <row r="106" spans="1:26" ht="20.149999999999999" customHeight="1" x14ac:dyDescent="0.35">
      <c r="A106" s="59">
        <f t="shared" si="3"/>
        <v>98</v>
      </c>
      <c r="B106" s="142" t="s">
        <v>83</v>
      </c>
      <c r="C106" s="154" t="s">
        <v>188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3">
        <f>APOTIK!G105</f>
        <v>0</v>
      </c>
      <c r="S106" s="13">
        <f>DISTRIBUSI!S107</f>
        <v>0</v>
      </c>
      <c r="T106" s="12"/>
      <c r="U106" s="13">
        <f>DISTRIBUSI!U107</f>
        <v>0</v>
      </c>
      <c r="V106" s="13">
        <f>DISTRIBUSI!V107</f>
        <v>0</v>
      </c>
      <c r="W106" s="13">
        <f>DISTRIBUSI!W107</f>
        <v>0</v>
      </c>
      <c r="X106" s="13">
        <f>DISTRIBUSI!X107</f>
        <v>0</v>
      </c>
      <c r="Y106" s="13">
        <f>DISTRIBUSI!Y107</f>
        <v>0</v>
      </c>
      <c r="Z106" s="13">
        <f t="shared" si="2"/>
        <v>0</v>
      </c>
    </row>
    <row r="107" spans="1:26" ht="18" x14ac:dyDescent="0.35">
      <c r="A107" s="59">
        <f t="shared" si="3"/>
        <v>99</v>
      </c>
      <c r="B107" s="142" t="s">
        <v>84</v>
      </c>
      <c r="C107" s="157" t="s">
        <v>188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3">
        <f>APOTIK!G106</f>
        <v>0</v>
      </c>
      <c r="S107" s="13">
        <f>DISTRIBUSI!S108</f>
        <v>0</v>
      </c>
      <c r="T107" s="12"/>
      <c r="U107" s="13">
        <f>DISTRIBUSI!U108</f>
        <v>0</v>
      </c>
      <c r="V107" s="13">
        <f>DISTRIBUSI!V108</f>
        <v>0</v>
      </c>
      <c r="W107" s="13">
        <f>DISTRIBUSI!W108</f>
        <v>0</v>
      </c>
      <c r="X107" s="13">
        <f>DISTRIBUSI!X108</f>
        <v>0</v>
      </c>
      <c r="Y107" s="13">
        <f>DISTRIBUSI!Y108</f>
        <v>0</v>
      </c>
      <c r="Z107" s="13">
        <f t="shared" si="2"/>
        <v>0</v>
      </c>
    </row>
    <row r="108" spans="1:26" ht="20.149999999999999" customHeight="1" x14ac:dyDescent="0.35">
      <c r="A108" s="59">
        <f t="shared" si="3"/>
        <v>100</v>
      </c>
      <c r="B108" s="142" t="s">
        <v>85</v>
      </c>
      <c r="C108" s="154" t="s">
        <v>327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3">
        <f>APOTIK!G107</f>
        <v>0</v>
      </c>
      <c r="S108" s="13">
        <f>DISTRIBUSI!S109</f>
        <v>0</v>
      </c>
      <c r="T108" s="12"/>
      <c r="U108" s="13">
        <f>DISTRIBUSI!U109</f>
        <v>0</v>
      </c>
      <c r="V108" s="13">
        <f>DISTRIBUSI!V109</f>
        <v>0</v>
      </c>
      <c r="W108" s="13">
        <f>DISTRIBUSI!W109</f>
        <v>0</v>
      </c>
      <c r="X108" s="13">
        <f>DISTRIBUSI!X109</f>
        <v>0</v>
      </c>
      <c r="Y108" s="13">
        <f>DISTRIBUSI!Y109</f>
        <v>0</v>
      </c>
      <c r="Z108" s="13">
        <f t="shared" si="2"/>
        <v>0</v>
      </c>
    </row>
    <row r="109" spans="1:26" ht="20.149999999999999" customHeight="1" x14ac:dyDescent="0.35">
      <c r="A109" s="59">
        <f t="shared" si="3"/>
        <v>101</v>
      </c>
      <c r="B109" s="142" t="s">
        <v>86</v>
      </c>
      <c r="C109" s="157" t="s">
        <v>327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3">
        <f>APOTIK!G108</f>
        <v>0</v>
      </c>
      <c r="S109" s="13">
        <f>DISTRIBUSI!S110</f>
        <v>0</v>
      </c>
      <c r="T109" s="12"/>
      <c r="U109" s="13">
        <f>DISTRIBUSI!U110</f>
        <v>0</v>
      </c>
      <c r="V109" s="13">
        <f>DISTRIBUSI!V110</f>
        <v>0</v>
      </c>
      <c r="W109" s="13">
        <f>DISTRIBUSI!W110</f>
        <v>0</v>
      </c>
      <c r="X109" s="13">
        <f>DISTRIBUSI!X110</f>
        <v>0</v>
      </c>
      <c r="Y109" s="13">
        <f>DISTRIBUSI!Y110</f>
        <v>0</v>
      </c>
      <c r="Z109" s="13">
        <f t="shared" si="2"/>
        <v>0</v>
      </c>
    </row>
    <row r="110" spans="1:26" ht="20.149999999999999" customHeight="1" x14ac:dyDescent="0.35">
      <c r="A110" s="59">
        <f t="shared" si="3"/>
        <v>102</v>
      </c>
      <c r="B110" s="142" t="s">
        <v>87</v>
      </c>
      <c r="C110" s="168" t="s">
        <v>327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3">
        <f>APOTIK!G109</f>
        <v>0</v>
      </c>
      <c r="S110" s="13">
        <f>DISTRIBUSI!S111</f>
        <v>0</v>
      </c>
      <c r="T110" s="12"/>
      <c r="U110" s="13">
        <f>DISTRIBUSI!U111</f>
        <v>0</v>
      </c>
      <c r="V110" s="13">
        <f>DISTRIBUSI!V111</f>
        <v>0</v>
      </c>
      <c r="W110" s="13">
        <f>DISTRIBUSI!W111</f>
        <v>0</v>
      </c>
      <c r="X110" s="13">
        <f>DISTRIBUSI!X111</f>
        <v>0</v>
      </c>
      <c r="Y110" s="13">
        <f>DISTRIBUSI!Y111</f>
        <v>0</v>
      </c>
      <c r="Z110" s="13">
        <f t="shared" si="2"/>
        <v>0</v>
      </c>
    </row>
    <row r="111" spans="1:26" ht="20.149999999999999" customHeight="1" x14ac:dyDescent="0.35">
      <c r="A111" s="59">
        <f t="shared" si="3"/>
        <v>103</v>
      </c>
      <c r="B111" s="142" t="s">
        <v>88</v>
      </c>
      <c r="C111" s="161" t="s">
        <v>327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3">
        <f>APOTIK!G110</f>
        <v>0</v>
      </c>
      <c r="S111" s="13">
        <f>DISTRIBUSI!S112</f>
        <v>0</v>
      </c>
      <c r="T111" s="12"/>
      <c r="U111" s="13">
        <f>DISTRIBUSI!U112</f>
        <v>0</v>
      </c>
      <c r="V111" s="13">
        <f>DISTRIBUSI!V112</f>
        <v>0</v>
      </c>
      <c r="W111" s="13">
        <f>DISTRIBUSI!W112</f>
        <v>0</v>
      </c>
      <c r="X111" s="13">
        <f>DISTRIBUSI!X112</f>
        <v>0</v>
      </c>
      <c r="Y111" s="13">
        <f>DISTRIBUSI!Y112</f>
        <v>0</v>
      </c>
      <c r="Z111" s="13">
        <f t="shared" si="2"/>
        <v>0</v>
      </c>
    </row>
    <row r="112" spans="1:26" ht="36" x14ac:dyDescent="0.35">
      <c r="A112" s="59">
        <f t="shared" si="3"/>
        <v>104</v>
      </c>
      <c r="B112" s="142" t="s">
        <v>89</v>
      </c>
      <c r="C112" s="155" t="s">
        <v>327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3">
        <f>APOTIK!G111</f>
        <v>0</v>
      </c>
      <c r="S112" s="13">
        <f>DISTRIBUSI!S113</f>
        <v>0</v>
      </c>
      <c r="T112" s="12"/>
      <c r="U112" s="13">
        <f>DISTRIBUSI!U113</f>
        <v>0</v>
      </c>
      <c r="V112" s="13">
        <f>DISTRIBUSI!V113</f>
        <v>0</v>
      </c>
      <c r="W112" s="13">
        <f>DISTRIBUSI!W113</f>
        <v>0</v>
      </c>
      <c r="X112" s="13">
        <f>DISTRIBUSI!X113</f>
        <v>0</v>
      </c>
      <c r="Y112" s="13">
        <f>DISTRIBUSI!Y113</f>
        <v>0</v>
      </c>
      <c r="Z112" s="13">
        <f t="shared" si="2"/>
        <v>0</v>
      </c>
    </row>
    <row r="113" spans="1:26" ht="20.149999999999999" customHeight="1" x14ac:dyDescent="0.35">
      <c r="A113" s="59">
        <f t="shared" si="3"/>
        <v>105</v>
      </c>
      <c r="B113" s="142" t="s">
        <v>90</v>
      </c>
      <c r="C113" s="154" t="s">
        <v>322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3">
        <f>APOTIK!G112</f>
        <v>0</v>
      </c>
      <c r="S113" s="13">
        <f>DISTRIBUSI!S114</f>
        <v>20</v>
      </c>
      <c r="T113" s="12"/>
      <c r="U113" s="13">
        <f>DISTRIBUSI!U114</f>
        <v>0</v>
      </c>
      <c r="V113" s="13">
        <f>DISTRIBUSI!V114</f>
        <v>20</v>
      </c>
      <c r="W113" s="13">
        <f>DISTRIBUSI!W114</f>
        <v>0</v>
      </c>
      <c r="X113" s="13">
        <f>DISTRIBUSI!X114</f>
        <v>0</v>
      </c>
      <c r="Y113" s="13">
        <f>DISTRIBUSI!Y114</f>
        <v>0</v>
      </c>
      <c r="Z113" s="13">
        <f t="shared" si="2"/>
        <v>40</v>
      </c>
    </row>
    <row r="114" spans="1:26" ht="16.5" x14ac:dyDescent="0.35">
      <c r="A114" s="59">
        <f t="shared" si="3"/>
        <v>106</v>
      </c>
      <c r="B114" s="142" t="s">
        <v>417</v>
      </c>
      <c r="C114" s="121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3">
        <f>APOTIK!G113</f>
        <v>0</v>
      </c>
      <c r="S114" s="13">
        <f>DISTRIBUSI!S115</f>
        <v>0</v>
      </c>
      <c r="T114" s="12"/>
      <c r="U114" s="13">
        <f>DISTRIBUSI!U115</f>
        <v>0</v>
      </c>
      <c r="V114" s="13">
        <f>DISTRIBUSI!V115</f>
        <v>0</v>
      </c>
      <c r="W114" s="13">
        <f>DISTRIBUSI!W115</f>
        <v>0</v>
      </c>
      <c r="X114" s="13">
        <f>DISTRIBUSI!X115</f>
        <v>0</v>
      </c>
      <c r="Y114" s="13">
        <f>DISTRIBUSI!Y115</f>
        <v>0</v>
      </c>
      <c r="Z114" s="13">
        <f t="shared" si="2"/>
        <v>0</v>
      </c>
    </row>
    <row r="115" spans="1:26" ht="20.149999999999999" customHeight="1" x14ac:dyDescent="0.35">
      <c r="A115" s="59">
        <f t="shared" si="3"/>
        <v>107</v>
      </c>
      <c r="B115" s="142" t="s">
        <v>325</v>
      </c>
      <c r="C115" s="155" t="s">
        <v>4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3">
        <f>APOTIK!G114</f>
        <v>0</v>
      </c>
      <c r="S115" s="13">
        <f>DISTRIBUSI!S116</f>
        <v>10</v>
      </c>
      <c r="T115" s="12"/>
      <c r="U115" s="13">
        <f>DISTRIBUSI!U116</f>
        <v>0</v>
      </c>
      <c r="V115" s="13">
        <f>DISTRIBUSI!V116</f>
        <v>0</v>
      </c>
      <c r="W115" s="13">
        <f>DISTRIBUSI!W116</f>
        <v>0</v>
      </c>
      <c r="X115" s="13">
        <f>DISTRIBUSI!X116</f>
        <v>0</v>
      </c>
      <c r="Y115" s="13">
        <f>DISTRIBUSI!Y116</f>
        <v>0</v>
      </c>
      <c r="Z115" s="13">
        <f t="shared" si="2"/>
        <v>10</v>
      </c>
    </row>
    <row r="116" spans="1:26" ht="20.149999999999999" customHeight="1" x14ac:dyDescent="0.35">
      <c r="A116" s="59">
        <f t="shared" si="3"/>
        <v>108</v>
      </c>
      <c r="B116" s="142" t="s">
        <v>91</v>
      </c>
      <c r="C116" s="159" t="s">
        <v>327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3">
        <f>APOTIK!G115</f>
        <v>0</v>
      </c>
      <c r="S116" s="13">
        <f>DISTRIBUSI!S117</f>
        <v>0</v>
      </c>
      <c r="T116" s="12"/>
      <c r="U116" s="13">
        <f>DISTRIBUSI!U117</f>
        <v>0</v>
      </c>
      <c r="V116" s="13">
        <f>DISTRIBUSI!V117</f>
        <v>0</v>
      </c>
      <c r="W116" s="13">
        <f>DISTRIBUSI!W117</f>
        <v>0</v>
      </c>
      <c r="X116" s="13">
        <f>DISTRIBUSI!X117</f>
        <v>0</v>
      </c>
      <c r="Y116" s="13">
        <f>DISTRIBUSI!Y117</f>
        <v>0</v>
      </c>
      <c r="Z116" s="13">
        <f t="shared" si="2"/>
        <v>0</v>
      </c>
    </row>
    <row r="117" spans="1:26" ht="20.149999999999999" customHeight="1" x14ac:dyDescent="0.35">
      <c r="A117" s="59">
        <f t="shared" si="3"/>
        <v>109</v>
      </c>
      <c r="B117" s="142" t="s">
        <v>92</v>
      </c>
      <c r="C117" s="165" t="s">
        <v>351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3">
        <f>APOTIK!G116</f>
        <v>0</v>
      </c>
      <c r="S117" s="13">
        <f>DISTRIBUSI!S118</f>
        <v>0</v>
      </c>
      <c r="T117" s="12"/>
      <c r="U117" s="13">
        <f>DISTRIBUSI!U118</f>
        <v>0</v>
      </c>
      <c r="V117" s="13">
        <f>DISTRIBUSI!V118</f>
        <v>0</v>
      </c>
      <c r="W117" s="13">
        <f>DISTRIBUSI!W118</f>
        <v>0</v>
      </c>
      <c r="X117" s="13">
        <f>DISTRIBUSI!X118</f>
        <v>0</v>
      </c>
      <c r="Y117" s="13">
        <f>DISTRIBUSI!Y118</f>
        <v>0</v>
      </c>
      <c r="Z117" s="13">
        <f t="shared" si="2"/>
        <v>0</v>
      </c>
    </row>
    <row r="118" spans="1:26" ht="20.149999999999999" customHeight="1" x14ac:dyDescent="0.35">
      <c r="A118" s="59">
        <f t="shared" si="3"/>
        <v>110</v>
      </c>
      <c r="B118" s="142" t="s">
        <v>93</v>
      </c>
      <c r="C118" s="155" t="s">
        <v>327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3">
        <f>APOTIK!G117</f>
        <v>0</v>
      </c>
      <c r="S118" s="13">
        <f>DISTRIBUSI!S119</f>
        <v>0</v>
      </c>
      <c r="T118" s="12"/>
      <c r="U118" s="13">
        <f>DISTRIBUSI!U119</f>
        <v>0</v>
      </c>
      <c r="V118" s="13">
        <f>DISTRIBUSI!V119</f>
        <v>0</v>
      </c>
      <c r="W118" s="13">
        <f>DISTRIBUSI!W119</f>
        <v>0</v>
      </c>
      <c r="X118" s="13">
        <f>DISTRIBUSI!X119</f>
        <v>0</v>
      </c>
      <c r="Y118" s="13">
        <f>DISTRIBUSI!Y119</f>
        <v>0</v>
      </c>
      <c r="Z118" s="13">
        <f t="shared" si="2"/>
        <v>0</v>
      </c>
    </row>
    <row r="119" spans="1:26" ht="20.149999999999999" customHeight="1" x14ac:dyDescent="0.35">
      <c r="A119" s="59">
        <f t="shared" si="3"/>
        <v>111</v>
      </c>
      <c r="B119" s="142" t="s">
        <v>94</v>
      </c>
      <c r="C119" s="169" t="s">
        <v>64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3">
        <f>APOTIK!G118</f>
        <v>0</v>
      </c>
      <c r="S119" s="13">
        <f>DISTRIBUSI!S120</f>
        <v>0</v>
      </c>
      <c r="T119" s="12"/>
      <c r="U119" s="13">
        <f>DISTRIBUSI!U120</f>
        <v>0</v>
      </c>
      <c r="V119" s="13">
        <f>DISTRIBUSI!V120</f>
        <v>0</v>
      </c>
      <c r="W119" s="13">
        <f>DISTRIBUSI!W120</f>
        <v>0</v>
      </c>
      <c r="X119" s="13">
        <f>DISTRIBUSI!X120</f>
        <v>0</v>
      </c>
      <c r="Y119" s="13">
        <f>DISTRIBUSI!Y120</f>
        <v>0</v>
      </c>
      <c r="Z119" s="13">
        <f t="shared" si="2"/>
        <v>0</v>
      </c>
    </row>
    <row r="120" spans="1:26" ht="20.149999999999999" customHeight="1" x14ac:dyDescent="0.35">
      <c r="A120" s="59">
        <f t="shared" si="3"/>
        <v>112</v>
      </c>
      <c r="B120" s="142" t="s">
        <v>95</v>
      </c>
      <c r="C120" s="169" t="s">
        <v>48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3">
        <f>APOTIK!G119</f>
        <v>0</v>
      </c>
      <c r="S120" s="13">
        <f>DISTRIBUSI!S121</f>
        <v>0</v>
      </c>
      <c r="T120" s="12"/>
      <c r="U120" s="13">
        <f>DISTRIBUSI!U121</f>
        <v>0</v>
      </c>
      <c r="V120" s="13">
        <f>DISTRIBUSI!V121</f>
        <v>0</v>
      </c>
      <c r="W120" s="13">
        <f>DISTRIBUSI!W121</f>
        <v>0</v>
      </c>
      <c r="X120" s="13">
        <f>DISTRIBUSI!X121</f>
        <v>0</v>
      </c>
      <c r="Y120" s="13">
        <f>DISTRIBUSI!Y121</f>
        <v>0</v>
      </c>
      <c r="Z120" s="13">
        <f t="shared" si="2"/>
        <v>0</v>
      </c>
    </row>
    <row r="121" spans="1:26" ht="36" x14ac:dyDescent="0.35">
      <c r="A121" s="59">
        <f t="shared" si="3"/>
        <v>113</v>
      </c>
      <c r="B121" s="142" t="s">
        <v>96</v>
      </c>
      <c r="C121" s="157" t="s">
        <v>327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3">
        <f>APOTIK!G120</f>
        <v>0</v>
      </c>
      <c r="S121" s="13">
        <f>DISTRIBUSI!S122</f>
        <v>0</v>
      </c>
      <c r="T121" s="12"/>
      <c r="U121" s="13">
        <f>DISTRIBUSI!U122</f>
        <v>0</v>
      </c>
      <c r="V121" s="13">
        <f>DISTRIBUSI!V122</f>
        <v>0</v>
      </c>
      <c r="W121" s="13">
        <f>DISTRIBUSI!W122</f>
        <v>0</v>
      </c>
      <c r="X121" s="13">
        <f>DISTRIBUSI!X122</f>
        <v>0</v>
      </c>
      <c r="Y121" s="13">
        <f>DISTRIBUSI!Y122</f>
        <v>0</v>
      </c>
      <c r="Z121" s="13">
        <f t="shared" si="2"/>
        <v>0</v>
      </c>
    </row>
    <row r="122" spans="1:26" ht="20.149999999999999" customHeight="1" x14ac:dyDescent="0.35">
      <c r="A122" s="59">
        <f t="shared" si="3"/>
        <v>114</v>
      </c>
      <c r="B122" s="142" t="s">
        <v>97</v>
      </c>
      <c r="C122" s="154" t="s">
        <v>4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3">
        <f>APOTIK!G121</f>
        <v>0</v>
      </c>
      <c r="S122" s="13">
        <f>DISTRIBUSI!S123</f>
        <v>0</v>
      </c>
      <c r="T122" s="12"/>
      <c r="U122" s="13">
        <f>DISTRIBUSI!U123</f>
        <v>0</v>
      </c>
      <c r="V122" s="13">
        <f>DISTRIBUSI!V123</f>
        <v>0</v>
      </c>
      <c r="W122" s="13">
        <f>DISTRIBUSI!W123</f>
        <v>0</v>
      </c>
      <c r="X122" s="13">
        <f>DISTRIBUSI!X123</f>
        <v>0</v>
      </c>
      <c r="Y122" s="13">
        <f>DISTRIBUSI!Y123</f>
        <v>0</v>
      </c>
      <c r="Z122" s="13">
        <f t="shared" si="2"/>
        <v>0</v>
      </c>
    </row>
    <row r="123" spans="1:26" ht="36" x14ac:dyDescent="0.35">
      <c r="A123" s="59">
        <f t="shared" si="3"/>
        <v>115</v>
      </c>
      <c r="B123" s="142" t="s">
        <v>98</v>
      </c>
      <c r="C123" s="154" t="s">
        <v>327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3">
        <f>APOTIK!G122</f>
        <v>0</v>
      </c>
      <c r="S123" s="13">
        <f>DISTRIBUSI!S124</f>
        <v>0</v>
      </c>
      <c r="T123" s="12"/>
      <c r="U123" s="13">
        <f>DISTRIBUSI!U124</f>
        <v>0</v>
      </c>
      <c r="V123" s="13">
        <f>DISTRIBUSI!V124</f>
        <v>0</v>
      </c>
      <c r="W123" s="13">
        <f>DISTRIBUSI!W124</f>
        <v>0</v>
      </c>
      <c r="X123" s="13">
        <f>DISTRIBUSI!X124</f>
        <v>0</v>
      </c>
      <c r="Y123" s="13">
        <f>DISTRIBUSI!Y124</f>
        <v>0</v>
      </c>
      <c r="Z123" s="13">
        <f t="shared" si="2"/>
        <v>0</v>
      </c>
    </row>
    <row r="124" spans="1:26" ht="20.149999999999999" customHeight="1" x14ac:dyDescent="0.35">
      <c r="A124" s="59">
        <f t="shared" si="3"/>
        <v>116</v>
      </c>
      <c r="B124" s="142" t="s">
        <v>99</v>
      </c>
      <c r="C124" s="157" t="s">
        <v>327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3">
        <f>APOTIK!G123</f>
        <v>0</v>
      </c>
      <c r="S124" s="13">
        <f>DISTRIBUSI!S125</f>
        <v>0</v>
      </c>
      <c r="T124" s="12"/>
      <c r="U124" s="13">
        <f>DISTRIBUSI!U125</f>
        <v>0</v>
      </c>
      <c r="V124" s="13">
        <f>DISTRIBUSI!V125</f>
        <v>0</v>
      </c>
      <c r="W124" s="13">
        <f>DISTRIBUSI!W125</f>
        <v>0</v>
      </c>
      <c r="X124" s="13">
        <f>DISTRIBUSI!X125</f>
        <v>0</v>
      </c>
      <c r="Y124" s="13">
        <f>DISTRIBUSI!Y125</f>
        <v>0</v>
      </c>
      <c r="Z124" s="13">
        <f t="shared" si="2"/>
        <v>0</v>
      </c>
    </row>
    <row r="125" spans="1:26" ht="20.149999999999999" customHeight="1" x14ac:dyDescent="0.5">
      <c r="A125" s="59">
        <f t="shared" si="3"/>
        <v>117</v>
      </c>
      <c r="B125" s="93" t="s">
        <v>424</v>
      </c>
      <c r="C125" s="157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3">
        <f>APOTIK!G124</f>
        <v>0</v>
      </c>
      <c r="S125" s="13">
        <f>DISTRIBUSI!S126</f>
        <v>0</v>
      </c>
      <c r="T125" s="12"/>
      <c r="U125" s="13">
        <f>DISTRIBUSI!U126</f>
        <v>0</v>
      </c>
      <c r="V125" s="13">
        <f>DISTRIBUSI!V126</f>
        <v>0</v>
      </c>
      <c r="W125" s="13">
        <f>DISTRIBUSI!W126</f>
        <v>0</v>
      </c>
      <c r="X125" s="13">
        <f>DISTRIBUSI!X126</f>
        <v>0</v>
      </c>
      <c r="Y125" s="13">
        <f>DISTRIBUSI!Y126</f>
        <v>0</v>
      </c>
      <c r="Z125" s="13">
        <f t="shared" si="2"/>
        <v>0</v>
      </c>
    </row>
    <row r="126" spans="1:26" ht="20.149999999999999" customHeight="1" x14ac:dyDescent="0.35">
      <c r="A126" s="59">
        <f t="shared" si="3"/>
        <v>118</v>
      </c>
      <c r="B126" s="142" t="s">
        <v>100</v>
      </c>
      <c r="C126" s="168" t="s">
        <v>327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3">
        <f>APOTIK!G125</f>
        <v>0</v>
      </c>
      <c r="S126" s="13">
        <f>DISTRIBUSI!S127</f>
        <v>0</v>
      </c>
      <c r="T126" s="12"/>
      <c r="U126" s="13">
        <f>DISTRIBUSI!U127</f>
        <v>0</v>
      </c>
      <c r="V126" s="13">
        <f>DISTRIBUSI!V127</f>
        <v>0</v>
      </c>
      <c r="W126" s="13">
        <f>DISTRIBUSI!W127</f>
        <v>0</v>
      </c>
      <c r="X126" s="13">
        <f>DISTRIBUSI!X127</f>
        <v>0</v>
      </c>
      <c r="Y126" s="13">
        <f>DISTRIBUSI!Y127</f>
        <v>0</v>
      </c>
      <c r="Z126" s="13">
        <f t="shared" si="2"/>
        <v>0</v>
      </c>
    </row>
    <row r="127" spans="1:26" ht="20.149999999999999" customHeight="1" x14ac:dyDescent="0.35">
      <c r="A127" s="59">
        <f t="shared" si="3"/>
        <v>119</v>
      </c>
      <c r="B127" s="142" t="s">
        <v>258</v>
      </c>
      <c r="C127" s="161" t="s">
        <v>352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3">
        <f>APOTIK!G126</f>
        <v>0</v>
      </c>
      <c r="S127" s="13">
        <f>DISTRIBUSI!S128</f>
        <v>0</v>
      </c>
      <c r="T127" s="12"/>
      <c r="U127" s="13">
        <f>DISTRIBUSI!U128</f>
        <v>0</v>
      </c>
      <c r="V127" s="13">
        <f>DISTRIBUSI!V128</f>
        <v>0</v>
      </c>
      <c r="W127" s="13">
        <f>DISTRIBUSI!W128</f>
        <v>0</v>
      </c>
      <c r="X127" s="13">
        <f>DISTRIBUSI!X128</f>
        <v>0</v>
      </c>
      <c r="Y127" s="13">
        <f>DISTRIBUSI!Y128</f>
        <v>0</v>
      </c>
      <c r="Z127" s="13">
        <f t="shared" si="2"/>
        <v>0</v>
      </c>
    </row>
    <row r="128" spans="1:26" ht="20.149999999999999" customHeight="1" x14ac:dyDescent="0.35">
      <c r="A128" s="59">
        <f t="shared" si="3"/>
        <v>120</v>
      </c>
      <c r="B128" s="142" t="s">
        <v>101</v>
      </c>
      <c r="C128" s="155" t="s">
        <v>327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3">
        <f>APOTIK!G127</f>
        <v>0</v>
      </c>
      <c r="S128" s="13">
        <f>DISTRIBUSI!S129</f>
        <v>0</v>
      </c>
      <c r="T128" s="12"/>
      <c r="U128" s="13">
        <f>DISTRIBUSI!U129</f>
        <v>0</v>
      </c>
      <c r="V128" s="13">
        <f>DISTRIBUSI!V129</f>
        <v>0</v>
      </c>
      <c r="W128" s="13">
        <f>DISTRIBUSI!W129</f>
        <v>0</v>
      </c>
      <c r="X128" s="13">
        <f>DISTRIBUSI!X129</f>
        <v>0</v>
      </c>
      <c r="Y128" s="13">
        <f>DISTRIBUSI!Y129</f>
        <v>0</v>
      </c>
      <c r="Z128" s="13">
        <f t="shared" si="2"/>
        <v>0</v>
      </c>
    </row>
    <row r="129" spans="1:26" ht="20.149999999999999" customHeight="1" x14ac:dyDescent="0.35">
      <c r="A129" s="59">
        <f t="shared" si="3"/>
        <v>121</v>
      </c>
      <c r="B129" s="142" t="s">
        <v>102</v>
      </c>
      <c r="C129" s="169" t="s">
        <v>327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3">
        <f>APOTIK!G128</f>
        <v>0</v>
      </c>
      <c r="S129" s="13">
        <f>DISTRIBUSI!S130</f>
        <v>0</v>
      </c>
      <c r="T129" s="12"/>
      <c r="U129" s="13">
        <f>DISTRIBUSI!U130</f>
        <v>0</v>
      </c>
      <c r="V129" s="13">
        <f>DISTRIBUSI!V130</f>
        <v>0</v>
      </c>
      <c r="W129" s="13">
        <f>DISTRIBUSI!W130</f>
        <v>0</v>
      </c>
      <c r="X129" s="13">
        <f>DISTRIBUSI!X130</f>
        <v>0</v>
      </c>
      <c r="Y129" s="13">
        <f>DISTRIBUSI!Y130</f>
        <v>0</v>
      </c>
      <c r="Z129" s="13">
        <f t="shared" si="2"/>
        <v>0</v>
      </c>
    </row>
    <row r="130" spans="1:26" ht="20.149999999999999" customHeight="1" x14ac:dyDescent="0.35">
      <c r="A130" s="59">
        <f t="shared" si="3"/>
        <v>122</v>
      </c>
      <c r="B130" s="142" t="s">
        <v>103</v>
      </c>
      <c r="C130" s="153" t="s">
        <v>48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3">
        <f>APOTIK!G129</f>
        <v>0</v>
      </c>
      <c r="S130" s="13">
        <f>DISTRIBUSI!S131</f>
        <v>0</v>
      </c>
      <c r="T130" s="12"/>
      <c r="U130" s="13">
        <f>DISTRIBUSI!U131</f>
        <v>0</v>
      </c>
      <c r="V130" s="13">
        <f>DISTRIBUSI!V131</f>
        <v>0</v>
      </c>
      <c r="W130" s="13">
        <f>DISTRIBUSI!W131</f>
        <v>0</v>
      </c>
      <c r="X130" s="13">
        <f>DISTRIBUSI!X131</f>
        <v>0</v>
      </c>
      <c r="Y130" s="13">
        <f>DISTRIBUSI!Y131</f>
        <v>0</v>
      </c>
      <c r="Z130" s="13">
        <f t="shared" si="2"/>
        <v>0</v>
      </c>
    </row>
    <row r="131" spans="1:26" ht="20.149999999999999" customHeight="1" x14ac:dyDescent="0.35">
      <c r="A131" s="59">
        <f t="shared" si="3"/>
        <v>123</v>
      </c>
      <c r="B131" s="142" t="s">
        <v>107</v>
      </c>
      <c r="C131" s="154" t="s">
        <v>108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3">
        <f>APOTIK!G130</f>
        <v>0</v>
      </c>
      <c r="S131" s="13">
        <f>DISTRIBUSI!S132</f>
        <v>0</v>
      </c>
      <c r="T131" s="12"/>
      <c r="U131" s="13">
        <f>DISTRIBUSI!U132</f>
        <v>0</v>
      </c>
      <c r="V131" s="13">
        <f>DISTRIBUSI!V132</f>
        <v>20</v>
      </c>
      <c r="W131" s="13">
        <f>DISTRIBUSI!W132</f>
        <v>0</v>
      </c>
      <c r="X131" s="13">
        <f>DISTRIBUSI!X132</f>
        <v>0</v>
      </c>
      <c r="Y131" s="13">
        <f>DISTRIBUSI!Y132</f>
        <v>0</v>
      </c>
      <c r="Z131" s="13">
        <f t="shared" si="2"/>
        <v>20</v>
      </c>
    </row>
    <row r="132" spans="1:26" ht="20.149999999999999" customHeight="1" x14ac:dyDescent="0.35">
      <c r="A132" s="59">
        <f t="shared" si="3"/>
        <v>124</v>
      </c>
      <c r="B132" s="142" t="s">
        <v>107</v>
      </c>
      <c r="C132" s="155" t="s">
        <v>108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3">
        <f>APOTIK!G131</f>
        <v>0</v>
      </c>
      <c r="S132" s="13">
        <f>DISTRIBUSI!S133</f>
        <v>0</v>
      </c>
      <c r="T132" s="12"/>
      <c r="U132" s="13">
        <f>DISTRIBUSI!U133</f>
        <v>0</v>
      </c>
      <c r="V132" s="13">
        <f>DISTRIBUSI!V133</f>
        <v>0</v>
      </c>
      <c r="W132" s="13">
        <f>DISTRIBUSI!W133</f>
        <v>0</v>
      </c>
      <c r="X132" s="13">
        <f>DISTRIBUSI!X133</f>
        <v>0</v>
      </c>
      <c r="Y132" s="13">
        <f>DISTRIBUSI!Y133</f>
        <v>0</v>
      </c>
      <c r="Z132" s="13">
        <f t="shared" si="2"/>
        <v>0</v>
      </c>
    </row>
    <row r="133" spans="1:26" ht="20.149999999999999" customHeight="1" x14ac:dyDescent="0.35">
      <c r="A133" s="59">
        <f t="shared" si="3"/>
        <v>125</v>
      </c>
      <c r="B133" s="142" t="s">
        <v>111</v>
      </c>
      <c r="C133" s="159" t="s">
        <v>108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3">
        <f>APOTIK!G132</f>
        <v>0</v>
      </c>
      <c r="S133" s="13">
        <f>DISTRIBUSI!S134</f>
        <v>0</v>
      </c>
      <c r="T133" s="12"/>
      <c r="U133" s="13">
        <f>DISTRIBUSI!U134</f>
        <v>15</v>
      </c>
      <c r="V133" s="13">
        <f>DISTRIBUSI!V134</f>
        <v>0</v>
      </c>
      <c r="W133" s="13">
        <f>DISTRIBUSI!W134</f>
        <v>0</v>
      </c>
      <c r="X133" s="13">
        <f>DISTRIBUSI!X134</f>
        <v>0</v>
      </c>
      <c r="Y133" s="13">
        <f>DISTRIBUSI!Y134</f>
        <v>0</v>
      </c>
      <c r="Z133" s="13">
        <f t="shared" si="2"/>
        <v>15</v>
      </c>
    </row>
    <row r="134" spans="1:26" ht="18" x14ac:dyDescent="0.35">
      <c r="A134" s="59">
        <f t="shared" si="3"/>
        <v>126</v>
      </c>
      <c r="B134" s="142" t="s">
        <v>109</v>
      </c>
      <c r="C134" s="165" t="s">
        <v>108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3">
        <f>APOTIK!G133</f>
        <v>0</v>
      </c>
      <c r="S134" s="13">
        <f>DISTRIBUSI!S135</f>
        <v>0</v>
      </c>
      <c r="T134" s="12"/>
      <c r="U134" s="13">
        <f>DISTRIBUSI!U135</f>
        <v>100</v>
      </c>
      <c r="V134" s="13">
        <f>DISTRIBUSI!V135</f>
        <v>20</v>
      </c>
      <c r="W134" s="13">
        <f>DISTRIBUSI!W135</f>
        <v>0</v>
      </c>
      <c r="X134" s="13">
        <f>DISTRIBUSI!X135</f>
        <v>0</v>
      </c>
      <c r="Y134" s="13">
        <f>DISTRIBUSI!Y135</f>
        <v>0</v>
      </c>
      <c r="Z134" s="13">
        <f t="shared" si="2"/>
        <v>120</v>
      </c>
    </row>
    <row r="135" spans="1:26" ht="20.149999999999999" customHeight="1" x14ac:dyDescent="0.35">
      <c r="A135" s="59">
        <f t="shared" si="3"/>
        <v>127</v>
      </c>
      <c r="B135" s="142" t="s">
        <v>109</v>
      </c>
      <c r="C135" s="155" t="s">
        <v>108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3">
        <f>APOTIK!G134</f>
        <v>0</v>
      </c>
      <c r="S135" s="13">
        <f>DISTRIBUSI!S136</f>
        <v>0</v>
      </c>
      <c r="T135" s="12"/>
      <c r="U135" s="13">
        <f>DISTRIBUSI!U136</f>
        <v>0</v>
      </c>
      <c r="V135" s="13">
        <f>DISTRIBUSI!V136</f>
        <v>0</v>
      </c>
      <c r="W135" s="13">
        <f>DISTRIBUSI!W136</f>
        <v>0</v>
      </c>
      <c r="X135" s="13">
        <f>DISTRIBUSI!X136</f>
        <v>0</v>
      </c>
      <c r="Y135" s="13">
        <f>DISTRIBUSI!Y136</f>
        <v>0</v>
      </c>
      <c r="Z135" s="13">
        <f t="shared" si="2"/>
        <v>0</v>
      </c>
    </row>
    <row r="136" spans="1:26" ht="20.149999999999999" customHeight="1" x14ac:dyDescent="0.35">
      <c r="A136" s="59">
        <f t="shared" si="3"/>
        <v>128</v>
      </c>
      <c r="B136" s="142" t="s">
        <v>110</v>
      </c>
      <c r="C136" s="169" t="s">
        <v>108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3">
        <f>APOTIK!G135</f>
        <v>0</v>
      </c>
      <c r="S136" s="13">
        <f>DISTRIBUSI!S137</f>
        <v>0</v>
      </c>
      <c r="T136" s="12"/>
      <c r="U136" s="13">
        <f>DISTRIBUSI!U137</f>
        <v>10</v>
      </c>
      <c r="V136" s="13">
        <f>DISTRIBUSI!V137</f>
        <v>20</v>
      </c>
      <c r="W136" s="13">
        <f>DISTRIBUSI!W137</f>
        <v>0</v>
      </c>
      <c r="X136" s="13">
        <f>DISTRIBUSI!X137</f>
        <v>0</v>
      </c>
      <c r="Y136" s="13">
        <f>DISTRIBUSI!Y137</f>
        <v>0</v>
      </c>
      <c r="Z136" s="13">
        <f t="shared" si="2"/>
        <v>30</v>
      </c>
    </row>
    <row r="137" spans="1:26" ht="20.149999999999999" customHeight="1" x14ac:dyDescent="0.35">
      <c r="A137" s="59">
        <f t="shared" si="3"/>
        <v>129</v>
      </c>
      <c r="B137" s="142" t="s">
        <v>112</v>
      </c>
      <c r="C137" s="169" t="s">
        <v>108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3">
        <f>APOTIK!G136</f>
        <v>0</v>
      </c>
      <c r="S137" s="13">
        <f>DISTRIBUSI!S138</f>
        <v>200</v>
      </c>
      <c r="T137" s="12"/>
      <c r="U137" s="13">
        <f>DISTRIBUSI!U138</f>
        <v>0</v>
      </c>
      <c r="V137" s="13">
        <f>DISTRIBUSI!V138</f>
        <v>200</v>
      </c>
      <c r="W137" s="13">
        <f>DISTRIBUSI!W138</f>
        <v>0</v>
      </c>
      <c r="X137" s="13">
        <f>DISTRIBUSI!X138</f>
        <v>300</v>
      </c>
      <c r="Y137" s="13">
        <f>DISTRIBUSI!Y138</f>
        <v>300</v>
      </c>
      <c r="Z137" s="13">
        <f t="shared" si="2"/>
        <v>1000</v>
      </c>
    </row>
    <row r="138" spans="1:26" ht="20.149999999999999" customHeight="1" x14ac:dyDescent="0.35">
      <c r="A138" s="59">
        <f t="shared" si="3"/>
        <v>130</v>
      </c>
      <c r="B138" s="142" t="s">
        <v>113</v>
      </c>
      <c r="C138" s="154" t="s">
        <v>48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3">
        <f>APOTIK!G137</f>
        <v>0</v>
      </c>
      <c r="S138" s="13">
        <f>DISTRIBUSI!S139</f>
        <v>2</v>
      </c>
      <c r="T138" s="12"/>
      <c r="U138" s="13">
        <f>DISTRIBUSI!U139</f>
        <v>0</v>
      </c>
      <c r="V138" s="13">
        <f>DISTRIBUSI!V139</f>
        <v>1</v>
      </c>
      <c r="W138" s="13">
        <f>DISTRIBUSI!W139</f>
        <v>1</v>
      </c>
      <c r="X138" s="13">
        <f>DISTRIBUSI!X139</f>
        <v>0</v>
      </c>
      <c r="Y138" s="13">
        <f>DISTRIBUSI!Y139</f>
        <v>0</v>
      </c>
      <c r="Z138" s="13">
        <f t="shared" ref="Z138:Z201" si="4">SUM(D138:Y138)</f>
        <v>4</v>
      </c>
    </row>
    <row r="139" spans="1:26" ht="20.149999999999999" customHeight="1" x14ac:dyDescent="0.35">
      <c r="A139" s="59">
        <f t="shared" ref="A139:A175" si="5">A138+1</f>
        <v>131</v>
      </c>
      <c r="B139" s="142" t="s">
        <v>16</v>
      </c>
      <c r="C139" s="170" t="s">
        <v>48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3">
        <f>APOTIK!G138</f>
        <v>0</v>
      </c>
      <c r="S139" s="13">
        <f>DISTRIBUSI!S140</f>
        <v>0</v>
      </c>
      <c r="T139" s="12"/>
      <c r="U139" s="13">
        <f>DISTRIBUSI!U140</f>
        <v>0</v>
      </c>
      <c r="V139" s="13">
        <f>DISTRIBUSI!V140</f>
        <v>0</v>
      </c>
      <c r="W139" s="13">
        <f>DISTRIBUSI!W140</f>
        <v>0</v>
      </c>
      <c r="X139" s="13">
        <f>DISTRIBUSI!X140</f>
        <v>0</v>
      </c>
      <c r="Y139" s="13">
        <f>DISTRIBUSI!Y140</f>
        <v>0</v>
      </c>
      <c r="Z139" s="13">
        <f t="shared" si="4"/>
        <v>0</v>
      </c>
    </row>
    <row r="140" spans="1:26" ht="20.149999999999999" customHeight="1" x14ac:dyDescent="0.35">
      <c r="A140" s="59">
        <f t="shared" si="5"/>
        <v>132</v>
      </c>
      <c r="B140" s="142" t="s">
        <v>425</v>
      </c>
      <c r="C140" s="170" t="s">
        <v>108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3">
        <f>APOTIK!G139</f>
        <v>0</v>
      </c>
      <c r="S140" s="13">
        <f>DISTRIBUSI!S141</f>
        <v>0</v>
      </c>
      <c r="T140" s="12"/>
      <c r="U140" s="13">
        <f>DISTRIBUSI!U141</f>
        <v>0</v>
      </c>
      <c r="V140" s="13">
        <f>DISTRIBUSI!V141</f>
        <v>0</v>
      </c>
      <c r="W140" s="13">
        <f>DISTRIBUSI!W141</f>
        <v>0</v>
      </c>
      <c r="X140" s="13">
        <f>DISTRIBUSI!X141</f>
        <v>0</v>
      </c>
      <c r="Y140" s="13">
        <f>DISTRIBUSI!Y141</f>
        <v>0</v>
      </c>
      <c r="Z140" s="13">
        <f t="shared" si="4"/>
        <v>0</v>
      </c>
    </row>
    <row r="141" spans="1:26" ht="20.149999999999999" customHeight="1" x14ac:dyDescent="0.35">
      <c r="A141" s="59">
        <f t="shared" si="5"/>
        <v>133</v>
      </c>
      <c r="B141" s="142" t="s">
        <v>114</v>
      </c>
      <c r="C141" s="153" t="s">
        <v>108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3">
        <f>APOTIK!G140</f>
        <v>0</v>
      </c>
      <c r="S141" s="13">
        <f>DISTRIBUSI!S142</f>
        <v>0</v>
      </c>
      <c r="T141" s="12"/>
      <c r="U141" s="13">
        <f>DISTRIBUSI!U142</f>
        <v>0</v>
      </c>
      <c r="V141" s="13">
        <f>DISTRIBUSI!V142</f>
        <v>6</v>
      </c>
      <c r="W141" s="13">
        <f>DISTRIBUSI!W142</f>
        <v>0</v>
      </c>
      <c r="X141" s="13">
        <f>DISTRIBUSI!X142</f>
        <v>0</v>
      </c>
      <c r="Y141" s="13">
        <f>DISTRIBUSI!Y142</f>
        <v>0</v>
      </c>
      <c r="Z141" s="13">
        <f t="shared" si="4"/>
        <v>6</v>
      </c>
    </row>
    <row r="142" spans="1:26" ht="20.149999999999999" customHeight="1" x14ac:dyDescent="0.35">
      <c r="A142" s="59">
        <f t="shared" si="5"/>
        <v>134</v>
      </c>
      <c r="B142" s="142" t="s">
        <v>115</v>
      </c>
      <c r="C142" s="156" t="s">
        <v>48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3">
        <f>APOTIK!G141</f>
        <v>0</v>
      </c>
      <c r="S142" s="13">
        <f>DISTRIBUSI!S143</f>
        <v>0</v>
      </c>
      <c r="T142" s="12"/>
      <c r="U142" s="13">
        <f>DISTRIBUSI!U143</f>
        <v>0</v>
      </c>
      <c r="V142" s="13">
        <f>DISTRIBUSI!V143</f>
        <v>0</v>
      </c>
      <c r="W142" s="13">
        <f>DISTRIBUSI!W143</f>
        <v>0</v>
      </c>
      <c r="X142" s="13">
        <f>DISTRIBUSI!X143</f>
        <v>0</v>
      </c>
      <c r="Y142" s="13">
        <f>DISTRIBUSI!Y143</f>
        <v>0</v>
      </c>
      <c r="Z142" s="13">
        <f t="shared" si="4"/>
        <v>0</v>
      </c>
    </row>
    <row r="143" spans="1:26" ht="20.149999999999999" customHeight="1" x14ac:dyDescent="0.35">
      <c r="A143" s="59">
        <f t="shared" si="5"/>
        <v>135</v>
      </c>
      <c r="B143" s="142" t="s">
        <v>116</v>
      </c>
      <c r="C143" s="156" t="s">
        <v>48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3">
        <f>APOTIK!G142</f>
        <v>0</v>
      </c>
      <c r="S143" s="13">
        <f>DISTRIBUSI!S144</f>
        <v>0</v>
      </c>
      <c r="T143" s="12"/>
      <c r="U143" s="13">
        <f>DISTRIBUSI!U144</f>
        <v>0</v>
      </c>
      <c r="V143" s="13">
        <f>DISTRIBUSI!V144</f>
        <v>0</v>
      </c>
      <c r="W143" s="13">
        <f>DISTRIBUSI!W144</f>
        <v>1</v>
      </c>
      <c r="X143" s="13">
        <f>DISTRIBUSI!X144</f>
        <v>0</v>
      </c>
      <c r="Y143" s="13">
        <f>DISTRIBUSI!Y144</f>
        <v>0</v>
      </c>
      <c r="Z143" s="13">
        <f t="shared" si="4"/>
        <v>1</v>
      </c>
    </row>
    <row r="144" spans="1:26" ht="20.149999999999999" customHeight="1" x14ac:dyDescent="0.35">
      <c r="A144" s="59">
        <f t="shared" si="5"/>
        <v>136</v>
      </c>
      <c r="B144" s="142" t="s">
        <v>117</v>
      </c>
      <c r="C144" s="156" t="s">
        <v>108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3">
        <f>APOTIK!G143</f>
        <v>0</v>
      </c>
      <c r="S144" s="13">
        <f>DISTRIBUSI!S145</f>
        <v>5</v>
      </c>
      <c r="T144" s="12"/>
      <c r="U144" s="13">
        <f>DISTRIBUSI!U145</f>
        <v>0</v>
      </c>
      <c r="V144" s="13">
        <f>DISTRIBUSI!V145</f>
        <v>0</v>
      </c>
      <c r="W144" s="13">
        <f>DISTRIBUSI!W145</f>
        <v>0</v>
      </c>
      <c r="X144" s="13">
        <f>DISTRIBUSI!X145</f>
        <v>0</v>
      </c>
      <c r="Y144" s="13">
        <f>DISTRIBUSI!Y145</f>
        <v>0</v>
      </c>
      <c r="Z144" s="13">
        <f t="shared" si="4"/>
        <v>5</v>
      </c>
    </row>
    <row r="145" spans="1:26" ht="20.149999999999999" customHeight="1" x14ac:dyDescent="0.35">
      <c r="A145" s="59">
        <f t="shared" si="5"/>
        <v>137</v>
      </c>
      <c r="B145" s="142" t="s">
        <v>118</v>
      </c>
      <c r="C145" s="156" t="s">
        <v>108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3">
        <f>APOTIK!G144</f>
        <v>0</v>
      </c>
      <c r="S145" s="13">
        <f>DISTRIBUSI!S146</f>
        <v>0</v>
      </c>
      <c r="T145" s="12"/>
      <c r="U145" s="13">
        <f>DISTRIBUSI!U146</f>
        <v>0</v>
      </c>
      <c r="V145" s="13">
        <f>DISTRIBUSI!V146</f>
        <v>0</v>
      </c>
      <c r="W145" s="13">
        <f>DISTRIBUSI!W146</f>
        <v>0</v>
      </c>
      <c r="X145" s="13">
        <f>DISTRIBUSI!X146</f>
        <v>0</v>
      </c>
      <c r="Y145" s="13">
        <f>DISTRIBUSI!Y146</f>
        <v>0</v>
      </c>
      <c r="Z145" s="13">
        <f t="shared" si="4"/>
        <v>0</v>
      </c>
    </row>
    <row r="146" spans="1:26" ht="20.149999999999999" customHeight="1" x14ac:dyDescent="0.35">
      <c r="A146" s="59">
        <f t="shared" si="5"/>
        <v>138</v>
      </c>
      <c r="B146" s="142" t="s">
        <v>326</v>
      </c>
      <c r="C146" s="155" t="s">
        <v>108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3">
        <f>APOTIK!G145</f>
        <v>0</v>
      </c>
      <c r="S146" s="13">
        <f>DISTRIBUSI!S147</f>
        <v>0</v>
      </c>
      <c r="T146" s="12"/>
      <c r="U146" s="13">
        <f>DISTRIBUSI!U147</f>
        <v>0</v>
      </c>
      <c r="V146" s="13">
        <f>DISTRIBUSI!V147</f>
        <v>20</v>
      </c>
      <c r="W146" s="13">
        <f>DISTRIBUSI!W147</f>
        <v>0</v>
      </c>
      <c r="X146" s="13">
        <f>DISTRIBUSI!X147</f>
        <v>0</v>
      </c>
      <c r="Y146" s="13">
        <f>DISTRIBUSI!Y147</f>
        <v>0</v>
      </c>
      <c r="Z146" s="13">
        <f t="shared" si="4"/>
        <v>20</v>
      </c>
    </row>
    <row r="147" spans="1:26" ht="20.149999999999999" customHeight="1" x14ac:dyDescent="0.35">
      <c r="A147" s="59">
        <f t="shared" si="5"/>
        <v>139</v>
      </c>
      <c r="B147" s="142" t="s">
        <v>119</v>
      </c>
      <c r="C147" s="155" t="s">
        <v>108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3">
        <f>APOTIK!G146</f>
        <v>0</v>
      </c>
      <c r="S147" s="13">
        <f>DISTRIBUSI!S148</f>
        <v>0</v>
      </c>
      <c r="T147" s="12"/>
      <c r="U147" s="13">
        <f>DISTRIBUSI!U148</f>
        <v>0</v>
      </c>
      <c r="V147" s="13">
        <f>DISTRIBUSI!V148</f>
        <v>10</v>
      </c>
      <c r="W147" s="13">
        <f>DISTRIBUSI!W148</f>
        <v>0</v>
      </c>
      <c r="X147" s="13">
        <f>DISTRIBUSI!X148</f>
        <v>0</v>
      </c>
      <c r="Y147" s="13">
        <f>DISTRIBUSI!Y148</f>
        <v>0</v>
      </c>
      <c r="Z147" s="13">
        <f t="shared" si="4"/>
        <v>10</v>
      </c>
    </row>
    <row r="148" spans="1:26" ht="20.149999999999999" customHeight="1" x14ac:dyDescent="0.35">
      <c r="A148" s="59">
        <f t="shared" si="5"/>
        <v>140</v>
      </c>
      <c r="B148" s="142" t="s">
        <v>120</v>
      </c>
      <c r="C148" s="159" t="s">
        <v>108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3">
        <f>APOTIK!G147</f>
        <v>0</v>
      </c>
      <c r="S148" s="13">
        <f>DISTRIBUSI!S149</f>
        <v>0</v>
      </c>
      <c r="T148" s="12"/>
      <c r="U148" s="13">
        <f>DISTRIBUSI!U149</f>
        <v>0</v>
      </c>
      <c r="V148" s="13">
        <f>DISTRIBUSI!V149</f>
        <v>0</v>
      </c>
      <c r="W148" s="13">
        <f>DISTRIBUSI!W149</f>
        <v>0</v>
      </c>
      <c r="X148" s="13">
        <f>DISTRIBUSI!X149</f>
        <v>0</v>
      </c>
      <c r="Y148" s="13">
        <f>DISTRIBUSI!Y149</f>
        <v>0</v>
      </c>
      <c r="Z148" s="13">
        <f t="shared" si="4"/>
        <v>0</v>
      </c>
    </row>
    <row r="149" spans="1:26" ht="20.149999999999999" customHeight="1" x14ac:dyDescent="0.35">
      <c r="A149" s="59">
        <f t="shared" si="5"/>
        <v>141</v>
      </c>
      <c r="B149" s="142" t="s">
        <v>121</v>
      </c>
      <c r="C149" s="171" t="s">
        <v>108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3">
        <f>APOTIK!G148</f>
        <v>0</v>
      </c>
      <c r="S149" s="13">
        <f>DISTRIBUSI!S150</f>
        <v>0</v>
      </c>
      <c r="T149" s="12"/>
      <c r="U149" s="13">
        <f>DISTRIBUSI!U150</f>
        <v>0</v>
      </c>
      <c r="V149" s="13">
        <f>DISTRIBUSI!V150</f>
        <v>0</v>
      </c>
      <c r="W149" s="13">
        <f>DISTRIBUSI!W150</f>
        <v>0</v>
      </c>
      <c r="X149" s="13">
        <f>DISTRIBUSI!X150</f>
        <v>0</v>
      </c>
      <c r="Y149" s="13">
        <f>DISTRIBUSI!Y150</f>
        <v>0</v>
      </c>
      <c r="Z149" s="13">
        <f t="shared" si="4"/>
        <v>0</v>
      </c>
    </row>
    <row r="150" spans="1:26" ht="20.149999999999999" customHeight="1" x14ac:dyDescent="0.35">
      <c r="A150" s="59">
        <f t="shared" si="5"/>
        <v>142</v>
      </c>
      <c r="B150" s="142" t="s">
        <v>122</v>
      </c>
      <c r="C150" s="166" t="s">
        <v>108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3">
        <f>APOTIK!G149</f>
        <v>0</v>
      </c>
      <c r="S150" s="13">
        <f>DISTRIBUSI!S151</f>
        <v>0</v>
      </c>
      <c r="T150" s="12"/>
      <c r="U150" s="13">
        <f>DISTRIBUSI!U151</f>
        <v>0</v>
      </c>
      <c r="V150" s="13">
        <f>DISTRIBUSI!V151</f>
        <v>0</v>
      </c>
      <c r="W150" s="13">
        <f>DISTRIBUSI!W151</f>
        <v>0</v>
      </c>
      <c r="X150" s="13">
        <f>DISTRIBUSI!X151</f>
        <v>0</v>
      </c>
      <c r="Y150" s="13">
        <f>DISTRIBUSI!Y151</f>
        <v>0</v>
      </c>
      <c r="Z150" s="13">
        <f t="shared" si="4"/>
        <v>0</v>
      </c>
    </row>
    <row r="151" spans="1:26" ht="20.149999999999999" customHeight="1" x14ac:dyDescent="0.35">
      <c r="A151" s="59">
        <f t="shared" si="5"/>
        <v>143</v>
      </c>
      <c r="B151" s="142" t="s">
        <v>122</v>
      </c>
      <c r="C151" s="166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3">
        <f>APOTIK!G150</f>
        <v>0</v>
      </c>
      <c r="S151" s="13">
        <f>DISTRIBUSI!S152</f>
        <v>0</v>
      </c>
      <c r="T151" s="12"/>
      <c r="U151" s="13">
        <f>DISTRIBUSI!U152</f>
        <v>0</v>
      </c>
      <c r="V151" s="13">
        <f>DISTRIBUSI!V152</f>
        <v>0</v>
      </c>
      <c r="W151" s="13">
        <f>DISTRIBUSI!W152</f>
        <v>0</v>
      </c>
      <c r="X151" s="13">
        <f>DISTRIBUSI!X152</f>
        <v>0</v>
      </c>
      <c r="Y151" s="13">
        <f>DISTRIBUSI!Y152</f>
        <v>0</v>
      </c>
      <c r="Z151" s="13">
        <f t="shared" si="4"/>
        <v>0</v>
      </c>
    </row>
    <row r="152" spans="1:26" ht="20.149999999999999" customHeight="1" x14ac:dyDescent="0.35">
      <c r="A152" s="59">
        <f t="shared" si="5"/>
        <v>144</v>
      </c>
      <c r="B152" s="142" t="s">
        <v>123</v>
      </c>
      <c r="C152" s="171" t="s">
        <v>108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3">
        <f>APOTIK!G151</f>
        <v>0</v>
      </c>
      <c r="S152" s="13">
        <f>DISTRIBUSI!S153</f>
        <v>20</v>
      </c>
      <c r="T152" s="12"/>
      <c r="U152" s="13">
        <f>DISTRIBUSI!U153</f>
        <v>0</v>
      </c>
      <c r="V152" s="13">
        <f>DISTRIBUSI!V153</f>
        <v>10</v>
      </c>
      <c r="W152" s="13">
        <f>DISTRIBUSI!W153</f>
        <v>0</v>
      </c>
      <c r="X152" s="13">
        <f>DISTRIBUSI!X153</f>
        <v>0</v>
      </c>
      <c r="Y152" s="13">
        <f>DISTRIBUSI!Y153</f>
        <v>0</v>
      </c>
      <c r="Z152" s="13">
        <f t="shared" si="4"/>
        <v>30</v>
      </c>
    </row>
    <row r="153" spans="1:26" ht="20.149999999999999" customHeight="1" x14ac:dyDescent="0.35">
      <c r="A153" s="59">
        <f t="shared" si="5"/>
        <v>145</v>
      </c>
      <c r="B153" s="142" t="s">
        <v>124</v>
      </c>
      <c r="C153" s="155" t="s">
        <v>108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3">
        <f>APOTIK!G152</f>
        <v>0</v>
      </c>
      <c r="S153" s="13">
        <f>DISTRIBUSI!S154</f>
        <v>15</v>
      </c>
      <c r="T153" s="12"/>
      <c r="U153" s="13">
        <f>DISTRIBUSI!U154</f>
        <v>0</v>
      </c>
      <c r="V153" s="13">
        <f>DISTRIBUSI!V154</f>
        <v>20</v>
      </c>
      <c r="W153" s="13">
        <f>DISTRIBUSI!W154</f>
        <v>0</v>
      </c>
      <c r="X153" s="13">
        <f>DISTRIBUSI!X154</f>
        <v>0</v>
      </c>
      <c r="Y153" s="13">
        <f>DISTRIBUSI!Y154</f>
        <v>0</v>
      </c>
      <c r="Z153" s="13">
        <f t="shared" si="4"/>
        <v>35</v>
      </c>
    </row>
    <row r="154" spans="1:26" ht="20.149999999999999" customHeight="1" x14ac:dyDescent="0.35">
      <c r="A154" s="59">
        <f t="shared" si="5"/>
        <v>146</v>
      </c>
      <c r="B154" s="142" t="s">
        <v>125</v>
      </c>
      <c r="C154" s="153" t="s">
        <v>126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3">
        <f>APOTIK!G153</f>
        <v>0</v>
      </c>
      <c r="S154" s="13">
        <f>DISTRIBUSI!S155</f>
        <v>0</v>
      </c>
      <c r="T154" s="12"/>
      <c r="U154" s="13">
        <f>DISTRIBUSI!U155</f>
        <v>0</v>
      </c>
      <c r="V154" s="13">
        <f>DISTRIBUSI!V155</f>
        <v>0</v>
      </c>
      <c r="W154" s="13">
        <f>DISTRIBUSI!W155</f>
        <v>1</v>
      </c>
      <c r="X154" s="13">
        <f>DISTRIBUSI!X155</f>
        <v>0</v>
      </c>
      <c r="Y154" s="13">
        <f>DISTRIBUSI!Y155</f>
        <v>0</v>
      </c>
      <c r="Z154" s="13">
        <f t="shared" si="4"/>
        <v>1</v>
      </c>
    </row>
    <row r="155" spans="1:26" ht="20.149999999999999" customHeight="1" x14ac:dyDescent="0.35">
      <c r="A155" s="59">
        <f t="shared" si="5"/>
        <v>147</v>
      </c>
      <c r="B155" s="142" t="s">
        <v>127</v>
      </c>
      <c r="C155" s="164" t="s">
        <v>255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3">
        <f>APOTIK!G154</f>
        <v>0</v>
      </c>
      <c r="S155" s="13">
        <f>DISTRIBUSI!S156</f>
        <v>30</v>
      </c>
      <c r="T155" s="12"/>
      <c r="U155" s="13">
        <f>DISTRIBUSI!U156</f>
        <v>0</v>
      </c>
      <c r="V155" s="13">
        <f>DISTRIBUSI!V156</f>
        <v>0</v>
      </c>
      <c r="W155" s="13">
        <f>DISTRIBUSI!W156</f>
        <v>0</v>
      </c>
      <c r="X155" s="13">
        <f>DISTRIBUSI!X156</f>
        <v>0</v>
      </c>
      <c r="Y155" s="13">
        <f>DISTRIBUSI!Y156</f>
        <v>0</v>
      </c>
      <c r="Z155" s="13">
        <f t="shared" si="4"/>
        <v>30</v>
      </c>
    </row>
    <row r="156" spans="1:26" ht="20.149999999999999" customHeight="1" x14ac:dyDescent="0.35">
      <c r="A156" s="59">
        <f t="shared" si="5"/>
        <v>148</v>
      </c>
      <c r="B156" s="142" t="s">
        <v>128</v>
      </c>
      <c r="C156" s="153" t="s">
        <v>126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3">
        <f>APOTIK!G155</f>
        <v>0</v>
      </c>
      <c r="S156" s="13">
        <f>DISTRIBUSI!S157</f>
        <v>2</v>
      </c>
      <c r="T156" s="12"/>
      <c r="U156" s="13">
        <f>DISTRIBUSI!U157</f>
        <v>0</v>
      </c>
      <c r="V156" s="13">
        <f>DISTRIBUSI!V157</f>
        <v>2</v>
      </c>
      <c r="W156" s="13">
        <f>DISTRIBUSI!W157</f>
        <v>1</v>
      </c>
      <c r="X156" s="13">
        <f>DISTRIBUSI!X157</f>
        <v>0</v>
      </c>
      <c r="Y156" s="13">
        <f>DISTRIBUSI!Y157</f>
        <v>0</v>
      </c>
      <c r="Z156" s="13">
        <f t="shared" si="4"/>
        <v>5</v>
      </c>
    </row>
    <row r="157" spans="1:26" ht="20.149999999999999" customHeight="1" x14ac:dyDescent="0.35">
      <c r="A157" s="59">
        <f t="shared" si="5"/>
        <v>149</v>
      </c>
      <c r="B157" s="142" t="s">
        <v>129</v>
      </c>
      <c r="C157" s="171" t="s">
        <v>126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3">
        <f>APOTIK!G156</f>
        <v>0</v>
      </c>
      <c r="S157" s="13">
        <f>DISTRIBUSI!S158</f>
        <v>0</v>
      </c>
      <c r="T157" s="12"/>
      <c r="U157" s="13">
        <f>DISTRIBUSI!U158</f>
        <v>0</v>
      </c>
      <c r="V157" s="13">
        <f>DISTRIBUSI!V158</f>
        <v>0</v>
      </c>
      <c r="W157" s="13">
        <f>DISTRIBUSI!W158</f>
        <v>0</v>
      </c>
      <c r="X157" s="13">
        <f>DISTRIBUSI!X158</f>
        <v>0</v>
      </c>
      <c r="Y157" s="13">
        <f>DISTRIBUSI!Y158</f>
        <v>0</v>
      </c>
      <c r="Z157" s="13">
        <f t="shared" si="4"/>
        <v>0</v>
      </c>
    </row>
    <row r="158" spans="1:26" ht="20.149999999999999" customHeight="1" x14ac:dyDescent="0.35">
      <c r="A158" s="59">
        <f t="shared" si="5"/>
        <v>150</v>
      </c>
      <c r="B158" s="142" t="s">
        <v>130</v>
      </c>
      <c r="C158" s="166" t="s">
        <v>323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3">
        <f>APOTIK!G157</f>
        <v>0</v>
      </c>
      <c r="S158" s="13">
        <f>DISTRIBUSI!S159</f>
        <v>0</v>
      </c>
      <c r="T158" s="12"/>
      <c r="U158" s="13">
        <f>DISTRIBUSI!U159</f>
        <v>0</v>
      </c>
      <c r="V158" s="13">
        <f>DISTRIBUSI!V159</f>
        <v>0</v>
      </c>
      <c r="W158" s="13">
        <f>DISTRIBUSI!W159</f>
        <v>0</v>
      </c>
      <c r="X158" s="13">
        <f>DISTRIBUSI!X159</f>
        <v>0</v>
      </c>
      <c r="Y158" s="13">
        <f>DISTRIBUSI!Y159</f>
        <v>0</v>
      </c>
      <c r="Z158" s="13">
        <f t="shared" si="4"/>
        <v>0</v>
      </c>
    </row>
    <row r="159" spans="1:26" ht="20.149999999999999" customHeight="1" x14ac:dyDescent="0.35">
      <c r="A159" s="59">
        <f t="shared" si="5"/>
        <v>151</v>
      </c>
      <c r="B159" s="142" t="s">
        <v>131</v>
      </c>
      <c r="C159" s="153" t="s">
        <v>256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3">
        <f>APOTIK!G158</f>
        <v>0</v>
      </c>
      <c r="S159" s="13">
        <f>DISTRIBUSI!S160</f>
        <v>0</v>
      </c>
      <c r="T159" s="12"/>
      <c r="U159" s="13">
        <f>DISTRIBUSI!U160</f>
        <v>0</v>
      </c>
      <c r="V159" s="13">
        <f>DISTRIBUSI!V160</f>
        <v>0</v>
      </c>
      <c r="W159" s="13">
        <f>DISTRIBUSI!W160</f>
        <v>0</v>
      </c>
      <c r="X159" s="13">
        <f>DISTRIBUSI!X160</f>
        <v>0</v>
      </c>
      <c r="Y159" s="13">
        <f>DISTRIBUSI!Y160</f>
        <v>0</v>
      </c>
      <c r="Z159" s="13">
        <f t="shared" si="4"/>
        <v>0</v>
      </c>
    </row>
    <row r="160" spans="1:26" ht="20.149999999999999" customHeight="1" x14ac:dyDescent="0.35">
      <c r="A160" s="59">
        <f t="shared" si="5"/>
        <v>152</v>
      </c>
      <c r="B160" s="142" t="s">
        <v>132</v>
      </c>
      <c r="C160" s="153" t="s">
        <v>256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3">
        <f>APOTIK!G159</f>
        <v>0</v>
      </c>
      <c r="S160" s="13">
        <f>DISTRIBUSI!S161</f>
        <v>0</v>
      </c>
      <c r="T160" s="12"/>
      <c r="U160" s="13">
        <f>DISTRIBUSI!U161</f>
        <v>0</v>
      </c>
      <c r="V160" s="13">
        <f>DISTRIBUSI!V161</f>
        <v>0</v>
      </c>
      <c r="W160" s="13">
        <f>DISTRIBUSI!W161</f>
        <v>0</v>
      </c>
      <c r="X160" s="13">
        <f>DISTRIBUSI!X161</f>
        <v>0</v>
      </c>
      <c r="Y160" s="13">
        <f>DISTRIBUSI!Y161</f>
        <v>0</v>
      </c>
      <c r="Z160" s="13">
        <f t="shared" si="4"/>
        <v>0</v>
      </c>
    </row>
    <row r="161" spans="1:26" ht="20.149999999999999" customHeight="1" x14ac:dyDescent="0.35">
      <c r="A161" s="59">
        <f t="shared" si="5"/>
        <v>153</v>
      </c>
      <c r="B161" s="142" t="s">
        <v>135</v>
      </c>
      <c r="C161" s="153" t="s">
        <v>108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3">
        <f>APOTIK!G160</f>
        <v>0</v>
      </c>
      <c r="S161" s="13">
        <f>DISTRIBUSI!S162</f>
        <v>0</v>
      </c>
      <c r="T161" s="12"/>
      <c r="U161" s="13">
        <f>DISTRIBUSI!U162</f>
        <v>0</v>
      </c>
      <c r="V161" s="13">
        <f>DISTRIBUSI!V162</f>
        <v>10</v>
      </c>
      <c r="W161" s="13">
        <f>DISTRIBUSI!W162</f>
        <v>0</v>
      </c>
      <c r="X161" s="13">
        <f>DISTRIBUSI!X162</f>
        <v>0</v>
      </c>
      <c r="Y161" s="13">
        <f>DISTRIBUSI!Y162</f>
        <v>0</v>
      </c>
      <c r="Z161" s="13">
        <f t="shared" si="4"/>
        <v>10</v>
      </c>
    </row>
    <row r="162" spans="1:26" ht="20.149999999999999" customHeight="1" x14ac:dyDescent="0.35">
      <c r="A162" s="59">
        <f t="shared" si="5"/>
        <v>154</v>
      </c>
      <c r="B162" s="142" t="s">
        <v>134</v>
      </c>
      <c r="C162" s="153" t="s">
        <v>108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3">
        <f>APOTIK!G161</f>
        <v>0</v>
      </c>
      <c r="S162" s="13">
        <f>DISTRIBUSI!S163</f>
        <v>0</v>
      </c>
      <c r="T162" s="12"/>
      <c r="U162" s="13">
        <f>DISTRIBUSI!U163</f>
        <v>0</v>
      </c>
      <c r="V162" s="13">
        <f>DISTRIBUSI!V163</f>
        <v>0</v>
      </c>
      <c r="W162" s="13">
        <f>DISTRIBUSI!W163</f>
        <v>0</v>
      </c>
      <c r="X162" s="13">
        <f>DISTRIBUSI!X163</f>
        <v>0</v>
      </c>
      <c r="Y162" s="13">
        <f>DISTRIBUSI!Y163</f>
        <v>0</v>
      </c>
      <c r="Z162" s="13">
        <f t="shared" si="4"/>
        <v>0</v>
      </c>
    </row>
    <row r="163" spans="1:26" ht="20.149999999999999" customHeight="1" x14ac:dyDescent="0.35">
      <c r="A163" s="59">
        <f t="shared" si="5"/>
        <v>155</v>
      </c>
      <c r="B163" s="142" t="s">
        <v>133</v>
      </c>
      <c r="C163" s="153" t="s">
        <v>108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3">
        <f>APOTIK!G162</f>
        <v>0</v>
      </c>
      <c r="S163" s="13">
        <f>DISTRIBUSI!S164</f>
        <v>0</v>
      </c>
      <c r="T163" s="12"/>
      <c r="U163" s="13">
        <f>DISTRIBUSI!U164</f>
        <v>0</v>
      </c>
      <c r="V163" s="13">
        <f>DISTRIBUSI!V164</f>
        <v>0</v>
      </c>
      <c r="W163" s="13">
        <f>DISTRIBUSI!W164</f>
        <v>0</v>
      </c>
      <c r="X163" s="13">
        <f>DISTRIBUSI!X164</f>
        <v>0</v>
      </c>
      <c r="Y163" s="13">
        <f>DISTRIBUSI!Y164</f>
        <v>0</v>
      </c>
      <c r="Z163" s="13">
        <f t="shared" si="4"/>
        <v>0</v>
      </c>
    </row>
    <row r="164" spans="1:26" ht="20.149999999999999" customHeight="1" x14ac:dyDescent="0.35">
      <c r="A164" s="59">
        <f t="shared" si="5"/>
        <v>156</v>
      </c>
      <c r="B164" s="142" t="s">
        <v>136</v>
      </c>
      <c r="C164" s="153" t="s">
        <v>126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3">
        <f>APOTIK!G163</f>
        <v>0</v>
      </c>
      <c r="S164" s="13">
        <f>DISTRIBUSI!S165</f>
        <v>0</v>
      </c>
      <c r="T164" s="12"/>
      <c r="U164" s="13">
        <f>DISTRIBUSI!U165</f>
        <v>0</v>
      </c>
      <c r="V164" s="13">
        <f>DISTRIBUSI!V165</f>
        <v>0</v>
      </c>
      <c r="W164" s="13">
        <f>DISTRIBUSI!W165</f>
        <v>0</v>
      </c>
      <c r="X164" s="13">
        <f>DISTRIBUSI!X165</f>
        <v>0</v>
      </c>
      <c r="Y164" s="13">
        <f>DISTRIBUSI!Y165</f>
        <v>0</v>
      </c>
      <c r="Z164" s="13">
        <f t="shared" si="4"/>
        <v>0</v>
      </c>
    </row>
    <row r="165" spans="1:26" ht="20.149999999999999" customHeight="1" x14ac:dyDescent="0.35">
      <c r="A165" s="59">
        <f t="shared" si="5"/>
        <v>157</v>
      </c>
      <c r="B165" s="142" t="s">
        <v>137</v>
      </c>
      <c r="C165" s="165" t="s">
        <v>48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3">
        <f>APOTIK!G164</f>
        <v>0</v>
      </c>
      <c r="S165" s="13">
        <f>DISTRIBUSI!S166</f>
        <v>2</v>
      </c>
      <c r="T165" s="12"/>
      <c r="U165" s="13">
        <f>DISTRIBUSI!U166</f>
        <v>0</v>
      </c>
      <c r="V165" s="13">
        <f>DISTRIBUSI!V166</f>
        <v>1</v>
      </c>
      <c r="W165" s="13">
        <f>DISTRIBUSI!W166</f>
        <v>1</v>
      </c>
      <c r="X165" s="13">
        <f>DISTRIBUSI!X166</f>
        <v>0</v>
      </c>
      <c r="Y165" s="13">
        <f>DISTRIBUSI!Y166</f>
        <v>0</v>
      </c>
      <c r="Z165" s="13">
        <f t="shared" si="4"/>
        <v>4</v>
      </c>
    </row>
    <row r="166" spans="1:26" ht="20.149999999999999" customHeight="1" x14ac:dyDescent="0.35">
      <c r="A166" s="59">
        <f t="shared" si="5"/>
        <v>158</v>
      </c>
      <c r="B166" s="142" t="s">
        <v>138</v>
      </c>
      <c r="C166" s="165" t="s">
        <v>108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3">
        <f>APOTIK!G165</f>
        <v>0</v>
      </c>
      <c r="S166" s="13">
        <f>DISTRIBUSI!S167</f>
        <v>12</v>
      </c>
      <c r="T166" s="12"/>
      <c r="U166" s="13">
        <f>DISTRIBUSI!U167</f>
        <v>0</v>
      </c>
      <c r="V166" s="13">
        <f>DISTRIBUSI!V167</f>
        <v>0</v>
      </c>
      <c r="W166" s="13">
        <f>DISTRIBUSI!W167</f>
        <v>0</v>
      </c>
      <c r="X166" s="13">
        <f>DISTRIBUSI!X167</f>
        <v>0</v>
      </c>
      <c r="Y166" s="13">
        <f>DISTRIBUSI!Y167</f>
        <v>0</v>
      </c>
      <c r="Z166" s="13">
        <f t="shared" si="4"/>
        <v>12</v>
      </c>
    </row>
    <row r="167" spans="1:26" ht="20.149999999999999" customHeight="1" x14ac:dyDescent="0.35">
      <c r="A167" s="59">
        <f t="shared" si="5"/>
        <v>159</v>
      </c>
      <c r="B167" s="142" t="s">
        <v>139</v>
      </c>
      <c r="C167" s="165" t="s">
        <v>108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3">
        <f>APOTIK!G166</f>
        <v>0</v>
      </c>
      <c r="S167" s="13">
        <f>DISTRIBUSI!S168</f>
        <v>0</v>
      </c>
      <c r="T167" s="12"/>
      <c r="U167" s="13">
        <f>DISTRIBUSI!U168</f>
        <v>0</v>
      </c>
      <c r="V167" s="13">
        <f>DISTRIBUSI!V168</f>
        <v>50</v>
      </c>
      <c r="W167" s="13">
        <f>DISTRIBUSI!W168</f>
        <v>0</v>
      </c>
      <c r="X167" s="13">
        <f>DISTRIBUSI!X168</f>
        <v>0</v>
      </c>
      <c r="Y167" s="13">
        <f>DISTRIBUSI!Y168</f>
        <v>0</v>
      </c>
      <c r="Z167" s="13">
        <f t="shared" si="4"/>
        <v>50</v>
      </c>
    </row>
    <row r="168" spans="1:26" ht="20.149999999999999" customHeight="1" x14ac:dyDescent="0.35">
      <c r="A168" s="59">
        <f t="shared" si="5"/>
        <v>160</v>
      </c>
      <c r="B168" s="142" t="s">
        <v>140</v>
      </c>
      <c r="C168" s="115" t="s">
        <v>108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3">
        <f>APOTIK!G167</f>
        <v>0</v>
      </c>
      <c r="S168" s="13">
        <f>DISTRIBUSI!S169</f>
        <v>0</v>
      </c>
      <c r="T168" s="12"/>
      <c r="U168" s="13">
        <f>DISTRIBUSI!U169</f>
        <v>0</v>
      </c>
      <c r="V168" s="13">
        <f>DISTRIBUSI!V169</f>
        <v>50</v>
      </c>
      <c r="W168" s="13">
        <f>DISTRIBUSI!W169</f>
        <v>0</v>
      </c>
      <c r="X168" s="13">
        <f>DISTRIBUSI!X169</f>
        <v>0</v>
      </c>
      <c r="Y168" s="13">
        <f>DISTRIBUSI!Y169</f>
        <v>0</v>
      </c>
      <c r="Z168" s="13">
        <f t="shared" si="4"/>
        <v>50</v>
      </c>
    </row>
    <row r="169" spans="1:26" ht="20.149999999999999" customHeight="1" x14ac:dyDescent="0.35">
      <c r="A169" s="59">
        <f t="shared" si="5"/>
        <v>161</v>
      </c>
      <c r="B169" s="142" t="s">
        <v>141</v>
      </c>
      <c r="C169" s="115" t="s">
        <v>108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3">
        <f>APOTIK!G168</f>
        <v>0</v>
      </c>
      <c r="S169" s="13">
        <f>DISTRIBUSI!S170</f>
        <v>0</v>
      </c>
      <c r="T169" s="12"/>
      <c r="U169" s="13">
        <f>DISTRIBUSI!U170</f>
        <v>0</v>
      </c>
      <c r="V169" s="13">
        <f>DISTRIBUSI!V170</f>
        <v>0</v>
      </c>
      <c r="W169" s="13">
        <f>DISTRIBUSI!W170</f>
        <v>0</v>
      </c>
      <c r="X169" s="13">
        <f>DISTRIBUSI!X170</f>
        <v>0</v>
      </c>
      <c r="Y169" s="13">
        <f>DISTRIBUSI!Y170</f>
        <v>0</v>
      </c>
      <c r="Z169" s="13">
        <f t="shared" si="4"/>
        <v>0</v>
      </c>
    </row>
    <row r="170" spans="1:26" ht="20.149999999999999" customHeight="1" x14ac:dyDescent="0.35">
      <c r="A170" s="59">
        <f t="shared" si="5"/>
        <v>162</v>
      </c>
      <c r="B170" s="142" t="s">
        <v>144</v>
      </c>
      <c r="C170" s="121" t="s">
        <v>108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3">
        <f>APOTIK!G169</f>
        <v>0</v>
      </c>
      <c r="S170" s="13">
        <f>DISTRIBUSI!S171</f>
        <v>200</v>
      </c>
      <c r="T170" s="12"/>
      <c r="U170" s="13">
        <f>DISTRIBUSI!U171</f>
        <v>0</v>
      </c>
      <c r="V170" s="13">
        <f>DISTRIBUSI!V171</f>
        <v>0</v>
      </c>
      <c r="W170" s="13">
        <f>DISTRIBUSI!W171</f>
        <v>0</v>
      </c>
      <c r="X170" s="13">
        <f>DISTRIBUSI!X171</f>
        <v>0</v>
      </c>
      <c r="Y170" s="13">
        <f>DISTRIBUSI!Y171</f>
        <v>0</v>
      </c>
      <c r="Z170" s="13">
        <f t="shared" si="4"/>
        <v>200</v>
      </c>
    </row>
    <row r="171" spans="1:26" ht="20.149999999999999" customHeight="1" x14ac:dyDescent="0.35">
      <c r="A171" s="59">
        <f t="shared" si="5"/>
        <v>163</v>
      </c>
      <c r="B171" s="142" t="s">
        <v>143</v>
      </c>
      <c r="C171" s="121" t="s">
        <v>108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3">
        <f>APOTIK!G170</f>
        <v>0</v>
      </c>
      <c r="S171" s="13">
        <f>DISTRIBUSI!S172</f>
        <v>400</v>
      </c>
      <c r="T171" s="12"/>
      <c r="U171" s="13">
        <f>DISTRIBUSI!U172</f>
        <v>300</v>
      </c>
      <c r="V171" s="13">
        <f>DISTRIBUSI!V172</f>
        <v>300</v>
      </c>
      <c r="W171" s="13">
        <f>DISTRIBUSI!W172</f>
        <v>300</v>
      </c>
      <c r="X171" s="13">
        <f>DISTRIBUSI!X172</f>
        <v>0</v>
      </c>
      <c r="Y171" s="13">
        <f>DISTRIBUSI!Y172</f>
        <v>200</v>
      </c>
      <c r="Z171" s="13">
        <f t="shared" si="4"/>
        <v>1500</v>
      </c>
    </row>
    <row r="172" spans="1:26" ht="20.149999999999999" customHeight="1" x14ac:dyDescent="0.35">
      <c r="A172" s="59">
        <f t="shared" si="5"/>
        <v>164</v>
      </c>
      <c r="B172" s="142" t="s">
        <v>142</v>
      </c>
      <c r="C172" s="126" t="s">
        <v>108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3">
        <f>APOTIK!G171</f>
        <v>0</v>
      </c>
      <c r="S172" s="13">
        <f>DISTRIBUSI!S173</f>
        <v>400</v>
      </c>
      <c r="T172" s="12"/>
      <c r="U172" s="13">
        <f>DISTRIBUSI!U173</f>
        <v>200</v>
      </c>
      <c r="V172" s="13">
        <f>DISTRIBUSI!V173</f>
        <v>200</v>
      </c>
      <c r="W172" s="13">
        <f>DISTRIBUSI!W173</f>
        <v>100</v>
      </c>
      <c r="X172" s="13">
        <f>DISTRIBUSI!X173</f>
        <v>500</v>
      </c>
      <c r="Y172" s="13">
        <f>DISTRIBUSI!Y173</f>
        <v>100</v>
      </c>
      <c r="Z172" s="13">
        <f t="shared" si="4"/>
        <v>1500</v>
      </c>
    </row>
    <row r="173" spans="1:26" ht="20.149999999999999" customHeight="1" x14ac:dyDescent="0.35">
      <c r="A173" s="59">
        <f t="shared" si="5"/>
        <v>165</v>
      </c>
      <c r="B173" s="142" t="s">
        <v>145</v>
      </c>
      <c r="C173" s="121" t="s">
        <v>212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3">
        <f>APOTIK!G172</f>
        <v>0</v>
      </c>
      <c r="S173" s="13">
        <f>DISTRIBUSI!S174</f>
        <v>400</v>
      </c>
      <c r="T173" s="12"/>
      <c r="U173" s="13">
        <f>DISTRIBUSI!U174</f>
        <v>200</v>
      </c>
      <c r="V173" s="13">
        <f>DISTRIBUSI!V174</f>
        <v>200</v>
      </c>
      <c r="W173" s="13">
        <f>DISTRIBUSI!W174</f>
        <v>250</v>
      </c>
      <c r="X173" s="13">
        <f>DISTRIBUSI!X174</f>
        <v>0</v>
      </c>
      <c r="Y173" s="13">
        <f>DISTRIBUSI!Y174</f>
        <v>100</v>
      </c>
      <c r="Z173" s="13">
        <f t="shared" si="4"/>
        <v>1150</v>
      </c>
    </row>
    <row r="174" spans="1:26" ht="18" x14ac:dyDescent="0.35">
      <c r="A174" s="59">
        <f t="shared" si="5"/>
        <v>166</v>
      </c>
      <c r="B174" s="142" t="s">
        <v>146</v>
      </c>
      <c r="C174" s="156" t="s">
        <v>212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3">
        <f>APOTIK!G173</f>
        <v>0</v>
      </c>
      <c r="S174" s="13">
        <f>DISTRIBUSI!S175</f>
        <v>0</v>
      </c>
      <c r="T174" s="12"/>
      <c r="U174" s="13">
        <f>DISTRIBUSI!U175</f>
        <v>0</v>
      </c>
      <c r="V174" s="13">
        <f>DISTRIBUSI!V175</f>
        <v>0</v>
      </c>
      <c r="W174" s="13">
        <f>DISTRIBUSI!W175</f>
        <v>0</v>
      </c>
      <c r="X174" s="13">
        <f>DISTRIBUSI!X175</f>
        <v>0</v>
      </c>
      <c r="Y174" s="13">
        <f>DISTRIBUSI!Y175</f>
        <v>0</v>
      </c>
      <c r="Z174" s="13">
        <f t="shared" si="4"/>
        <v>0</v>
      </c>
    </row>
    <row r="175" spans="1:26" ht="18" x14ac:dyDescent="0.35">
      <c r="A175" s="59">
        <f t="shared" si="5"/>
        <v>167</v>
      </c>
      <c r="B175" s="142" t="s">
        <v>147</v>
      </c>
      <c r="C175" s="156" t="s">
        <v>212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3">
        <f>APOTIK!G174</f>
        <v>0</v>
      </c>
      <c r="S175" s="13">
        <f>DISTRIBUSI!S176</f>
        <v>0</v>
      </c>
      <c r="T175" s="12"/>
      <c r="U175" s="13">
        <f>DISTRIBUSI!U176</f>
        <v>0</v>
      </c>
      <c r="V175" s="13">
        <f>DISTRIBUSI!V176</f>
        <v>0</v>
      </c>
      <c r="W175" s="13">
        <f>DISTRIBUSI!W176</f>
        <v>0</v>
      </c>
      <c r="X175" s="13">
        <f>DISTRIBUSI!X176</f>
        <v>0</v>
      </c>
      <c r="Y175" s="13">
        <f>DISTRIBUSI!Y176</f>
        <v>0</v>
      </c>
      <c r="Z175" s="13">
        <f t="shared" si="4"/>
        <v>0</v>
      </c>
    </row>
    <row r="176" spans="1:26" ht="18" x14ac:dyDescent="0.35">
      <c r="A176" s="59"/>
      <c r="B176" s="142"/>
      <c r="C176" s="156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3">
        <f>APOTIK!G175</f>
        <v>0</v>
      </c>
      <c r="S176" s="13">
        <f>DISTRIBUSI!S177</f>
        <v>0</v>
      </c>
      <c r="T176" s="12"/>
      <c r="U176" s="13">
        <f>DISTRIBUSI!U177</f>
        <v>0</v>
      </c>
      <c r="V176" s="13">
        <f>DISTRIBUSI!V177</f>
        <v>0</v>
      </c>
      <c r="W176" s="13">
        <f>DISTRIBUSI!W177</f>
        <v>0</v>
      </c>
      <c r="X176" s="13">
        <f>DISTRIBUSI!X177</f>
        <v>0</v>
      </c>
      <c r="Y176" s="13">
        <f>DISTRIBUSI!Y177</f>
        <v>0</v>
      </c>
      <c r="Z176" s="13">
        <f t="shared" si="4"/>
        <v>0</v>
      </c>
    </row>
    <row r="177" spans="1:26" ht="18" x14ac:dyDescent="0.35">
      <c r="A177" s="59"/>
      <c r="B177" s="142"/>
      <c r="C177" s="156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3">
        <f>APOTIK!G176</f>
        <v>0</v>
      </c>
      <c r="S177" s="13">
        <f>DISTRIBUSI!S178</f>
        <v>0</v>
      </c>
      <c r="T177" s="12"/>
      <c r="U177" s="13">
        <f>DISTRIBUSI!U178</f>
        <v>0</v>
      </c>
      <c r="V177" s="13">
        <f>DISTRIBUSI!V178</f>
        <v>0</v>
      </c>
      <c r="W177" s="13">
        <f>DISTRIBUSI!W178</f>
        <v>0</v>
      </c>
      <c r="X177" s="13">
        <f>DISTRIBUSI!X178</f>
        <v>0</v>
      </c>
      <c r="Y177" s="13">
        <f>DISTRIBUSI!Y178</f>
        <v>0</v>
      </c>
      <c r="Z177" s="13">
        <f t="shared" si="4"/>
        <v>0</v>
      </c>
    </row>
    <row r="178" spans="1:26" ht="18" x14ac:dyDescent="0.35">
      <c r="A178" s="59"/>
      <c r="B178" s="142"/>
      <c r="C178" s="156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3">
        <f>APOTIK!G177</f>
        <v>0</v>
      </c>
      <c r="S178" s="13">
        <f>DISTRIBUSI!S179</f>
        <v>0</v>
      </c>
      <c r="T178" s="12"/>
      <c r="U178" s="13">
        <f>DISTRIBUSI!U179</f>
        <v>0</v>
      </c>
      <c r="V178" s="13">
        <f>DISTRIBUSI!V179</f>
        <v>0</v>
      </c>
      <c r="W178" s="13">
        <f>DISTRIBUSI!W179</f>
        <v>0</v>
      </c>
      <c r="X178" s="13">
        <f>DISTRIBUSI!X179</f>
        <v>0</v>
      </c>
      <c r="Y178" s="13">
        <f>DISTRIBUSI!Y179</f>
        <v>0</v>
      </c>
      <c r="Z178" s="13">
        <f t="shared" si="4"/>
        <v>0</v>
      </c>
    </row>
    <row r="179" spans="1:26" ht="16.5" x14ac:dyDescent="0.35">
      <c r="A179" s="59"/>
      <c r="B179" s="142"/>
      <c r="C179" s="106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3">
        <f>APOTIK!G178</f>
        <v>0</v>
      </c>
      <c r="S179" s="13">
        <f>DISTRIBUSI!S180</f>
        <v>0</v>
      </c>
      <c r="T179" s="12"/>
      <c r="U179" s="13">
        <f>DISTRIBUSI!U180</f>
        <v>0</v>
      </c>
      <c r="V179" s="13">
        <f>DISTRIBUSI!V180</f>
        <v>0</v>
      </c>
      <c r="W179" s="13">
        <f>DISTRIBUSI!W180</f>
        <v>0</v>
      </c>
      <c r="X179" s="13">
        <f>DISTRIBUSI!X180</f>
        <v>0</v>
      </c>
      <c r="Y179" s="13">
        <f>DISTRIBUSI!Y180</f>
        <v>0</v>
      </c>
      <c r="Z179" s="13">
        <f t="shared" si="4"/>
        <v>0</v>
      </c>
    </row>
    <row r="180" spans="1:26" ht="16.5" x14ac:dyDescent="0.35">
      <c r="A180" s="59"/>
      <c r="B180" s="142"/>
      <c r="C180" s="106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3">
        <f>APOTIK!G179</f>
        <v>0</v>
      </c>
      <c r="S180" s="13">
        <f>DISTRIBUSI!S181</f>
        <v>0</v>
      </c>
      <c r="T180" s="12"/>
      <c r="U180" s="13">
        <f>DISTRIBUSI!U181</f>
        <v>0</v>
      </c>
      <c r="V180" s="13">
        <f>DISTRIBUSI!V181</f>
        <v>0</v>
      </c>
      <c r="W180" s="13">
        <f>DISTRIBUSI!W181</f>
        <v>0</v>
      </c>
      <c r="X180" s="13">
        <f>DISTRIBUSI!X181</f>
        <v>0</v>
      </c>
      <c r="Y180" s="13">
        <f>DISTRIBUSI!Y181</f>
        <v>0</v>
      </c>
      <c r="Z180" s="13">
        <f t="shared" si="4"/>
        <v>0</v>
      </c>
    </row>
    <row r="181" spans="1:26" ht="20.149999999999999" customHeight="1" x14ac:dyDescent="0.35">
      <c r="A181" s="208" t="s">
        <v>313</v>
      </c>
      <c r="B181" s="203"/>
      <c r="C181" s="106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3">
        <f>APOTIK!G180</f>
        <v>0</v>
      </c>
      <c r="S181" s="13">
        <f>DISTRIBUSI!S182</f>
        <v>0</v>
      </c>
      <c r="T181" s="12"/>
      <c r="U181" s="13">
        <f>DISTRIBUSI!U182</f>
        <v>0</v>
      </c>
      <c r="V181" s="13">
        <f>DISTRIBUSI!V182</f>
        <v>0</v>
      </c>
      <c r="W181" s="13">
        <f>DISTRIBUSI!W182</f>
        <v>0</v>
      </c>
      <c r="X181" s="13">
        <f>DISTRIBUSI!X182</f>
        <v>0</v>
      </c>
      <c r="Y181" s="13">
        <f>DISTRIBUSI!Y182</f>
        <v>0</v>
      </c>
      <c r="Z181" s="13">
        <f t="shared" si="4"/>
        <v>0</v>
      </c>
    </row>
    <row r="182" spans="1:26" ht="20.149999999999999" customHeight="1" x14ac:dyDescent="0.5">
      <c r="A182" s="187">
        <v>1</v>
      </c>
      <c r="B182" s="145" t="s">
        <v>309</v>
      </c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3">
        <f>APOTIK!G181</f>
        <v>0</v>
      </c>
      <c r="S182" s="13">
        <f>DISTRIBUSI!S183</f>
        <v>0</v>
      </c>
      <c r="T182" s="12"/>
      <c r="U182" s="13">
        <f>DISTRIBUSI!U183</f>
        <v>0</v>
      </c>
      <c r="V182" s="13">
        <f>DISTRIBUSI!V183</f>
        <v>0</v>
      </c>
      <c r="W182" s="13">
        <f>DISTRIBUSI!W183</f>
        <v>0</v>
      </c>
      <c r="X182" s="13">
        <f>DISTRIBUSI!X183</f>
        <v>0</v>
      </c>
      <c r="Y182" s="13">
        <f>DISTRIBUSI!Y183</f>
        <v>0</v>
      </c>
      <c r="Z182" s="13">
        <f t="shared" si="4"/>
        <v>0</v>
      </c>
    </row>
    <row r="183" spans="1:26" ht="15.5" x14ac:dyDescent="0.35">
      <c r="A183" s="11">
        <v>2</v>
      </c>
      <c r="B183" s="178" t="s">
        <v>148</v>
      </c>
      <c r="C183" s="144" t="s">
        <v>177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3">
        <f>APOTIK!G182</f>
        <v>0</v>
      </c>
      <c r="S183" s="13">
        <f>DISTRIBUSI!S184</f>
        <v>0</v>
      </c>
      <c r="T183" s="12"/>
      <c r="U183" s="13">
        <f>DISTRIBUSI!U184</f>
        <v>0</v>
      </c>
      <c r="V183" s="13">
        <f>DISTRIBUSI!V184</f>
        <v>0</v>
      </c>
      <c r="W183" s="13">
        <f>DISTRIBUSI!W184</f>
        <v>0</v>
      </c>
      <c r="X183" s="13">
        <f>DISTRIBUSI!X184</f>
        <v>0</v>
      </c>
      <c r="Y183" s="13">
        <f>DISTRIBUSI!Y184</f>
        <v>0</v>
      </c>
      <c r="Z183" s="13">
        <f t="shared" si="4"/>
        <v>0</v>
      </c>
    </row>
    <row r="184" spans="1:26" ht="20.149999999999999" customHeight="1" x14ac:dyDescent="0.35">
      <c r="A184" s="11">
        <v>3</v>
      </c>
      <c r="B184" s="178" t="s">
        <v>391</v>
      </c>
      <c r="C184" s="144" t="s">
        <v>48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3">
        <f>APOTIK!G183</f>
        <v>0</v>
      </c>
      <c r="S184" s="13">
        <f>DISTRIBUSI!S185</f>
        <v>0</v>
      </c>
      <c r="T184" s="12"/>
      <c r="U184" s="13">
        <f>DISTRIBUSI!U185</f>
        <v>0</v>
      </c>
      <c r="V184" s="13">
        <f>DISTRIBUSI!V185</f>
        <v>0</v>
      </c>
      <c r="W184" s="13">
        <f>DISTRIBUSI!W185</f>
        <v>0</v>
      </c>
      <c r="X184" s="13">
        <f>DISTRIBUSI!X185</f>
        <v>0</v>
      </c>
      <c r="Y184" s="13">
        <f>DISTRIBUSI!Y185</f>
        <v>0</v>
      </c>
      <c r="Z184" s="13">
        <f t="shared" si="4"/>
        <v>0</v>
      </c>
    </row>
    <row r="185" spans="1:26" ht="20.149999999999999" customHeight="1" x14ac:dyDescent="0.35">
      <c r="A185" s="11">
        <v>4</v>
      </c>
      <c r="B185" s="178" t="s">
        <v>283</v>
      </c>
      <c r="C185" s="144" t="s">
        <v>6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3">
        <f>APOTIK!G184</f>
        <v>0</v>
      </c>
      <c r="S185" s="13">
        <f>DISTRIBUSI!S186</f>
        <v>0</v>
      </c>
      <c r="T185" s="12"/>
      <c r="U185" s="13">
        <f>DISTRIBUSI!U186</f>
        <v>0</v>
      </c>
      <c r="V185" s="13">
        <f>DISTRIBUSI!V186</f>
        <v>0</v>
      </c>
      <c r="W185" s="13">
        <f>DISTRIBUSI!W186</f>
        <v>0</v>
      </c>
      <c r="X185" s="13">
        <f>DISTRIBUSI!X186</f>
        <v>0</v>
      </c>
      <c r="Y185" s="13">
        <f>DISTRIBUSI!Y186</f>
        <v>0</v>
      </c>
      <c r="Z185" s="13">
        <f t="shared" si="4"/>
        <v>0</v>
      </c>
    </row>
    <row r="186" spans="1:26" ht="20.149999999999999" customHeight="1" x14ac:dyDescent="0.35">
      <c r="A186" s="11">
        <v>5</v>
      </c>
      <c r="B186" s="178" t="s">
        <v>392</v>
      </c>
      <c r="C186" s="144" t="s">
        <v>177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3">
        <f>APOTIK!G185</f>
        <v>0</v>
      </c>
      <c r="S186" s="13">
        <f>DISTRIBUSI!S187</f>
        <v>0</v>
      </c>
      <c r="T186" s="12"/>
      <c r="U186" s="13">
        <f>DISTRIBUSI!U187</f>
        <v>0</v>
      </c>
      <c r="V186" s="13">
        <f>DISTRIBUSI!V187</f>
        <v>0</v>
      </c>
      <c r="W186" s="13">
        <f>DISTRIBUSI!W187</f>
        <v>0</v>
      </c>
      <c r="X186" s="13">
        <f>DISTRIBUSI!X187</f>
        <v>0</v>
      </c>
      <c r="Y186" s="13">
        <f>DISTRIBUSI!Y187</f>
        <v>0</v>
      </c>
      <c r="Z186" s="13">
        <f t="shared" si="4"/>
        <v>0</v>
      </c>
    </row>
    <row r="187" spans="1:26" ht="20.149999999999999" customHeight="1" x14ac:dyDescent="0.35">
      <c r="A187" s="11">
        <v>6</v>
      </c>
      <c r="B187" s="178" t="s">
        <v>176</v>
      </c>
      <c r="C187" s="144" t="s">
        <v>33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3">
        <f>APOTIK!G186</f>
        <v>0</v>
      </c>
      <c r="S187" s="13">
        <f>DISTRIBUSI!S188</f>
        <v>0</v>
      </c>
      <c r="T187" s="12"/>
      <c r="U187" s="13">
        <f>DISTRIBUSI!U188</f>
        <v>0</v>
      </c>
      <c r="V187" s="13">
        <f>DISTRIBUSI!V188</f>
        <v>0</v>
      </c>
      <c r="W187" s="13">
        <f>DISTRIBUSI!W188</f>
        <v>0</v>
      </c>
      <c r="X187" s="13">
        <f>DISTRIBUSI!X188</f>
        <v>0</v>
      </c>
      <c r="Y187" s="13">
        <f>DISTRIBUSI!Y188</f>
        <v>0</v>
      </c>
      <c r="Z187" s="13">
        <f t="shared" si="4"/>
        <v>0</v>
      </c>
    </row>
    <row r="188" spans="1:26" ht="20.149999999999999" customHeight="1" x14ac:dyDescent="0.35">
      <c r="A188" s="11">
        <v>7</v>
      </c>
      <c r="B188" s="181" t="s">
        <v>175</v>
      </c>
      <c r="C188" s="144" t="s">
        <v>33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3">
        <f>APOTIK!G187</f>
        <v>0</v>
      </c>
      <c r="S188" s="13">
        <f>DISTRIBUSI!S189</f>
        <v>0</v>
      </c>
      <c r="T188" s="12"/>
      <c r="U188" s="13">
        <f>DISTRIBUSI!U189</f>
        <v>0</v>
      </c>
      <c r="V188" s="13">
        <f>DISTRIBUSI!V189</f>
        <v>0</v>
      </c>
      <c r="W188" s="13">
        <f>DISTRIBUSI!W189</f>
        <v>0</v>
      </c>
      <c r="X188" s="13">
        <f>DISTRIBUSI!X189</f>
        <v>0</v>
      </c>
      <c r="Y188" s="13">
        <f>DISTRIBUSI!Y189</f>
        <v>0</v>
      </c>
      <c r="Z188" s="13">
        <f t="shared" si="4"/>
        <v>0</v>
      </c>
    </row>
    <row r="189" spans="1:26" ht="20.149999999999999" customHeight="1" x14ac:dyDescent="0.35">
      <c r="A189" s="11">
        <v>8</v>
      </c>
      <c r="B189" s="178"/>
      <c r="C189" s="14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3">
        <f>APOTIK!G188</f>
        <v>0</v>
      </c>
      <c r="S189" s="13">
        <f>DISTRIBUSI!S190</f>
        <v>0</v>
      </c>
      <c r="T189" s="12"/>
      <c r="U189" s="13">
        <f>DISTRIBUSI!U190</f>
        <v>0</v>
      </c>
      <c r="V189" s="13">
        <f>DISTRIBUSI!V190</f>
        <v>0</v>
      </c>
      <c r="W189" s="13">
        <f>DISTRIBUSI!W190</f>
        <v>0</v>
      </c>
      <c r="X189" s="13">
        <f>DISTRIBUSI!X190</f>
        <v>0</v>
      </c>
      <c r="Y189" s="13">
        <f>DISTRIBUSI!Y190</f>
        <v>0</v>
      </c>
      <c r="Z189" s="13">
        <f t="shared" si="4"/>
        <v>0</v>
      </c>
    </row>
    <row r="190" spans="1:26" ht="15.5" x14ac:dyDescent="0.35">
      <c r="A190" s="11">
        <v>9</v>
      </c>
      <c r="B190" s="178"/>
      <c r="C190" s="14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3">
        <f>APOTIK!G189</f>
        <v>0</v>
      </c>
      <c r="S190" s="13">
        <f>DISTRIBUSI!S191</f>
        <v>0</v>
      </c>
      <c r="T190" s="12"/>
      <c r="U190" s="13">
        <f>DISTRIBUSI!U191</f>
        <v>0</v>
      </c>
      <c r="V190" s="13">
        <f>DISTRIBUSI!V191</f>
        <v>0</v>
      </c>
      <c r="W190" s="13">
        <f>DISTRIBUSI!W191</f>
        <v>0</v>
      </c>
      <c r="X190" s="13">
        <f>DISTRIBUSI!X191</f>
        <v>0</v>
      </c>
      <c r="Y190" s="13">
        <f>DISTRIBUSI!Y191</f>
        <v>0</v>
      </c>
      <c r="Z190" s="13">
        <f t="shared" si="4"/>
        <v>0</v>
      </c>
    </row>
    <row r="191" spans="1:26" ht="20.149999999999999" customHeight="1" x14ac:dyDescent="0.35">
      <c r="A191" s="11">
        <v>10</v>
      </c>
      <c r="B191" s="178"/>
      <c r="C191" s="14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3">
        <f>APOTIK!G190</f>
        <v>0</v>
      </c>
      <c r="S191" s="13">
        <f>DISTRIBUSI!S192</f>
        <v>0</v>
      </c>
      <c r="T191" s="12"/>
      <c r="U191" s="13">
        <f>DISTRIBUSI!U192</f>
        <v>0</v>
      </c>
      <c r="V191" s="13">
        <f>DISTRIBUSI!V192</f>
        <v>0</v>
      </c>
      <c r="W191" s="13">
        <f>DISTRIBUSI!W192</f>
        <v>0</v>
      </c>
      <c r="X191" s="13">
        <f>DISTRIBUSI!X192</f>
        <v>0</v>
      </c>
      <c r="Y191" s="13">
        <f>DISTRIBUSI!Y192</f>
        <v>0</v>
      </c>
      <c r="Z191" s="13">
        <f t="shared" si="4"/>
        <v>0</v>
      </c>
    </row>
    <row r="192" spans="1:26" ht="20.149999999999999" customHeight="1" x14ac:dyDescent="0.35">
      <c r="A192" s="187">
        <v>11</v>
      </c>
      <c r="B192" s="188" t="s">
        <v>178</v>
      </c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3">
        <f>APOTIK!G191</f>
        <v>0</v>
      </c>
      <c r="S192" s="13">
        <f>DISTRIBUSI!S193</f>
        <v>0</v>
      </c>
      <c r="T192" s="12"/>
      <c r="U192" s="13">
        <f>DISTRIBUSI!U193</f>
        <v>0</v>
      </c>
      <c r="V192" s="13">
        <f>DISTRIBUSI!V193</f>
        <v>0</v>
      </c>
      <c r="W192" s="13">
        <f>DISTRIBUSI!W193</f>
        <v>0</v>
      </c>
      <c r="X192" s="13">
        <f>DISTRIBUSI!X193</f>
        <v>0</v>
      </c>
      <c r="Y192" s="13">
        <f>DISTRIBUSI!Y193</f>
        <v>0</v>
      </c>
      <c r="Z192" s="13">
        <f t="shared" si="4"/>
        <v>0</v>
      </c>
    </row>
    <row r="193" spans="1:26" ht="20.149999999999999" customHeight="1" x14ac:dyDescent="0.35">
      <c r="A193" s="11">
        <v>12</v>
      </c>
      <c r="B193" s="182" t="s">
        <v>179</v>
      </c>
      <c r="C193" s="144" t="s">
        <v>4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3">
        <f>APOTIK!G192</f>
        <v>0</v>
      </c>
      <c r="S193" s="13">
        <f>DISTRIBUSI!S194</f>
        <v>0</v>
      </c>
      <c r="T193" s="12"/>
      <c r="U193" s="13">
        <f>DISTRIBUSI!U194</f>
        <v>0</v>
      </c>
      <c r="V193" s="13">
        <f>DISTRIBUSI!V194</f>
        <v>0</v>
      </c>
      <c r="W193" s="13">
        <f>DISTRIBUSI!W194</f>
        <v>0</v>
      </c>
      <c r="X193" s="13">
        <f>DISTRIBUSI!X194</f>
        <v>0</v>
      </c>
      <c r="Y193" s="13">
        <f>DISTRIBUSI!Y194</f>
        <v>0</v>
      </c>
      <c r="Z193" s="13">
        <f t="shared" si="4"/>
        <v>0</v>
      </c>
    </row>
    <row r="194" spans="1:26" ht="20.149999999999999" customHeight="1" x14ac:dyDescent="0.35">
      <c r="A194" s="11">
        <v>13</v>
      </c>
      <c r="B194" s="183" t="s">
        <v>181</v>
      </c>
      <c r="C194" s="144" t="s">
        <v>182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3">
        <f>APOTIK!G193</f>
        <v>0</v>
      </c>
      <c r="S194" s="13">
        <f>DISTRIBUSI!S195</f>
        <v>0</v>
      </c>
      <c r="T194" s="12"/>
      <c r="U194" s="13">
        <f>DISTRIBUSI!U195</f>
        <v>0</v>
      </c>
      <c r="V194" s="13">
        <f>DISTRIBUSI!V195</f>
        <v>0</v>
      </c>
      <c r="W194" s="13">
        <f>DISTRIBUSI!W195</f>
        <v>0</v>
      </c>
      <c r="X194" s="13">
        <f>DISTRIBUSI!X195</f>
        <v>0</v>
      </c>
      <c r="Y194" s="13">
        <f>DISTRIBUSI!Y195</f>
        <v>0</v>
      </c>
      <c r="Z194" s="13">
        <f t="shared" si="4"/>
        <v>0</v>
      </c>
    </row>
    <row r="195" spans="1:26" ht="20.149999999999999" customHeight="1" x14ac:dyDescent="0.35">
      <c r="A195" s="11">
        <v>14</v>
      </c>
      <c r="B195" s="183" t="s">
        <v>184</v>
      </c>
      <c r="C195" s="144" t="s">
        <v>4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3">
        <f>APOTIK!G194</f>
        <v>0</v>
      </c>
      <c r="S195" s="13">
        <f>DISTRIBUSI!S196</f>
        <v>0</v>
      </c>
      <c r="T195" s="12"/>
      <c r="U195" s="13">
        <f>DISTRIBUSI!U196</f>
        <v>0</v>
      </c>
      <c r="V195" s="13">
        <f>DISTRIBUSI!V196</f>
        <v>0</v>
      </c>
      <c r="W195" s="13">
        <f>DISTRIBUSI!W196</f>
        <v>0</v>
      </c>
      <c r="X195" s="13">
        <f>DISTRIBUSI!X196</f>
        <v>0</v>
      </c>
      <c r="Y195" s="13">
        <f>DISTRIBUSI!Y196</f>
        <v>0</v>
      </c>
      <c r="Z195" s="13">
        <f t="shared" si="4"/>
        <v>0</v>
      </c>
    </row>
    <row r="196" spans="1:26" ht="20.149999999999999" customHeight="1" x14ac:dyDescent="0.35">
      <c r="A196" s="11">
        <v>15</v>
      </c>
      <c r="B196" s="183" t="s">
        <v>353</v>
      </c>
      <c r="C196" s="144" t="s">
        <v>48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3">
        <f>APOTIK!G195</f>
        <v>0</v>
      </c>
      <c r="S196" s="13">
        <f>DISTRIBUSI!S197</f>
        <v>0</v>
      </c>
      <c r="T196" s="12"/>
      <c r="U196" s="13">
        <f>DISTRIBUSI!U197</f>
        <v>0</v>
      </c>
      <c r="V196" s="13">
        <f>DISTRIBUSI!V197</f>
        <v>0</v>
      </c>
      <c r="W196" s="13">
        <f>DISTRIBUSI!W197</f>
        <v>0</v>
      </c>
      <c r="X196" s="13">
        <f>DISTRIBUSI!X197</f>
        <v>0</v>
      </c>
      <c r="Y196" s="13">
        <f>DISTRIBUSI!Y197</f>
        <v>0</v>
      </c>
      <c r="Z196" s="13">
        <f t="shared" si="4"/>
        <v>0</v>
      </c>
    </row>
    <row r="197" spans="1:26" ht="20.149999999999999" customHeight="1" x14ac:dyDescent="0.35">
      <c r="A197" s="11">
        <v>16</v>
      </c>
      <c r="B197" s="178" t="s">
        <v>183</v>
      </c>
      <c r="C197" s="144" t="s">
        <v>4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3">
        <f>APOTIK!G196</f>
        <v>0</v>
      </c>
      <c r="S197" s="13">
        <f>DISTRIBUSI!S198</f>
        <v>0</v>
      </c>
      <c r="T197" s="12"/>
      <c r="U197" s="13">
        <f>DISTRIBUSI!U198</f>
        <v>0</v>
      </c>
      <c r="V197" s="13">
        <f>DISTRIBUSI!V198</f>
        <v>0</v>
      </c>
      <c r="W197" s="13">
        <f>DISTRIBUSI!W198</f>
        <v>0</v>
      </c>
      <c r="X197" s="13">
        <f>DISTRIBUSI!X198</f>
        <v>0</v>
      </c>
      <c r="Y197" s="13">
        <f>DISTRIBUSI!Y198</f>
        <v>0</v>
      </c>
      <c r="Z197" s="13">
        <f t="shared" si="4"/>
        <v>0</v>
      </c>
    </row>
    <row r="198" spans="1:26" ht="20.149999999999999" customHeight="1" x14ac:dyDescent="0.35">
      <c r="A198" s="11">
        <v>17</v>
      </c>
      <c r="B198" s="178" t="s">
        <v>180</v>
      </c>
      <c r="C198" s="144" t="s">
        <v>4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3">
        <f>APOTIK!G197</f>
        <v>0</v>
      </c>
      <c r="S198" s="13">
        <f>DISTRIBUSI!S199</f>
        <v>0</v>
      </c>
      <c r="T198" s="12"/>
      <c r="U198" s="13">
        <f>DISTRIBUSI!U199</f>
        <v>0</v>
      </c>
      <c r="V198" s="13">
        <f>DISTRIBUSI!V199</f>
        <v>40</v>
      </c>
      <c r="W198" s="13">
        <f>DISTRIBUSI!W199</f>
        <v>0</v>
      </c>
      <c r="X198" s="13">
        <f>DISTRIBUSI!X199</f>
        <v>0</v>
      </c>
      <c r="Y198" s="13">
        <f>DISTRIBUSI!Y199</f>
        <v>0</v>
      </c>
      <c r="Z198" s="13">
        <f t="shared" si="4"/>
        <v>40</v>
      </c>
    </row>
    <row r="199" spans="1:26" ht="20.149999999999999" customHeight="1" x14ac:dyDescent="0.35">
      <c r="A199" s="11">
        <v>18</v>
      </c>
      <c r="B199" s="178" t="s">
        <v>185</v>
      </c>
      <c r="C199" s="144" t="s">
        <v>4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3">
        <f>APOTIK!G198</f>
        <v>0</v>
      </c>
      <c r="S199" s="13">
        <f>DISTRIBUSI!S200</f>
        <v>0</v>
      </c>
      <c r="T199" s="12"/>
      <c r="U199" s="13">
        <f>DISTRIBUSI!U200</f>
        <v>0</v>
      </c>
      <c r="V199" s="13">
        <f>DISTRIBUSI!V200</f>
        <v>0</v>
      </c>
      <c r="W199" s="13">
        <f>DISTRIBUSI!W200</f>
        <v>0</v>
      </c>
      <c r="X199" s="13">
        <f>DISTRIBUSI!X200</f>
        <v>0</v>
      </c>
      <c r="Y199" s="13">
        <f>DISTRIBUSI!Y200</f>
        <v>0</v>
      </c>
      <c r="Z199" s="13">
        <f t="shared" si="4"/>
        <v>0</v>
      </c>
    </row>
    <row r="200" spans="1:26" ht="20.149999999999999" customHeight="1" x14ac:dyDescent="0.35">
      <c r="A200" s="11">
        <v>19</v>
      </c>
      <c r="B200" s="178" t="s">
        <v>267</v>
      </c>
      <c r="C200" s="144" t="s">
        <v>4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3">
        <f>APOTIK!G199</f>
        <v>0</v>
      </c>
      <c r="S200" s="13">
        <f>DISTRIBUSI!S201</f>
        <v>0</v>
      </c>
      <c r="T200" s="12"/>
      <c r="U200" s="13">
        <f>DISTRIBUSI!U201</f>
        <v>0</v>
      </c>
      <c r="V200" s="13">
        <f>DISTRIBUSI!V201</f>
        <v>0</v>
      </c>
      <c r="W200" s="13">
        <f>DISTRIBUSI!W201</f>
        <v>0</v>
      </c>
      <c r="X200" s="13">
        <f>DISTRIBUSI!X201</f>
        <v>0</v>
      </c>
      <c r="Y200" s="13">
        <f>DISTRIBUSI!Y201</f>
        <v>0</v>
      </c>
      <c r="Z200" s="13">
        <f t="shared" si="4"/>
        <v>0</v>
      </c>
    </row>
    <row r="201" spans="1:26" ht="20.149999999999999" customHeight="1" x14ac:dyDescent="0.35">
      <c r="A201" s="11">
        <v>20</v>
      </c>
      <c r="B201" s="178" t="s">
        <v>186</v>
      </c>
      <c r="C201" s="144" t="s">
        <v>4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3">
        <f>APOTIK!G200</f>
        <v>0</v>
      </c>
      <c r="S201" s="13">
        <f>DISTRIBUSI!S202</f>
        <v>0</v>
      </c>
      <c r="T201" s="12"/>
      <c r="U201" s="13">
        <f>DISTRIBUSI!U202</f>
        <v>0</v>
      </c>
      <c r="V201" s="13">
        <f>DISTRIBUSI!V202</f>
        <v>0</v>
      </c>
      <c r="W201" s="13">
        <f>DISTRIBUSI!W202</f>
        <v>0</v>
      </c>
      <c r="X201" s="13">
        <f>DISTRIBUSI!X202</f>
        <v>0</v>
      </c>
      <c r="Y201" s="13">
        <f>DISTRIBUSI!Y202</f>
        <v>0</v>
      </c>
      <c r="Z201" s="13">
        <f t="shared" si="4"/>
        <v>0</v>
      </c>
    </row>
    <row r="202" spans="1:26" ht="20.149999999999999" customHeight="1" x14ac:dyDescent="0.35">
      <c r="A202" s="11">
        <v>21</v>
      </c>
      <c r="B202" s="178" t="s">
        <v>266</v>
      </c>
      <c r="C202" s="144" t="s">
        <v>4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3">
        <f>APOTIK!G201</f>
        <v>0</v>
      </c>
      <c r="S202" s="13">
        <f>DISTRIBUSI!S203</f>
        <v>0</v>
      </c>
      <c r="T202" s="12"/>
      <c r="U202" s="13">
        <f>DISTRIBUSI!U203</f>
        <v>0</v>
      </c>
      <c r="V202" s="13">
        <f>DISTRIBUSI!V203</f>
        <v>20</v>
      </c>
      <c r="W202" s="13">
        <f>DISTRIBUSI!W203</f>
        <v>0</v>
      </c>
      <c r="X202" s="13">
        <f>DISTRIBUSI!X203</f>
        <v>0</v>
      </c>
      <c r="Y202" s="13">
        <f>DISTRIBUSI!Y203</f>
        <v>0</v>
      </c>
      <c r="Z202" s="13">
        <f t="shared" ref="Z202:Z265" si="6">SUM(D202:Y202)</f>
        <v>20</v>
      </c>
    </row>
    <row r="203" spans="1:26" ht="20.149999999999999" customHeight="1" x14ac:dyDescent="0.35">
      <c r="A203" s="11">
        <v>22</v>
      </c>
      <c r="B203" s="178" t="s">
        <v>187</v>
      </c>
      <c r="C203" s="144" t="s">
        <v>188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3">
        <f>APOTIK!G202</f>
        <v>0</v>
      </c>
      <c r="S203" s="13">
        <f>DISTRIBUSI!S204</f>
        <v>0</v>
      </c>
      <c r="T203" s="12"/>
      <c r="U203" s="13">
        <f>DISTRIBUSI!U204</f>
        <v>0</v>
      </c>
      <c r="V203" s="13">
        <f>DISTRIBUSI!V204</f>
        <v>0</v>
      </c>
      <c r="W203" s="13">
        <f>DISTRIBUSI!W204</f>
        <v>0</v>
      </c>
      <c r="X203" s="13">
        <f>DISTRIBUSI!X204</f>
        <v>0</v>
      </c>
      <c r="Y203" s="13">
        <f>DISTRIBUSI!Y204</f>
        <v>0</v>
      </c>
      <c r="Z203" s="13">
        <f t="shared" si="6"/>
        <v>0</v>
      </c>
    </row>
    <row r="204" spans="1:26" ht="20.149999999999999" customHeight="1" x14ac:dyDescent="0.35">
      <c r="A204" s="11">
        <v>23</v>
      </c>
      <c r="B204" s="178" t="s">
        <v>393</v>
      </c>
      <c r="C204" s="14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3">
        <f>APOTIK!G203</f>
        <v>0</v>
      </c>
      <c r="S204" s="13">
        <f>DISTRIBUSI!S205</f>
        <v>0</v>
      </c>
      <c r="T204" s="12"/>
      <c r="U204" s="13">
        <f>DISTRIBUSI!U205</f>
        <v>0</v>
      </c>
      <c r="V204" s="13">
        <f>DISTRIBUSI!V205</f>
        <v>0</v>
      </c>
      <c r="W204" s="13">
        <f>DISTRIBUSI!W205</f>
        <v>0</v>
      </c>
      <c r="X204" s="13">
        <f>DISTRIBUSI!X205</f>
        <v>0</v>
      </c>
      <c r="Y204" s="13">
        <f>DISTRIBUSI!Y205</f>
        <v>0</v>
      </c>
      <c r="Z204" s="13">
        <f t="shared" si="6"/>
        <v>0</v>
      </c>
    </row>
    <row r="205" spans="1:26" ht="20.149999999999999" customHeight="1" x14ac:dyDescent="0.35">
      <c r="A205" s="11">
        <v>24</v>
      </c>
      <c r="B205" s="183" t="s">
        <v>428</v>
      </c>
      <c r="C205" s="144" t="s">
        <v>6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3">
        <f>APOTIK!G204</f>
        <v>0</v>
      </c>
      <c r="S205" s="13">
        <f>DISTRIBUSI!S206</f>
        <v>0</v>
      </c>
      <c r="T205" s="12"/>
      <c r="U205" s="13">
        <f>DISTRIBUSI!U206</f>
        <v>0</v>
      </c>
      <c r="V205" s="13">
        <f>DISTRIBUSI!V206</f>
        <v>0</v>
      </c>
      <c r="W205" s="13">
        <f>DISTRIBUSI!W206</f>
        <v>0</v>
      </c>
      <c r="X205" s="13">
        <f>DISTRIBUSI!X206</f>
        <v>0</v>
      </c>
      <c r="Y205" s="13">
        <f>DISTRIBUSI!Y206</f>
        <v>0</v>
      </c>
      <c r="Z205" s="13">
        <f t="shared" si="6"/>
        <v>0</v>
      </c>
    </row>
    <row r="206" spans="1:26" ht="20.149999999999999" customHeight="1" x14ac:dyDescent="0.35">
      <c r="A206" s="11">
        <v>25</v>
      </c>
      <c r="B206" s="183" t="s">
        <v>429</v>
      </c>
      <c r="C206" s="144" t="s">
        <v>48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3">
        <f>APOTIK!G205</f>
        <v>0</v>
      </c>
      <c r="S206" s="13">
        <f>DISTRIBUSI!S207</f>
        <v>0</v>
      </c>
      <c r="T206" s="12"/>
      <c r="U206" s="13">
        <f>DISTRIBUSI!U207</f>
        <v>0</v>
      </c>
      <c r="V206" s="13">
        <f>DISTRIBUSI!V207</f>
        <v>0</v>
      </c>
      <c r="W206" s="13">
        <f>DISTRIBUSI!W207</f>
        <v>0</v>
      </c>
      <c r="X206" s="13">
        <f>DISTRIBUSI!X207</f>
        <v>0</v>
      </c>
      <c r="Y206" s="13">
        <f>DISTRIBUSI!Y207</f>
        <v>0</v>
      </c>
      <c r="Z206" s="13">
        <f t="shared" si="6"/>
        <v>0</v>
      </c>
    </row>
    <row r="207" spans="1:26" ht="20.149999999999999" customHeight="1" x14ac:dyDescent="0.35">
      <c r="A207" s="11">
        <v>26</v>
      </c>
      <c r="B207" s="178" t="s">
        <v>430</v>
      </c>
      <c r="C207" s="144" t="s">
        <v>188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3">
        <f>APOTIK!G206</f>
        <v>0</v>
      </c>
      <c r="S207" s="13">
        <f>DISTRIBUSI!S208</f>
        <v>0</v>
      </c>
      <c r="T207" s="12"/>
      <c r="U207" s="13">
        <f>DISTRIBUSI!U208</f>
        <v>0</v>
      </c>
      <c r="V207" s="13">
        <f>DISTRIBUSI!V208</f>
        <v>0</v>
      </c>
      <c r="W207" s="13">
        <f>DISTRIBUSI!W208</f>
        <v>0</v>
      </c>
      <c r="X207" s="13">
        <f>DISTRIBUSI!X208</f>
        <v>0</v>
      </c>
      <c r="Y207" s="13">
        <f>DISTRIBUSI!Y208</f>
        <v>0</v>
      </c>
      <c r="Z207" s="13">
        <f t="shared" si="6"/>
        <v>0</v>
      </c>
    </row>
    <row r="208" spans="1:26" ht="20.149999999999999" customHeight="1" x14ac:dyDescent="0.35">
      <c r="A208" s="11">
        <v>27</v>
      </c>
      <c r="B208" s="184"/>
      <c r="C208" s="14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3">
        <f>APOTIK!G207</f>
        <v>0</v>
      </c>
      <c r="S208" s="13">
        <f>DISTRIBUSI!S209</f>
        <v>0</v>
      </c>
      <c r="T208" s="12"/>
      <c r="U208" s="13">
        <f>DISTRIBUSI!U209</f>
        <v>0</v>
      </c>
      <c r="V208" s="13">
        <f>DISTRIBUSI!V209</f>
        <v>0</v>
      </c>
      <c r="W208" s="13">
        <f>DISTRIBUSI!W209</f>
        <v>0</v>
      </c>
      <c r="X208" s="13">
        <f>DISTRIBUSI!X209</f>
        <v>0</v>
      </c>
      <c r="Y208" s="13">
        <f>DISTRIBUSI!Y209</f>
        <v>0</v>
      </c>
      <c r="Z208" s="13">
        <f t="shared" si="6"/>
        <v>0</v>
      </c>
    </row>
    <row r="209" spans="1:26" ht="20.149999999999999" customHeight="1" x14ac:dyDescent="0.35">
      <c r="A209" s="187">
        <v>28</v>
      </c>
      <c r="B209" s="189" t="s">
        <v>189</v>
      </c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3">
        <f>APOTIK!G208</f>
        <v>0</v>
      </c>
      <c r="S209" s="13">
        <f>DISTRIBUSI!S210</f>
        <v>0</v>
      </c>
      <c r="T209" s="12"/>
      <c r="U209" s="13">
        <f>DISTRIBUSI!U210</f>
        <v>0</v>
      </c>
      <c r="V209" s="13">
        <f>DISTRIBUSI!V210</f>
        <v>0</v>
      </c>
      <c r="W209" s="13">
        <f>DISTRIBUSI!W210</f>
        <v>0</v>
      </c>
      <c r="X209" s="13">
        <f>DISTRIBUSI!X210</f>
        <v>0</v>
      </c>
      <c r="Y209" s="13">
        <f>DISTRIBUSI!Y210</f>
        <v>0</v>
      </c>
      <c r="Z209" s="13">
        <f t="shared" si="6"/>
        <v>0</v>
      </c>
    </row>
    <row r="210" spans="1:26" ht="20.149999999999999" customHeight="1" x14ac:dyDescent="0.35">
      <c r="A210" s="11">
        <v>29</v>
      </c>
      <c r="B210" s="183" t="s">
        <v>268</v>
      </c>
      <c r="C210" s="144" t="s">
        <v>6</v>
      </c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3">
        <f>APOTIK!G209</f>
        <v>0</v>
      </c>
      <c r="S210" s="13">
        <f>DISTRIBUSI!S211</f>
        <v>0</v>
      </c>
      <c r="T210" s="12"/>
      <c r="U210" s="13">
        <f>DISTRIBUSI!U211</f>
        <v>0</v>
      </c>
      <c r="V210" s="13">
        <f>DISTRIBUSI!V211</f>
        <v>0</v>
      </c>
      <c r="W210" s="13">
        <f>DISTRIBUSI!W211</f>
        <v>0</v>
      </c>
      <c r="X210" s="13">
        <f>DISTRIBUSI!X211</f>
        <v>0</v>
      </c>
      <c r="Y210" s="13">
        <f>DISTRIBUSI!Y211</f>
        <v>0</v>
      </c>
      <c r="Z210" s="13">
        <f t="shared" si="6"/>
        <v>0</v>
      </c>
    </row>
    <row r="211" spans="1:26" ht="20.149999999999999" customHeight="1" x14ac:dyDescent="0.35">
      <c r="A211" s="11">
        <v>30</v>
      </c>
      <c r="B211" s="178" t="s">
        <v>269</v>
      </c>
      <c r="C211" s="144" t="s">
        <v>182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3">
        <f>APOTIK!G210</f>
        <v>0</v>
      </c>
      <c r="S211" s="13">
        <f>DISTRIBUSI!S212</f>
        <v>0</v>
      </c>
      <c r="T211" s="12"/>
      <c r="U211" s="13">
        <f>DISTRIBUSI!U212</f>
        <v>0</v>
      </c>
      <c r="V211" s="13">
        <f>DISTRIBUSI!V212</f>
        <v>0</v>
      </c>
      <c r="W211" s="13">
        <f>DISTRIBUSI!W212</f>
        <v>0</v>
      </c>
      <c r="X211" s="13">
        <f>DISTRIBUSI!X212</f>
        <v>0</v>
      </c>
      <c r="Y211" s="13">
        <f>DISTRIBUSI!Y212</f>
        <v>0</v>
      </c>
      <c r="Z211" s="13">
        <f t="shared" si="6"/>
        <v>0</v>
      </c>
    </row>
    <row r="212" spans="1:26" ht="20.149999999999999" customHeight="1" x14ac:dyDescent="0.35">
      <c r="A212" s="11">
        <v>31</v>
      </c>
      <c r="B212" s="178" t="s">
        <v>284</v>
      </c>
      <c r="C212" s="144" t="s">
        <v>48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3">
        <f>APOTIK!G211</f>
        <v>0</v>
      </c>
      <c r="S212" s="13">
        <f>DISTRIBUSI!S213</f>
        <v>0</v>
      </c>
      <c r="T212" s="12"/>
      <c r="U212" s="13">
        <f>DISTRIBUSI!U213</f>
        <v>0</v>
      </c>
      <c r="V212" s="13">
        <f>DISTRIBUSI!V213</f>
        <v>0</v>
      </c>
      <c r="W212" s="13">
        <f>DISTRIBUSI!W213</f>
        <v>0</v>
      </c>
      <c r="X212" s="13">
        <f>DISTRIBUSI!X213</f>
        <v>0</v>
      </c>
      <c r="Y212" s="13">
        <f>DISTRIBUSI!Y213</f>
        <v>0</v>
      </c>
      <c r="Z212" s="13">
        <f t="shared" si="6"/>
        <v>0</v>
      </c>
    </row>
    <row r="213" spans="1:26" ht="20.149999999999999" customHeight="1" x14ac:dyDescent="0.35">
      <c r="A213" s="11">
        <v>32</v>
      </c>
      <c r="B213" s="178" t="s">
        <v>190</v>
      </c>
      <c r="C213" s="144" t="s">
        <v>6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3">
        <f>APOTIK!G212</f>
        <v>0</v>
      </c>
      <c r="S213" s="13">
        <f>DISTRIBUSI!S214</f>
        <v>0</v>
      </c>
      <c r="T213" s="12"/>
      <c r="U213" s="13">
        <f>DISTRIBUSI!U214</f>
        <v>0</v>
      </c>
      <c r="V213" s="13">
        <f>DISTRIBUSI!V214</f>
        <v>0</v>
      </c>
      <c r="W213" s="13">
        <f>DISTRIBUSI!W214</f>
        <v>0</v>
      </c>
      <c r="X213" s="13">
        <f>DISTRIBUSI!X214</f>
        <v>0</v>
      </c>
      <c r="Y213" s="13">
        <f>DISTRIBUSI!Y214</f>
        <v>0</v>
      </c>
      <c r="Z213" s="13">
        <f t="shared" si="6"/>
        <v>0</v>
      </c>
    </row>
    <row r="214" spans="1:26" ht="20.149999999999999" customHeight="1" x14ac:dyDescent="0.35">
      <c r="A214" s="11">
        <v>33</v>
      </c>
      <c r="B214" s="178" t="s">
        <v>357</v>
      </c>
      <c r="C214" s="144" t="s">
        <v>108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3">
        <f>APOTIK!G213</f>
        <v>0</v>
      </c>
      <c r="S214" s="13">
        <f>DISTRIBUSI!S215</f>
        <v>0</v>
      </c>
      <c r="T214" s="12"/>
      <c r="U214" s="13">
        <f>DISTRIBUSI!U215</f>
        <v>0</v>
      </c>
      <c r="V214" s="13">
        <f>DISTRIBUSI!V215</f>
        <v>0</v>
      </c>
      <c r="W214" s="13">
        <f>DISTRIBUSI!W215</f>
        <v>0</v>
      </c>
      <c r="X214" s="13">
        <f>DISTRIBUSI!X215</f>
        <v>0</v>
      </c>
      <c r="Y214" s="13">
        <f>DISTRIBUSI!Y215</f>
        <v>0</v>
      </c>
      <c r="Z214" s="13">
        <f t="shared" si="6"/>
        <v>0</v>
      </c>
    </row>
    <row r="215" spans="1:26" ht="20.149999999999999" customHeight="1" x14ac:dyDescent="0.35">
      <c r="A215" s="11">
        <v>34</v>
      </c>
      <c r="B215" s="178" t="s">
        <v>358</v>
      </c>
      <c r="C215" s="144" t="s">
        <v>108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3">
        <f>APOTIK!G214</f>
        <v>0</v>
      </c>
      <c r="S215" s="13">
        <f>DISTRIBUSI!S216</f>
        <v>0</v>
      </c>
      <c r="T215" s="12"/>
      <c r="U215" s="13">
        <f>DISTRIBUSI!U216</f>
        <v>0</v>
      </c>
      <c r="V215" s="13">
        <f>DISTRIBUSI!V216</f>
        <v>0</v>
      </c>
      <c r="W215" s="13">
        <f>DISTRIBUSI!W216</f>
        <v>0</v>
      </c>
      <c r="X215" s="13">
        <f>DISTRIBUSI!X216</f>
        <v>0</v>
      </c>
      <c r="Y215" s="13">
        <f>DISTRIBUSI!Y216</f>
        <v>0</v>
      </c>
      <c r="Z215" s="13">
        <f t="shared" si="6"/>
        <v>0</v>
      </c>
    </row>
    <row r="216" spans="1:26" ht="20.149999999999999" customHeight="1" x14ac:dyDescent="0.35">
      <c r="A216" s="11">
        <v>35</v>
      </c>
      <c r="B216" s="178" t="s">
        <v>356</v>
      </c>
      <c r="C216" s="144" t="s">
        <v>108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3">
        <f>APOTIK!G215</f>
        <v>0</v>
      </c>
      <c r="S216" s="13">
        <f>DISTRIBUSI!S217</f>
        <v>0</v>
      </c>
      <c r="T216" s="12"/>
      <c r="U216" s="13">
        <f>DISTRIBUSI!U217</f>
        <v>0</v>
      </c>
      <c r="V216" s="13">
        <f>DISTRIBUSI!V217</f>
        <v>0</v>
      </c>
      <c r="W216" s="13">
        <f>DISTRIBUSI!W217</f>
        <v>0</v>
      </c>
      <c r="X216" s="13">
        <f>DISTRIBUSI!X217</f>
        <v>0</v>
      </c>
      <c r="Y216" s="13">
        <f>DISTRIBUSI!Y217</f>
        <v>0</v>
      </c>
      <c r="Z216" s="13">
        <f t="shared" si="6"/>
        <v>0</v>
      </c>
    </row>
    <row r="217" spans="1:26" ht="20.149999999999999" customHeight="1" x14ac:dyDescent="0.35">
      <c r="A217" s="11">
        <v>36</v>
      </c>
      <c r="B217" s="178" t="s">
        <v>354</v>
      </c>
      <c r="C217" s="144" t="s">
        <v>355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3">
        <f>APOTIK!G216</f>
        <v>0</v>
      </c>
      <c r="S217" s="13">
        <f>DISTRIBUSI!S218</f>
        <v>0</v>
      </c>
      <c r="T217" s="12"/>
      <c r="U217" s="13">
        <f>DISTRIBUSI!U218</f>
        <v>0</v>
      </c>
      <c r="V217" s="13">
        <f>DISTRIBUSI!V218</f>
        <v>0</v>
      </c>
      <c r="W217" s="13">
        <f>DISTRIBUSI!W218</f>
        <v>0</v>
      </c>
      <c r="X217" s="13">
        <f>DISTRIBUSI!X218</f>
        <v>0</v>
      </c>
      <c r="Y217" s="13">
        <f>DISTRIBUSI!Y218</f>
        <v>0</v>
      </c>
      <c r="Z217" s="13">
        <f t="shared" si="6"/>
        <v>0</v>
      </c>
    </row>
    <row r="218" spans="1:26" ht="20.149999999999999" customHeight="1" x14ac:dyDescent="0.35">
      <c r="A218" s="11">
        <v>37</v>
      </c>
      <c r="B218" s="178" t="s">
        <v>394</v>
      </c>
      <c r="C218" s="144" t="s">
        <v>395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3">
        <f>APOTIK!G217</f>
        <v>0</v>
      </c>
      <c r="S218" s="13">
        <f>DISTRIBUSI!S219</f>
        <v>0</v>
      </c>
      <c r="T218" s="12"/>
      <c r="U218" s="13">
        <f>DISTRIBUSI!U219</f>
        <v>0</v>
      </c>
      <c r="V218" s="13">
        <f>DISTRIBUSI!V219</f>
        <v>0</v>
      </c>
      <c r="W218" s="13">
        <f>DISTRIBUSI!W219</f>
        <v>0</v>
      </c>
      <c r="X218" s="13">
        <f>DISTRIBUSI!X219</f>
        <v>0</v>
      </c>
      <c r="Y218" s="13">
        <f>DISTRIBUSI!Y219</f>
        <v>0</v>
      </c>
      <c r="Z218" s="13">
        <f t="shared" si="6"/>
        <v>0</v>
      </c>
    </row>
    <row r="219" spans="1:26" ht="20.149999999999999" customHeight="1" x14ac:dyDescent="0.35">
      <c r="A219" s="11">
        <v>38</v>
      </c>
      <c r="B219" s="183" t="s">
        <v>431</v>
      </c>
      <c r="C219" s="144" t="s">
        <v>48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3">
        <f>APOTIK!G218</f>
        <v>0</v>
      </c>
      <c r="S219" s="13">
        <f>DISTRIBUSI!S220</f>
        <v>0</v>
      </c>
      <c r="T219" s="12"/>
      <c r="U219" s="13">
        <f>DISTRIBUSI!U220</f>
        <v>0</v>
      </c>
      <c r="V219" s="13">
        <f>DISTRIBUSI!V220</f>
        <v>0</v>
      </c>
      <c r="W219" s="13">
        <f>DISTRIBUSI!W220</f>
        <v>0</v>
      </c>
      <c r="X219" s="13">
        <f>DISTRIBUSI!X220</f>
        <v>0</v>
      </c>
      <c r="Y219" s="13">
        <f>DISTRIBUSI!Y220</f>
        <v>0</v>
      </c>
      <c r="Z219" s="13">
        <f t="shared" si="6"/>
        <v>0</v>
      </c>
    </row>
    <row r="220" spans="1:26" ht="20.149999999999999" customHeight="1" x14ac:dyDescent="0.35">
      <c r="A220" s="11">
        <v>39</v>
      </c>
      <c r="B220" s="178"/>
      <c r="C220" s="14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3">
        <f>APOTIK!G219</f>
        <v>0</v>
      </c>
      <c r="S220" s="13">
        <f>DISTRIBUSI!S221</f>
        <v>0</v>
      </c>
      <c r="T220" s="12"/>
      <c r="U220" s="13">
        <f>DISTRIBUSI!U221</f>
        <v>0</v>
      </c>
      <c r="V220" s="13">
        <f>DISTRIBUSI!V221</f>
        <v>0</v>
      </c>
      <c r="W220" s="13">
        <f>DISTRIBUSI!W221</f>
        <v>0</v>
      </c>
      <c r="X220" s="13">
        <f>DISTRIBUSI!X221</f>
        <v>0</v>
      </c>
      <c r="Y220" s="13">
        <f>DISTRIBUSI!Y221</f>
        <v>0</v>
      </c>
      <c r="Z220" s="13">
        <f t="shared" si="6"/>
        <v>0</v>
      </c>
    </row>
    <row r="221" spans="1:26" ht="20.149999999999999" customHeight="1" x14ac:dyDescent="0.35">
      <c r="A221" s="11">
        <v>40</v>
      </c>
      <c r="B221" s="178"/>
      <c r="C221" s="14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3">
        <f>APOTIK!G220</f>
        <v>0</v>
      </c>
      <c r="S221" s="13">
        <f>DISTRIBUSI!S222</f>
        <v>0</v>
      </c>
      <c r="T221" s="12"/>
      <c r="U221" s="13">
        <f>DISTRIBUSI!U222</f>
        <v>0</v>
      </c>
      <c r="V221" s="13">
        <f>DISTRIBUSI!V222</f>
        <v>0</v>
      </c>
      <c r="W221" s="13">
        <f>DISTRIBUSI!W222</f>
        <v>0</v>
      </c>
      <c r="X221" s="13">
        <f>DISTRIBUSI!X222</f>
        <v>0</v>
      </c>
      <c r="Y221" s="13">
        <f>DISTRIBUSI!Y222</f>
        <v>0</v>
      </c>
      <c r="Z221" s="13">
        <f t="shared" si="6"/>
        <v>0</v>
      </c>
    </row>
    <row r="222" spans="1:26" ht="20.149999999999999" customHeight="1" x14ac:dyDescent="0.35">
      <c r="A222" s="187">
        <v>41</v>
      </c>
      <c r="B222" s="188" t="s">
        <v>191</v>
      </c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3">
        <f>APOTIK!G221</f>
        <v>0</v>
      </c>
      <c r="S222" s="13">
        <f>DISTRIBUSI!S223</f>
        <v>0</v>
      </c>
      <c r="T222" s="12"/>
      <c r="U222" s="13">
        <f>DISTRIBUSI!U223</f>
        <v>0</v>
      </c>
      <c r="V222" s="13">
        <f>DISTRIBUSI!V223</f>
        <v>0</v>
      </c>
      <c r="W222" s="13">
        <f>DISTRIBUSI!W223</f>
        <v>0</v>
      </c>
      <c r="X222" s="13">
        <f>DISTRIBUSI!X223</f>
        <v>0</v>
      </c>
      <c r="Y222" s="13">
        <f>DISTRIBUSI!Y223</f>
        <v>0</v>
      </c>
      <c r="Z222" s="13">
        <f t="shared" si="6"/>
        <v>0</v>
      </c>
    </row>
    <row r="223" spans="1:26" ht="20.149999999999999" customHeight="1" x14ac:dyDescent="0.35">
      <c r="A223" s="11">
        <v>42</v>
      </c>
      <c r="B223" s="178" t="s">
        <v>192</v>
      </c>
      <c r="C223" s="144" t="s">
        <v>6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3">
        <f>APOTIK!G222</f>
        <v>0</v>
      </c>
      <c r="S223" s="13">
        <f>DISTRIBUSI!S224</f>
        <v>0</v>
      </c>
      <c r="T223" s="12"/>
      <c r="U223" s="13">
        <f>DISTRIBUSI!U224</f>
        <v>0</v>
      </c>
      <c r="V223" s="13">
        <f>DISTRIBUSI!V224</f>
        <v>0</v>
      </c>
      <c r="W223" s="13">
        <f>DISTRIBUSI!W224</f>
        <v>0</v>
      </c>
      <c r="X223" s="13">
        <f>DISTRIBUSI!X224</f>
        <v>0</v>
      </c>
      <c r="Y223" s="13">
        <f>DISTRIBUSI!Y224</f>
        <v>0</v>
      </c>
      <c r="Z223" s="13">
        <f t="shared" si="6"/>
        <v>0</v>
      </c>
    </row>
    <row r="224" spans="1:26" ht="20.149999999999999" customHeight="1" x14ac:dyDescent="0.35">
      <c r="A224" s="11">
        <v>43</v>
      </c>
      <c r="B224" s="178" t="s">
        <v>285</v>
      </c>
      <c r="C224" s="144" t="s">
        <v>48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3">
        <f>APOTIK!G223</f>
        <v>0</v>
      </c>
      <c r="S224" s="13">
        <f>DISTRIBUSI!S225</f>
        <v>0</v>
      </c>
      <c r="T224" s="12"/>
      <c r="U224" s="13">
        <f>DISTRIBUSI!U225</f>
        <v>0</v>
      </c>
      <c r="V224" s="13">
        <f>DISTRIBUSI!V225</f>
        <v>0</v>
      </c>
      <c r="W224" s="13">
        <f>DISTRIBUSI!W225</f>
        <v>0</v>
      </c>
      <c r="X224" s="13">
        <f>DISTRIBUSI!X225</f>
        <v>0</v>
      </c>
      <c r="Y224" s="13">
        <f>DISTRIBUSI!Y225</f>
        <v>0</v>
      </c>
      <c r="Z224" s="13">
        <f t="shared" si="6"/>
        <v>0</v>
      </c>
    </row>
    <row r="225" spans="1:26" ht="20.149999999999999" customHeight="1" x14ac:dyDescent="0.35">
      <c r="A225" s="11">
        <v>44</v>
      </c>
      <c r="B225" s="178" t="s">
        <v>359</v>
      </c>
      <c r="C225" s="144" t="s">
        <v>48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3">
        <f>APOTIK!G224</f>
        <v>0</v>
      </c>
      <c r="S225" s="13">
        <f>DISTRIBUSI!S226</f>
        <v>0</v>
      </c>
      <c r="T225" s="12"/>
      <c r="U225" s="13">
        <f>DISTRIBUSI!U226</f>
        <v>0</v>
      </c>
      <c r="V225" s="13">
        <f>DISTRIBUSI!V226</f>
        <v>0</v>
      </c>
      <c r="W225" s="13">
        <f>DISTRIBUSI!W226</f>
        <v>0</v>
      </c>
      <c r="X225" s="13">
        <f>DISTRIBUSI!X226</f>
        <v>0</v>
      </c>
      <c r="Y225" s="13">
        <f>DISTRIBUSI!Y226</f>
        <v>0</v>
      </c>
      <c r="Z225" s="13">
        <f t="shared" si="6"/>
        <v>0</v>
      </c>
    </row>
    <row r="226" spans="1:26" ht="20.149999999999999" customHeight="1" x14ac:dyDescent="0.35">
      <c r="A226" s="11">
        <v>45</v>
      </c>
      <c r="B226" s="178"/>
      <c r="C226" s="14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3">
        <f>APOTIK!G225</f>
        <v>0</v>
      </c>
      <c r="S226" s="13">
        <f>DISTRIBUSI!S227</f>
        <v>0</v>
      </c>
      <c r="T226" s="12"/>
      <c r="U226" s="13">
        <f>DISTRIBUSI!U227</f>
        <v>0</v>
      </c>
      <c r="V226" s="13">
        <f>DISTRIBUSI!V227</f>
        <v>0</v>
      </c>
      <c r="W226" s="13">
        <f>DISTRIBUSI!W227</f>
        <v>0</v>
      </c>
      <c r="X226" s="13">
        <f>DISTRIBUSI!X227</f>
        <v>0</v>
      </c>
      <c r="Y226" s="13">
        <f>DISTRIBUSI!Y227</f>
        <v>0</v>
      </c>
      <c r="Z226" s="13">
        <f t="shared" si="6"/>
        <v>0</v>
      </c>
    </row>
    <row r="227" spans="1:26" ht="20.149999999999999" customHeight="1" x14ac:dyDescent="0.35">
      <c r="A227" s="11">
        <v>46</v>
      </c>
      <c r="B227" s="178"/>
      <c r="C227" s="14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3">
        <f>APOTIK!G226</f>
        <v>0</v>
      </c>
      <c r="S227" s="13">
        <f>DISTRIBUSI!S228</f>
        <v>0</v>
      </c>
      <c r="T227" s="12"/>
      <c r="U227" s="13">
        <f>DISTRIBUSI!U228</f>
        <v>0</v>
      </c>
      <c r="V227" s="13">
        <f>DISTRIBUSI!V228</f>
        <v>0</v>
      </c>
      <c r="W227" s="13">
        <f>DISTRIBUSI!W228</f>
        <v>0</v>
      </c>
      <c r="X227" s="13">
        <f>DISTRIBUSI!X228</f>
        <v>0</v>
      </c>
      <c r="Y227" s="13">
        <f>DISTRIBUSI!Y228</f>
        <v>0</v>
      </c>
      <c r="Z227" s="13">
        <f t="shared" si="6"/>
        <v>0</v>
      </c>
    </row>
    <row r="228" spans="1:26" ht="20.149999999999999" customHeight="1" x14ac:dyDescent="0.35">
      <c r="A228" s="11">
        <v>47</v>
      </c>
      <c r="B228" s="178"/>
      <c r="C228" s="14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3">
        <f>APOTIK!G227</f>
        <v>0</v>
      </c>
      <c r="S228" s="13">
        <f>DISTRIBUSI!S229</f>
        <v>0</v>
      </c>
      <c r="T228" s="12"/>
      <c r="U228" s="13">
        <f>DISTRIBUSI!U229</f>
        <v>0</v>
      </c>
      <c r="V228" s="13">
        <f>DISTRIBUSI!V229</f>
        <v>0</v>
      </c>
      <c r="W228" s="13">
        <f>DISTRIBUSI!W229</f>
        <v>0</v>
      </c>
      <c r="X228" s="13">
        <f>DISTRIBUSI!X229</f>
        <v>0</v>
      </c>
      <c r="Y228" s="13">
        <f>DISTRIBUSI!Y229</f>
        <v>0</v>
      </c>
      <c r="Z228" s="13">
        <f t="shared" si="6"/>
        <v>0</v>
      </c>
    </row>
    <row r="229" spans="1:26" ht="20.149999999999999" customHeight="1" x14ac:dyDescent="0.35">
      <c r="A229" s="187">
        <v>48</v>
      </c>
      <c r="B229" s="188" t="s">
        <v>193</v>
      </c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3">
        <f>APOTIK!G228</f>
        <v>0</v>
      </c>
      <c r="S229" s="13">
        <f>DISTRIBUSI!S230</f>
        <v>0</v>
      </c>
      <c r="T229" s="12"/>
      <c r="U229" s="13">
        <f>DISTRIBUSI!U230</f>
        <v>0</v>
      </c>
      <c r="V229" s="13">
        <f>DISTRIBUSI!V230</f>
        <v>0</v>
      </c>
      <c r="W229" s="13">
        <f>DISTRIBUSI!W230</f>
        <v>0</v>
      </c>
      <c r="X229" s="13">
        <f>DISTRIBUSI!X230</f>
        <v>0</v>
      </c>
      <c r="Y229" s="13">
        <f>DISTRIBUSI!Y230</f>
        <v>0</v>
      </c>
      <c r="Z229" s="13">
        <f t="shared" si="6"/>
        <v>0</v>
      </c>
    </row>
    <row r="230" spans="1:26" ht="20.149999999999999" customHeight="1" x14ac:dyDescent="0.35">
      <c r="A230" s="11">
        <v>49</v>
      </c>
      <c r="B230" s="178" t="s">
        <v>194</v>
      </c>
      <c r="C230" s="144" t="s">
        <v>6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3">
        <f>APOTIK!G229</f>
        <v>0</v>
      </c>
      <c r="S230" s="13">
        <f>DISTRIBUSI!S231</f>
        <v>0</v>
      </c>
      <c r="T230" s="12"/>
      <c r="U230" s="13">
        <f>DISTRIBUSI!U231</f>
        <v>0</v>
      </c>
      <c r="V230" s="13">
        <f>DISTRIBUSI!V231</f>
        <v>0</v>
      </c>
      <c r="W230" s="13">
        <f>DISTRIBUSI!W231</f>
        <v>0</v>
      </c>
      <c r="X230" s="13">
        <f>DISTRIBUSI!X231</f>
        <v>0</v>
      </c>
      <c r="Y230" s="13">
        <f>DISTRIBUSI!Y231</f>
        <v>0</v>
      </c>
      <c r="Z230" s="13">
        <f t="shared" si="6"/>
        <v>0</v>
      </c>
    </row>
    <row r="231" spans="1:26" ht="20.149999999999999" customHeight="1" x14ac:dyDescent="0.35">
      <c r="A231" s="11">
        <v>50</v>
      </c>
      <c r="B231" s="178" t="s">
        <v>195</v>
      </c>
      <c r="C231" s="144" t="s">
        <v>6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3">
        <f>APOTIK!G230</f>
        <v>0</v>
      </c>
      <c r="S231" s="13">
        <f>DISTRIBUSI!S232</f>
        <v>0</v>
      </c>
      <c r="T231" s="12"/>
      <c r="U231" s="13">
        <f>DISTRIBUSI!U232</f>
        <v>0</v>
      </c>
      <c r="V231" s="13">
        <f>DISTRIBUSI!V232</f>
        <v>0</v>
      </c>
      <c r="W231" s="13">
        <f>DISTRIBUSI!W232</f>
        <v>0</v>
      </c>
      <c r="X231" s="13">
        <f>DISTRIBUSI!X232</f>
        <v>0</v>
      </c>
      <c r="Y231" s="13">
        <f>DISTRIBUSI!Y232</f>
        <v>0</v>
      </c>
      <c r="Z231" s="13">
        <f t="shared" si="6"/>
        <v>0</v>
      </c>
    </row>
    <row r="232" spans="1:26" ht="20.149999999999999" customHeight="1" x14ac:dyDescent="0.35">
      <c r="A232" s="11">
        <v>51</v>
      </c>
      <c r="B232" s="178" t="s">
        <v>196</v>
      </c>
      <c r="C232" s="144" t="s">
        <v>6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3">
        <f>APOTIK!G231</f>
        <v>0</v>
      </c>
      <c r="S232" s="13">
        <f>DISTRIBUSI!S233</f>
        <v>0</v>
      </c>
      <c r="T232" s="12"/>
      <c r="U232" s="13">
        <f>DISTRIBUSI!U233</f>
        <v>0</v>
      </c>
      <c r="V232" s="13">
        <f>DISTRIBUSI!V233</f>
        <v>0</v>
      </c>
      <c r="W232" s="13">
        <f>DISTRIBUSI!W233</f>
        <v>0</v>
      </c>
      <c r="X232" s="13">
        <f>DISTRIBUSI!X233</f>
        <v>0</v>
      </c>
      <c r="Y232" s="13">
        <f>DISTRIBUSI!Y233</f>
        <v>0</v>
      </c>
      <c r="Z232" s="13">
        <f t="shared" si="6"/>
        <v>0</v>
      </c>
    </row>
    <row r="233" spans="1:26" ht="20.149999999999999" customHeight="1" x14ac:dyDescent="0.35">
      <c r="A233" s="11">
        <v>52</v>
      </c>
      <c r="B233" s="184" t="s">
        <v>361</v>
      </c>
      <c r="C233" s="144" t="s">
        <v>6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3">
        <f>APOTIK!G232</f>
        <v>0</v>
      </c>
      <c r="S233" s="13">
        <f>DISTRIBUSI!S234</f>
        <v>0</v>
      </c>
      <c r="T233" s="12"/>
      <c r="U233" s="13">
        <f>DISTRIBUSI!U234</f>
        <v>0</v>
      </c>
      <c r="V233" s="13">
        <f>DISTRIBUSI!V234</f>
        <v>0</v>
      </c>
      <c r="W233" s="13">
        <f>DISTRIBUSI!W234</f>
        <v>0</v>
      </c>
      <c r="X233" s="13">
        <f>DISTRIBUSI!X234</f>
        <v>0</v>
      </c>
      <c r="Y233" s="13">
        <f>DISTRIBUSI!Y234</f>
        <v>0</v>
      </c>
      <c r="Z233" s="13">
        <f t="shared" si="6"/>
        <v>0</v>
      </c>
    </row>
    <row r="234" spans="1:26" ht="20.149999999999999" customHeight="1" x14ac:dyDescent="0.35">
      <c r="A234" s="11">
        <v>53</v>
      </c>
      <c r="B234" s="184" t="s">
        <v>270</v>
      </c>
      <c r="C234" s="144" t="s">
        <v>198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3">
        <f>APOTIK!G233</f>
        <v>0</v>
      </c>
      <c r="S234" s="13">
        <f>DISTRIBUSI!S235</f>
        <v>0</v>
      </c>
      <c r="T234" s="12"/>
      <c r="U234" s="13">
        <f>DISTRIBUSI!U235</f>
        <v>0</v>
      </c>
      <c r="V234" s="13">
        <f>DISTRIBUSI!V235</f>
        <v>0</v>
      </c>
      <c r="W234" s="13">
        <f>DISTRIBUSI!W235</f>
        <v>0</v>
      </c>
      <c r="X234" s="13">
        <f>DISTRIBUSI!X235</f>
        <v>0</v>
      </c>
      <c r="Y234" s="13">
        <f>DISTRIBUSI!Y235</f>
        <v>0</v>
      </c>
      <c r="Z234" s="13">
        <f t="shared" si="6"/>
        <v>0</v>
      </c>
    </row>
    <row r="235" spans="1:26" ht="20.149999999999999" customHeight="1" x14ac:dyDescent="0.35">
      <c r="A235" s="11">
        <v>54</v>
      </c>
      <c r="B235" s="184" t="s">
        <v>360</v>
      </c>
      <c r="C235" s="144" t="s">
        <v>6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3">
        <f>APOTIK!G234</f>
        <v>0</v>
      </c>
      <c r="S235" s="13">
        <f>DISTRIBUSI!S236</f>
        <v>0</v>
      </c>
      <c r="T235" s="12"/>
      <c r="U235" s="13">
        <f>DISTRIBUSI!U236</f>
        <v>0</v>
      </c>
      <c r="V235" s="13">
        <f>DISTRIBUSI!V236</f>
        <v>0</v>
      </c>
      <c r="W235" s="13">
        <f>DISTRIBUSI!W236</f>
        <v>0</v>
      </c>
      <c r="X235" s="13">
        <f>DISTRIBUSI!X236</f>
        <v>0</v>
      </c>
      <c r="Y235" s="13">
        <f>DISTRIBUSI!Y236</f>
        <v>0</v>
      </c>
      <c r="Z235" s="13">
        <f t="shared" si="6"/>
        <v>0</v>
      </c>
    </row>
    <row r="236" spans="1:26" ht="20.149999999999999" customHeight="1" x14ac:dyDescent="0.35">
      <c r="A236" s="11">
        <v>55</v>
      </c>
      <c r="B236" s="184" t="s">
        <v>197</v>
      </c>
      <c r="C236" s="144" t="s">
        <v>6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3">
        <f>APOTIK!G235</f>
        <v>0</v>
      </c>
      <c r="S236" s="13">
        <f>DISTRIBUSI!S237</f>
        <v>0</v>
      </c>
      <c r="T236" s="12"/>
      <c r="U236" s="13">
        <f>DISTRIBUSI!U237</f>
        <v>0</v>
      </c>
      <c r="V236" s="13">
        <f>DISTRIBUSI!V237</f>
        <v>0</v>
      </c>
      <c r="W236" s="13">
        <f>DISTRIBUSI!W237</f>
        <v>0</v>
      </c>
      <c r="X236" s="13">
        <f>DISTRIBUSI!X237</f>
        <v>0</v>
      </c>
      <c r="Y236" s="13">
        <f>DISTRIBUSI!Y237</f>
        <v>0</v>
      </c>
      <c r="Z236" s="13">
        <f t="shared" si="6"/>
        <v>0</v>
      </c>
    </row>
    <row r="237" spans="1:26" ht="20.149999999999999" customHeight="1" x14ac:dyDescent="0.35">
      <c r="A237" s="11">
        <v>56</v>
      </c>
      <c r="B237" s="184"/>
      <c r="C237" s="14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3">
        <f>APOTIK!G236</f>
        <v>0</v>
      </c>
      <c r="S237" s="13">
        <f>DISTRIBUSI!S238</f>
        <v>0</v>
      </c>
      <c r="T237" s="12"/>
      <c r="U237" s="13">
        <f>DISTRIBUSI!U238</f>
        <v>0</v>
      </c>
      <c r="V237" s="13">
        <f>DISTRIBUSI!V238</f>
        <v>0</v>
      </c>
      <c r="W237" s="13">
        <f>DISTRIBUSI!W238</f>
        <v>0</v>
      </c>
      <c r="X237" s="13">
        <f>DISTRIBUSI!X238</f>
        <v>0</v>
      </c>
      <c r="Y237" s="13">
        <f>DISTRIBUSI!Y238</f>
        <v>0</v>
      </c>
      <c r="Z237" s="13">
        <f t="shared" si="6"/>
        <v>0</v>
      </c>
    </row>
    <row r="238" spans="1:26" ht="20.149999999999999" customHeight="1" x14ac:dyDescent="0.35">
      <c r="A238" s="11">
        <v>57</v>
      </c>
      <c r="B238" s="184"/>
      <c r="C238" s="14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3">
        <f>APOTIK!G237</f>
        <v>0</v>
      </c>
      <c r="S238" s="13">
        <f>DISTRIBUSI!S239</f>
        <v>0</v>
      </c>
      <c r="T238" s="12"/>
      <c r="U238" s="13">
        <f>DISTRIBUSI!U239</f>
        <v>0</v>
      </c>
      <c r="V238" s="13">
        <f>DISTRIBUSI!V239</f>
        <v>0</v>
      </c>
      <c r="W238" s="13">
        <f>DISTRIBUSI!W239</f>
        <v>0</v>
      </c>
      <c r="X238" s="13">
        <f>DISTRIBUSI!X239</f>
        <v>0</v>
      </c>
      <c r="Y238" s="13">
        <f>DISTRIBUSI!Y239</f>
        <v>0</v>
      </c>
      <c r="Z238" s="13">
        <f t="shared" si="6"/>
        <v>0</v>
      </c>
    </row>
    <row r="239" spans="1:26" ht="20.149999999999999" customHeight="1" x14ac:dyDescent="0.35">
      <c r="A239" s="11">
        <v>58</v>
      </c>
      <c r="B239" s="184"/>
      <c r="C239" s="14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3">
        <f>APOTIK!G238</f>
        <v>0</v>
      </c>
      <c r="S239" s="13">
        <f>DISTRIBUSI!S240</f>
        <v>0</v>
      </c>
      <c r="T239" s="12"/>
      <c r="U239" s="13">
        <f>DISTRIBUSI!U240</f>
        <v>0</v>
      </c>
      <c r="V239" s="13">
        <f>DISTRIBUSI!V240</f>
        <v>0</v>
      </c>
      <c r="W239" s="13">
        <f>DISTRIBUSI!W240</f>
        <v>0</v>
      </c>
      <c r="X239" s="13">
        <f>DISTRIBUSI!X240</f>
        <v>0</v>
      </c>
      <c r="Y239" s="13">
        <f>DISTRIBUSI!Y240</f>
        <v>0</v>
      </c>
      <c r="Z239" s="13">
        <f t="shared" si="6"/>
        <v>0</v>
      </c>
    </row>
    <row r="240" spans="1:26" ht="20.149999999999999" customHeight="1" x14ac:dyDescent="0.35">
      <c r="A240" s="187">
        <v>59</v>
      </c>
      <c r="B240" s="189" t="s">
        <v>199</v>
      </c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3">
        <f>APOTIK!G239</f>
        <v>0</v>
      </c>
      <c r="S240" s="13">
        <f>DISTRIBUSI!S241</f>
        <v>0</v>
      </c>
      <c r="T240" s="12"/>
      <c r="U240" s="13">
        <f>DISTRIBUSI!U241</f>
        <v>0</v>
      </c>
      <c r="V240" s="13">
        <f>DISTRIBUSI!V241</f>
        <v>0</v>
      </c>
      <c r="W240" s="13">
        <f>DISTRIBUSI!W241</f>
        <v>0</v>
      </c>
      <c r="X240" s="13">
        <f>DISTRIBUSI!X241</f>
        <v>0</v>
      </c>
      <c r="Y240" s="13">
        <f>DISTRIBUSI!Y241</f>
        <v>0</v>
      </c>
      <c r="Z240" s="13">
        <f t="shared" si="6"/>
        <v>0</v>
      </c>
    </row>
    <row r="241" spans="1:26" ht="20.149999999999999" customHeight="1" x14ac:dyDescent="0.35">
      <c r="A241" s="11">
        <v>60</v>
      </c>
      <c r="B241" s="184" t="s">
        <v>367</v>
      </c>
      <c r="C241" s="144" t="s">
        <v>363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3">
        <f>APOTIK!G240</f>
        <v>0</v>
      </c>
      <c r="S241" s="13">
        <f>DISTRIBUSI!S242</f>
        <v>0</v>
      </c>
      <c r="T241" s="12"/>
      <c r="U241" s="13">
        <f>DISTRIBUSI!U242</f>
        <v>0</v>
      </c>
      <c r="V241" s="13">
        <f>DISTRIBUSI!V242</f>
        <v>0</v>
      </c>
      <c r="W241" s="13">
        <f>DISTRIBUSI!W242</f>
        <v>0</v>
      </c>
      <c r="X241" s="13">
        <f>DISTRIBUSI!X242</f>
        <v>0</v>
      </c>
      <c r="Y241" s="13">
        <f>DISTRIBUSI!Y242</f>
        <v>0</v>
      </c>
      <c r="Z241" s="13">
        <f t="shared" si="6"/>
        <v>0</v>
      </c>
    </row>
    <row r="242" spans="1:26" ht="20.149999999999999" customHeight="1" x14ac:dyDescent="0.35">
      <c r="A242" s="11">
        <v>61</v>
      </c>
      <c r="B242" s="184" t="s">
        <v>302</v>
      </c>
      <c r="C242" s="144" t="s">
        <v>294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3">
        <f>APOTIK!G241</f>
        <v>0</v>
      </c>
      <c r="S242" s="13">
        <f>DISTRIBUSI!S243</f>
        <v>0</v>
      </c>
      <c r="T242" s="12"/>
      <c r="U242" s="13">
        <f>DISTRIBUSI!U243</f>
        <v>0</v>
      </c>
      <c r="V242" s="13">
        <f>DISTRIBUSI!V243</f>
        <v>0</v>
      </c>
      <c r="W242" s="13">
        <f>DISTRIBUSI!W243</f>
        <v>0</v>
      </c>
      <c r="X242" s="13">
        <f>DISTRIBUSI!X243</f>
        <v>0</v>
      </c>
      <c r="Y242" s="13">
        <f>DISTRIBUSI!Y243</f>
        <v>0</v>
      </c>
      <c r="Z242" s="13">
        <f t="shared" si="6"/>
        <v>0</v>
      </c>
    </row>
    <row r="243" spans="1:26" ht="20.149999999999999" customHeight="1" x14ac:dyDescent="0.35">
      <c r="A243" s="11">
        <v>62</v>
      </c>
      <c r="B243" s="184" t="s">
        <v>364</v>
      </c>
      <c r="C243" s="144" t="s">
        <v>6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3">
        <f>APOTIK!G242</f>
        <v>0</v>
      </c>
      <c r="S243" s="13">
        <f>DISTRIBUSI!S244</f>
        <v>0</v>
      </c>
      <c r="T243" s="12"/>
      <c r="U243" s="13">
        <f>DISTRIBUSI!U244</f>
        <v>0</v>
      </c>
      <c r="V243" s="13">
        <f>DISTRIBUSI!V244</f>
        <v>0</v>
      </c>
      <c r="W243" s="13">
        <f>DISTRIBUSI!W244</f>
        <v>0</v>
      </c>
      <c r="X243" s="13">
        <f>DISTRIBUSI!X244</f>
        <v>0</v>
      </c>
      <c r="Y243" s="13">
        <f>DISTRIBUSI!Y244</f>
        <v>0</v>
      </c>
      <c r="Z243" s="13">
        <f t="shared" si="6"/>
        <v>0</v>
      </c>
    </row>
    <row r="244" spans="1:26" ht="20.149999999999999" customHeight="1" x14ac:dyDescent="0.35">
      <c r="A244" s="11">
        <v>63</v>
      </c>
      <c r="B244" s="184" t="s">
        <v>307</v>
      </c>
      <c r="C244" s="144" t="s">
        <v>6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3">
        <f>APOTIK!G243</f>
        <v>0</v>
      </c>
      <c r="S244" s="13">
        <f>DISTRIBUSI!S245</f>
        <v>0</v>
      </c>
      <c r="T244" s="12"/>
      <c r="U244" s="13">
        <f>DISTRIBUSI!U245</f>
        <v>0</v>
      </c>
      <c r="V244" s="13">
        <f>DISTRIBUSI!V245</f>
        <v>0</v>
      </c>
      <c r="W244" s="13">
        <f>DISTRIBUSI!W245</f>
        <v>0</v>
      </c>
      <c r="X244" s="13">
        <f>DISTRIBUSI!X245</f>
        <v>0</v>
      </c>
      <c r="Y244" s="13">
        <f>DISTRIBUSI!Y245</f>
        <v>0</v>
      </c>
      <c r="Z244" s="13">
        <f t="shared" si="6"/>
        <v>0</v>
      </c>
    </row>
    <row r="245" spans="1:26" ht="20.149999999999999" customHeight="1" x14ac:dyDescent="0.35">
      <c r="A245" s="11">
        <v>64</v>
      </c>
      <c r="B245" s="184" t="s">
        <v>366</v>
      </c>
      <c r="C245" s="144" t="s">
        <v>6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3">
        <f>APOTIK!G244</f>
        <v>0</v>
      </c>
      <c r="S245" s="13">
        <f>DISTRIBUSI!S246</f>
        <v>0</v>
      </c>
      <c r="T245" s="12"/>
      <c r="U245" s="13">
        <f>DISTRIBUSI!U246</f>
        <v>0</v>
      </c>
      <c r="V245" s="13">
        <f>DISTRIBUSI!V246</f>
        <v>0</v>
      </c>
      <c r="W245" s="13">
        <f>DISTRIBUSI!W246</f>
        <v>0</v>
      </c>
      <c r="X245" s="13">
        <f>DISTRIBUSI!X246</f>
        <v>0</v>
      </c>
      <c r="Y245" s="13">
        <f>DISTRIBUSI!Y246</f>
        <v>0</v>
      </c>
      <c r="Z245" s="13">
        <f t="shared" si="6"/>
        <v>0</v>
      </c>
    </row>
    <row r="246" spans="1:26" ht="20.149999999999999" customHeight="1" x14ac:dyDescent="0.35">
      <c r="A246" s="11">
        <v>65</v>
      </c>
      <c r="B246" s="184" t="s">
        <v>362</v>
      </c>
      <c r="C246" s="144" t="s">
        <v>363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3">
        <f>APOTIK!G245</f>
        <v>0</v>
      </c>
      <c r="S246" s="13">
        <f>DISTRIBUSI!S247</f>
        <v>0</v>
      </c>
      <c r="T246" s="12"/>
      <c r="U246" s="13">
        <f>DISTRIBUSI!U247</f>
        <v>0</v>
      </c>
      <c r="V246" s="13">
        <f>DISTRIBUSI!V247</f>
        <v>0</v>
      </c>
      <c r="W246" s="13">
        <f>DISTRIBUSI!W247</f>
        <v>0</v>
      </c>
      <c r="X246" s="13">
        <f>DISTRIBUSI!X247</f>
        <v>0</v>
      </c>
      <c r="Y246" s="13">
        <f>DISTRIBUSI!Y247</f>
        <v>0</v>
      </c>
      <c r="Z246" s="13">
        <f t="shared" si="6"/>
        <v>0</v>
      </c>
    </row>
    <row r="247" spans="1:26" ht="20.149999999999999" customHeight="1" x14ac:dyDescent="0.35">
      <c r="A247" s="11">
        <v>66</v>
      </c>
      <c r="B247" s="184" t="s">
        <v>368</v>
      </c>
      <c r="C247" s="144" t="s">
        <v>363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3">
        <f>APOTIK!G246</f>
        <v>0</v>
      </c>
      <c r="S247" s="13">
        <f>DISTRIBUSI!S248</f>
        <v>0</v>
      </c>
      <c r="T247" s="12"/>
      <c r="U247" s="13">
        <f>DISTRIBUSI!U248</f>
        <v>0</v>
      </c>
      <c r="V247" s="13">
        <f>DISTRIBUSI!V248</f>
        <v>0</v>
      </c>
      <c r="W247" s="13">
        <f>DISTRIBUSI!W248</f>
        <v>0</v>
      </c>
      <c r="X247" s="13">
        <f>DISTRIBUSI!X248</f>
        <v>0</v>
      </c>
      <c r="Y247" s="13">
        <f>DISTRIBUSI!Y248</f>
        <v>0</v>
      </c>
      <c r="Z247" s="13">
        <f t="shared" si="6"/>
        <v>0</v>
      </c>
    </row>
    <row r="248" spans="1:26" ht="20.149999999999999" customHeight="1" x14ac:dyDescent="0.35">
      <c r="A248" s="11">
        <v>67</v>
      </c>
      <c r="B248" s="178" t="s">
        <v>370</v>
      </c>
      <c r="C248" s="144" t="s">
        <v>363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3">
        <f>APOTIK!G247</f>
        <v>0</v>
      </c>
      <c r="S248" s="13">
        <f>DISTRIBUSI!S249</f>
        <v>0</v>
      </c>
      <c r="T248" s="12"/>
      <c r="U248" s="13">
        <f>DISTRIBUSI!U249</f>
        <v>0</v>
      </c>
      <c r="V248" s="13">
        <f>DISTRIBUSI!V249</f>
        <v>0</v>
      </c>
      <c r="W248" s="13">
        <f>DISTRIBUSI!W249</f>
        <v>0</v>
      </c>
      <c r="X248" s="13">
        <f>DISTRIBUSI!X249</f>
        <v>0</v>
      </c>
      <c r="Y248" s="13">
        <f>DISTRIBUSI!Y249</f>
        <v>0</v>
      </c>
      <c r="Z248" s="13">
        <f t="shared" si="6"/>
        <v>0</v>
      </c>
    </row>
    <row r="249" spans="1:26" ht="20.149999999999999" customHeight="1" x14ac:dyDescent="0.35">
      <c r="A249" s="11">
        <v>68</v>
      </c>
      <c r="B249" s="178" t="s">
        <v>369</v>
      </c>
      <c r="C249" s="144" t="s">
        <v>363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3">
        <f>APOTIK!G248</f>
        <v>0</v>
      </c>
      <c r="S249" s="13">
        <f>DISTRIBUSI!S250</f>
        <v>0</v>
      </c>
      <c r="T249" s="12"/>
      <c r="U249" s="13">
        <f>DISTRIBUSI!U250</f>
        <v>0</v>
      </c>
      <c r="V249" s="13">
        <f>DISTRIBUSI!V250</f>
        <v>0</v>
      </c>
      <c r="W249" s="13">
        <f>DISTRIBUSI!W250</f>
        <v>0</v>
      </c>
      <c r="X249" s="13">
        <f>DISTRIBUSI!X250</f>
        <v>0</v>
      </c>
      <c r="Y249" s="13">
        <f>DISTRIBUSI!Y250</f>
        <v>0</v>
      </c>
      <c r="Z249" s="13">
        <f t="shared" si="6"/>
        <v>0</v>
      </c>
    </row>
    <row r="250" spans="1:26" ht="20.149999999999999" customHeight="1" x14ac:dyDescent="0.35">
      <c r="A250" s="11">
        <v>69</v>
      </c>
      <c r="B250" s="183" t="s">
        <v>200</v>
      </c>
      <c r="C250" s="144" t="s">
        <v>201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3">
        <f>APOTIK!G249</f>
        <v>0</v>
      </c>
      <c r="S250" s="13">
        <f>DISTRIBUSI!S251</f>
        <v>0</v>
      </c>
      <c r="T250" s="12"/>
      <c r="U250" s="13">
        <f>DISTRIBUSI!U251</f>
        <v>0</v>
      </c>
      <c r="V250" s="13">
        <f>DISTRIBUSI!V251</f>
        <v>0</v>
      </c>
      <c r="W250" s="13">
        <f>DISTRIBUSI!W251</f>
        <v>0</v>
      </c>
      <c r="X250" s="13">
        <f>DISTRIBUSI!X251</f>
        <v>0</v>
      </c>
      <c r="Y250" s="13">
        <f>DISTRIBUSI!Y251</f>
        <v>0</v>
      </c>
      <c r="Z250" s="13">
        <f t="shared" si="6"/>
        <v>0</v>
      </c>
    </row>
    <row r="251" spans="1:26" ht="20.149999999999999" customHeight="1" x14ac:dyDescent="0.35">
      <c r="A251" s="11">
        <v>70</v>
      </c>
      <c r="B251" s="178" t="s">
        <v>279</v>
      </c>
      <c r="C251" s="144" t="s">
        <v>201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3">
        <f>APOTIK!G250</f>
        <v>0</v>
      </c>
      <c r="S251" s="13">
        <f>DISTRIBUSI!S252</f>
        <v>0</v>
      </c>
      <c r="T251" s="12"/>
      <c r="U251" s="13">
        <f>DISTRIBUSI!U252</f>
        <v>0</v>
      </c>
      <c r="V251" s="13">
        <f>DISTRIBUSI!V252</f>
        <v>0</v>
      </c>
      <c r="W251" s="13">
        <f>DISTRIBUSI!W252</f>
        <v>0</v>
      </c>
      <c r="X251" s="13">
        <f>DISTRIBUSI!X252</f>
        <v>0</v>
      </c>
      <c r="Y251" s="13">
        <f>DISTRIBUSI!Y252</f>
        <v>0</v>
      </c>
      <c r="Z251" s="13">
        <f t="shared" si="6"/>
        <v>0</v>
      </c>
    </row>
    <row r="252" spans="1:26" ht="20.149999999999999" customHeight="1" x14ac:dyDescent="0.35">
      <c r="A252" s="11">
        <v>71</v>
      </c>
      <c r="B252" s="183" t="s">
        <v>365</v>
      </c>
      <c r="C252" s="144" t="s">
        <v>6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3">
        <f>APOTIK!G251</f>
        <v>0</v>
      </c>
      <c r="S252" s="13">
        <f>DISTRIBUSI!S253</f>
        <v>0</v>
      </c>
      <c r="T252" s="12"/>
      <c r="U252" s="13">
        <f>DISTRIBUSI!U253</f>
        <v>0</v>
      </c>
      <c r="V252" s="13">
        <f>DISTRIBUSI!V253</f>
        <v>0</v>
      </c>
      <c r="W252" s="13">
        <f>DISTRIBUSI!W253</f>
        <v>0</v>
      </c>
      <c r="X252" s="13">
        <f>DISTRIBUSI!X253</f>
        <v>0</v>
      </c>
      <c r="Y252" s="13">
        <f>DISTRIBUSI!Y253</f>
        <v>0</v>
      </c>
      <c r="Z252" s="13">
        <f t="shared" si="6"/>
        <v>0</v>
      </c>
    </row>
    <row r="253" spans="1:26" ht="20.149999999999999" customHeight="1" x14ac:dyDescent="0.35">
      <c r="A253" s="11">
        <v>72</v>
      </c>
      <c r="B253" s="183" t="s">
        <v>271</v>
      </c>
      <c r="C253" s="144" t="s">
        <v>204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3">
        <f>APOTIK!G252</f>
        <v>0</v>
      </c>
      <c r="S253" s="13">
        <f>DISTRIBUSI!S254</f>
        <v>0</v>
      </c>
      <c r="T253" s="12"/>
      <c r="U253" s="13">
        <f>DISTRIBUSI!U254</f>
        <v>0</v>
      </c>
      <c r="V253" s="13">
        <f>DISTRIBUSI!V254</f>
        <v>0</v>
      </c>
      <c r="W253" s="13">
        <f>DISTRIBUSI!W254</f>
        <v>0</v>
      </c>
      <c r="X253" s="13">
        <f>DISTRIBUSI!X254</f>
        <v>0</v>
      </c>
      <c r="Y253" s="13">
        <f>DISTRIBUSI!Y254</f>
        <v>0</v>
      </c>
      <c r="Z253" s="13">
        <f t="shared" si="6"/>
        <v>0</v>
      </c>
    </row>
    <row r="254" spans="1:26" ht="20.149999999999999" customHeight="1" x14ac:dyDescent="0.35">
      <c r="A254" s="11">
        <v>73</v>
      </c>
      <c r="B254" s="182" t="s">
        <v>306</v>
      </c>
      <c r="C254" s="144" t="s">
        <v>48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3">
        <f>APOTIK!G253</f>
        <v>0</v>
      </c>
      <c r="S254" s="13">
        <f>DISTRIBUSI!S255</f>
        <v>0</v>
      </c>
      <c r="T254" s="12"/>
      <c r="U254" s="13">
        <f>DISTRIBUSI!U255</f>
        <v>0</v>
      </c>
      <c r="V254" s="13">
        <f>DISTRIBUSI!V255</f>
        <v>0</v>
      </c>
      <c r="W254" s="13">
        <f>DISTRIBUSI!W255</f>
        <v>0</v>
      </c>
      <c r="X254" s="13">
        <f>DISTRIBUSI!X255</f>
        <v>0</v>
      </c>
      <c r="Y254" s="13">
        <f>DISTRIBUSI!Y255</f>
        <v>0</v>
      </c>
      <c r="Z254" s="13">
        <f t="shared" si="6"/>
        <v>0</v>
      </c>
    </row>
    <row r="255" spans="1:26" ht="20.149999999999999" customHeight="1" x14ac:dyDescent="0.35">
      <c r="A255" s="11">
        <v>74</v>
      </c>
      <c r="B255" s="178" t="s">
        <v>396</v>
      </c>
      <c r="C255" s="144" t="s">
        <v>33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3">
        <f>APOTIK!G254</f>
        <v>0</v>
      </c>
      <c r="S255" s="13">
        <f>DISTRIBUSI!S256</f>
        <v>0</v>
      </c>
      <c r="T255" s="12"/>
      <c r="U255" s="13">
        <f>DISTRIBUSI!U256</f>
        <v>0</v>
      </c>
      <c r="V255" s="13">
        <f>DISTRIBUSI!V256</f>
        <v>0</v>
      </c>
      <c r="W255" s="13">
        <f>DISTRIBUSI!W256</f>
        <v>0</v>
      </c>
      <c r="X255" s="13">
        <f>DISTRIBUSI!X256</f>
        <v>0</v>
      </c>
      <c r="Y255" s="13">
        <f>DISTRIBUSI!Y256</f>
        <v>0</v>
      </c>
      <c r="Z255" s="13">
        <f t="shared" si="6"/>
        <v>0</v>
      </c>
    </row>
    <row r="256" spans="1:26" ht="20.149999999999999" customHeight="1" x14ac:dyDescent="0.35">
      <c r="A256" s="11">
        <v>75</v>
      </c>
      <c r="B256" s="183" t="s">
        <v>432</v>
      </c>
      <c r="C256" s="144" t="s">
        <v>6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3">
        <f>APOTIK!G255</f>
        <v>0</v>
      </c>
      <c r="S256" s="13">
        <f>DISTRIBUSI!S257</f>
        <v>0</v>
      </c>
      <c r="T256" s="12"/>
      <c r="U256" s="13">
        <f>DISTRIBUSI!U257</f>
        <v>0</v>
      </c>
      <c r="V256" s="13">
        <f>DISTRIBUSI!V257</f>
        <v>0</v>
      </c>
      <c r="W256" s="13">
        <f>DISTRIBUSI!W257</f>
        <v>0</v>
      </c>
      <c r="X256" s="13">
        <f>DISTRIBUSI!X257</f>
        <v>0</v>
      </c>
      <c r="Y256" s="13">
        <f>DISTRIBUSI!Y257</f>
        <v>0</v>
      </c>
      <c r="Z256" s="13">
        <f t="shared" si="6"/>
        <v>0</v>
      </c>
    </row>
    <row r="257" spans="1:26" ht="20.149999999999999" customHeight="1" x14ac:dyDescent="0.35">
      <c r="A257" s="11">
        <v>76</v>
      </c>
      <c r="B257" s="183" t="s">
        <v>305</v>
      </c>
      <c r="C257" s="144" t="s">
        <v>6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3">
        <f>APOTIK!G256</f>
        <v>0</v>
      </c>
      <c r="S257" s="13">
        <f>DISTRIBUSI!S258</f>
        <v>0</v>
      </c>
      <c r="T257" s="12"/>
      <c r="U257" s="13">
        <f>DISTRIBUSI!U258</f>
        <v>0</v>
      </c>
      <c r="V257" s="13">
        <f>DISTRIBUSI!V258</f>
        <v>0</v>
      </c>
      <c r="W257" s="13">
        <f>DISTRIBUSI!W258</f>
        <v>0</v>
      </c>
      <c r="X257" s="13">
        <f>DISTRIBUSI!X258</f>
        <v>0</v>
      </c>
      <c r="Y257" s="13">
        <f>DISTRIBUSI!Y258</f>
        <v>0</v>
      </c>
      <c r="Z257" s="13">
        <f t="shared" si="6"/>
        <v>0</v>
      </c>
    </row>
    <row r="258" spans="1:26" ht="20.149999999999999" customHeight="1" x14ac:dyDescent="0.35">
      <c r="A258" s="11">
        <v>77</v>
      </c>
      <c r="B258" s="183" t="s">
        <v>303</v>
      </c>
      <c r="C258" s="144" t="s">
        <v>6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3">
        <f>APOTIK!G257</f>
        <v>0</v>
      </c>
      <c r="S258" s="13">
        <f>DISTRIBUSI!S259</f>
        <v>0</v>
      </c>
      <c r="T258" s="12"/>
      <c r="U258" s="13">
        <f>DISTRIBUSI!U259</f>
        <v>0</v>
      </c>
      <c r="V258" s="13">
        <f>DISTRIBUSI!V259</f>
        <v>0</v>
      </c>
      <c r="W258" s="13">
        <f>DISTRIBUSI!W259</f>
        <v>0</v>
      </c>
      <c r="X258" s="13">
        <f>DISTRIBUSI!X259</f>
        <v>0</v>
      </c>
      <c r="Y258" s="13">
        <f>DISTRIBUSI!Y259</f>
        <v>0</v>
      </c>
      <c r="Z258" s="13">
        <f t="shared" si="6"/>
        <v>0</v>
      </c>
    </row>
    <row r="259" spans="1:26" ht="20.149999999999999" customHeight="1" x14ac:dyDescent="0.35">
      <c r="A259" s="11">
        <v>78</v>
      </c>
      <c r="B259" s="178" t="s">
        <v>304</v>
      </c>
      <c r="C259" s="144" t="s">
        <v>182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3">
        <f>APOTIK!G258</f>
        <v>0</v>
      </c>
      <c r="S259" s="13">
        <f>DISTRIBUSI!S260</f>
        <v>0</v>
      </c>
      <c r="T259" s="12"/>
      <c r="U259" s="13">
        <f>DISTRIBUSI!U260</f>
        <v>0</v>
      </c>
      <c r="V259" s="13">
        <f>DISTRIBUSI!V260</f>
        <v>0</v>
      </c>
      <c r="W259" s="13">
        <f>DISTRIBUSI!W260</f>
        <v>0</v>
      </c>
      <c r="X259" s="13">
        <f>DISTRIBUSI!X260</f>
        <v>0</v>
      </c>
      <c r="Y259" s="13">
        <f>DISTRIBUSI!Y260</f>
        <v>0</v>
      </c>
      <c r="Z259" s="13">
        <f t="shared" si="6"/>
        <v>0</v>
      </c>
    </row>
    <row r="260" spans="1:26" ht="20.149999999999999" customHeight="1" x14ac:dyDescent="0.35">
      <c r="A260" s="11">
        <v>79</v>
      </c>
      <c r="B260" s="178" t="s">
        <v>202</v>
      </c>
      <c r="C260" s="144" t="s">
        <v>201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3">
        <f>APOTIK!G259</f>
        <v>0</v>
      </c>
      <c r="S260" s="13">
        <f>DISTRIBUSI!S261</f>
        <v>0</v>
      </c>
      <c r="T260" s="12"/>
      <c r="U260" s="13">
        <f>DISTRIBUSI!U261</f>
        <v>0</v>
      </c>
      <c r="V260" s="13">
        <f>DISTRIBUSI!V261</f>
        <v>0</v>
      </c>
      <c r="W260" s="13">
        <f>DISTRIBUSI!W261</f>
        <v>0</v>
      </c>
      <c r="X260" s="13">
        <f>DISTRIBUSI!X261</f>
        <v>0</v>
      </c>
      <c r="Y260" s="13">
        <f>DISTRIBUSI!Y261</f>
        <v>0</v>
      </c>
      <c r="Z260" s="13">
        <f t="shared" si="6"/>
        <v>0</v>
      </c>
    </row>
    <row r="261" spans="1:26" ht="20.149999999999999" customHeight="1" x14ac:dyDescent="0.35">
      <c r="A261" s="11">
        <v>80</v>
      </c>
      <c r="B261" s="178" t="s">
        <v>433</v>
      </c>
      <c r="C261" s="144" t="s">
        <v>203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3">
        <f>APOTIK!G260</f>
        <v>0</v>
      </c>
      <c r="S261" s="13">
        <f>DISTRIBUSI!S262</f>
        <v>0</v>
      </c>
      <c r="T261" s="12"/>
      <c r="U261" s="13">
        <f>DISTRIBUSI!U262</f>
        <v>0</v>
      </c>
      <c r="V261" s="13">
        <f>DISTRIBUSI!V262</f>
        <v>0</v>
      </c>
      <c r="W261" s="13">
        <f>DISTRIBUSI!W262</f>
        <v>0</v>
      </c>
      <c r="X261" s="13">
        <f>DISTRIBUSI!X262</f>
        <v>0</v>
      </c>
      <c r="Y261" s="13">
        <f>DISTRIBUSI!Y262</f>
        <v>0</v>
      </c>
      <c r="Z261" s="13">
        <f t="shared" si="6"/>
        <v>0</v>
      </c>
    </row>
    <row r="262" spans="1:26" ht="20.149999999999999" customHeight="1" x14ac:dyDescent="0.35">
      <c r="A262" s="11">
        <v>81</v>
      </c>
      <c r="B262" s="178"/>
      <c r="C262" s="14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3">
        <f>APOTIK!G261</f>
        <v>0</v>
      </c>
      <c r="S262" s="13">
        <f>DISTRIBUSI!S263</f>
        <v>0</v>
      </c>
      <c r="T262" s="12"/>
      <c r="U262" s="13">
        <f>DISTRIBUSI!U263</f>
        <v>0</v>
      </c>
      <c r="V262" s="13">
        <f>DISTRIBUSI!V263</f>
        <v>0</v>
      </c>
      <c r="W262" s="13">
        <f>DISTRIBUSI!W263</f>
        <v>0</v>
      </c>
      <c r="X262" s="13">
        <f>DISTRIBUSI!X263</f>
        <v>0</v>
      </c>
      <c r="Y262" s="13">
        <f>DISTRIBUSI!Y263</f>
        <v>0</v>
      </c>
      <c r="Z262" s="13">
        <f t="shared" si="6"/>
        <v>0</v>
      </c>
    </row>
    <row r="263" spans="1:26" ht="20.149999999999999" customHeight="1" x14ac:dyDescent="0.35">
      <c r="A263" s="11">
        <v>82</v>
      </c>
      <c r="B263" s="178"/>
      <c r="C263" s="14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3">
        <f>APOTIK!G262</f>
        <v>0</v>
      </c>
      <c r="S263" s="13">
        <f>DISTRIBUSI!S264</f>
        <v>0</v>
      </c>
      <c r="T263" s="12"/>
      <c r="U263" s="13">
        <f>DISTRIBUSI!U264</f>
        <v>0</v>
      </c>
      <c r="V263" s="13">
        <f>DISTRIBUSI!V264</f>
        <v>0</v>
      </c>
      <c r="W263" s="13">
        <f>DISTRIBUSI!W264</f>
        <v>0</v>
      </c>
      <c r="X263" s="13">
        <f>DISTRIBUSI!X264</f>
        <v>0</v>
      </c>
      <c r="Y263" s="13">
        <f>DISTRIBUSI!Y264</f>
        <v>0</v>
      </c>
      <c r="Z263" s="13">
        <f t="shared" si="6"/>
        <v>0</v>
      </c>
    </row>
    <row r="264" spans="1:26" ht="20.149999999999999" customHeight="1" x14ac:dyDescent="0.35">
      <c r="A264" s="11">
        <v>83</v>
      </c>
      <c r="B264" s="178"/>
      <c r="C264" s="14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3">
        <f>APOTIK!G263</f>
        <v>0</v>
      </c>
      <c r="S264" s="13">
        <f>DISTRIBUSI!S265</f>
        <v>0</v>
      </c>
      <c r="T264" s="12"/>
      <c r="U264" s="13">
        <f>DISTRIBUSI!U265</f>
        <v>0</v>
      </c>
      <c r="V264" s="13">
        <f>DISTRIBUSI!V265</f>
        <v>0</v>
      </c>
      <c r="W264" s="13">
        <f>DISTRIBUSI!W265</f>
        <v>0</v>
      </c>
      <c r="X264" s="13">
        <f>DISTRIBUSI!X265</f>
        <v>0</v>
      </c>
      <c r="Y264" s="13">
        <f>DISTRIBUSI!Y265</f>
        <v>0</v>
      </c>
      <c r="Z264" s="13">
        <f t="shared" si="6"/>
        <v>0</v>
      </c>
    </row>
    <row r="265" spans="1:26" ht="20.149999999999999" customHeight="1" x14ac:dyDescent="0.35">
      <c r="A265" s="187">
        <v>84</v>
      </c>
      <c r="B265" s="190" t="s">
        <v>205</v>
      </c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3">
        <f>APOTIK!G264</f>
        <v>0</v>
      </c>
      <c r="S265" s="13">
        <f>DISTRIBUSI!S266</f>
        <v>0</v>
      </c>
      <c r="T265" s="12"/>
      <c r="U265" s="13">
        <f>DISTRIBUSI!U266</f>
        <v>0</v>
      </c>
      <c r="V265" s="13">
        <f>DISTRIBUSI!V266</f>
        <v>0</v>
      </c>
      <c r="W265" s="13">
        <f>DISTRIBUSI!W266</f>
        <v>0</v>
      </c>
      <c r="X265" s="13">
        <f>DISTRIBUSI!X266</f>
        <v>0</v>
      </c>
      <c r="Y265" s="13">
        <f>DISTRIBUSI!Y266</f>
        <v>0</v>
      </c>
      <c r="Z265" s="13">
        <f t="shared" si="6"/>
        <v>0</v>
      </c>
    </row>
    <row r="266" spans="1:26" ht="20.149999999999999" customHeight="1" x14ac:dyDescent="0.35">
      <c r="A266" s="11">
        <v>85</v>
      </c>
      <c r="B266" s="184" t="s">
        <v>206</v>
      </c>
      <c r="C266" s="144" t="s">
        <v>177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3">
        <f>APOTIK!G265</f>
        <v>0</v>
      </c>
      <c r="S266" s="13">
        <f>DISTRIBUSI!S267</f>
        <v>0</v>
      </c>
      <c r="T266" s="12"/>
      <c r="U266" s="13">
        <f>DISTRIBUSI!U267</f>
        <v>0</v>
      </c>
      <c r="V266" s="13">
        <f>DISTRIBUSI!V267</f>
        <v>0</v>
      </c>
      <c r="W266" s="13">
        <f>DISTRIBUSI!W267</f>
        <v>0</v>
      </c>
      <c r="X266" s="13">
        <f>DISTRIBUSI!X267</f>
        <v>0</v>
      </c>
      <c r="Y266" s="13">
        <f>DISTRIBUSI!Y267</f>
        <v>0</v>
      </c>
      <c r="Z266" s="13">
        <f t="shared" ref="Z266:Z329" si="7">SUM(D266:Y266)</f>
        <v>0</v>
      </c>
    </row>
    <row r="267" spans="1:26" ht="20.149999999999999" customHeight="1" x14ac:dyDescent="0.35">
      <c r="A267" s="11">
        <v>86</v>
      </c>
      <c r="B267" s="178" t="s">
        <v>257</v>
      </c>
      <c r="C267" s="144" t="s">
        <v>48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3">
        <f>APOTIK!G266</f>
        <v>0</v>
      </c>
      <c r="S267" s="13">
        <f>DISTRIBUSI!S268</f>
        <v>0</v>
      </c>
      <c r="T267" s="12"/>
      <c r="U267" s="13">
        <f>DISTRIBUSI!U268</f>
        <v>0</v>
      </c>
      <c r="V267" s="13">
        <f>DISTRIBUSI!V268</f>
        <v>0</v>
      </c>
      <c r="W267" s="13">
        <f>DISTRIBUSI!W268</f>
        <v>0</v>
      </c>
      <c r="X267" s="13">
        <f>DISTRIBUSI!X268</f>
        <v>0</v>
      </c>
      <c r="Y267" s="13">
        <f>DISTRIBUSI!Y268</f>
        <v>0</v>
      </c>
      <c r="Z267" s="13">
        <f t="shared" si="7"/>
        <v>0</v>
      </c>
    </row>
    <row r="268" spans="1:26" ht="20.149999999999999" customHeight="1" x14ac:dyDescent="0.35">
      <c r="A268" s="11">
        <v>87</v>
      </c>
      <c r="B268" s="184" t="s">
        <v>272</v>
      </c>
      <c r="C268" s="144" t="s">
        <v>198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3">
        <f>APOTIK!G267</f>
        <v>0</v>
      </c>
      <c r="S268" s="13">
        <f>DISTRIBUSI!S269</f>
        <v>0</v>
      </c>
      <c r="T268" s="12"/>
      <c r="U268" s="13">
        <f>DISTRIBUSI!U269</f>
        <v>0</v>
      </c>
      <c r="V268" s="13">
        <f>DISTRIBUSI!V269</f>
        <v>0</v>
      </c>
      <c r="W268" s="13">
        <f>DISTRIBUSI!W269</f>
        <v>0</v>
      </c>
      <c r="X268" s="13">
        <f>DISTRIBUSI!X269</f>
        <v>0</v>
      </c>
      <c r="Y268" s="13">
        <f>DISTRIBUSI!Y269</f>
        <v>0</v>
      </c>
      <c r="Z268" s="13">
        <f t="shared" si="7"/>
        <v>0</v>
      </c>
    </row>
    <row r="269" spans="1:26" ht="20.149999999999999" customHeight="1" x14ac:dyDescent="0.35">
      <c r="A269" s="11">
        <v>88</v>
      </c>
      <c r="B269" s="180"/>
      <c r="C269" s="14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3">
        <f>APOTIK!G268</f>
        <v>0</v>
      </c>
      <c r="S269" s="13">
        <f>DISTRIBUSI!S270</f>
        <v>0</v>
      </c>
      <c r="T269" s="12"/>
      <c r="U269" s="13">
        <f>DISTRIBUSI!U270</f>
        <v>0</v>
      </c>
      <c r="V269" s="13">
        <f>DISTRIBUSI!V270</f>
        <v>0</v>
      </c>
      <c r="W269" s="13">
        <f>DISTRIBUSI!W270</f>
        <v>0</v>
      </c>
      <c r="X269" s="13">
        <f>DISTRIBUSI!X270</f>
        <v>0</v>
      </c>
      <c r="Y269" s="13">
        <f>DISTRIBUSI!Y270</f>
        <v>0</v>
      </c>
      <c r="Z269" s="13">
        <f t="shared" si="7"/>
        <v>0</v>
      </c>
    </row>
    <row r="270" spans="1:26" ht="20.149999999999999" customHeight="1" x14ac:dyDescent="0.35">
      <c r="A270" s="11">
        <v>89</v>
      </c>
      <c r="B270" s="185"/>
      <c r="C270" s="14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3">
        <f>APOTIK!G269</f>
        <v>0</v>
      </c>
      <c r="S270" s="13">
        <f>DISTRIBUSI!S271</f>
        <v>0</v>
      </c>
      <c r="T270" s="12"/>
      <c r="U270" s="13">
        <f>DISTRIBUSI!U271</f>
        <v>0</v>
      </c>
      <c r="V270" s="13">
        <f>DISTRIBUSI!V271</f>
        <v>0</v>
      </c>
      <c r="W270" s="13">
        <f>DISTRIBUSI!W271</f>
        <v>0</v>
      </c>
      <c r="X270" s="13">
        <f>DISTRIBUSI!X271</f>
        <v>0</v>
      </c>
      <c r="Y270" s="13">
        <f>DISTRIBUSI!Y271</f>
        <v>0</v>
      </c>
      <c r="Z270" s="13">
        <f t="shared" si="7"/>
        <v>0</v>
      </c>
    </row>
    <row r="271" spans="1:26" ht="20.149999999999999" customHeight="1" x14ac:dyDescent="0.35">
      <c r="A271" s="11">
        <v>90</v>
      </c>
      <c r="B271" s="185"/>
      <c r="C271" s="14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3">
        <f>APOTIK!G270</f>
        <v>0</v>
      </c>
      <c r="S271" s="13">
        <f>DISTRIBUSI!S272</f>
        <v>0</v>
      </c>
      <c r="T271" s="12"/>
      <c r="U271" s="13">
        <f>DISTRIBUSI!U272</f>
        <v>0</v>
      </c>
      <c r="V271" s="13">
        <f>DISTRIBUSI!V272</f>
        <v>0</v>
      </c>
      <c r="W271" s="13">
        <f>DISTRIBUSI!W272</f>
        <v>0</v>
      </c>
      <c r="X271" s="13">
        <f>DISTRIBUSI!X272</f>
        <v>0</v>
      </c>
      <c r="Y271" s="13">
        <f>DISTRIBUSI!Y272</f>
        <v>0</v>
      </c>
      <c r="Z271" s="13">
        <f t="shared" si="7"/>
        <v>0</v>
      </c>
    </row>
    <row r="272" spans="1:26" ht="20.149999999999999" customHeight="1" x14ac:dyDescent="0.35">
      <c r="A272" s="187">
        <v>91</v>
      </c>
      <c r="B272" s="189" t="s">
        <v>207</v>
      </c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3">
        <f>APOTIK!G271</f>
        <v>0</v>
      </c>
      <c r="S272" s="13">
        <f>DISTRIBUSI!S273</f>
        <v>0</v>
      </c>
      <c r="T272" s="12"/>
      <c r="U272" s="13">
        <f>DISTRIBUSI!U273</f>
        <v>0</v>
      </c>
      <c r="V272" s="13">
        <f>DISTRIBUSI!V273</f>
        <v>0</v>
      </c>
      <c r="W272" s="13">
        <f>DISTRIBUSI!W273</f>
        <v>0</v>
      </c>
      <c r="X272" s="13">
        <f>DISTRIBUSI!X273</f>
        <v>0</v>
      </c>
      <c r="Y272" s="13">
        <f>DISTRIBUSI!Y273</f>
        <v>0</v>
      </c>
      <c r="Z272" s="13">
        <f t="shared" si="7"/>
        <v>0</v>
      </c>
    </row>
    <row r="273" spans="1:26" ht="20.149999999999999" customHeight="1" x14ac:dyDescent="0.35">
      <c r="A273" s="11">
        <v>92</v>
      </c>
      <c r="B273" s="186" t="s">
        <v>208</v>
      </c>
      <c r="C273" s="144" t="s">
        <v>209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3">
        <f>APOTIK!G272</f>
        <v>0</v>
      </c>
      <c r="S273" s="13">
        <f>DISTRIBUSI!S274</f>
        <v>0</v>
      </c>
      <c r="T273" s="12"/>
      <c r="U273" s="13">
        <f>DISTRIBUSI!U274</f>
        <v>0</v>
      </c>
      <c r="V273" s="13">
        <f>DISTRIBUSI!V274</f>
        <v>0</v>
      </c>
      <c r="W273" s="13">
        <f>DISTRIBUSI!W274</f>
        <v>0</v>
      </c>
      <c r="X273" s="13">
        <f>DISTRIBUSI!X274</f>
        <v>0</v>
      </c>
      <c r="Y273" s="13">
        <f>DISTRIBUSI!Y274</f>
        <v>0</v>
      </c>
      <c r="Z273" s="13">
        <f t="shared" si="7"/>
        <v>0</v>
      </c>
    </row>
    <row r="274" spans="1:26" ht="20.149999999999999" customHeight="1" x14ac:dyDescent="0.35">
      <c r="A274" s="11">
        <v>93</v>
      </c>
      <c r="B274" s="184" t="s">
        <v>286</v>
      </c>
      <c r="C274" s="144" t="s">
        <v>209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3">
        <f>APOTIK!G273</f>
        <v>0</v>
      </c>
      <c r="S274" s="13">
        <f>DISTRIBUSI!S275</f>
        <v>0</v>
      </c>
      <c r="T274" s="12"/>
      <c r="U274" s="13">
        <f>DISTRIBUSI!U275</f>
        <v>0</v>
      </c>
      <c r="V274" s="13">
        <f>DISTRIBUSI!V275</f>
        <v>0</v>
      </c>
      <c r="W274" s="13">
        <f>DISTRIBUSI!W275</f>
        <v>0</v>
      </c>
      <c r="X274" s="13">
        <f>DISTRIBUSI!X275</f>
        <v>0</v>
      </c>
      <c r="Y274" s="13">
        <f>DISTRIBUSI!Y275</f>
        <v>0</v>
      </c>
      <c r="Z274" s="13">
        <f t="shared" si="7"/>
        <v>0</v>
      </c>
    </row>
    <row r="275" spans="1:26" ht="20.149999999999999" customHeight="1" x14ac:dyDescent="0.35">
      <c r="A275" s="11">
        <v>94</v>
      </c>
      <c r="B275" s="184"/>
      <c r="C275" s="14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3">
        <f>APOTIK!G274</f>
        <v>0</v>
      </c>
      <c r="S275" s="13">
        <f>DISTRIBUSI!S276</f>
        <v>0</v>
      </c>
      <c r="T275" s="12"/>
      <c r="U275" s="13">
        <f>DISTRIBUSI!U276</f>
        <v>0</v>
      </c>
      <c r="V275" s="13">
        <f>DISTRIBUSI!V276</f>
        <v>0</v>
      </c>
      <c r="W275" s="13">
        <f>DISTRIBUSI!W276</f>
        <v>0</v>
      </c>
      <c r="X275" s="13">
        <f>DISTRIBUSI!X276</f>
        <v>0</v>
      </c>
      <c r="Y275" s="13">
        <f>DISTRIBUSI!Y276</f>
        <v>0</v>
      </c>
      <c r="Z275" s="13">
        <f t="shared" si="7"/>
        <v>0</v>
      </c>
    </row>
    <row r="276" spans="1:26" ht="20.149999999999999" customHeight="1" x14ac:dyDescent="0.35">
      <c r="A276" s="11">
        <v>95</v>
      </c>
      <c r="B276" s="184"/>
      <c r="C276" s="14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3">
        <f>APOTIK!G275</f>
        <v>0</v>
      </c>
      <c r="S276" s="13">
        <f>DISTRIBUSI!S277</f>
        <v>0</v>
      </c>
      <c r="T276" s="12"/>
      <c r="U276" s="13">
        <f>DISTRIBUSI!U277</f>
        <v>0</v>
      </c>
      <c r="V276" s="13">
        <f>DISTRIBUSI!V277</f>
        <v>0</v>
      </c>
      <c r="W276" s="13">
        <f>DISTRIBUSI!W277</f>
        <v>0</v>
      </c>
      <c r="X276" s="13">
        <f>DISTRIBUSI!X277</f>
        <v>0</v>
      </c>
      <c r="Y276" s="13">
        <f>DISTRIBUSI!Y277</f>
        <v>0</v>
      </c>
      <c r="Z276" s="13">
        <f t="shared" si="7"/>
        <v>0</v>
      </c>
    </row>
    <row r="277" spans="1:26" ht="20.149999999999999" customHeight="1" x14ac:dyDescent="0.35">
      <c r="A277" s="11">
        <v>96</v>
      </c>
      <c r="B277" s="180"/>
      <c r="C277" s="14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3">
        <f>APOTIK!G276</f>
        <v>0</v>
      </c>
      <c r="S277" s="13">
        <f>DISTRIBUSI!S278</f>
        <v>0</v>
      </c>
      <c r="T277" s="12"/>
      <c r="U277" s="13">
        <f>DISTRIBUSI!U278</f>
        <v>0</v>
      </c>
      <c r="V277" s="13">
        <f>DISTRIBUSI!V278</f>
        <v>0</v>
      </c>
      <c r="W277" s="13">
        <f>DISTRIBUSI!W278</f>
        <v>0</v>
      </c>
      <c r="X277" s="13">
        <f>DISTRIBUSI!X278</f>
        <v>0</v>
      </c>
      <c r="Y277" s="13">
        <f>DISTRIBUSI!Y278</f>
        <v>0</v>
      </c>
      <c r="Z277" s="13">
        <f t="shared" si="7"/>
        <v>0</v>
      </c>
    </row>
    <row r="278" spans="1:26" ht="20.149999999999999" customHeight="1" x14ac:dyDescent="0.35">
      <c r="A278" s="187">
        <v>97</v>
      </c>
      <c r="B278" s="191" t="s">
        <v>210</v>
      </c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3">
        <f>APOTIK!G277</f>
        <v>0</v>
      </c>
      <c r="S278" s="13">
        <f>DISTRIBUSI!S279</f>
        <v>0</v>
      </c>
      <c r="T278" s="12"/>
      <c r="U278" s="13">
        <f>DISTRIBUSI!U279</f>
        <v>0</v>
      </c>
      <c r="V278" s="13">
        <f>DISTRIBUSI!V279</f>
        <v>0</v>
      </c>
      <c r="W278" s="13">
        <f>DISTRIBUSI!W279</f>
        <v>0</v>
      </c>
      <c r="X278" s="13">
        <f>DISTRIBUSI!X279</f>
        <v>0</v>
      </c>
      <c r="Y278" s="13">
        <f>DISTRIBUSI!Y279</f>
        <v>0</v>
      </c>
      <c r="Z278" s="13">
        <f t="shared" si="7"/>
        <v>0</v>
      </c>
    </row>
    <row r="279" spans="1:26" ht="20.149999999999999" customHeight="1" x14ac:dyDescent="0.35">
      <c r="A279" s="11">
        <v>98</v>
      </c>
      <c r="B279" s="180" t="s">
        <v>213</v>
      </c>
      <c r="C279" s="144" t="s">
        <v>212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3">
        <f>APOTIK!G278</f>
        <v>0</v>
      </c>
      <c r="S279" s="13">
        <f>DISTRIBUSI!S280</f>
        <v>0</v>
      </c>
      <c r="T279" s="12"/>
      <c r="U279" s="13">
        <f>DISTRIBUSI!U280</f>
        <v>0</v>
      </c>
      <c r="V279" s="13">
        <f>DISTRIBUSI!V280</f>
        <v>0</v>
      </c>
      <c r="W279" s="13">
        <f>DISTRIBUSI!W280</f>
        <v>0</v>
      </c>
      <c r="X279" s="13">
        <f>DISTRIBUSI!X280</f>
        <v>0</v>
      </c>
      <c r="Y279" s="13">
        <f>DISTRIBUSI!Y280</f>
        <v>0</v>
      </c>
      <c r="Z279" s="13">
        <f t="shared" si="7"/>
        <v>0</v>
      </c>
    </row>
    <row r="280" spans="1:26" ht="20.149999999999999" customHeight="1" x14ac:dyDescent="0.35">
      <c r="A280" s="11">
        <v>99</v>
      </c>
      <c r="B280" s="184" t="s">
        <v>211</v>
      </c>
      <c r="C280" s="144" t="s">
        <v>212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3">
        <f>APOTIK!G279</f>
        <v>0</v>
      </c>
      <c r="S280" s="13">
        <f>DISTRIBUSI!S281</f>
        <v>0</v>
      </c>
      <c r="T280" s="12"/>
      <c r="U280" s="13">
        <f>DISTRIBUSI!U281</f>
        <v>0</v>
      </c>
      <c r="V280" s="13">
        <f>DISTRIBUSI!V281</f>
        <v>0</v>
      </c>
      <c r="W280" s="13">
        <f>DISTRIBUSI!W281</f>
        <v>0</v>
      </c>
      <c r="X280" s="13">
        <f>DISTRIBUSI!X281</f>
        <v>0</v>
      </c>
      <c r="Y280" s="13">
        <f>DISTRIBUSI!Y281</f>
        <v>0</v>
      </c>
      <c r="Z280" s="13">
        <f t="shared" si="7"/>
        <v>0</v>
      </c>
    </row>
    <row r="281" spans="1:26" ht="20.149999999999999" customHeight="1" x14ac:dyDescent="0.35">
      <c r="A281" s="11">
        <v>100</v>
      </c>
      <c r="B281" s="180" t="s">
        <v>214</v>
      </c>
      <c r="C281" s="144" t="s">
        <v>212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3">
        <f>APOTIK!G280</f>
        <v>0</v>
      </c>
      <c r="S281" s="13">
        <f>DISTRIBUSI!S282</f>
        <v>0</v>
      </c>
      <c r="T281" s="12"/>
      <c r="U281" s="13">
        <f>DISTRIBUSI!U282</f>
        <v>0</v>
      </c>
      <c r="V281" s="13">
        <f>DISTRIBUSI!V282</f>
        <v>0</v>
      </c>
      <c r="W281" s="13">
        <f>DISTRIBUSI!W282</f>
        <v>0</v>
      </c>
      <c r="X281" s="13">
        <f>DISTRIBUSI!X282</f>
        <v>0</v>
      </c>
      <c r="Y281" s="13">
        <f>DISTRIBUSI!Y282</f>
        <v>0</v>
      </c>
      <c r="Z281" s="13">
        <f t="shared" si="7"/>
        <v>0</v>
      </c>
    </row>
    <row r="282" spans="1:26" ht="20.149999999999999" customHeight="1" x14ac:dyDescent="0.35">
      <c r="A282" s="11">
        <v>101</v>
      </c>
      <c r="B282" s="180" t="s">
        <v>215</v>
      </c>
      <c r="C282" s="144" t="s">
        <v>212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3">
        <f>APOTIK!G281</f>
        <v>0</v>
      </c>
      <c r="S282" s="13">
        <f>DISTRIBUSI!S283</f>
        <v>0</v>
      </c>
      <c r="T282" s="12"/>
      <c r="U282" s="13">
        <f>DISTRIBUSI!U283</f>
        <v>0</v>
      </c>
      <c r="V282" s="13">
        <f>DISTRIBUSI!V283</f>
        <v>0</v>
      </c>
      <c r="W282" s="13">
        <f>DISTRIBUSI!W283</f>
        <v>0</v>
      </c>
      <c r="X282" s="13">
        <f>DISTRIBUSI!X283</f>
        <v>0</v>
      </c>
      <c r="Y282" s="13">
        <f>DISTRIBUSI!Y283</f>
        <v>0</v>
      </c>
      <c r="Z282" s="13">
        <f t="shared" si="7"/>
        <v>0</v>
      </c>
    </row>
    <row r="283" spans="1:26" ht="20.149999999999999" customHeight="1" x14ac:dyDescent="0.35">
      <c r="A283" s="11">
        <v>102</v>
      </c>
      <c r="B283" s="180"/>
      <c r="C283" s="14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3">
        <f>APOTIK!G282</f>
        <v>0</v>
      </c>
      <c r="S283" s="13">
        <f>DISTRIBUSI!S284</f>
        <v>0</v>
      </c>
      <c r="T283" s="12"/>
      <c r="U283" s="13">
        <f>DISTRIBUSI!U284</f>
        <v>0</v>
      </c>
      <c r="V283" s="13">
        <f>DISTRIBUSI!V284</f>
        <v>0</v>
      </c>
      <c r="W283" s="13">
        <f>DISTRIBUSI!W284</f>
        <v>0</v>
      </c>
      <c r="X283" s="13">
        <f>DISTRIBUSI!X284</f>
        <v>0</v>
      </c>
      <c r="Y283" s="13">
        <f>DISTRIBUSI!Y284</f>
        <v>0</v>
      </c>
      <c r="Z283" s="13">
        <f t="shared" si="7"/>
        <v>0</v>
      </c>
    </row>
    <row r="284" spans="1:26" ht="20.149999999999999" customHeight="1" x14ac:dyDescent="0.35">
      <c r="A284" s="11">
        <v>103</v>
      </c>
      <c r="B284" s="180"/>
      <c r="C284" s="14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3">
        <f>APOTIK!G283</f>
        <v>0</v>
      </c>
      <c r="S284" s="13">
        <f>DISTRIBUSI!S285</f>
        <v>0</v>
      </c>
      <c r="T284" s="12"/>
      <c r="U284" s="13">
        <f>DISTRIBUSI!U285</f>
        <v>0</v>
      </c>
      <c r="V284" s="13">
        <f>DISTRIBUSI!V285</f>
        <v>0</v>
      </c>
      <c r="W284" s="13">
        <f>DISTRIBUSI!W285</f>
        <v>0</v>
      </c>
      <c r="X284" s="13">
        <f>DISTRIBUSI!X285</f>
        <v>0</v>
      </c>
      <c r="Y284" s="13">
        <f>DISTRIBUSI!Y285</f>
        <v>0</v>
      </c>
      <c r="Z284" s="13">
        <f t="shared" si="7"/>
        <v>0</v>
      </c>
    </row>
    <row r="285" spans="1:26" ht="20.149999999999999" customHeight="1" x14ac:dyDescent="0.35">
      <c r="A285" s="11">
        <v>104</v>
      </c>
      <c r="B285" s="180"/>
      <c r="C285" s="14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3">
        <f>APOTIK!G284</f>
        <v>0</v>
      </c>
      <c r="S285" s="13">
        <f>DISTRIBUSI!S286</f>
        <v>0</v>
      </c>
      <c r="T285" s="12"/>
      <c r="U285" s="13">
        <f>DISTRIBUSI!U286</f>
        <v>0</v>
      </c>
      <c r="V285" s="13">
        <f>DISTRIBUSI!V286</f>
        <v>0</v>
      </c>
      <c r="W285" s="13">
        <f>DISTRIBUSI!W286</f>
        <v>0</v>
      </c>
      <c r="X285" s="13">
        <f>DISTRIBUSI!X286</f>
        <v>0</v>
      </c>
      <c r="Y285" s="13">
        <f>DISTRIBUSI!Y286</f>
        <v>0</v>
      </c>
      <c r="Z285" s="13">
        <f t="shared" si="7"/>
        <v>0</v>
      </c>
    </row>
    <row r="286" spans="1:26" ht="20.149999999999999" customHeight="1" x14ac:dyDescent="0.35">
      <c r="A286" s="187">
        <v>105</v>
      </c>
      <c r="B286" s="189" t="s">
        <v>216</v>
      </c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3">
        <f>APOTIK!G285</f>
        <v>0</v>
      </c>
      <c r="S286" s="13">
        <f>DISTRIBUSI!S287</f>
        <v>0</v>
      </c>
      <c r="T286" s="12"/>
      <c r="U286" s="13">
        <f>DISTRIBUSI!U287</f>
        <v>0</v>
      </c>
      <c r="V286" s="13">
        <f>DISTRIBUSI!V287</f>
        <v>0</v>
      </c>
      <c r="W286" s="13">
        <f>DISTRIBUSI!W287</f>
        <v>0</v>
      </c>
      <c r="X286" s="13">
        <f>DISTRIBUSI!X287</f>
        <v>0</v>
      </c>
      <c r="Y286" s="13">
        <f>DISTRIBUSI!Y287</f>
        <v>0</v>
      </c>
      <c r="Z286" s="13">
        <f t="shared" si="7"/>
        <v>0</v>
      </c>
    </row>
    <row r="287" spans="1:26" ht="20.149999999999999" customHeight="1" x14ac:dyDescent="0.35">
      <c r="A287" s="11">
        <v>106</v>
      </c>
      <c r="B287" s="184" t="s">
        <v>397</v>
      </c>
      <c r="C287" s="144" t="s">
        <v>48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3">
        <f>APOTIK!G286</f>
        <v>0</v>
      </c>
      <c r="S287" s="13">
        <f>DISTRIBUSI!S288</f>
        <v>0</v>
      </c>
      <c r="T287" s="12"/>
      <c r="U287" s="13">
        <f>DISTRIBUSI!U288</f>
        <v>0</v>
      </c>
      <c r="V287" s="13">
        <f>DISTRIBUSI!V288</f>
        <v>0</v>
      </c>
      <c r="W287" s="13">
        <f>DISTRIBUSI!W288</f>
        <v>0</v>
      </c>
      <c r="X287" s="13">
        <f>DISTRIBUSI!X288</f>
        <v>0</v>
      </c>
      <c r="Y287" s="13">
        <f>DISTRIBUSI!Y288</f>
        <v>0</v>
      </c>
      <c r="Z287" s="13">
        <f t="shared" si="7"/>
        <v>0</v>
      </c>
    </row>
    <row r="288" spans="1:26" ht="20.149999999999999" customHeight="1" x14ac:dyDescent="0.35">
      <c r="A288" s="11">
        <v>107</v>
      </c>
      <c r="B288" s="184" t="s">
        <v>398</v>
      </c>
      <c r="C288" s="144" t="s">
        <v>48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3">
        <f>APOTIK!G287</f>
        <v>0</v>
      </c>
      <c r="S288" s="13">
        <f>DISTRIBUSI!S289</f>
        <v>0</v>
      </c>
      <c r="T288" s="12"/>
      <c r="U288" s="13">
        <f>DISTRIBUSI!U289</f>
        <v>0</v>
      </c>
      <c r="V288" s="13">
        <f>DISTRIBUSI!V289</f>
        <v>0</v>
      </c>
      <c r="W288" s="13">
        <f>DISTRIBUSI!W289</f>
        <v>0</v>
      </c>
      <c r="X288" s="13">
        <f>DISTRIBUSI!X289</f>
        <v>0</v>
      </c>
      <c r="Y288" s="13">
        <f>DISTRIBUSI!Y289</f>
        <v>0</v>
      </c>
      <c r="Z288" s="13">
        <f t="shared" si="7"/>
        <v>0</v>
      </c>
    </row>
    <row r="289" spans="1:26" ht="20.149999999999999" customHeight="1" x14ac:dyDescent="0.35">
      <c r="A289" s="11">
        <v>108</v>
      </c>
      <c r="B289" s="184" t="s">
        <v>295</v>
      </c>
      <c r="C289" s="144" t="s">
        <v>201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3">
        <f>APOTIK!G288</f>
        <v>0</v>
      </c>
      <c r="S289" s="13">
        <f>DISTRIBUSI!S290</f>
        <v>0</v>
      </c>
      <c r="T289" s="12"/>
      <c r="U289" s="13">
        <f>DISTRIBUSI!U290</f>
        <v>0</v>
      </c>
      <c r="V289" s="13">
        <f>DISTRIBUSI!V290</f>
        <v>0</v>
      </c>
      <c r="W289" s="13">
        <f>DISTRIBUSI!W290</f>
        <v>0</v>
      </c>
      <c r="X289" s="13">
        <f>DISTRIBUSI!X290</f>
        <v>0</v>
      </c>
      <c r="Y289" s="13">
        <f>DISTRIBUSI!Y290</f>
        <v>0</v>
      </c>
      <c r="Z289" s="13">
        <f t="shared" si="7"/>
        <v>0</v>
      </c>
    </row>
    <row r="290" spans="1:26" ht="20.149999999999999" customHeight="1" x14ac:dyDescent="0.35">
      <c r="A290" s="11">
        <v>109</v>
      </c>
      <c r="B290" s="184" t="s">
        <v>296</v>
      </c>
      <c r="C290" s="144" t="s">
        <v>201</v>
      </c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3">
        <f>APOTIK!G289</f>
        <v>0</v>
      </c>
      <c r="S290" s="13">
        <f>DISTRIBUSI!S291</f>
        <v>0</v>
      </c>
      <c r="T290" s="12"/>
      <c r="U290" s="13">
        <f>DISTRIBUSI!U291</f>
        <v>0</v>
      </c>
      <c r="V290" s="13">
        <f>DISTRIBUSI!V291</f>
        <v>0</v>
      </c>
      <c r="W290" s="13">
        <f>DISTRIBUSI!W291</f>
        <v>0</v>
      </c>
      <c r="X290" s="13">
        <f>DISTRIBUSI!X291</f>
        <v>0</v>
      </c>
      <c r="Y290" s="13">
        <f>DISTRIBUSI!Y291</f>
        <v>0</v>
      </c>
      <c r="Z290" s="13">
        <f t="shared" si="7"/>
        <v>0</v>
      </c>
    </row>
    <row r="291" spans="1:26" ht="20.149999999999999" customHeight="1" x14ac:dyDescent="0.35">
      <c r="A291" s="11">
        <v>110</v>
      </c>
      <c r="B291" s="184" t="s">
        <v>374</v>
      </c>
      <c r="C291" s="144" t="s">
        <v>6</v>
      </c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3">
        <f>APOTIK!G290</f>
        <v>0</v>
      </c>
      <c r="S291" s="13">
        <f>DISTRIBUSI!S292</f>
        <v>0</v>
      </c>
      <c r="T291" s="12"/>
      <c r="U291" s="13">
        <f>DISTRIBUSI!U292</f>
        <v>0</v>
      </c>
      <c r="V291" s="13">
        <f>DISTRIBUSI!V292</f>
        <v>0</v>
      </c>
      <c r="W291" s="13">
        <f>DISTRIBUSI!W292</f>
        <v>0</v>
      </c>
      <c r="X291" s="13">
        <f>DISTRIBUSI!X292</f>
        <v>0</v>
      </c>
      <c r="Y291" s="13">
        <f>DISTRIBUSI!Y292</f>
        <v>0</v>
      </c>
      <c r="Z291" s="13">
        <f t="shared" si="7"/>
        <v>0</v>
      </c>
    </row>
    <row r="292" spans="1:26" ht="15.5" x14ac:dyDescent="0.35">
      <c r="A292" s="11">
        <v>111</v>
      </c>
      <c r="B292" s="184" t="s">
        <v>399</v>
      </c>
      <c r="C292" s="144" t="s">
        <v>289</v>
      </c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3">
        <f>APOTIK!G291</f>
        <v>0</v>
      </c>
      <c r="S292" s="13">
        <f>DISTRIBUSI!S293</f>
        <v>0</v>
      </c>
      <c r="T292" s="12"/>
      <c r="U292" s="13">
        <f>DISTRIBUSI!U293</f>
        <v>0</v>
      </c>
      <c r="V292" s="13">
        <f>DISTRIBUSI!V293</f>
        <v>0</v>
      </c>
      <c r="W292" s="13">
        <f>DISTRIBUSI!W293</f>
        <v>0</v>
      </c>
      <c r="X292" s="13">
        <f>DISTRIBUSI!X293</f>
        <v>0</v>
      </c>
      <c r="Y292" s="13">
        <f>DISTRIBUSI!Y293</f>
        <v>0</v>
      </c>
      <c r="Z292" s="13">
        <f t="shared" si="7"/>
        <v>0</v>
      </c>
    </row>
    <row r="293" spans="1:26" ht="15.5" x14ac:dyDescent="0.35">
      <c r="A293" s="11">
        <v>112</v>
      </c>
      <c r="B293" s="184" t="s">
        <v>400</v>
      </c>
      <c r="C293" s="144" t="s">
        <v>273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3">
        <f>APOTIK!G292</f>
        <v>0</v>
      </c>
      <c r="S293" s="13">
        <f>DISTRIBUSI!S294</f>
        <v>0</v>
      </c>
      <c r="T293" s="12"/>
      <c r="U293" s="13">
        <f>DISTRIBUSI!U294</f>
        <v>0</v>
      </c>
      <c r="V293" s="13">
        <f>DISTRIBUSI!V294</f>
        <v>0</v>
      </c>
      <c r="W293" s="13">
        <f>DISTRIBUSI!W294</f>
        <v>0</v>
      </c>
      <c r="X293" s="13">
        <f>DISTRIBUSI!X294</f>
        <v>0</v>
      </c>
      <c r="Y293" s="13">
        <f>DISTRIBUSI!Y294</f>
        <v>0</v>
      </c>
      <c r="Z293" s="13">
        <f t="shared" si="7"/>
        <v>0</v>
      </c>
    </row>
    <row r="294" spans="1:26" ht="15.5" x14ac:dyDescent="0.35">
      <c r="A294" s="11">
        <v>113</v>
      </c>
      <c r="B294" s="184" t="s">
        <v>373</v>
      </c>
      <c r="C294" s="144" t="s">
        <v>6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3">
        <f>APOTIK!G293</f>
        <v>0</v>
      </c>
      <c r="S294" s="13">
        <f>DISTRIBUSI!S295</f>
        <v>0</v>
      </c>
      <c r="T294" s="12"/>
      <c r="U294" s="13">
        <f>DISTRIBUSI!U295</f>
        <v>0</v>
      </c>
      <c r="V294" s="13">
        <f>DISTRIBUSI!V295</f>
        <v>0</v>
      </c>
      <c r="W294" s="13">
        <f>DISTRIBUSI!W295</f>
        <v>0</v>
      </c>
      <c r="X294" s="13">
        <f>DISTRIBUSI!X295</f>
        <v>0</v>
      </c>
      <c r="Y294" s="13">
        <f>DISTRIBUSI!Y295</f>
        <v>0</v>
      </c>
      <c r="Z294" s="13">
        <f t="shared" si="7"/>
        <v>0</v>
      </c>
    </row>
    <row r="295" spans="1:26" ht="15.5" x14ac:dyDescent="0.35">
      <c r="A295" s="11">
        <v>114</v>
      </c>
      <c r="B295" s="184" t="s">
        <v>378</v>
      </c>
      <c r="C295" s="144" t="s">
        <v>4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3">
        <f>APOTIK!G294</f>
        <v>0</v>
      </c>
      <c r="S295" s="13">
        <f>DISTRIBUSI!S296</f>
        <v>0</v>
      </c>
      <c r="T295" s="12"/>
      <c r="U295" s="13">
        <f>DISTRIBUSI!U296</f>
        <v>0</v>
      </c>
      <c r="V295" s="13">
        <f>DISTRIBUSI!V296</f>
        <v>0</v>
      </c>
      <c r="W295" s="13">
        <f>DISTRIBUSI!W296</f>
        <v>0</v>
      </c>
      <c r="X295" s="13">
        <f>DISTRIBUSI!X296</f>
        <v>0</v>
      </c>
      <c r="Y295" s="13">
        <f>DISTRIBUSI!Y296</f>
        <v>0</v>
      </c>
      <c r="Z295" s="13">
        <f t="shared" si="7"/>
        <v>0</v>
      </c>
    </row>
    <row r="296" spans="1:26" ht="15.5" x14ac:dyDescent="0.35">
      <c r="A296" s="11">
        <v>115</v>
      </c>
      <c r="B296" s="184" t="s">
        <v>301</v>
      </c>
      <c r="C296" s="144" t="s">
        <v>6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3">
        <f>APOTIK!G295</f>
        <v>0</v>
      </c>
      <c r="S296" s="13">
        <f>DISTRIBUSI!S297</f>
        <v>0</v>
      </c>
      <c r="T296" s="12"/>
      <c r="U296" s="13">
        <f>DISTRIBUSI!U297</f>
        <v>0</v>
      </c>
      <c r="V296" s="13">
        <f>DISTRIBUSI!V297</f>
        <v>0</v>
      </c>
      <c r="W296" s="13">
        <f>DISTRIBUSI!W297</f>
        <v>0</v>
      </c>
      <c r="X296" s="13">
        <f>DISTRIBUSI!X297</f>
        <v>0</v>
      </c>
      <c r="Y296" s="13">
        <f>DISTRIBUSI!Y297</f>
        <v>0</v>
      </c>
      <c r="Z296" s="13">
        <f t="shared" si="7"/>
        <v>0</v>
      </c>
    </row>
    <row r="297" spans="1:26" ht="15.5" x14ac:dyDescent="0.35">
      <c r="A297" s="11">
        <v>116</v>
      </c>
      <c r="B297" s="184" t="s">
        <v>375</v>
      </c>
      <c r="C297" s="144" t="s">
        <v>212</v>
      </c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3">
        <f>APOTIK!G296</f>
        <v>0</v>
      </c>
      <c r="S297" s="13">
        <f>DISTRIBUSI!S298</f>
        <v>0</v>
      </c>
      <c r="T297" s="12"/>
      <c r="U297" s="13">
        <f>DISTRIBUSI!U298</f>
        <v>0</v>
      </c>
      <c r="V297" s="13">
        <f>DISTRIBUSI!V298</f>
        <v>0</v>
      </c>
      <c r="W297" s="13">
        <f>DISTRIBUSI!W298</f>
        <v>0</v>
      </c>
      <c r="X297" s="13">
        <f>DISTRIBUSI!X298</f>
        <v>0</v>
      </c>
      <c r="Y297" s="13">
        <f>DISTRIBUSI!Y298</f>
        <v>0</v>
      </c>
      <c r="Z297" s="13">
        <f t="shared" si="7"/>
        <v>0</v>
      </c>
    </row>
    <row r="298" spans="1:26" ht="15.5" x14ac:dyDescent="0.35">
      <c r="A298" s="11">
        <v>117</v>
      </c>
      <c r="B298" s="180" t="s">
        <v>297</v>
      </c>
      <c r="C298" s="144" t="s">
        <v>6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3">
        <f>APOTIK!G297</f>
        <v>0</v>
      </c>
      <c r="S298" s="13">
        <f>DISTRIBUSI!S299</f>
        <v>0</v>
      </c>
      <c r="T298" s="12"/>
      <c r="U298" s="13">
        <f>DISTRIBUSI!U299</f>
        <v>0</v>
      </c>
      <c r="V298" s="13">
        <f>DISTRIBUSI!V299</f>
        <v>0</v>
      </c>
      <c r="W298" s="13">
        <f>DISTRIBUSI!W299</f>
        <v>0</v>
      </c>
      <c r="X298" s="13">
        <f>DISTRIBUSI!X299</f>
        <v>0</v>
      </c>
      <c r="Y298" s="13">
        <f>DISTRIBUSI!Y299</f>
        <v>0</v>
      </c>
      <c r="Z298" s="13">
        <f t="shared" si="7"/>
        <v>0</v>
      </c>
    </row>
    <row r="299" spans="1:26" ht="15.5" x14ac:dyDescent="0.35">
      <c r="A299" s="11">
        <v>118</v>
      </c>
      <c r="B299" s="178" t="s">
        <v>290</v>
      </c>
      <c r="C299" s="144" t="s">
        <v>274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3">
        <f>APOTIK!G298</f>
        <v>0</v>
      </c>
      <c r="S299" s="13">
        <f>DISTRIBUSI!S300</f>
        <v>0</v>
      </c>
      <c r="T299" s="12"/>
      <c r="U299" s="13">
        <f>DISTRIBUSI!U300</f>
        <v>0</v>
      </c>
      <c r="V299" s="13">
        <f>DISTRIBUSI!V300</f>
        <v>0</v>
      </c>
      <c r="W299" s="13">
        <f>DISTRIBUSI!W300</f>
        <v>0</v>
      </c>
      <c r="X299" s="13">
        <f>DISTRIBUSI!X300</f>
        <v>0</v>
      </c>
      <c r="Y299" s="13">
        <f>DISTRIBUSI!Y300</f>
        <v>0</v>
      </c>
      <c r="Z299" s="13">
        <f t="shared" si="7"/>
        <v>0</v>
      </c>
    </row>
    <row r="300" spans="1:26" ht="15.5" x14ac:dyDescent="0.35">
      <c r="A300" s="11">
        <v>119</v>
      </c>
      <c r="B300" s="184" t="s">
        <v>292</v>
      </c>
      <c r="C300" s="144" t="s">
        <v>293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3">
        <f>APOTIK!G299</f>
        <v>0</v>
      </c>
      <c r="S300" s="13">
        <f>DISTRIBUSI!S301</f>
        <v>0</v>
      </c>
      <c r="T300" s="12"/>
      <c r="U300" s="13">
        <f>DISTRIBUSI!U301</f>
        <v>0</v>
      </c>
      <c r="V300" s="13">
        <f>DISTRIBUSI!V301</f>
        <v>0</v>
      </c>
      <c r="W300" s="13">
        <f>DISTRIBUSI!W301</f>
        <v>0</v>
      </c>
      <c r="X300" s="13">
        <f>DISTRIBUSI!X301</f>
        <v>0</v>
      </c>
      <c r="Y300" s="13">
        <f>DISTRIBUSI!Y301</f>
        <v>0</v>
      </c>
      <c r="Z300" s="13">
        <f t="shared" si="7"/>
        <v>0</v>
      </c>
    </row>
    <row r="301" spans="1:26" ht="15.5" x14ac:dyDescent="0.35">
      <c r="A301" s="11">
        <v>120</v>
      </c>
      <c r="B301" s="184" t="s">
        <v>376</v>
      </c>
      <c r="C301" s="144" t="s">
        <v>108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3">
        <f>APOTIK!G300</f>
        <v>0</v>
      </c>
      <c r="S301" s="13">
        <f>DISTRIBUSI!S302</f>
        <v>0</v>
      </c>
      <c r="T301" s="12"/>
      <c r="U301" s="13">
        <f>DISTRIBUSI!U302</f>
        <v>0</v>
      </c>
      <c r="V301" s="13">
        <f>DISTRIBUSI!V302</f>
        <v>0</v>
      </c>
      <c r="W301" s="13">
        <f>DISTRIBUSI!W302</f>
        <v>0</v>
      </c>
      <c r="X301" s="13">
        <f>DISTRIBUSI!X302</f>
        <v>0</v>
      </c>
      <c r="Y301" s="13">
        <f>DISTRIBUSI!Y302</f>
        <v>0</v>
      </c>
      <c r="Z301" s="13">
        <f t="shared" si="7"/>
        <v>0</v>
      </c>
    </row>
    <row r="302" spans="1:26" ht="15.5" x14ac:dyDescent="0.35">
      <c r="A302" s="11">
        <v>121</v>
      </c>
      <c r="B302" s="184" t="s">
        <v>298</v>
      </c>
      <c r="C302" s="144" t="s">
        <v>299</v>
      </c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3">
        <f>APOTIK!G301</f>
        <v>0</v>
      </c>
      <c r="S302" s="13">
        <f>DISTRIBUSI!S303</f>
        <v>0</v>
      </c>
      <c r="T302" s="12"/>
      <c r="U302" s="13">
        <f>DISTRIBUSI!U303</f>
        <v>0</v>
      </c>
      <c r="V302" s="13">
        <f>DISTRIBUSI!V303</f>
        <v>0</v>
      </c>
      <c r="W302" s="13">
        <f>DISTRIBUSI!W303</f>
        <v>0</v>
      </c>
      <c r="X302" s="13">
        <f>DISTRIBUSI!X303</f>
        <v>0</v>
      </c>
      <c r="Y302" s="13">
        <f>DISTRIBUSI!Y303</f>
        <v>0</v>
      </c>
      <c r="Z302" s="13">
        <f t="shared" si="7"/>
        <v>0</v>
      </c>
    </row>
    <row r="303" spans="1:26" ht="15.5" x14ac:dyDescent="0.35">
      <c r="A303" s="11">
        <v>122</v>
      </c>
      <c r="B303" s="184" t="s">
        <v>401</v>
      </c>
      <c r="C303" s="179" t="s">
        <v>274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3">
        <f>APOTIK!G302</f>
        <v>0</v>
      </c>
      <c r="S303" s="13">
        <f>DISTRIBUSI!S304</f>
        <v>0</v>
      </c>
      <c r="T303" s="12"/>
      <c r="U303" s="13">
        <f>DISTRIBUSI!U304</f>
        <v>0</v>
      </c>
      <c r="V303" s="13">
        <f>DISTRIBUSI!V304</f>
        <v>0</v>
      </c>
      <c r="W303" s="13">
        <f>DISTRIBUSI!W304</f>
        <v>0</v>
      </c>
      <c r="X303" s="13">
        <f>DISTRIBUSI!X304</f>
        <v>0</v>
      </c>
      <c r="Y303" s="13">
        <f>DISTRIBUSI!Y304</f>
        <v>0</v>
      </c>
      <c r="Z303" s="13">
        <f t="shared" si="7"/>
        <v>0</v>
      </c>
    </row>
    <row r="304" spans="1:26" ht="15.5" x14ac:dyDescent="0.35">
      <c r="A304" s="11">
        <v>123</v>
      </c>
      <c r="B304" s="184" t="s">
        <v>300</v>
      </c>
      <c r="C304" s="179" t="s">
        <v>6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3">
        <f>APOTIK!G303</f>
        <v>0</v>
      </c>
      <c r="S304" s="13">
        <f>DISTRIBUSI!S305</f>
        <v>0</v>
      </c>
      <c r="T304" s="12"/>
      <c r="U304" s="13">
        <f>DISTRIBUSI!U305</f>
        <v>0</v>
      </c>
      <c r="V304" s="13">
        <f>DISTRIBUSI!V305</f>
        <v>0</v>
      </c>
      <c r="W304" s="13">
        <f>DISTRIBUSI!W305</f>
        <v>0</v>
      </c>
      <c r="X304" s="13">
        <f>DISTRIBUSI!X305</f>
        <v>0</v>
      </c>
      <c r="Y304" s="13">
        <f>DISTRIBUSI!Y305</f>
        <v>0</v>
      </c>
      <c r="Z304" s="13">
        <f t="shared" si="7"/>
        <v>0</v>
      </c>
    </row>
    <row r="305" spans="1:26" ht="15.5" x14ac:dyDescent="0.35">
      <c r="A305" s="11">
        <v>124</v>
      </c>
      <c r="B305" s="184" t="s">
        <v>402</v>
      </c>
      <c r="C305" s="179" t="s">
        <v>203</v>
      </c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3">
        <f>APOTIK!G304</f>
        <v>0</v>
      </c>
      <c r="S305" s="13">
        <f>DISTRIBUSI!S306</f>
        <v>0</v>
      </c>
      <c r="T305" s="12"/>
      <c r="U305" s="13">
        <f>DISTRIBUSI!U306</f>
        <v>0</v>
      </c>
      <c r="V305" s="13">
        <f>DISTRIBUSI!V306</f>
        <v>0</v>
      </c>
      <c r="W305" s="13">
        <f>DISTRIBUSI!W306</f>
        <v>0</v>
      </c>
      <c r="X305" s="13">
        <f>DISTRIBUSI!X306</f>
        <v>0</v>
      </c>
      <c r="Y305" s="13">
        <f>DISTRIBUSI!Y306</f>
        <v>0</v>
      </c>
      <c r="Z305" s="13">
        <f t="shared" si="7"/>
        <v>0</v>
      </c>
    </row>
    <row r="306" spans="1:26" ht="15.5" x14ac:dyDescent="0.35">
      <c r="A306" s="11">
        <v>125</v>
      </c>
      <c r="B306" s="184" t="s">
        <v>403</v>
      </c>
      <c r="C306" s="179" t="s">
        <v>203</v>
      </c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3">
        <f>APOTIK!G305</f>
        <v>0</v>
      </c>
      <c r="S306" s="13">
        <f>DISTRIBUSI!S307</f>
        <v>0</v>
      </c>
      <c r="T306" s="12"/>
      <c r="U306" s="13">
        <f>DISTRIBUSI!U307</f>
        <v>0</v>
      </c>
      <c r="V306" s="13">
        <f>DISTRIBUSI!V307</f>
        <v>0</v>
      </c>
      <c r="W306" s="13">
        <f>DISTRIBUSI!W307</f>
        <v>0</v>
      </c>
      <c r="X306" s="13">
        <f>DISTRIBUSI!X307</f>
        <v>0</v>
      </c>
      <c r="Y306" s="13">
        <f>DISTRIBUSI!Y307</f>
        <v>0</v>
      </c>
      <c r="Z306" s="13">
        <f t="shared" si="7"/>
        <v>0</v>
      </c>
    </row>
    <row r="307" spans="1:26" ht="15.5" x14ac:dyDescent="0.35">
      <c r="A307" s="11">
        <v>126</v>
      </c>
      <c r="B307" s="184" t="s">
        <v>404</v>
      </c>
      <c r="C307" s="179" t="s">
        <v>294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3">
        <f>APOTIK!G306</f>
        <v>0</v>
      </c>
      <c r="S307" s="13">
        <f>DISTRIBUSI!S308</f>
        <v>0</v>
      </c>
      <c r="T307" s="12"/>
      <c r="U307" s="13">
        <f>DISTRIBUSI!U308</f>
        <v>0</v>
      </c>
      <c r="V307" s="13">
        <f>DISTRIBUSI!V308</f>
        <v>0</v>
      </c>
      <c r="W307" s="13">
        <f>DISTRIBUSI!W308</f>
        <v>0</v>
      </c>
      <c r="X307" s="13">
        <f>DISTRIBUSI!X308</f>
        <v>0</v>
      </c>
      <c r="Y307" s="13">
        <f>DISTRIBUSI!Y308</f>
        <v>0</v>
      </c>
      <c r="Z307" s="13">
        <f t="shared" si="7"/>
        <v>0</v>
      </c>
    </row>
    <row r="308" spans="1:26" ht="15.5" x14ac:dyDescent="0.35">
      <c r="A308" s="11">
        <v>127</v>
      </c>
      <c r="B308" s="184" t="s">
        <v>372</v>
      </c>
      <c r="C308" s="179" t="s">
        <v>371</v>
      </c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3">
        <f>APOTIK!G307</f>
        <v>0</v>
      </c>
      <c r="S308" s="13">
        <f>DISTRIBUSI!S309</f>
        <v>0</v>
      </c>
      <c r="T308" s="12"/>
      <c r="U308" s="13">
        <f>DISTRIBUSI!U309</f>
        <v>0</v>
      </c>
      <c r="V308" s="13">
        <f>DISTRIBUSI!V309</f>
        <v>0</v>
      </c>
      <c r="W308" s="13">
        <f>DISTRIBUSI!W309</f>
        <v>0</v>
      </c>
      <c r="X308" s="13">
        <f>DISTRIBUSI!X309</f>
        <v>0</v>
      </c>
      <c r="Y308" s="13">
        <f>DISTRIBUSI!Y309</f>
        <v>0</v>
      </c>
      <c r="Z308" s="13">
        <f t="shared" si="7"/>
        <v>0</v>
      </c>
    </row>
    <row r="309" spans="1:26" ht="15.5" x14ac:dyDescent="0.35">
      <c r="A309" s="11">
        <v>128</v>
      </c>
      <c r="B309" s="184" t="s">
        <v>377</v>
      </c>
      <c r="C309" s="179" t="s">
        <v>212</v>
      </c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3">
        <f>APOTIK!G308</f>
        <v>0</v>
      </c>
      <c r="S309" s="13">
        <f>DISTRIBUSI!S310</f>
        <v>0</v>
      </c>
      <c r="T309" s="12"/>
      <c r="U309" s="13">
        <f>DISTRIBUSI!U310</f>
        <v>0</v>
      </c>
      <c r="V309" s="13">
        <f>DISTRIBUSI!V310</f>
        <v>0</v>
      </c>
      <c r="W309" s="13">
        <f>DISTRIBUSI!W310</f>
        <v>0</v>
      </c>
      <c r="X309" s="13">
        <f>DISTRIBUSI!X310</f>
        <v>0</v>
      </c>
      <c r="Y309" s="13">
        <f>DISTRIBUSI!Y310</f>
        <v>0</v>
      </c>
      <c r="Z309" s="13">
        <f t="shared" si="7"/>
        <v>0</v>
      </c>
    </row>
    <row r="310" spans="1:26" ht="30" x14ac:dyDescent="0.35">
      <c r="A310" s="11">
        <v>129</v>
      </c>
      <c r="B310" s="180" t="s">
        <v>288</v>
      </c>
      <c r="C310" s="179" t="s">
        <v>273</v>
      </c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3">
        <f>APOTIK!G309</f>
        <v>0</v>
      </c>
      <c r="S310" s="13">
        <f>DISTRIBUSI!S311</f>
        <v>0</v>
      </c>
      <c r="T310" s="12"/>
      <c r="U310" s="13">
        <f>DISTRIBUSI!U311</f>
        <v>0</v>
      </c>
      <c r="V310" s="13">
        <f>DISTRIBUSI!V311</f>
        <v>0</v>
      </c>
      <c r="W310" s="13">
        <f>DISTRIBUSI!W311</f>
        <v>0</v>
      </c>
      <c r="X310" s="13">
        <f>DISTRIBUSI!X311</f>
        <v>0</v>
      </c>
      <c r="Y310" s="13">
        <f>DISTRIBUSI!Y311</f>
        <v>0</v>
      </c>
      <c r="Z310" s="13">
        <f t="shared" si="7"/>
        <v>0</v>
      </c>
    </row>
    <row r="311" spans="1:26" ht="30" x14ac:dyDescent="0.35">
      <c r="A311" s="11">
        <v>130</v>
      </c>
      <c r="B311" s="180" t="s">
        <v>287</v>
      </c>
      <c r="C311" s="179" t="s">
        <v>274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3">
        <f>APOTIK!G310</f>
        <v>0</v>
      </c>
      <c r="S311" s="13">
        <f>DISTRIBUSI!S312</f>
        <v>0</v>
      </c>
      <c r="T311" s="12"/>
      <c r="U311" s="13">
        <f>DISTRIBUSI!U312</f>
        <v>0</v>
      </c>
      <c r="V311" s="13">
        <f>DISTRIBUSI!V312</f>
        <v>0</v>
      </c>
      <c r="W311" s="13">
        <f>DISTRIBUSI!W312</f>
        <v>0</v>
      </c>
      <c r="X311" s="13">
        <f>DISTRIBUSI!X312</f>
        <v>0</v>
      </c>
      <c r="Y311" s="13">
        <f>DISTRIBUSI!Y312</f>
        <v>0</v>
      </c>
      <c r="Z311" s="13">
        <f t="shared" si="7"/>
        <v>0</v>
      </c>
    </row>
    <row r="312" spans="1:26" ht="15.5" x14ac:dyDescent="0.35">
      <c r="A312" s="11">
        <v>131</v>
      </c>
      <c r="B312" s="184" t="s">
        <v>291</v>
      </c>
      <c r="C312" s="179" t="s">
        <v>273</v>
      </c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3">
        <f>APOTIK!G311</f>
        <v>0</v>
      </c>
      <c r="S312" s="13">
        <f>DISTRIBUSI!S313</f>
        <v>0</v>
      </c>
      <c r="T312" s="12"/>
      <c r="U312" s="13">
        <f>DISTRIBUSI!U313</f>
        <v>0</v>
      </c>
      <c r="V312" s="13">
        <f>DISTRIBUSI!V313</f>
        <v>0</v>
      </c>
      <c r="W312" s="13">
        <f>DISTRIBUSI!W313</f>
        <v>0</v>
      </c>
      <c r="X312" s="13">
        <f>DISTRIBUSI!X313</f>
        <v>0</v>
      </c>
      <c r="Y312" s="13">
        <f>DISTRIBUSI!Y313</f>
        <v>0</v>
      </c>
      <c r="Z312" s="13">
        <f t="shared" si="7"/>
        <v>0</v>
      </c>
    </row>
    <row r="313" spans="1:26" ht="15.5" x14ac:dyDescent="0.35">
      <c r="A313" s="11">
        <v>132</v>
      </c>
      <c r="B313" s="184" t="s">
        <v>405</v>
      </c>
      <c r="C313" s="179" t="s">
        <v>203</v>
      </c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3">
        <f>APOTIK!G312</f>
        <v>0</v>
      </c>
      <c r="S313" s="13">
        <f>DISTRIBUSI!S314</f>
        <v>0</v>
      </c>
      <c r="T313" s="12"/>
      <c r="U313" s="13">
        <f>DISTRIBUSI!U314</f>
        <v>0</v>
      </c>
      <c r="V313" s="13">
        <f>DISTRIBUSI!V314</f>
        <v>0</v>
      </c>
      <c r="W313" s="13">
        <f>DISTRIBUSI!W314</f>
        <v>0</v>
      </c>
      <c r="X313" s="13">
        <f>DISTRIBUSI!X314</f>
        <v>0</v>
      </c>
      <c r="Y313" s="13">
        <f>DISTRIBUSI!Y314</f>
        <v>0</v>
      </c>
      <c r="Z313" s="13">
        <f t="shared" si="7"/>
        <v>0</v>
      </c>
    </row>
    <row r="314" spans="1:26" ht="15.5" x14ac:dyDescent="0.35">
      <c r="A314" s="11">
        <v>133</v>
      </c>
      <c r="B314" s="184" t="s">
        <v>406</v>
      </c>
      <c r="C314" s="179" t="s">
        <v>201</v>
      </c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3">
        <f>APOTIK!G313</f>
        <v>0</v>
      </c>
      <c r="S314" s="13">
        <f>DISTRIBUSI!S315</f>
        <v>0</v>
      </c>
      <c r="T314" s="12"/>
      <c r="U314" s="13">
        <f>DISTRIBUSI!U315</f>
        <v>0</v>
      </c>
      <c r="V314" s="13">
        <f>DISTRIBUSI!V315</f>
        <v>0</v>
      </c>
      <c r="W314" s="13">
        <f>DISTRIBUSI!W315</f>
        <v>0</v>
      </c>
      <c r="X314" s="13">
        <f>DISTRIBUSI!X315</f>
        <v>0</v>
      </c>
      <c r="Y314" s="13">
        <f>DISTRIBUSI!Y315</f>
        <v>0</v>
      </c>
      <c r="Z314" s="13">
        <f t="shared" si="7"/>
        <v>0</v>
      </c>
    </row>
    <row r="315" spans="1:26" ht="15.5" x14ac:dyDescent="0.35">
      <c r="A315" s="11">
        <v>134</v>
      </c>
      <c r="B315" s="184" t="s">
        <v>407</v>
      </c>
      <c r="C315" s="179" t="s">
        <v>273</v>
      </c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3">
        <f>APOTIK!G314</f>
        <v>0</v>
      </c>
      <c r="S315" s="13">
        <f>DISTRIBUSI!S316</f>
        <v>0</v>
      </c>
      <c r="T315" s="12"/>
      <c r="U315" s="13">
        <f>DISTRIBUSI!U316</f>
        <v>0</v>
      </c>
      <c r="V315" s="13">
        <f>DISTRIBUSI!V316</f>
        <v>0</v>
      </c>
      <c r="W315" s="13">
        <f>DISTRIBUSI!W316</f>
        <v>0</v>
      </c>
      <c r="X315" s="13">
        <f>DISTRIBUSI!X316</f>
        <v>0</v>
      </c>
      <c r="Y315" s="13">
        <f>DISTRIBUSI!Y316</f>
        <v>0</v>
      </c>
      <c r="Z315" s="13">
        <f t="shared" si="7"/>
        <v>0</v>
      </c>
    </row>
    <row r="316" spans="1:26" ht="15.5" x14ac:dyDescent="0.35">
      <c r="A316" s="11">
        <v>135</v>
      </c>
      <c r="B316" s="184" t="s">
        <v>408</v>
      </c>
      <c r="C316" s="179" t="s">
        <v>274</v>
      </c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3">
        <f>APOTIK!G315</f>
        <v>0</v>
      </c>
      <c r="S316" s="13">
        <f>DISTRIBUSI!S317</f>
        <v>0</v>
      </c>
      <c r="T316" s="12"/>
      <c r="U316" s="13">
        <f>DISTRIBUSI!U317</f>
        <v>0</v>
      </c>
      <c r="V316" s="13">
        <f>DISTRIBUSI!V317</f>
        <v>0</v>
      </c>
      <c r="W316" s="13">
        <f>DISTRIBUSI!W317</f>
        <v>0</v>
      </c>
      <c r="X316" s="13">
        <f>DISTRIBUSI!X317</f>
        <v>0</v>
      </c>
      <c r="Y316" s="13">
        <f>DISTRIBUSI!Y317</f>
        <v>0</v>
      </c>
      <c r="Z316" s="13">
        <f t="shared" si="7"/>
        <v>0</v>
      </c>
    </row>
    <row r="317" spans="1:26" ht="15.5" x14ac:dyDescent="0.35">
      <c r="A317" s="11">
        <v>136</v>
      </c>
      <c r="B317" s="184" t="s">
        <v>409</v>
      </c>
      <c r="C317" s="179" t="s">
        <v>48</v>
      </c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3">
        <f>APOTIK!G316</f>
        <v>0</v>
      </c>
      <c r="S317" s="13">
        <f>DISTRIBUSI!S318</f>
        <v>0</v>
      </c>
      <c r="T317" s="12"/>
      <c r="U317" s="13">
        <f>DISTRIBUSI!U318</f>
        <v>0</v>
      </c>
      <c r="V317" s="13">
        <f>DISTRIBUSI!V318</f>
        <v>0</v>
      </c>
      <c r="W317" s="13">
        <f>DISTRIBUSI!W318</f>
        <v>0</v>
      </c>
      <c r="X317" s="13">
        <f>DISTRIBUSI!X318</f>
        <v>0</v>
      </c>
      <c r="Y317" s="13">
        <f>DISTRIBUSI!Y318</f>
        <v>0</v>
      </c>
      <c r="Z317" s="13">
        <f t="shared" si="7"/>
        <v>0</v>
      </c>
    </row>
    <row r="318" spans="1:26" ht="15.5" x14ac:dyDescent="0.35">
      <c r="A318" s="11">
        <v>137</v>
      </c>
      <c r="B318" s="184" t="s">
        <v>434</v>
      </c>
      <c r="C318" s="179" t="s">
        <v>212</v>
      </c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3">
        <f>APOTIK!G317</f>
        <v>0</v>
      </c>
      <c r="S318" s="13">
        <f>DISTRIBUSI!S319</f>
        <v>0</v>
      </c>
      <c r="T318" s="12"/>
      <c r="U318" s="13">
        <f>DISTRIBUSI!U319</f>
        <v>0</v>
      </c>
      <c r="V318" s="13">
        <f>DISTRIBUSI!V319</f>
        <v>0</v>
      </c>
      <c r="W318" s="13">
        <f>DISTRIBUSI!W319</f>
        <v>0</v>
      </c>
      <c r="X318" s="13">
        <f>DISTRIBUSI!X319</f>
        <v>0</v>
      </c>
      <c r="Y318" s="13">
        <f>DISTRIBUSI!Y319</f>
        <v>0</v>
      </c>
      <c r="Z318" s="13">
        <f t="shared" si="7"/>
        <v>0</v>
      </c>
    </row>
    <row r="319" spans="1:26" ht="15.5" x14ac:dyDescent="0.35">
      <c r="A319" s="11">
        <v>138</v>
      </c>
      <c r="B319" s="184"/>
      <c r="C319" s="179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3">
        <f>APOTIK!G318</f>
        <v>0</v>
      </c>
      <c r="S319" s="13">
        <f>DISTRIBUSI!S320</f>
        <v>0</v>
      </c>
      <c r="T319" s="12"/>
      <c r="U319" s="13">
        <f>DISTRIBUSI!U320</f>
        <v>0</v>
      </c>
      <c r="V319" s="13">
        <f>DISTRIBUSI!V320</f>
        <v>0</v>
      </c>
      <c r="W319" s="13">
        <f>DISTRIBUSI!W320</f>
        <v>0</v>
      </c>
      <c r="X319" s="13">
        <f>DISTRIBUSI!X320</f>
        <v>0</v>
      </c>
      <c r="Y319" s="13">
        <f>DISTRIBUSI!Y320</f>
        <v>0</v>
      </c>
      <c r="Z319" s="13">
        <f t="shared" si="7"/>
        <v>0</v>
      </c>
    </row>
    <row r="320" spans="1:26" ht="15.5" x14ac:dyDescent="0.35">
      <c r="A320" s="11">
        <v>139</v>
      </c>
      <c r="B320" s="184"/>
      <c r="C320" s="179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3">
        <f>APOTIK!G319</f>
        <v>0</v>
      </c>
      <c r="S320" s="13">
        <f>DISTRIBUSI!S321</f>
        <v>0</v>
      </c>
      <c r="T320" s="12"/>
      <c r="U320" s="13">
        <f>DISTRIBUSI!U321</f>
        <v>0</v>
      </c>
      <c r="V320" s="13">
        <f>DISTRIBUSI!V321</f>
        <v>0</v>
      </c>
      <c r="W320" s="13">
        <f>DISTRIBUSI!W321</f>
        <v>0</v>
      </c>
      <c r="X320" s="13">
        <f>DISTRIBUSI!X321</f>
        <v>0</v>
      </c>
      <c r="Y320" s="13">
        <f>DISTRIBUSI!Y321</f>
        <v>0</v>
      </c>
      <c r="Z320" s="13">
        <f t="shared" si="7"/>
        <v>0</v>
      </c>
    </row>
    <row r="321" spans="1:26" ht="15.5" x14ac:dyDescent="0.35">
      <c r="A321" s="11">
        <v>140</v>
      </c>
      <c r="B321" s="184"/>
      <c r="C321" s="179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3">
        <f>APOTIK!G320</f>
        <v>0</v>
      </c>
      <c r="S321" s="13">
        <f>DISTRIBUSI!S322</f>
        <v>0</v>
      </c>
      <c r="T321" s="12"/>
      <c r="U321" s="13">
        <f>DISTRIBUSI!U322</f>
        <v>0</v>
      </c>
      <c r="V321" s="13">
        <f>DISTRIBUSI!V322</f>
        <v>0</v>
      </c>
      <c r="W321" s="13">
        <f>DISTRIBUSI!W322</f>
        <v>0</v>
      </c>
      <c r="X321" s="13">
        <f>DISTRIBUSI!X322</f>
        <v>0</v>
      </c>
      <c r="Y321" s="13">
        <f>DISTRIBUSI!Y322</f>
        <v>0</v>
      </c>
      <c r="Z321" s="13">
        <f t="shared" si="7"/>
        <v>0</v>
      </c>
    </row>
    <row r="322" spans="1:26" ht="15" x14ac:dyDescent="0.35">
      <c r="A322" s="187">
        <v>141</v>
      </c>
      <c r="B322" s="189" t="s">
        <v>275</v>
      </c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3">
        <f>APOTIK!G321</f>
        <v>0</v>
      </c>
      <c r="S322" s="13">
        <f>DISTRIBUSI!S323</f>
        <v>0</v>
      </c>
      <c r="T322" s="12"/>
      <c r="U322" s="13">
        <f>DISTRIBUSI!U323</f>
        <v>0</v>
      </c>
      <c r="V322" s="13">
        <f>DISTRIBUSI!V323</f>
        <v>0</v>
      </c>
      <c r="W322" s="13">
        <f>DISTRIBUSI!W323</f>
        <v>0</v>
      </c>
      <c r="X322" s="13">
        <f>DISTRIBUSI!X323</f>
        <v>0</v>
      </c>
      <c r="Y322" s="13">
        <f>DISTRIBUSI!Y323</f>
        <v>0</v>
      </c>
      <c r="Z322" s="13">
        <f t="shared" si="7"/>
        <v>0</v>
      </c>
    </row>
    <row r="323" spans="1:26" ht="15.5" x14ac:dyDescent="0.35">
      <c r="A323" s="11">
        <v>142</v>
      </c>
      <c r="B323" s="184" t="s">
        <v>380</v>
      </c>
      <c r="C323" s="179" t="s">
        <v>294</v>
      </c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3">
        <f>APOTIK!G322</f>
        <v>0</v>
      </c>
      <c r="S323" s="13">
        <f>DISTRIBUSI!S324</f>
        <v>0</v>
      </c>
      <c r="T323" s="12"/>
      <c r="U323" s="13">
        <f>DISTRIBUSI!U324</f>
        <v>0</v>
      </c>
      <c r="V323" s="13">
        <f>DISTRIBUSI!V324</f>
        <v>0</v>
      </c>
      <c r="W323" s="13">
        <f>DISTRIBUSI!W324</f>
        <v>0</v>
      </c>
      <c r="X323" s="13">
        <f>DISTRIBUSI!X324</f>
        <v>0</v>
      </c>
      <c r="Y323" s="13">
        <f>DISTRIBUSI!Y324</f>
        <v>0</v>
      </c>
      <c r="Z323" s="13">
        <f t="shared" si="7"/>
        <v>0</v>
      </c>
    </row>
    <row r="324" spans="1:26" ht="15.5" x14ac:dyDescent="0.35">
      <c r="A324" s="11">
        <v>143</v>
      </c>
      <c r="B324" s="184" t="s">
        <v>381</v>
      </c>
      <c r="C324" s="179" t="s">
        <v>382</v>
      </c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3">
        <f>APOTIK!G323</f>
        <v>0</v>
      </c>
      <c r="S324" s="13">
        <f>DISTRIBUSI!S325</f>
        <v>0</v>
      </c>
      <c r="T324" s="12"/>
      <c r="U324" s="13">
        <f>DISTRIBUSI!U325</f>
        <v>0</v>
      </c>
      <c r="V324" s="13">
        <f>DISTRIBUSI!V325</f>
        <v>0</v>
      </c>
      <c r="W324" s="13">
        <f>DISTRIBUSI!W325</f>
        <v>0</v>
      </c>
      <c r="X324" s="13">
        <f>DISTRIBUSI!X325</f>
        <v>0</v>
      </c>
      <c r="Y324" s="13">
        <f>DISTRIBUSI!Y325</f>
        <v>0</v>
      </c>
      <c r="Z324" s="13">
        <f t="shared" si="7"/>
        <v>0</v>
      </c>
    </row>
    <row r="325" spans="1:26" ht="15.5" x14ac:dyDescent="0.35">
      <c r="A325" s="11">
        <v>144</v>
      </c>
      <c r="B325" s="184" t="s">
        <v>276</v>
      </c>
      <c r="C325" s="179" t="s">
        <v>212</v>
      </c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3">
        <f>APOTIK!G324</f>
        <v>0</v>
      </c>
      <c r="S325" s="13">
        <f>DISTRIBUSI!S326</f>
        <v>0</v>
      </c>
      <c r="T325" s="12"/>
      <c r="U325" s="13">
        <f>DISTRIBUSI!U326</f>
        <v>0</v>
      </c>
      <c r="V325" s="13">
        <f>DISTRIBUSI!V326</f>
        <v>0</v>
      </c>
      <c r="W325" s="13">
        <f>DISTRIBUSI!W326</f>
        <v>0</v>
      </c>
      <c r="X325" s="13">
        <f>DISTRIBUSI!X326</f>
        <v>150</v>
      </c>
      <c r="Y325" s="13">
        <f>DISTRIBUSI!Y326</f>
        <v>0</v>
      </c>
      <c r="Z325" s="13">
        <f t="shared" si="7"/>
        <v>150</v>
      </c>
    </row>
    <row r="326" spans="1:26" ht="15.5" x14ac:dyDescent="0.35">
      <c r="A326" s="11">
        <v>145</v>
      </c>
      <c r="B326" s="184" t="s">
        <v>379</v>
      </c>
      <c r="C326" s="179" t="s">
        <v>212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3">
        <f>APOTIK!G325</f>
        <v>0</v>
      </c>
      <c r="S326" s="13">
        <f>DISTRIBUSI!S327</f>
        <v>0</v>
      </c>
      <c r="T326" s="12"/>
      <c r="U326" s="13">
        <f>DISTRIBUSI!U327</f>
        <v>0</v>
      </c>
      <c r="V326" s="13">
        <f>DISTRIBUSI!V327</f>
        <v>0</v>
      </c>
      <c r="W326" s="13">
        <f>DISTRIBUSI!W327</f>
        <v>0</v>
      </c>
      <c r="X326" s="13">
        <f>DISTRIBUSI!X327</f>
        <v>0</v>
      </c>
      <c r="Y326" s="13">
        <f>DISTRIBUSI!Y327</f>
        <v>0</v>
      </c>
      <c r="Z326" s="13">
        <f t="shared" si="7"/>
        <v>0</v>
      </c>
    </row>
    <row r="327" spans="1:26" ht="15.5" x14ac:dyDescent="0.35">
      <c r="A327" s="11">
        <v>146</v>
      </c>
      <c r="B327" s="184"/>
      <c r="C327" s="179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3">
        <f>APOTIK!G326</f>
        <v>0</v>
      </c>
      <c r="S327" s="13">
        <f>DISTRIBUSI!S328</f>
        <v>0</v>
      </c>
      <c r="T327" s="12"/>
      <c r="U327" s="13">
        <f>DISTRIBUSI!U328</f>
        <v>0</v>
      </c>
      <c r="V327" s="13">
        <f>DISTRIBUSI!V328</f>
        <v>0</v>
      </c>
      <c r="W327" s="13">
        <f>DISTRIBUSI!W328</f>
        <v>0</v>
      </c>
      <c r="X327" s="13">
        <f>DISTRIBUSI!X328</f>
        <v>0</v>
      </c>
      <c r="Y327" s="13">
        <f>DISTRIBUSI!Y328</f>
        <v>0</v>
      </c>
      <c r="Z327" s="13">
        <f t="shared" si="7"/>
        <v>0</v>
      </c>
    </row>
    <row r="328" spans="1:26" ht="15.5" x14ac:dyDescent="0.35">
      <c r="A328" s="11">
        <v>147</v>
      </c>
      <c r="B328" s="184"/>
      <c r="C328" s="179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3">
        <f>APOTIK!G327</f>
        <v>0</v>
      </c>
      <c r="S328" s="13">
        <f>DISTRIBUSI!S329</f>
        <v>0</v>
      </c>
      <c r="T328" s="12"/>
      <c r="U328" s="13">
        <f>DISTRIBUSI!U329</f>
        <v>0</v>
      </c>
      <c r="V328" s="13">
        <f>DISTRIBUSI!V329</f>
        <v>0</v>
      </c>
      <c r="W328" s="13">
        <f>DISTRIBUSI!W329</f>
        <v>0</v>
      </c>
      <c r="X328" s="13">
        <f>DISTRIBUSI!X329</f>
        <v>0</v>
      </c>
      <c r="Y328" s="13">
        <f>DISTRIBUSI!Y329</f>
        <v>0</v>
      </c>
      <c r="Z328" s="13">
        <f t="shared" si="7"/>
        <v>0</v>
      </c>
    </row>
    <row r="329" spans="1:26" ht="18" x14ac:dyDescent="0.5">
      <c r="A329" s="248">
        <v>148</v>
      </c>
      <c r="B329" s="248" t="s">
        <v>435</v>
      </c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3">
        <f>APOTIK!G328</f>
        <v>0</v>
      </c>
      <c r="S329" s="13">
        <f>DISTRIBUSI!S330</f>
        <v>0</v>
      </c>
      <c r="T329" s="12"/>
      <c r="U329" s="13">
        <f>DISTRIBUSI!U330</f>
        <v>0</v>
      </c>
      <c r="V329" s="13">
        <f>DISTRIBUSI!V330</f>
        <v>0</v>
      </c>
      <c r="W329" s="13">
        <f>DISTRIBUSI!W330</f>
        <v>0</v>
      </c>
      <c r="X329" s="13">
        <f>DISTRIBUSI!X330</f>
        <v>0</v>
      </c>
      <c r="Y329" s="13">
        <f>DISTRIBUSI!Y330</f>
        <v>0</v>
      </c>
      <c r="Z329" s="13">
        <f t="shared" si="7"/>
        <v>0</v>
      </c>
    </row>
    <row r="330" spans="1:26" ht="18" x14ac:dyDescent="0.5">
      <c r="A330" s="148">
        <v>149</v>
      </c>
      <c r="B330" s="148" t="s">
        <v>436</v>
      </c>
      <c r="C330" s="148" t="s">
        <v>6</v>
      </c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3">
        <f>APOTIK!G329</f>
        <v>0</v>
      </c>
      <c r="S330" s="13">
        <f>DISTRIBUSI!S331</f>
        <v>0</v>
      </c>
      <c r="T330" s="12"/>
      <c r="U330" s="13">
        <f>DISTRIBUSI!U331</f>
        <v>0</v>
      </c>
      <c r="V330" s="13">
        <f>DISTRIBUSI!V331</f>
        <v>0</v>
      </c>
      <c r="W330" s="13">
        <f>DISTRIBUSI!W331</f>
        <v>0</v>
      </c>
      <c r="X330" s="13">
        <f>DISTRIBUSI!X331</f>
        <v>0</v>
      </c>
      <c r="Y330" s="13">
        <f>DISTRIBUSI!Y331</f>
        <v>0</v>
      </c>
      <c r="Z330" s="13">
        <f t="shared" ref="Z330:Z341" si="8">SUM(D330:Y330)</f>
        <v>0</v>
      </c>
    </row>
    <row r="331" spans="1:26" ht="18" x14ac:dyDescent="0.5">
      <c r="A331" s="148">
        <v>150</v>
      </c>
      <c r="B331" s="148" t="s">
        <v>437</v>
      </c>
      <c r="C331" s="148" t="s">
        <v>6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3">
        <f>APOTIK!G330</f>
        <v>0</v>
      </c>
      <c r="S331" s="13">
        <f>DISTRIBUSI!S332</f>
        <v>0</v>
      </c>
      <c r="T331" s="12"/>
      <c r="U331" s="13">
        <f>DISTRIBUSI!U332</f>
        <v>0</v>
      </c>
      <c r="V331" s="13">
        <f>DISTRIBUSI!V332</f>
        <v>0</v>
      </c>
      <c r="W331" s="13">
        <f>DISTRIBUSI!W332</f>
        <v>0</v>
      </c>
      <c r="X331" s="13">
        <f>DISTRIBUSI!X332</f>
        <v>0</v>
      </c>
      <c r="Y331" s="13">
        <f>DISTRIBUSI!Y332</f>
        <v>0</v>
      </c>
      <c r="Z331" s="13">
        <f t="shared" si="8"/>
        <v>0</v>
      </c>
    </row>
    <row r="332" spans="1:26" ht="18" x14ac:dyDescent="0.5">
      <c r="A332" s="148">
        <v>151</v>
      </c>
      <c r="B332" s="148" t="s">
        <v>438</v>
      </c>
      <c r="C332" s="148" t="s">
        <v>6</v>
      </c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3">
        <f>APOTIK!G331</f>
        <v>0</v>
      </c>
      <c r="S332" s="13">
        <f>DISTRIBUSI!S333</f>
        <v>0</v>
      </c>
      <c r="T332" s="12"/>
      <c r="U332" s="13">
        <f>DISTRIBUSI!U333</f>
        <v>0</v>
      </c>
      <c r="V332" s="13">
        <f>DISTRIBUSI!V333</f>
        <v>0</v>
      </c>
      <c r="W332" s="13">
        <f>DISTRIBUSI!W333</f>
        <v>0</v>
      </c>
      <c r="X332" s="13">
        <f>DISTRIBUSI!X333</f>
        <v>0</v>
      </c>
      <c r="Y332" s="13">
        <f>DISTRIBUSI!Y333</f>
        <v>0</v>
      </c>
      <c r="Z332" s="13">
        <f t="shared" si="8"/>
        <v>0</v>
      </c>
    </row>
    <row r="333" spans="1:26" ht="18" x14ac:dyDescent="0.5">
      <c r="A333" s="148">
        <v>152</v>
      </c>
      <c r="B333" s="148" t="s">
        <v>439</v>
      </c>
      <c r="C333" s="148" t="s">
        <v>6</v>
      </c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3">
        <f>APOTIK!G332</f>
        <v>0</v>
      </c>
      <c r="S333" s="13">
        <f>DISTRIBUSI!S334</f>
        <v>0</v>
      </c>
      <c r="T333" s="12"/>
      <c r="U333" s="13">
        <f>DISTRIBUSI!U334</f>
        <v>0</v>
      </c>
      <c r="V333" s="13">
        <f>DISTRIBUSI!V334</f>
        <v>0</v>
      </c>
      <c r="W333" s="13">
        <f>DISTRIBUSI!W334</f>
        <v>0</v>
      </c>
      <c r="X333" s="13">
        <f>DISTRIBUSI!X334</f>
        <v>0</v>
      </c>
      <c r="Y333" s="13">
        <f>DISTRIBUSI!Y334</f>
        <v>0</v>
      </c>
      <c r="Z333" s="13">
        <f t="shared" si="8"/>
        <v>0</v>
      </c>
    </row>
    <row r="334" spans="1:26" ht="18" x14ac:dyDescent="0.5">
      <c r="A334" s="148">
        <v>153</v>
      </c>
      <c r="B334" s="148" t="s">
        <v>440</v>
      </c>
      <c r="C334" s="148" t="s">
        <v>6</v>
      </c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3">
        <f>APOTIK!G333</f>
        <v>0</v>
      </c>
      <c r="S334" s="13">
        <f>DISTRIBUSI!S335</f>
        <v>0</v>
      </c>
      <c r="T334" s="12"/>
      <c r="U334" s="13">
        <f>DISTRIBUSI!U335</f>
        <v>0</v>
      </c>
      <c r="V334" s="13">
        <f>DISTRIBUSI!V335</f>
        <v>0</v>
      </c>
      <c r="W334" s="13">
        <f>DISTRIBUSI!W335</f>
        <v>0</v>
      </c>
      <c r="X334" s="13">
        <f>DISTRIBUSI!X335</f>
        <v>0</v>
      </c>
      <c r="Y334" s="13">
        <f>DISTRIBUSI!Y335</f>
        <v>0</v>
      </c>
      <c r="Z334" s="13">
        <f t="shared" si="8"/>
        <v>0</v>
      </c>
    </row>
    <row r="335" spans="1:26" ht="18" x14ac:dyDescent="0.5">
      <c r="A335" s="148">
        <v>154</v>
      </c>
      <c r="B335" s="148" t="s">
        <v>441</v>
      </c>
      <c r="C335" s="148" t="s">
        <v>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3">
        <f>APOTIK!G334</f>
        <v>0</v>
      </c>
      <c r="S335" s="13">
        <f>DISTRIBUSI!S336</f>
        <v>0</v>
      </c>
      <c r="T335" s="12"/>
      <c r="U335" s="13">
        <f>DISTRIBUSI!U336</f>
        <v>0</v>
      </c>
      <c r="V335" s="13">
        <f>DISTRIBUSI!V336</f>
        <v>0</v>
      </c>
      <c r="W335" s="13">
        <f>DISTRIBUSI!W336</f>
        <v>0</v>
      </c>
      <c r="X335" s="13">
        <f>DISTRIBUSI!X336</f>
        <v>0</v>
      </c>
      <c r="Y335" s="13">
        <f>DISTRIBUSI!Y336</f>
        <v>0</v>
      </c>
      <c r="Z335" s="13">
        <f t="shared" si="8"/>
        <v>0</v>
      </c>
    </row>
    <row r="336" spans="1:26" ht="18" x14ac:dyDescent="0.5">
      <c r="A336" s="148">
        <v>155</v>
      </c>
      <c r="B336" s="148" t="s">
        <v>442</v>
      </c>
      <c r="C336" s="148" t="s">
        <v>6</v>
      </c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3">
        <f>APOTIK!G335</f>
        <v>0</v>
      </c>
      <c r="S336" s="13">
        <f>DISTRIBUSI!S337</f>
        <v>0</v>
      </c>
      <c r="T336" s="12"/>
      <c r="U336" s="13">
        <f>DISTRIBUSI!U337</f>
        <v>0</v>
      </c>
      <c r="V336" s="13">
        <f>DISTRIBUSI!V337</f>
        <v>0</v>
      </c>
      <c r="W336" s="13">
        <f>DISTRIBUSI!W337</f>
        <v>0</v>
      </c>
      <c r="X336" s="13">
        <f>DISTRIBUSI!X337</f>
        <v>0</v>
      </c>
      <c r="Y336" s="13">
        <f>DISTRIBUSI!Y337</f>
        <v>0</v>
      </c>
      <c r="Z336" s="13">
        <f t="shared" si="8"/>
        <v>0</v>
      </c>
    </row>
    <row r="337" spans="1:26" ht="18" x14ac:dyDescent="0.5">
      <c r="A337" s="148">
        <v>156</v>
      </c>
      <c r="B337" s="148"/>
      <c r="C337" s="148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3">
        <f>APOTIK!G336</f>
        <v>0</v>
      </c>
      <c r="S337" s="13">
        <f>DISTRIBUSI!S338</f>
        <v>0</v>
      </c>
      <c r="T337" s="12"/>
      <c r="U337" s="13">
        <f>DISTRIBUSI!U338</f>
        <v>0</v>
      </c>
      <c r="V337" s="13">
        <f>DISTRIBUSI!V338</f>
        <v>0</v>
      </c>
      <c r="W337" s="13">
        <f>DISTRIBUSI!W338</f>
        <v>0</v>
      </c>
      <c r="X337" s="13">
        <f>DISTRIBUSI!X338</f>
        <v>0</v>
      </c>
      <c r="Y337" s="13">
        <f>DISTRIBUSI!Y338</f>
        <v>0</v>
      </c>
      <c r="Z337" s="13">
        <f t="shared" si="8"/>
        <v>0</v>
      </c>
    </row>
    <row r="338" spans="1:26" ht="18" x14ac:dyDescent="0.5">
      <c r="A338" s="148">
        <v>157</v>
      </c>
      <c r="B338" s="148"/>
      <c r="C338" s="148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3">
        <f>APOTIK!G337</f>
        <v>0</v>
      </c>
      <c r="S338" s="13">
        <f>DISTRIBUSI!S339</f>
        <v>0</v>
      </c>
      <c r="T338" s="12"/>
      <c r="U338" s="13">
        <f>DISTRIBUSI!U339</f>
        <v>0</v>
      </c>
      <c r="V338" s="13">
        <f>DISTRIBUSI!V339</f>
        <v>0</v>
      </c>
      <c r="W338" s="13">
        <f>DISTRIBUSI!W339</f>
        <v>0</v>
      </c>
      <c r="X338" s="13">
        <f>DISTRIBUSI!X339</f>
        <v>0</v>
      </c>
      <c r="Y338" s="13">
        <f>DISTRIBUSI!Y339</f>
        <v>0</v>
      </c>
      <c r="Z338" s="13">
        <f t="shared" si="8"/>
        <v>0</v>
      </c>
    </row>
    <row r="339" spans="1:26" ht="18" x14ac:dyDescent="0.5">
      <c r="A339" s="148">
        <v>158</v>
      </c>
      <c r="B339" s="148"/>
      <c r="C339" s="148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3">
        <f>APOTIK!G338</f>
        <v>0</v>
      </c>
      <c r="S339" s="13">
        <f>DISTRIBUSI!S340</f>
        <v>0</v>
      </c>
      <c r="T339" s="12"/>
      <c r="U339" s="13">
        <f>DISTRIBUSI!U340</f>
        <v>0</v>
      </c>
      <c r="V339" s="13">
        <f>DISTRIBUSI!V340</f>
        <v>0</v>
      </c>
      <c r="W339" s="13">
        <f>DISTRIBUSI!W340</f>
        <v>0</v>
      </c>
      <c r="X339" s="13">
        <f>DISTRIBUSI!X340</f>
        <v>0</v>
      </c>
      <c r="Y339" s="13">
        <f>DISTRIBUSI!Y340</f>
        <v>0</v>
      </c>
      <c r="Z339" s="13">
        <f t="shared" si="8"/>
        <v>0</v>
      </c>
    </row>
    <row r="340" spans="1:26" ht="18" x14ac:dyDescent="0.5">
      <c r="A340" s="148">
        <v>159</v>
      </c>
      <c r="B340" s="148"/>
      <c r="C340" s="148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3">
        <f>APOTIK!G339</f>
        <v>0</v>
      </c>
      <c r="S340" s="13">
        <f>DISTRIBUSI!S359</f>
        <v>0</v>
      </c>
      <c r="T340" s="12"/>
      <c r="U340" s="13">
        <f>DISTRIBUSI!U359</f>
        <v>0</v>
      </c>
      <c r="V340" s="13">
        <f>DISTRIBUSI!V359</f>
        <v>0</v>
      </c>
      <c r="W340" s="13">
        <f>DISTRIBUSI!W359</f>
        <v>0</v>
      </c>
      <c r="X340" s="13">
        <f>DISTRIBUSI!X359</f>
        <v>0</v>
      </c>
      <c r="Y340" s="13">
        <f>DISTRIBUSI!Y359</f>
        <v>0</v>
      </c>
      <c r="Z340" s="13">
        <f t="shared" si="8"/>
        <v>0</v>
      </c>
    </row>
    <row r="341" spans="1:26" ht="18" x14ac:dyDescent="0.5">
      <c r="A341" s="148"/>
      <c r="B341" s="148"/>
      <c r="C341" s="148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3">
        <f>APOTIK!G340</f>
        <v>0</v>
      </c>
      <c r="S341" s="13">
        <f>DISTRIBUSI!S360</f>
        <v>0</v>
      </c>
      <c r="T341" s="12"/>
      <c r="U341" s="13">
        <f>DISTRIBUSI!U360</f>
        <v>0</v>
      </c>
      <c r="V341" s="13">
        <f>DISTRIBUSI!V360</f>
        <v>0</v>
      </c>
      <c r="W341" s="13">
        <f>DISTRIBUSI!W360</f>
        <v>0</v>
      </c>
      <c r="X341" s="13">
        <f>DISTRIBUSI!X360</f>
        <v>0</v>
      </c>
      <c r="Y341" s="13">
        <f>DISTRIBUSI!Y360</f>
        <v>0</v>
      </c>
      <c r="Z341" s="13">
        <f t="shared" si="8"/>
        <v>0</v>
      </c>
    </row>
  </sheetData>
  <mergeCells count="26">
    <mergeCell ref="L6:L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R6:R7"/>
    <mergeCell ref="Q6:Q7"/>
    <mergeCell ref="M6:M7"/>
    <mergeCell ref="N6:N7"/>
    <mergeCell ref="O6:O7"/>
    <mergeCell ref="P6:P7"/>
    <mergeCell ref="X6:X7"/>
    <mergeCell ref="Y6:Y7"/>
    <mergeCell ref="Z6:Z7"/>
    <mergeCell ref="S6:S7"/>
    <mergeCell ref="T6:T7"/>
    <mergeCell ref="U6:U7"/>
    <mergeCell ref="V6:V7"/>
    <mergeCell ref="W6:W7"/>
  </mergeCells>
  <pageMargins left="0.23622047244094499" right="0.23622047244094499" top="0.74803149606299202" bottom="0.74803149606299202" header="0.31496062992126" footer="0.31496062992126"/>
  <pageSetup paperSize="5" scale="75" orientation="landscape" horizontalDpi="4294967293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U347"/>
  <sheetViews>
    <sheetView tabSelected="1" topLeftCell="ED5" workbookViewId="0">
      <selection activeCell="EU9" sqref="EU9"/>
    </sheetView>
  </sheetViews>
  <sheetFormatPr defaultColWidth="9.1796875" defaultRowHeight="14.5" x14ac:dyDescent="0.35"/>
  <cols>
    <col min="1" max="1" width="5.1796875" style="21" customWidth="1"/>
    <col min="2" max="2" width="42.7265625" style="21" customWidth="1"/>
    <col min="3" max="3" width="17.7265625" style="21" customWidth="1"/>
    <col min="4" max="7" width="8.7265625" style="21" customWidth="1"/>
    <col min="8" max="30" width="7.26953125" style="21" customWidth="1"/>
    <col min="31" max="33" width="9.26953125" style="21" customWidth="1"/>
    <col min="34" max="16384" width="9.1796875" style="21"/>
  </cols>
  <sheetData>
    <row r="1" spans="1:125" s="5" customFormat="1" ht="20" x14ac:dyDescent="0.35">
      <c r="A1" s="32" t="s">
        <v>244</v>
      </c>
      <c r="B1" s="32"/>
      <c r="C1" s="33"/>
      <c r="D1" s="33"/>
      <c r="E1" s="33"/>
      <c r="F1" s="33"/>
      <c r="G1" s="33"/>
      <c r="J1" s="34"/>
      <c r="K1" s="34"/>
      <c r="L1" s="34"/>
      <c r="M1" s="34"/>
      <c r="N1" s="34"/>
      <c r="O1" s="34"/>
      <c r="P1" s="34"/>
      <c r="Q1" s="34"/>
      <c r="R1" s="34"/>
      <c r="T1" s="25"/>
    </row>
    <row r="2" spans="1:125" s="5" customFormat="1" ht="20" x14ac:dyDescent="0.35">
      <c r="A2" s="32" t="s">
        <v>451</v>
      </c>
      <c r="B2" s="32"/>
      <c r="C2" s="33"/>
      <c r="D2" s="33"/>
      <c r="E2" s="33"/>
      <c r="F2" s="33"/>
      <c r="G2" s="33"/>
      <c r="J2" s="34"/>
      <c r="K2" s="34"/>
      <c r="L2" s="34"/>
      <c r="M2" s="34"/>
      <c r="N2" s="34"/>
      <c r="O2" s="34"/>
      <c r="P2" s="34"/>
      <c r="Q2" s="34"/>
      <c r="R2" s="34"/>
      <c r="T2" s="25"/>
    </row>
    <row r="3" spans="1:125" s="5" customFormat="1" ht="20" x14ac:dyDescent="0.35">
      <c r="A3" s="32" t="s">
        <v>389</v>
      </c>
      <c r="B3" s="32"/>
      <c r="C3" s="33"/>
      <c r="D3" s="33"/>
      <c r="E3" s="33"/>
      <c r="F3" s="33"/>
      <c r="G3" s="33"/>
      <c r="J3" s="34"/>
      <c r="K3" s="34"/>
      <c r="L3" s="34"/>
      <c r="M3" s="34"/>
      <c r="N3" s="34"/>
      <c r="O3" s="34"/>
      <c r="P3" s="34"/>
      <c r="Q3" s="34"/>
      <c r="R3" s="34"/>
      <c r="T3" s="25"/>
    </row>
    <row r="4" spans="1:125" s="5" customFormat="1" ht="17.5" x14ac:dyDescent="0.5">
      <c r="A4" s="345"/>
      <c r="B4" s="345"/>
      <c r="C4" s="34"/>
      <c r="D4" s="34"/>
      <c r="E4" s="34"/>
      <c r="F4" s="34"/>
      <c r="G4" s="34"/>
      <c r="J4" s="34"/>
      <c r="K4" s="34"/>
      <c r="L4" s="34"/>
      <c r="M4" s="34"/>
      <c r="N4" s="34"/>
      <c r="O4" s="34"/>
      <c r="P4" s="34"/>
      <c r="Q4" s="34"/>
      <c r="R4" s="34"/>
      <c r="T4" s="25"/>
      <c r="AB4" s="346"/>
      <c r="AC4" s="346"/>
      <c r="AD4" s="35"/>
    </row>
    <row r="5" spans="1:125" s="5" customFormat="1" ht="17.5" x14ac:dyDescent="0.5">
      <c r="A5" s="346"/>
      <c r="B5" s="346"/>
      <c r="C5" s="34"/>
      <c r="D5" s="34"/>
      <c r="E5" s="34"/>
      <c r="F5" s="34"/>
      <c r="G5" s="34"/>
      <c r="J5" s="34"/>
      <c r="K5" s="34"/>
      <c r="L5" s="34"/>
      <c r="M5" s="34"/>
      <c r="N5" s="34"/>
      <c r="O5" s="34"/>
      <c r="P5" s="34"/>
      <c r="Q5" s="34"/>
      <c r="R5" s="34"/>
      <c r="T5" s="25"/>
      <c r="AB5" s="346" t="s">
        <v>159</v>
      </c>
      <c r="AC5" s="346"/>
      <c r="AD5" s="35" t="str">
        <f>'PEMAKAIAN UNIT'!Q5</f>
        <v>: FEBRUARI</v>
      </c>
    </row>
    <row r="6" spans="1:125" s="5" customFormat="1" ht="17.5" x14ac:dyDescent="0.5">
      <c r="A6" s="36"/>
      <c r="B6" s="36"/>
      <c r="C6" s="34"/>
      <c r="D6" s="34"/>
      <c r="E6" s="34"/>
      <c r="F6" s="34"/>
      <c r="G6" s="34"/>
      <c r="J6" s="34"/>
      <c r="K6" s="34"/>
      <c r="L6" s="34"/>
      <c r="M6" s="34"/>
      <c r="N6" s="34"/>
      <c r="O6" s="34"/>
      <c r="P6" s="34"/>
      <c r="Q6" s="34"/>
      <c r="R6" s="34"/>
      <c r="T6" s="25"/>
      <c r="W6" s="36"/>
      <c r="X6" s="36"/>
      <c r="Y6" s="35"/>
      <c r="AB6" s="346" t="s">
        <v>160</v>
      </c>
      <c r="AC6" s="346"/>
      <c r="AD6" s="35" t="s">
        <v>410</v>
      </c>
    </row>
    <row r="7" spans="1:125" s="5" customFormat="1" ht="18" thickBot="1" x14ac:dyDescent="0.55000000000000004">
      <c r="A7" s="36"/>
      <c r="B7" s="36"/>
      <c r="C7" s="34"/>
      <c r="D7" s="34"/>
      <c r="E7" s="34"/>
      <c r="F7" s="34"/>
      <c r="G7" s="34"/>
      <c r="J7" s="34"/>
      <c r="K7" s="34"/>
      <c r="L7" s="34"/>
      <c r="M7" s="34"/>
      <c r="N7" s="34"/>
      <c r="O7" s="34"/>
      <c r="P7" s="34"/>
      <c r="Q7" s="34"/>
      <c r="R7" s="34"/>
      <c r="T7" s="25"/>
      <c r="W7" s="36"/>
      <c r="X7" s="36"/>
      <c r="Y7" s="35"/>
    </row>
    <row r="8" spans="1:125" s="5" customFormat="1" ht="16.5" customHeight="1" thickTop="1" thickBot="1" x14ac:dyDescent="0.35">
      <c r="A8" s="347" t="s">
        <v>0</v>
      </c>
      <c r="B8" s="348" t="s">
        <v>1</v>
      </c>
      <c r="C8" s="350" t="s">
        <v>2</v>
      </c>
      <c r="D8" s="349" t="s">
        <v>161</v>
      </c>
      <c r="E8" s="349" t="s">
        <v>162</v>
      </c>
      <c r="F8" s="349" t="s">
        <v>245</v>
      </c>
      <c r="G8" s="349" t="s">
        <v>164</v>
      </c>
      <c r="H8" s="369" t="s">
        <v>246</v>
      </c>
      <c r="I8" s="369"/>
      <c r="J8" s="369"/>
      <c r="K8" s="369"/>
      <c r="L8" s="369"/>
      <c r="M8" s="369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  <c r="Z8" s="369"/>
      <c r="AA8" s="369"/>
      <c r="AB8" s="369"/>
      <c r="AC8" s="369"/>
      <c r="AD8" s="369"/>
      <c r="AE8" s="352" t="s">
        <v>234</v>
      </c>
      <c r="AF8" s="210"/>
      <c r="AG8" s="210"/>
      <c r="AN8" s="5" t="s">
        <v>448</v>
      </c>
      <c r="AS8" s="5" t="s">
        <v>448</v>
      </c>
      <c r="BC8" s="5" t="s">
        <v>448</v>
      </c>
      <c r="BM8" s="5" t="s">
        <v>448</v>
      </c>
      <c r="BR8" s="5" t="s">
        <v>448</v>
      </c>
      <c r="BW8" s="5" t="s">
        <v>448</v>
      </c>
    </row>
    <row r="9" spans="1:125" customFormat="1" ht="25" customHeight="1" thickTop="1" thickBot="1" x14ac:dyDescent="0.4">
      <c r="A9" s="347"/>
      <c r="B9" s="348"/>
      <c r="C9" s="350"/>
      <c r="D9" s="349"/>
      <c r="E9" s="349"/>
      <c r="F9" s="349"/>
      <c r="G9" s="349"/>
      <c r="H9" s="305" t="s">
        <v>452</v>
      </c>
      <c r="I9" s="305" t="s">
        <v>453</v>
      </c>
      <c r="J9" s="305" t="s">
        <v>454</v>
      </c>
      <c r="K9" s="305" t="s">
        <v>455</v>
      </c>
      <c r="L9" s="305" t="s">
        <v>456</v>
      </c>
      <c r="M9" s="305" t="s">
        <v>457</v>
      </c>
      <c r="N9" s="305" t="s">
        <v>458</v>
      </c>
      <c r="O9" s="305" t="s">
        <v>459</v>
      </c>
      <c r="P9" s="305" t="s">
        <v>460</v>
      </c>
      <c r="Q9" s="305" t="s">
        <v>461</v>
      </c>
      <c r="R9" s="305" t="s">
        <v>462</v>
      </c>
      <c r="S9" s="305" t="s">
        <v>463</v>
      </c>
      <c r="T9" s="305" t="s">
        <v>464</v>
      </c>
      <c r="U9" s="305" t="s">
        <v>465</v>
      </c>
      <c r="V9" s="315" t="s">
        <v>235</v>
      </c>
      <c r="W9" s="305" t="s">
        <v>466</v>
      </c>
      <c r="X9" s="305" t="s">
        <v>467</v>
      </c>
      <c r="Y9" s="305" t="s">
        <v>468</v>
      </c>
      <c r="Z9" s="305" t="s">
        <v>469</v>
      </c>
      <c r="AA9" s="305" t="s">
        <v>470</v>
      </c>
      <c r="AB9" s="305" t="s">
        <v>471</v>
      </c>
      <c r="AC9" s="305" t="s">
        <v>172</v>
      </c>
      <c r="AD9" s="349" t="s">
        <v>241</v>
      </c>
      <c r="AE9" s="352"/>
      <c r="AF9" s="210"/>
      <c r="AG9" s="210"/>
      <c r="AL9" s="351" t="s">
        <v>220</v>
      </c>
      <c r="AM9" s="351"/>
      <c r="AN9" s="351"/>
      <c r="AO9" s="351"/>
      <c r="AP9" s="351"/>
      <c r="AQ9" s="354" t="s">
        <v>221</v>
      </c>
      <c r="AR9" s="355"/>
      <c r="AS9" s="355"/>
      <c r="AT9" s="355"/>
      <c r="AU9" s="356"/>
      <c r="AV9" s="354" t="s">
        <v>222</v>
      </c>
      <c r="AW9" s="355"/>
      <c r="AX9" s="355"/>
      <c r="AY9" s="355"/>
      <c r="AZ9" s="356"/>
      <c r="BA9" s="354" t="s">
        <v>223</v>
      </c>
      <c r="BB9" s="355"/>
      <c r="BC9" s="355"/>
      <c r="BD9" s="355"/>
      <c r="BE9" s="355"/>
      <c r="BF9" s="354" t="s">
        <v>224</v>
      </c>
      <c r="BG9" s="355"/>
      <c r="BH9" s="355"/>
      <c r="BI9" s="355"/>
      <c r="BJ9" s="355"/>
      <c r="BK9" s="336" t="s">
        <v>225</v>
      </c>
      <c r="BL9" s="337"/>
      <c r="BM9" s="337"/>
      <c r="BN9" s="337"/>
      <c r="BO9" s="337"/>
      <c r="BP9" s="357" t="s">
        <v>226</v>
      </c>
      <c r="BQ9" s="358"/>
      <c r="BR9" s="358"/>
      <c r="BS9" s="358"/>
      <c r="BT9" s="359"/>
      <c r="BU9" s="339" t="s">
        <v>239</v>
      </c>
      <c r="BV9" s="360"/>
      <c r="BW9" s="360"/>
      <c r="BX9" s="360"/>
      <c r="BY9" s="340"/>
      <c r="BZ9" s="339" t="s">
        <v>240</v>
      </c>
      <c r="CA9" s="360"/>
      <c r="CB9" s="360"/>
      <c r="CC9" s="360"/>
      <c r="CD9" s="360"/>
      <c r="CE9" s="339" t="s">
        <v>229</v>
      </c>
      <c r="CF9" s="360"/>
      <c r="CG9" s="360"/>
      <c r="CH9" s="360"/>
      <c r="CI9" s="340"/>
      <c r="CJ9" s="336" t="s">
        <v>230</v>
      </c>
      <c r="CK9" s="337"/>
      <c r="CL9" s="337"/>
      <c r="CM9" s="337"/>
      <c r="CN9" s="338"/>
      <c r="CO9" s="357" t="s">
        <v>231</v>
      </c>
      <c r="CP9" s="359"/>
      <c r="CQ9" s="336" t="s">
        <v>232</v>
      </c>
      <c r="CR9" s="337"/>
      <c r="CS9" s="337"/>
      <c r="CT9" s="337"/>
      <c r="CU9" s="338"/>
      <c r="CV9" s="339" t="s">
        <v>233</v>
      </c>
      <c r="CW9" s="340"/>
      <c r="CX9" s="351" t="s">
        <v>241</v>
      </c>
      <c r="CY9" s="351"/>
      <c r="CZ9" s="21"/>
      <c r="DA9" s="368" t="s">
        <v>220</v>
      </c>
      <c r="DB9" s="365" t="s">
        <v>221</v>
      </c>
      <c r="DC9" s="363" t="s">
        <v>222</v>
      </c>
      <c r="DD9" s="363" t="s">
        <v>223</v>
      </c>
      <c r="DE9" s="363" t="s">
        <v>224</v>
      </c>
      <c r="DF9" s="363" t="s">
        <v>225</v>
      </c>
      <c r="DG9" s="363" t="s">
        <v>226</v>
      </c>
      <c r="DH9" s="363" t="s">
        <v>227</v>
      </c>
      <c r="DI9" s="363" t="s">
        <v>228</v>
      </c>
      <c r="DJ9" s="363" t="s">
        <v>229</v>
      </c>
      <c r="DK9" s="364" t="s">
        <v>230</v>
      </c>
      <c r="DL9" s="367" t="s">
        <v>231</v>
      </c>
      <c r="DM9" s="364" t="s">
        <v>232</v>
      </c>
      <c r="DN9" s="343" t="s">
        <v>233</v>
      </c>
      <c r="DO9" s="343" t="s">
        <v>241</v>
      </c>
      <c r="DP9" s="353" t="s">
        <v>234</v>
      </c>
    </row>
    <row r="10" spans="1:125" customFormat="1" ht="25" customHeight="1" thickTop="1" thickBot="1" x14ac:dyDescent="0.4">
      <c r="A10" s="347"/>
      <c r="B10" s="348"/>
      <c r="C10" s="350"/>
      <c r="D10" s="349"/>
      <c r="E10" s="349"/>
      <c r="F10" s="349"/>
      <c r="G10" s="349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16"/>
      <c r="W10" s="306"/>
      <c r="X10" s="306"/>
      <c r="Y10" s="306"/>
      <c r="Z10" s="306"/>
      <c r="AA10" s="306"/>
      <c r="AB10" s="306"/>
      <c r="AC10" s="306"/>
      <c r="AD10" s="349"/>
      <c r="AE10" s="352"/>
      <c r="AF10" s="210"/>
      <c r="AG10" s="210"/>
      <c r="AL10" s="24" t="s">
        <v>174</v>
      </c>
      <c r="AM10" s="24" t="s">
        <v>242</v>
      </c>
      <c r="AN10" s="24" t="s">
        <v>217</v>
      </c>
      <c r="AO10" s="24" t="s">
        <v>243</v>
      </c>
      <c r="AP10" s="22"/>
      <c r="AQ10" s="24" t="s">
        <v>174</v>
      </c>
      <c r="AR10" s="24" t="s">
        <v>242</v>
      </c>
      <c r="AS10" s="24" t="s">
        <v>217</v>
      </c>
      <c r="AT10" s="24" t="s">
        <v>243</v>
      </c>
      <c r="AU10" s="22"/>
      <c r="AV10" s="24" t="s">
        <v>174</v>
      </c>
      <c r="AW10" s="24" t="s">
        <v>242</v>
      </c>
      <c r="AX10" s="24" t="s">
        <v>217</v>
      </c>
      <c r="AY10" s="24" t="s">
        <v>243</v>
      </c>
      <c r="AZ10" s="22"/>
      <c r="BA10" s="24" t="s">
        <v>174</v>
      </c>
      <c r="BB10" s="24" t="s">
        <v>242</v>
      </c>
      <c r="BC10" s="24" t="s">
        <v>217</v>
      </c>
      <c r="BD10" s="24" t="s">
        <v>243</v>
      </c>
      <c r="BE10" s="22"/>
      <c r="BF10" s="24" t="s">
        <v>174</v>
      </c>
      <c r="BG10" s="24" t="s">
        <v>242</v>
      </c>
      <c r="BH10" s="24" t="s">
        <v>217</v>
      </c>
      <c r="BI10" s="24" t="s">
        <v>243</v>
      </c>
      <c r="BJ10" s="22"/>
      <c r="BK10" s="24" t="s">
        <v>174</v>
      </c>
      <c r="BL10" s="24" t="s">
        <v>242</v>
      </c>
      <c r="BM10" s="24" t="s">
        <v>217</v>
      </c>
      <c r="BN10" s="24" t="s">
        <v>243</v>
      </c>
      <c r="BO10" s="22"/>
      <c r="BP10" s="24" t="s">
        <v>174</v>
      </c>
      <c r="BQ10" s="24" t="s">
        <v>242</v>
      </c>
      <c r="BR10" s="24" t="s">
        <v>217</v>
      </c>
      <c r="BS10" s="24" t="s">
        <v>243</v>
      </c>
      <c r="BT10" s="22"/>
      <c r="BU10" s="24" t="s">
        <v>174</v>
      </c>
      <c r="BV10" s="24" t="s">
        <v>242</v>
      </c>
      <c r="BW10" s="24" t="s">
        <v>217</v>
      </c>
      <c r="BX10" s="24" t="s">
        <v>243</v>
      </c>
      <c r="BY10" s="22"/>
      <c r="BZ10" s="24" t="s">
        <v>174</v>
      </c>
      <c r="CA10" s="24" t="s">
        <v>242</v>
      </c>
      <c r="CB10" s="24" t="s">
        <v>217</v>
      </c>
      <c r="CC10" s="24" t="s">
        <v>243</v>
      </c>
      <c r="CD10" s="22"/>
      <c r="CE10" s="24" t="s">
        <v>174</v>
      </c>
      <c r="CF10" s="24" t="s">
        <v>242</v>
      </c>
      <c r="CG10" s="24" t="s">
        <v>217</v>
      </c>
      <c r="CH10" s="24" t="s">
        <v>243</v>
      </c>
      <c r="CI10" s="22"/>
      <c r="CJ10" s="24" t="s">
        <v>174</v>
      </c>
      <c r="CK10" s="24" t="s">
        <v>242</v>
      </c>
      <c r="CL10" s="24" t="s">
        <v>217</v>
      </c>
      <c r="CM10" s="24" t="s">
        <v>243</v>
      </c>
      <c r="CN10" s="22"/>
      <c r="CO10" s="361"/>
      <c r="CP10" s="362"/>
      <c r="CQ10" s="24" t="s">
        <v>174</v>
      </c>
      <c r="CR10" s="24" t="s">
        <v>242</v>
      </c>
      <c r="CS10" s="24" t="s">
        <v>217</v>
      </c>
      <c r="CT10" s="24" t="s">
        <v>243</v>
      </c>
      <c r="CU10" s="30"/>
      <c r="CV10" s="341"/>
      <c r="CW10" s="342"/>
      <c r="CX10" s="351"/>
      <c r="CY10" s="351"/>
      <c r="CZ10" s="21"/>
      <c r="DA10" s="368"/>
      <c r="DB10" s="366"/>
      <c r="DC10" s="344"/>
      <c r="DD10" s="344"/>
      <c r="DE10" s="344"/>
      <c r="DF10" s="344"/>
      <c r="DG10" s="344"/>
      <c r="DH10" s="344"/>
      <c r="DI10" s="344"/>
      <c r="DJ10" s="344"/>
      <c r="DK10" s="344"/>
      <c r="DL10" s="344"/>
      <c r="DM10" s="344"/>
      <c r="DN10" s="344"/>
      <c r="DO10" s="344"/>
      <c r="DP10" s="353"/>
    </row>
    <row r="11" spans="1:125" customFormat="1" ht="16" thickTop="1" thickBot="1" x14ac:dyDescent="0.4">
      <c r="A11" s="112">
        <v>1</v>
      </c>
      <c r="B11" s="113">
        <v>2</v>
      </c>
      <c r="C11" s="113">
        <v>3</v>
      </c>
      <c r="D11" s="113">
        <v>4</v>
      </c>
      <c r="E11" s="113">
        <v>5</v>
      </c>
      <c r="F11" s="113">
        <v>6</v>
      </c>
      <c r="G11" s="113">
        <v>7</v>
      </c>
      <c r="H11" s="113">
        <v>8</v>
      </c>
      <c r="I11" s="113">
        <v>9</v>
      </c>
      <c r="J11" s="113">
        <v>10</v>
      </c>
      <c r="K11" s="113"/>
      <c r="L11" s="113"/>
      <c r="M11" s="113"/>
      <c r="N11" s="113"/>
      <c r="O11" s="113"/>
      <c r="P11" s="113"/>
      <c r="Q11" s="113"/>
      <c r="R11" s="113"/>
      <c r="S11" s="113">
        <v>11</v>
      </c>
      <c r="T11" s="113">
        <v>12</v>
      </c>
      <c r="U11" s="113">
        <v>13</v>
      </c>
      <c r="V11" s="113">
        <v>14</v>
      </c>
      <c r="W11" s="113">
        <v>15</v>
      </c>
      <c r="X11" s="113">
        <v>16</v>
      </c>
      <c r="Y11" s="113">
        <v>17</v>
      </c>
      <c r="Z11" s="113">
        <v>18</v>
      </c>
      <c r="AA11" s="113">
        <v>19</v>
      </c>
      <c r="AB11" s="113">
        <v>21</v>
      </c>
      <c r="AC11" s="113">
        <v>22</v>
      </c>
      <c r="AD11" s="113">
        <v>24</v>
      </c>
      <c r="AE11" s="114">
        <v>24</v>
      </c>
      <c r="AF11" s="211"/>
      <c r="AG11" s="211"/>
      <c r="AL11" s="16">
        <v>1</v>
      </c>
      <c r="AM11" s="16">
        <v>2</v>
      </c>
      <c r="AN11" s="16">
        <v>3</v>
      </c>
      <c r="AO11" s="16">
        <v>4</v>
      </c>
      <c r="AP11" s="30">
        <v>5</v>
      </c>
      <c r="AQ11" s="16">
        <v>6</v>
      </c>
      <c r="AR11" s="16">
        <v>7</v>
      </c>
      <c r="AS11" s="16">
        <v>8</v>
      </c>
      <c r="AT11" s="16">
        <v>9</v>
      </c>
      <c r="AU11" s="30">
        <v>10</v>
      </c>
      <c r="AV11" s="16">
        <v>11</v>
      </c>
      <c r="AW11" s="16">
        <v>12</v>
      </c>
      <c r="AX11" s="16">
        <v>13</v>
      </c>
      <c r="AY11" s="16">
        <v>14</v>
      </c>
      <c r="AZ11" s="30">
        <v>15</v>
      </c>
      <c r="BA11" s="16">
        <v>16</v>
      </c>
      <c r="BB11" s="16">
        <v>17</v>
      </c>
      <c r="BC11" s="16">
        <v>18</v>
      </c>
      <c r="BD11" s="16">
        <v>19</v>
      </c>
      <c r="BE11" s="30">
        <v>20</v>
      </c>
      <c r="BF11" s="16">
        <v>21</v>
      </c>
      <c r="BG11" s="16">
        <v>22</v>
      </c>
      <c r="BH11" s="16">
        <v>23</v>
      </c>
      <c r="BI11" s="16">
        <v>24</v>
      </c>
      <c r="BJ11" s="30">
        <v>25</v>
      </c>
      <c r="BK11" s="16">
        <v>26</v>
      </c>
      <c r="BL11" s="16">
        <v>27</v>
      </c>
      <c r="BM11" s="16">
        <v>28</v>
      </c>
      <c r="BN11" s="16">
        <v>29</v>
      </c>
      <c r="BO11" s="30">
        <v>30</v>
      </c>
      <c r="BP11" s="16">
        <v>31</v>
      </c>
      <c r="BQ11" s="37"/>
      <c r="BR11" s="26"/>
      <c r="BS11" s="26"/>
      <c r="BT11" s="30">
        <v>1</v>
      </c>
      <c r="BU11" s="17">
        <v>2</v>
      </c>
      <c r="BV11" s="17">
        <v>3</v>
      </c>
      <c r="BW11" s="17">
        <v>4</v>
      </c>
      <c r="BX11" s="18">
        <v>5</v>
      </c>
      <c r="BY11" s="30">
        <v>6</v>
      </c>
      <c r="BZ11" s="17">
        <v>7</v>
      </c>
      <c r="CA11" s="17">
        <v>8</v>
      </c>
      <c r="CB11" s="17">
        <v>9</v>
      </c>
      <c r="CC11" s="17">
        <v>10</v>
      </c>
      <c r="CD11" s="30">
        <v>11</v>
      </c>
      <c r="CE11" s="17">
        <v>12</v>
      </c>
      <c r="CF11" s="17">
        <v>13</v>
      </c>
      <c r="CG11" s="17">
        <v>14</v>
      </c>
      <c r="CH11" s="17">
        <v>15</v>
      </c>
      <c r="CI11" s="30">
        <v>16</v>
      </c>
      <c r="CJ11" s="17">
        <v>17</v>
      </c>
      <c r="CK11" s="17">
        <v>18</v>
      </c>
      <c r="CL11" s="17">
        <v>19</v>
      </c>
      <c r="CM11" s="17">
        <v>20</v>
      </c>
      <c r="CN11" s="30">
        <v>21</v>
      </c>
      <c r="CO11" s="17">
        <v>22</v>
      </c>
      <c r="CP11" s="30">
        <v>23</v>
      </c>
      <c r="CQ11" s="30"/>
      <c r="CR11" s="30"/>
      <c r="CS11" s="30"/>
      <c r="CT11" s="17">
        <v>26</v>
      </c>
      <c r="CU11" s="30">
        <v>27</v>
      </c>
      <c r="CV11" s="17">
        <v>28</v>
      </c>
      <c r="CW11" s="30">
        <v>29</v>
      </c>
      <c r="CX11" s="29"/>
      <c r="CY11" s="31"/>
      <c r="CZ11" s="27"/>
      <c r="DA11" s="19">
        <v>2</v>
      </c>
      <c r="DB11" s="19">
        <v>3</v>
      </c>
      <c r="DC11" s="19">
        <v>4</v>
      </c>
      <c r="DD11" s="19">
        <v>5</v>
      </c>
      <c r="DE11" s="19">
        <v>6</v>
      </c>
      <c r="DF11" s="19">
        <v>7</v>
      </c>
      <c r="DG11" s="19">
        <v>8</v>
      </c>
      <c r="DH11" s="19">
        <v>9</v>
      </c>
      <c r="DI11" s="19">
        <v>10</v>
      </c>
      <c r="DJ11" s="19">
        <v>11</v>
      </c>
      <c r="DK11" s="19">
        <v>12</v>
      </c>
      <c r="DL11" s="19">
        <v>13</v>
      </c>
      <c r="DM11" s="19">
        <v>15</v>
      </c>
      <c r="DN11" s="19">
        <v>16</v>
      </c>
      <c r="DO11" s="19">
        <v>18</v>
      </c>
      <c r="DP11" s="353"/>
    </row>
    <row r="12" spans="1:125" customFormat="1" ht="20.149999999999999" customHeight="1" thickTop="1" x14ac:dyDescent="0.35">
      <c r="A12" s="84">
        <v>1</v>
      </c>
      <c r="B12" s="142" t="s">
        <v>3</v>
      </c>
      <c r="C12" s="218" t="s">
        <v>4</v>
      </c>
      <c r="D12" s="109">
        <v>0</v>
      </c>
      <c r="E12" s="110">
        <f>'LPLPO GUDANG'!E15</f>
        <v>30</v>
      </c>
      <c r="F12" s="110">
        <f>SUM(D12:E12)</f>
        <v>30</v>
      </c>
      <c r="G12" s="110">
        <f>'PEMAKAIAN UNIT'!R9</f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09">
        <f>CH12</f>
        <v>0</v>
      </c>
      <c r="Z12" s="109" t="e">
        <f>CM12</f>
        <v>#REF!</v>
      </c>
      <c r="AA12" s="109" t="e">
        <f>CO12</f>
        <v>#REF!</v>
      </c>
      <c r="AB12" s="14">
        <v>82</v>
      </c>
      <c r="AC12" s="109" t="e">
        <f>CV12</f>
        <v>#REF!</v>
      </c>
      <c r="AD12" s="109">
        <f>'LPLPO GUDANG'!H15</f>
        <v>0</v>
      </c>
      <c r="AE12" s="111" t="e">
        <f>SUM(H12:AD12)</f>
        <v>#REF!</v>
      </c>
      <c r="AF12" s="212"/>
      <c r="AG12" s="212"/>
      <c r="AH12" s="20"/>
      <c r="AI12" s="14">
        <f>F12-G12</f>
        <v>30</v>
      </c>
      <c r="AJ12" s="209" t="e">
        <f>AE12-AI12</f>
        <v>#REF!</v>
      </c>
      <c r="AL12" s="14">
        <f>DA12</f>
        <v>0</v>
      </c>
      <c r="AM12" s="14">
        <f>DISTRIBUSI!D10</f>
        <v>0</v>
      </c>
      <c r="AN12" s="14">
        <f>'PEMAKAIAN UNIT'!D9</f>
        <v>0</v>
      </c>
      <c r="AO12" s="14">
        <f>AL12+AM12-AN12</f>
        <v>0</v>
      </c>
      <c r="AP12" s="15">
        <f>AO12-H12</f>
        <v>0</v>
      </c>
      <c r="AQ12" s="14">
        <f>DB12</f>
        <v>0</v>
      </c>
      <c r="AR12" s="14">
        <f>DISTRIBUSI!E10</f>
        <v>0</v>
      </c>
      <c r="AS12" s="14">
        <f>'PEMAKAIAN UNIT'!E9</f>
        <v>0</v>
      </c>
      <c r="AT12" s="14">
        <f>AQ12+AR12-AS12</f>
        <v>0</v>
      </c>
      <c r="AU12" s="15">
        <f>AT12-I12</f>
        <v>0</v>
      </c>
      <c r="AV12" s="14">
        <f>DC12</f>
        <v>0</v>
      </c>
      <c r="AW12" s="14">
        <f>DISTRIBUSI!F10</f>
        <v>0</v>
      </c>
      <c r="AX12" s="14">
        <f>'PEMAKAIAN UNIT'!F9</f>
        <v>0</v>
      </c>
      <c r="AY12" s="14">
        <f>AV12+AW12-AX12</f>
        <v>0</v>
      </c>
      <c r="AZ12" s="15">
        <f>AY12-J12</f>
        <v>0</v>
      </c>
      <c r="BA12" s="14">
        <f>DD12</f>
        <v>0</v>
      </c>
      <c r="BB12" s="14">
        <f>DISTRIBUSI!G10</f>
        <v>0</v>
      </c>
      <c r="BC12" s="14">
        <f>'PEMAKAIAN UNIT'!G9</f>
        <v>0</v>
      </c>
      <c r="BD12" s="14">
        <f>BA12+BB12-BC12</f>
        <v>0</v>
      </c>
      <c r="BE12" s="15">
        <f>BD12-S12</f>
        <v>0</v>
      </c>
      <c r="BF12" s="14">
        <f>DE12</f>
        <v>0</v>
      </c>
      <c r="BG12" s="14">
        <f>DISTRIBUSI!H10</f>
        <v>0</v>
      </c>
      <c r="BH12" s="14">
        <f>'PEMAKAIAN UNIT'!H9</f>
        <v>0</v>
      </c>
      <c r="BI12" s="14">
        <f>BF12+BG12-BH12</f>
        <v>0</v>
      </c>
      <c r="BJ12" s="15">
        <f>BI12-T12</f>
        <v>0</v>
      </c>
      <c r="BK12" s="14">
        <f>DF12</f>
        <v>0</v>
      </c>
      <c r="BL12" s="14">
        <f>DISTRIBUSI!I10</f>
        <v>0</v>
      </c>
      <c r="BM12" s="14">
        <f>'PEMAKAIAN UNIT'!I9</f>
        <v>0</v>
      </c>
      <c r="BN12" s="14">
        <f>BK12+BL12-BM12</f>
        <v>0</v>
      </c>
      <c r="BO12" s="15">
        <f>BN12-U12</f>
        <v>0</v>
      </c>
      <c r="BP12" s="14">
        <f>DG12</f>
        <v>0</v>
      </c>
      <c r="BQ12" s="14">
        <f>DISTRIBUSI!J10</f>
        <v>0</v>
      </c>
      <c r="BR12" s="14">
        <f>'PEMAKAIAN UNIT'!J9</f>
        <v>0</v>
      </c>
      <c r="BS12" s="14">
        <f>BP12+BQ12-BR12</f>
        <v>0</v>
      </c>
      <c r="BT12" s="15">
        <f>BS12-V12</f>
        <v>0</v>
      </c>
      <c r="BU12" s="14">
        <f>DH12</f>
        <v>0</v>
      </c>
      <c r="BV12" s="14">
        <f>DISTRIBUSI!K10</f>
        <v>0</v>
      </c>
      <c r="BW12" s="14">
        <f>'PEMAKAIAN UNIT'!K9</f>
        <v>0</v>
      </c>
      <c r="BX12" s="14">
        <f>BU12+BV12-BW12</f>
        <v>0</v>
      </c>
      <c r="BY12" s="15">
        <f>BX12-W12</f>
        <v>0</v>
      </c>
      <c r="BZ12" s="14">
        <f>DI12</f>
        <v>0</v>
      </c>
      <c r="CA12" s="14">
        <f>DISTRIBUSI!L10</f>
        <v>0</v>
      </c>
      <c r="CB12" s="14">
        <f>'PEMAKAIAN UNIT'!L9</f>
        <v>0</v>
      </c>
      <c r="CC12" s="14">
        <f>BZ12+CA12-CB12</f>
        <v>0</v>
      </c>
      <c r="CD12" s="15">
        <f>CC12-X12</f>
        <v>0</v>
      </c>
      <c r="CE12" s="14">
        <f>DJ12</f>
        <v>0</v>
      </c>
      <c r="CF12" s="14">
        <f>DISTRIBUSI!M10</f>
        <v>0</v>
      </c>
      <c r="CG12" s="14">
        <f>'PEMAKAIAN UNIT'!M9</f>
        <v>0</v>
      </c>
      <c r="CH12" s="14">
        <f>CE12+CF12-CG12</f>
        <v>0</v>
      </c>
      <c r="CI12" s="15">
        <f>CH12-Y12</f>
        <v>0</v>
      </c>
      <c r="CJ12" s="14">
        <f>DK12</f>
        <v>0</v>
      </c>
      <c r="CK12" s="14" t="e">
        <f>DISTRIBUSI!#REF!</f>
        <v>#REF!</v>
      </c>
      <c r="CL12" s="14">
        <f>'PEMAKAIAN UNIT'!N9</f>
        <v>0</v>
      </c>
      <c r="CM12" s="14" t="e">
        <f>CJ12+CK12-CL12</f>
        <v>#REF!</v>
      </c>
      <c r="CN12" s="15" t="e">
        <f>CM12-Z12</f>
        <v>#REF!</v>
      </c>
      <c r="CO12" s="14" t="e">
        <f>DL12+DISTRIBUSI!#REF!-'PEMAKAIAN UNIT'!O9</f>
        <v>#REF!</v>
      </c>
      <c r="CP12" s="15" t="e">
        <f>CO12-AA12</f>
        <v>#REF!</v>
      </c>
      <c r="CQ12" s="226">
        <f>DM12</f>
        <v>178</v>
      </c>
      <c r="CR12" s="226">
        <f>DISTRIBUSI!R10</f>
        <v>60</v>
      </c>
      <c r="CS12" s="226">
        <f>'PEMAKAIAN UNIT'!P9</f>
        <v>0</v>
      </c>
      <c r="CT12" s="14">
        <f>CQ12+CR12-CS12</f>
        <v>238</v>
      </c>
      <c r="CU12" s="15">
        <f>CT12-AB12</f>
        <v>156</v>
      </c>
      <c r="CV12" s="14" t="e">
        <f>DN12+DISTRIBUSI!#REF!-'PEMAKAIAN UNIT'!Q9</f>
        <v>#REF!</v>
      </c>
      <c r="CW12" s="15" t="e">
        <f>CV12-AC12</f>
        <v>#REF!</v>
      </c>
      <c r="CX12" s="14">
        <f>DO12+'LPLPO GUDANG'!E15-'LPLPO GUDANG'!G15</f>
        <v>-30</v>
      </c>
      <c r="CY12" s="15">
        <f>CX12-AD12</f>
        <v>-30</v>
      </c>
      <c r="CZ12" s="28"/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178</v>
      </c>
      <c r="DN12" s="14">
        <v>0</v>
      </c>
      <c r="DO12" s="14">
        <v>0</v>
      </c>
      <c r="DP12" s="13">
        <f>SUM(DA12:DO12)</f>
        <v>178</v>
      </c>
      <c r="DR12" t="s">
        <v>3</v>
      </c>
      <c r="DU12" s="20" t="e">
        <f>H12+I12+J12+S12+T12+U12+V12+W12+X12+Y12+Z12+AA12+AC12</f>
        <v>#REF!</v>
      </c>
    </row>
    <row r="13" spans="1:125" customFormat="1" ht="20.149999999999999" customHeight="1" x14ac:dyDescent="0.35">
      <c r="A13" s="84">
        <f>A12+1</f>
        <v>2</v>
      </c>
      <c r="B13" s="142" t="s">
        <v>5</v>
      </c>
      <c r="C13" s="153" t="s">
        <v>327</v>
      </c>
      <c r="D13" s="109">
        <v>0</v>
      </c>
      <c r="E13" s="110">
        <f>'LPLPO GUDANG'!E16</f>
        <v>500</v>
      </c>
      <c r="F13" s="110">
        <f t="shared" ref="F13:F76" si="0">SUM(D13:E13)</f>
        <v>500</v>
      </c>
      <c r="G13" s="110">
        <f>'PEMAKAIAN UNIT'!R10</f>
        <v>0</v>
      </c>
      <c r="H13" s="14">
        <v>0</v>
      </c>
      <c r="I13" s="14">
        <v>0</v>
      </c>
      <c r="J13" s="14">
        <v>0</v>
      </c>
      <c r="K13" s="14"/>
      <c r="L13" s="14"/>
      <c r="M13" s="14"/>
      <c r="N13" s="14"/>
      <c r="O13" s="14"/>
      <c r="P13" s="14"/>
      <c r="Q13" s="14"/>
      <c r="R13" s="14"/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09">
        <f t="shared" ref="Y13:Y76" si="1">CH13</f>
        <v>0</v>
      </c>
      <c r="Z13" s="109" t="e">
        <f t="shared" ref="Z13:Z76" si="2">CM13</f>
        <v>#REF!</v>
      </c>
      <c r="AA13" s="109" t="e">
        <f t="shared" ref="AA13:AA76" si="3">CO13</f>
        <v>#REF!</v>
      </c>
      <c r="AB13" s="14">
        <v>952</v>
      </c>
      <c r="AC13" s="109" t="e">
        <f t="shared" ref="AC13:AC76" si="4">CV13</f>
        <v>#REF!</v>
      </c>
      <c r="AD13" s="109">
        <f>'LPLPO GUDANG'!H16</f>
        <v>500</v>
      </c>
      <c r="AE13" s="111" t="e">
        <f t="shared" ref="AE13:AE76" si="5">SUM(H13:AD13)</f>
        <v>#REF!</v>
      </c>
      <c r="AF13" s="212"/>
      <c r="AG13" s="212"/>
      <c r="AH13" s="20"/>
      <c r="AI13" s="14">
        <f t="shared" ref="AI13:AI76" si="6">F13-G13</f>
        <v>500</v>
      </c>
      <c r="AJ13" s="209" t="e">
        <f t="shared" ref="AJ13:AJ76" si="7">AE13-AI13</f>
        <v>#REF!</v>
      </c>
      <c r="AL13" s="14">
        <f t="shared" ref="AL13:AL76" si="8">DA13</f>
        <v>0</v>
      </c>
      <c r="AM13" s="14">
        <f>DISTRIBUSI!D11</f>
        <v>0</v>
      </c>
      <c r="AN13" s="14">
        <f>'PEMAKAIAN UNIT'!D10</f>
        <v>0</v>
      </c>
      <c r="AO13" s="14">
        <f t="shared" ref="AO13:AO76" si="9">AL13+AM13-AN13</f>
        <v>0</v>
      </c>
      <c r="AP13" s="15">
        <f t="shared" ref="AP13:AP76" si="10">AO13-H13</f>
        <v>0</v>
      </c>
      <c r="AQ13" s="14">
        <f t="shared" ref="AQ13:AQ76" si="11">DB13</f>
        <v>0</v>
      </c>
      <c r="AR13" s="14">
        <f>DISTRIBUSI!E11</f>
        <v>0</v>
      </c>
      <c r="AS13" s="14">
        <f>'PEMAKAIAN UNIT'!E10</f>
        <v>0</v>
      </c>
      <c r="AT13" s="14">
        <f t="shared" ref="AT13:AT76" si="12">AQ13+AR13-AS13</f>
        <v>0</v>
      </c>
      <c r="AU13" s="15">
        <f t="shared" ref="AU13:AU76" si="13">AT13-I13</f>
        <v>0</v>
      </c>
      <c r="AV13" s="14">
        <f t="shared" ref="AV13:AV76" si="14">DC13</f>
        <v>0</v>
      </c>
      <c r="AW13" s="14">
        <f>DISTRIBUSI!F11</f>
        <v>0</v>
      </c>
      <c r="AX13" s="14">
        <f>'PEMAKAIAN UNIT'!F10</f>
        <v>0</v>
      </c>
      <c r="AY13" s="14">
        <f t="shared" ref="AY13:AY76" si="15">AV13+AW13-AX13</f>
        <v>0</v>
      </c>
      <c r="AZ13" s="15">
        <f t="shared" ref="AZ13:AZ76" si="16">AY13-J13</f>
        <v>0</v>
      </c>
      <c r="BA13" s="14">
        <f t="shared" ref="BA13:BA76" si="17">DD13</f>
        <v>0</v>
      </c>
      <c r="BB13" s="14">
        <f>DISTRIBUSI!G11</f>
        <v>0</v>
      </c>
      <c r="BC13" s="14">
        <f>'PEMAKAIAN UNIT'!G10</f>
        <v>0</v>
      </c>
      <c r="BD13" s="14">
        <f t="shared" ref="BD13:BD76" si="18">BA13+BB13-BC13</f>
        <v>0</v>
      </c>
      <c r="BE13" s="15">
        <f t="shared" ref="BE13:BE76" si="19">BD13-S13</f>
        <v>0</v>
      </c>
      <c r="BF13" s="14">
        <f t="shared" ref="BF13:BF76" si="20">DE13</f>
        <v>10</v>
      </c>
      <c r="BG13" s="14">
        <f>DISTRIBUSI!H11</f>
        <v>0</v>
      </c>
      <c r="BH13" s="14">
        <f>'PEMAKAIAN UNIT'!H10</f>
        <v>0</v>
      </c>
      <c r="BI13" s="14">
        <f t="shared" ref="BI13:BI76" si="21">BF13+BG13-BH13</f>
        <v>10</v>
      </c>
      <c r="BJ13" s="15">
        <f t="shared" ref="BJ13:BJ76" si="22">BI13-T13</f>
        <v>10</v>
      </c>
      <c r="BK13" s="14">
        <f t="shared" ref="BK13:BK76" si="23">DF13</f>
        <v>0</v>
      </c>
      <c r="BL13" s="14">
        <f>DISTRIBUSI!I11</f>
        <v>0</v>
      </c>
      <c r="BM13" s="14">
        <f>'PEMAKAIAN UNIT'!I10</f>
        <v>0</v>
      </c>
      <c r="BN13" s="14">
        <f t="shared" ref="BN13:BN76" si="24">BK13+BL13-BM13</f>
        <v>0</v>
      </c>
      <c r="BO13" s="15">
        <f t="shared" ref="BO13:BO76" si="25">BN13-U13</f>
        <v>0</v>
      </c>
      <c r="BP13" s="14">
        <f t="shared" ref="BP13:BP76" si="26">DG13</f>
        <v>0</v>
      </c>
      <c r="BQ13" s="14">
        <f>DISTRIBUSI!J11</f>
        <v>0</v>
      </c>
      <c r="BR13" s="14">
        <f>'PEMAKAIAN UNIT'!J10</f>
        <v>0</v>
      </c>
      <c r="BS13" s="14">
        <f t="shared" ref="BS13:BS76" si="27">BP13+BQ13-BR13</f>
        <v>0</v>
      </c>
      <c r="BT13" s="15">
        <f t="shared" ref="BT13:BT76" si="28">BS13-V13</f>
        <v>0</v>
      </c>
      <c r="BU13" s="14">
        <f t="shared" ref="BU13:BU76" si="29">DH13</f>
        <v>0</v>
      </c>
      <c r="BV13" s="14">
        <f>DISTRIBUSI!K11</f>
        <v>0</v>
      </c>
      <c r="BW13" s="14">
        <f>'PEMAKAIAN UNIT'!K10</f>
        <v>0</v>
      </c>
      <c r="BX13" s="14">
        <f t="shared" ref="BX13:BX76" si="30">BU13+BV13-BW13</f>
        <v>0</v>
      </c>
      <c r="BY13" s="15">
        <f t="shared" ref="BY13:BY76" si="31">BX13-W13</f>
        <v>0</v>
      </c>
      <c r="BZ13" s="14">
        <f t="shared" ref="BZ13:BZ76" si="32">DI13</f>
        <v>0</v>
      </c>
      <c r="CA13" s="14">
        <f>DISTRIBUSI!L11</f>
        <v>0</v>
      </c>
      <c r="CB13" s="14">
        <f>'PEMAKAIAN UNIT'!L10</f>
        <v>0</v>
      </c>
      <c r="CC13" s="14">
        <f t="shared" ref="CC13:CC76" si="33">BZ13+CA13-CB13</f>
        <v>0</v>
      </c>
      <c r="CD13" s="15">
        <f t="shared" ref="CD13:CD76" si="34">CC13-X13</f>
        <v>0</v>
      </c>
      <c r="CE13" s="14">
        <f t="shared" ref="CE13:CE76" si="35">DJ13</f>
        <v>0</v>
      </c>
      <c r="CF13" s="14">
        <f>DISTRIBUSI!M11</f>
        <v>0</v>
      </c>
      <c r="CG13" s="14">
        <f>'PEMAKAIAN UNIT'!M10</f>
        <v>0</v>
      </c>
      <c r="CH13" s="14">
        <f t="shared" ref="CH13:CH76" si="36">CE13+CF13-CG13</f>
        <v>0</v>
      </c>
      <c r="CI13" s="15">
        <f t="shared" ref="CI13:CI76" si="37">CH13-Y13</f>
        <v>0</v>
      </c>
      <c r="CJ13" s="14">
        <f t="shared" ref="CJ13:CJ76" si="38">DK13</f>
        <v>0</v>
      </c>
      <c r="CK13" s="14" t="e">
        <f>DISTRIBUSI!#REF!</f>
        <v>#REF!</v>
      </c>
      <c r="CL13" s="14">
        <f>'PEMAKAIAN UNIT'!N10</f>
        <v>0</v>
      </c>
      <c r="CM13" s="14" t="e">
        <f t="shared" ref="CM13:CM76" si="39">CJ13+CK13-CL13</f>
        <v>#REF!</v>
      </c>
      <c r="CN13" s="15" t="e">
        <f t="shared" ref="CN13:CN76" si="40">CM13-Z13</f>
        <v>#REF!</v>
      </c>
      <c r="CO13" s="14" t="e">
        <f>DL13+DISTRIBUSI!#REF!-'PEMAKAIAN UNIT'!O10</f>
        <v>#REF!</v>
      </c>
      <c r="CP13" s="15" t="e">
        <f t="shared" ref="CP13:CP76" si="41">CO13-AA13</f>
        <v>#REF!</v>
      </c>
      <c r="CQ13" s="226">
        <f t="shared" ref="CQ13:CQ76" si="42">DM13</f>
        <v>870</v>
      </c>
      <c r="CR13" s="226">
        <f>DISTRIBUSI!R11</f>
        <v>500</v>
      </c>
      <c r="CS13" s="226">
        <f>'PEMAKAIAN UNIT'!P10</f>
        <v>0</v>
      </c>
      <c r="CT13" s="14">
        <f t="shared" ref="CT13:CT76" si="43">CQ13+CR13-CS13</f>
        <v>1370</v>
      </c>
      <c r="CU13" s="15">
        <f t="shared" ref="CU13:CU76" si="44">CT13-AB13</f>
        <v>418</v>
      </c>
      <c r="CV13" s="14" t="e">
        <f>DN13+DISTRIBUSI!#REF!-'PEMAKAIAN UNIT'!Q10</f>
        <v>#REF!</v>
      </c>
      <c r="CW13" s="15" t="e">
        <f t="shared" ref="CW13:CW76" si="45">CV13-AC13</f>
        <v>#REF!</v>
      </c>
      <c r="CX13" s="14">
        <f>DO13+'LPLPO GUDANG'!E16-'LPLPO GUDANG'!G16</f>
        <v>1000</v>
      </c>
      <c r="CY13" s="15">
        <f t="shared" ref="CY13:CY76" si="46">CX13-AD13</f>
        <v>500</v>
      </c>
      <c r="CZ13" s="28"/>
      <c r="DA13" s="14">
        <v>0</v>
      </c>
      <c r="DB13" s="14">
        <v>0</v>
      </c>
      <c r="DC13" s="14">
        <v>0</v>
      </c>
      <c r="DD13" s="14">
        <v>0</v>
      </c>
      <c r="DE13" s="14">
        <v>10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600</v>
      </c>
      <c r="DM13" s="14">
        <v>870</v>
      </c>
      <c r="DN13" s="14">
        <v>0</v>
      </c>
      <c r="DO13" s="14">
        <v>1000</v>
      </c>
      <c r="DP13" s="13">
        <f t="shared" ref="DP13:DP76" si="47">SUM(DA13:DO13)</f>
        <v>2480</v>
      </c>
      <c r="DR13" s="21" t="s">
        <v>5</v>
      </c>
      <c r="DU13" s="20" t="e">
        <f t="shared" ref="DU13:DU76" si="48">H13+I13+J13+S13+T13+U13+V13+W13+X13+Y13+Z13+AA13+AC13</f>
        <v>#REF!</v>
      </c>
    </row>
    <row r="14" spans="1:125" customFormat="1" ht="20.149999999999999" customHeight="1" x14ac:dyDescent="0.35">
      <c r="A14" s="84">
        <f t="shared" ref="A14:A77" si="49">A13+1</f>
        <v>3</v>
      </c>
      <c r="B14" s="142" t="s">
        <v>262</v>
      </c>
      <c r="C14" s="153" t="s">
        <v>48</v>
      </c>
      <c r="D14" s="109">
        <v>0</v>
      </c>
      <c r="E14" s="110">
        <f>'LPLPO GUDANG'!E17</f>
        <v>0</v>
      </c>
      <c r="F14" s="110">
        <f t="shared" si="0"/>
        <v>0</v>
      </c>
      <c r="G14" s="110">
        <f>'PEMAKAIAN UNIT'!R11</f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09">
        <f t="shared" si="1"/>
        <v>0</v>
      </c>
      <c r="Z14" s="109" t="e">
        <f t="shared" si="2"/>
        <v>#REF!</v>
      </c>
      <c r="AA14" s="109" t="e">
        <f t="shared" si="3"/>
        <v>#REF!</v>
      </c>
      <c r="AB14" s="14">
        <v>0</v>
      </c>
      <c r="AC14" s="109" t="e">
        <f t="shared" si="4"/>
        <v>#REF!</v>
      </c>
      <c r="AD14" s="109">
        <f>'LPLPO GUDANG'!H17</f>
        <v>15</v>
      </c>
      <c r="AE14" s="111" t="e">
        <f t="shared" si="5"/>
        <v>#REF!</v>
      </c>
      <c r="AF14" s="212"/>
      <c r="AG14" s="212"/>
      <c r="AH14" s="20"/>
      <c r="AI14" s="14">
        <f t="shared" si="6"/>
        <v>0</v>
      </c>
      <c r="AJ14" s="209" t="e">
        <f t="shared" si="7"/>
        <v>#REF!</v>
      </c>
      <c r="AL14" s="14">
        <f t="shared" si="8"/>
        <v>0</v>
      </c>
      <c r="AM14" s="14">
        <f>DISTRIBUSI!D12</f>
        <v>0</v>
      </c>
      <c r="AN14" s="14">
        <f>'PEMAKAIAN UNIT'!D11</f>
        <v>0</v>
      </c>
      <c r="AO14" s="14">
        <f t="shared" si="9"/>
        <v>0</v>
      </c>
      <c r="AP14" s="15">
        <f t="shared" si="10"/>
        <v>0</v>
      </c>
      <c r="AQ14" s="14">
        <f t="shared" si="11"/>
        <v>0</v>
      </c>
      <c r="AR14" s="14">
        <f>DISTRIBUSI!E12</f>
        <v>0</v>
      </c>
      <c r="AS14" s="14">
        <f>'PEMAKAIAN UNIT'!E11</f>
        <v>0</v>
      </c>
      <c r="AT14" s="14">
        <f t="shared" si="12"/>
        <v>0</v>
      </c>
      <c r="AU14" s="15">
        <f t="shared" si="13"/>
        <v>0</v>
      </c>
      <c r="AV14" s="14">
        <f t="shared" si="14"/>
        <v>0</v>
      </c>
      <c r="AW14" s="14">
        <f>DISTRIBUSI!F12</f>
        <v>0</v>
      </c>
      <c r="AX14" s="14">
        <f>'PEMAKAIAN UNIT'!F11</f>
        <v>0</v>
      </c>
      <c r="AY14" s="14">
        <f t="shared" si="15"/>
        <v>0</v>
      </c>
      <c r="AZ14" s="15">
        <f t="shared" si="16"/>
        <v>0</v>
      </c>
      <c r="BA14" s="14">
        <f t="shared" si="17"/>
        <v>0</v>
      </c>
      <c r="BB14" s="14">
        <f>DISTRIBUSI!G12</f>
        <v>0</v>
      </c>
      <c r="BC14" s="14">
        <f>'PEMAKAIAN UNIT'!G11</f>
        <v>0</v>
      </c>
      <c r="BD14" s="14">
        <f t="shared" si="18"/>
        <v>0</v>
      </c>
      <c r="BE14" s="15">
        <f t="shared" si="19"/>
        <v>0</v>
      </c>
      <c r="BF14" s="14">
        <f t="shared" si="20"/>
        <v>0</v>
      </c>
      <c r="BG14" s="14">
        <f>DISTRIBUSI!H12</f>
        <v>0</v>
      </c>
      <c r="BH14" s="14">
        <f>'PEMAKAIAN UNIT'!H11</f>
        <v>0</v>
      </c>
      <c r="BI14" s="14">
        <f t="shared" si="21"/>
        <v>0</v>
      </c>
      <c r="BJ14" s="15">
        <f t="shared" si="22"/>
        <v>0</v>
      </c>
      <c r="BK14" s="14">
        <f t="shared" si="23"/>
        <v>0</v>
      </c>
      <c r="BL14" s="14">
        <f>DISTRIBUSI!I12</f>
        <v>0</v>
      </c>
      <c r="BM14" s="14">
        <f>'PEMAKAIAN UNIT'!I11</f>
        <v>0</v>
      </c>
      <c r="BN14" s="14">
        <f t="shared" si="24"/>
        <v>0</v>
      </c>
      <c r="BO14" s="15">
        <f t="shared" si="25"/>
        <v>0</v>
      </c>
      <c r="BP14" s="14">
        <f t="shared" si="26"/>
        <v>0</v>
      </c>
      <c r="BQ14" s="14">
        <f>DISTRIBUSI!J12</f>
        <v>0</v>
      </c>
      <c r="BR14" s="14">
        <f>'PEMAKAIAN UNIT'!J11</f>
        <v>0</v>
      </c>
      <c r="BS14" s="14">
        <f t="shared" si="27"/>
        <v>0</v>
      </c>
      <c r="BT14" s="15">
        <f t="shared" si="28"/>
        <v>0</v>
      </c>
      <c r="BU14" s="14">
        <f t="shared" si="29"/>
        <v>0</v>
      </c>
      <c r="BV14" s="14">
        <f>DISTRIBUSI!K12</f>
        <v>0</v>
      </c>
      <c r="BW14" s="14">
        <f>'PEMAKAIAN UNIT'!K11</f>
        <v>0</v>
      </c>
      <c r="BX14" s="14">
        <f t="shared" si="30"/>
        <v>0</v>
      </c>
      <c r="BY14" s="15">
        <f t="shared" si="31"/>
        <v>0</v>
      </c>
      <c r="BZ14" s="14">
        <f t="shared" si="32"/>
        <v>0</v>
      </c>
      <c r="CA14" s="14">
        <f>DISTRIBUSI!L12</f>
        <v>0</v>
      </c>
      <c r="CB14" s="14">
        <f>'PEMAKAIAN UNIT'!L11</f>
        <v>0</v>
      </c>
      <c r="CC14" s="14">
        <f t="shared" si="33"/>
        <v>0</v>
      </c>
      <c r="CD14" s="15">
        <f t="shared" si="34"/>
        <v>0</v>
      </c>
      <c r="CE14" s="14">
        <f t="shared" si="35"/>
        <v>0</v>
      </c>
      <c r="CF14" s="14">
        <f>DISTRIBUSI!M12</f>
        <v>0</v>
      </c>
      <c r="CG14" s="14">
        <f>'PEMAKAIAN UNIT'!M11</f>
        <v>0</v>
      </c>
      <c r="CH14" s="14">
        <f t="shared" si="36"/>
        <v>0</v>
      </c>
      <c r="CI14" s="15">
        <f t="shared" si="37"/>
        <v>0</v>
      </c>
      <c r="CJ14" s="14">
        <f t="shared" si="38"/>
        <v>0</v>
      </c>
      <c r="CK14" s="14" t="e">
        <f>DISTRIBUSI!#REF!</f>
        <v>#REF!</v>
      </c>
      <c r="CL14" s="14">
        <f>'PEMAKAIAN UNIT'!N11</f>
        <v>0</v>
      </c>
      <c r="CM14" s="14" t="e">
        <f t="shared" si="39"/>
        <v>#REF!</v>
      </c>
      <c r="CN14" s="15" t="e">
        <f t="shared" si="40"/>
        <v>#REF!</v>
      </c>
      <c r="CO14" s="14" t="e">
        <f>DL14+DISTRIBUSI!#REF!-'PEMAKAIAN UNIT'!O11</f>
        <v>#REF!</v>
      </c>
      <c r="CP14" s="15" t="e">
        <f t="shared" si="41"/>
        <v>#REF!</v>
      </c>
      <c r="CQ14" s="226">
        <f t="shared" si="42"/>
        <v>3</v>
      </c>
      <c r="CR14" s="226">
        <f>DISTRIBUSI!R12</f>
        <v>30</v>
      </c>
      <c r="CS14" s="226">
        <f>'PEMAKAIAN UNIT'!P11</f>
        <v>0</v>
      </c>
      <c r="CT14" s="14">
        <f t="shared" si="43"/>
        <v>33</v>
      </c>
      <c r="CU14" s="15">
        <f t="shared" si="44"/>
        <v>33</v>
      </c>
      <c r="CV14" s="14" t="e">
        <f>DN14+DISTRIBUSI!#REF!-'PEMAKAIAN UNIT'!Q11</f>
        <v>#REF!</v>
      </c>
      <c r="CW14" s="15" t="e">
        <f t="shared" si="45"/>
        <v>#REF!</v>
      </c>
      <c r="CX14" s="14">
        <f>DO14+'LPLPO GUDANG'!E17-'LPLPO GUDANG'!G17</f>
        <v>-5</v>
      </c>
      <c r="CY14" s="15">
        <f t="shared" si="46"/>
        <v>-20</v>
      </c>
      <c r="CZ14" s="28"/>
      <c r="DA14" s="14">
        <v>0</v>
      </c>
      <c r="DB14" s="14"/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3</v>
      </c>
      <c r="DN14" s="14">
        <v>0</v>
      </c>
      <c r="DO14" s="14">
        <v>25</v>
      </c>
      <c r="DP14" s="13">
        <f t="shared" si="47"/>
        <v>28</v>
      </c>
      <c r="DR14" t="s">
        <v>262</v>
      </c>
      <c r="DU14" s="20" t="e">
        <f t="shared" si="48"/>
        <v>#REF!</v>
      </c>
    </row>
    <row r="15" spans="1:125" customFormat="1" ht="20.149999999999999" customHeight="1" x14ac:dyDescent="0.35">
      <c r="A15" s="84">
        <f t="shared" si="49"/>
        <v>4</v>
      </c>
      <c r="B15" s="142" t="s">
        <v>7</v>
      </c>
      <c r="C15" s="153" t="s">
        <v>328</v>
      </c>
      <c r="D15" s="109">
        <v>0</v>
      </c>
      <c r="E15" s="110">
        <f>'LPLPO GUDANG'!E18</f>
        <v>2000</v>
      </c>
      <c r="F15" s="110">
        <f t="shared" si="0"/>
        <v>2000</v>
      </c>
      <c r="G15" s="110">
        <f>'PEMAKAIAN UNIT'!R12</f>
        <v>0</v>
      </c>
      <c r="H15" s="14">
        <v>0</v>
      </c>
      <c r="I15" s="14">
        <v>0</v>
      </c>
      <c r="J15" s="14">
        <v>0</v>
      </c>
      <c r="K15" s="14"/>
      <c r="L15" s="14"/>
      <c r="M15" s="14"/>
      <c r="N15" s="14"/>
      <c r="O15" s="14"/>
      <c r="P15" s="14"/>
      <c r="Q15" s="14"/>
      <c r="R15" s="14"/>
      <c r="S15" s="14">
        <v>120</v>
      </c>
      <c r="T15" s="14">
        <v>0</v>
      </c>
      <c r="U15" s="14">
        <v>120</v>
      </c>
      <c r="V15" s="14">
        <v>140</v>
      </c>
      <c r="W15" s="14">
        <v>160</v>
      </c>
      <c r="X15" s="14">
        <v>120</v>
      </c>
      <c r="Y15" s="109">
        <f t="shared" si="1"/>
        <v>0</v>
      </c>
      <c r="Z15" s="109" t="e">
        <f t="shared" si="2"/>
        <v>#REF!</v>
      </c>
      <c r="AA15" s="109" t="e">
        <f t="shared" si="3"/>
        <v>#REF!</v>
      </c>
      <c r="AB15" s="14">
        <v>1735</v>
      </c>
      <c r="AC15" s="109" t="e">
        <f t="shared" si="4"/>
        <v>#REF!</v>
      </c>
      <c r="AD15" s="109">
        <f>'LPLPO GUDANG'!H18</f>
        <v>1800</v>
      </c>
      <c r="AE15" s="111" t="e">
        <f t="shared" si="5"/>
        <v>#REF!</v>
      </c>
      <c r="AF15" s="212"/>
      <c r="AG15" s="212"/>
      <c r="AH15" s="20"/>
      <c r="AI15" s="14">
        <f t="shared" si="6"/>
        <v>2000</v>
      </c>
      <c r="AJ15" s="209" t="e">
        <f t="shared" si="7"/>
        <v>#REF!</v>
      </c>
      <c r="AL15" s="14">
        <f t="shared" si="8"/>
        <v>0</v>
      </c>
      <c r="AM15" s="14">
        <f>DISTRIBUSI!D13</f>
        <v>0</v>
      </c>
      <c r="AN15" s="14">
        <f>'PEMAKAIAN UNIT'!D12</f>
        <v>0</v>
      </c>
      <c r="AO15" s="14">
        <f t="shared" si="9"/>
        <v>0</v>
      </c>
      <c r="AP15" s="15">
        <f t="shared" si="10"/>
        <v>0</v>
      </c>
      <c r="AQ15" s="14">
        <f t="shared" si="11"/>
        <v>0</v>
      </c>
      <c r="AR15" s="14">
        <f>DISTRIBUSI!E13</f>
        <v>0</v>
      </c>
      <c r="AS15" s="14">
        <f>'PEMAKAIAN UNIT'!E12</f>
        <v>0</v>
      </c>
      <c r="AT15" s="14">
        <f t="shared" si="12"/>
        <v>0</v>
      </c>
      <c r="AU15" s="15">
        <f t="shared" si="13"/>
        <v>0</v>
      </c>
      <c r="AV15" s="14">
        <f t="shared" si="14"/>
        <v>80</v>
      </c>
      <c r="AW15" s="14">
        <f>DISTRIBUSI!F13</f>
        <v>0</v>
      </c>
      <c r="AX15" s="14">
        <f>'PEMAKAIAN UNIT'!F12</f>
        <v>0</v>
      </c>
      <c r="AY15" s="14">
        <f t="shared" si="15"/>
        <v>80</v>
      </c>
      <c r="AZ15" s="15">
        <f t="shared" si="16"/>
        <v>80</v>
      </c>
      <c r="BA15" s="14">
        <f t="shared" si="17"/>
        <v>40</v>
      </c>
      <c r="BB15" s="14">
        <f>DISTRIBUSI!G13</f>
        <v>0</v>
      </c>
      <c r="BC15" s="14">
        <f>'PEMAKAIAN UNIT'!G12</f>
        <v>0</v>
      </c>
      <c r="BD15" s="14">
        <f t="shared" si="18"/>
        <v>40</v>
      </c>
      <c r="BE15" s="15">
        <f t="shared" si="19"/>
        <v>-80</v>
      </c>
      <c r="BF15" s="14">
        <f t="shared" si="20"/>
        <v>200</v>
      </c>
      <c r="BG15" s="14">
        <f>DISTRIBUSI!H13</f>
        <v>0</v>
      </c>
      <c r="BH15" s="14">
        <f>'PEMAKAIAN UNIT'!H12</f>
        <v>0</v>
      </c>
      <c r="BI15" s="14">
        <f t="shared" si="21"/>
        <v>200</v>
      </c>
      <c r="BJ15" s="15">
        <f t="shared" si="22"/>
        <v>200</v>
      </c>
      <c r="BK15" s="14">
        <f t="shared" si="23"/>
        <v>60</v>
      </c>
      <c r="BL15" s="14">
        <f>DISTRIBUSI!I13</f>
        <v>100</v>
      </c>
      <c r="BM15" s="14">
        <f>'PEMAKAIAN UNIT'!I12</f>
        <v>0</v>
      </c>
      <c r="BN15" s="14">
        <f t="shared" si="24"/>
        <v>160</v>
      </c>
      <c r="BO15" s="15">
        <f t="shared" si="25"/>
        <v>40</v>
      </c>
      <c r="BP15" s="14">
        <f t="shared" si="26"/>
        <v>210</v>
      </c>
      <c r="BQ15" s="14">
        <f>DISTRIBUSI!J13</f>
        <v>0</v>
      </c>
      <c r="BR15" s="14">
        <f>'PEMAKAIAN UNIT'!J12</f>
        <v>0</v>
      </c>
      <c r="BS15" s="14">
        <f t="shared" si="27"/>
        <v>210</v>
      </c>
      <c r="BT15" s="15">
        <f t="shared" si="28"/>
        <v>70</v>
      </c>
      <c r="BU15" s="14">
        <f t="shared" si="29"/>
        <v>200</v>
      </c>
      <c r="BV15" s="14">
        <f>DISTRIBUSI!K13</f>
        <v>0</v>
      </c>
      <c r="BW15" s="14">
        <f>'PEMAKAIAN UNIT'!K12</f>
        <v>0</v>
      </c>
      <c r="BX15" s="14">
        <f t="shared" si="30"/>
        <v>200</v>
      </c>
      <c r="BY15" s="15">
        <f t="shared" si="31"/>
        <v>40</v>
      </c>
      <c r="BZ15" s="14">
        <f t="shared" si="32"/>
        <v>170</v>
      </c>
      <c r="CA15" s="14">
        <f>DISTRIBUSI!L13</f>
        <v>0</v>
      </c>
      <c r="CB15" s="14">
        <f>'PEMAKAIAN UNIT'!L12</f>
        <v>0</v>
      </c>
      <c r="CC15" s="14">
        <f t="shared" si="33"/>
        <v>170</v>
      </c>
      <c r="CD15" s="15">
        <f t="shared" si="34"/>
        <v>50</v>
      </c>
      <c r="CE15" s="14">
        <f t="shared" si="35"/>
        <v>0</v>
      </c>
      <c r="CF15" s="14">
        <f>DISTRIBUSI!M13</f>
        <v>0</v>
      </c>
      <c r="CG15" s="14">
        <f>'PEMAKAIAN UNIT'!M12</f>
        <v>0</v>
      </c>
      <c r="CH15" s="14">
        <f t="shared" si="36"/>
        <v>0</v>
      </c>
      <c r="CI15" s="15">
        <f t="shared" si="37"/>
        <v>0</v>
      </c>
      <c r="CJ15" s="14">
        <f t="shared" si="38"/>
        <v>0</v>
      </c>
      <c r="CK15" s="14" t="e">
        <f>DISTRIBUSI!#REF!</f>
        <v>#REF!</v>
      </c>
      <c r="CL15" s="14">
        <f>'PEMAKAIAN UNIT'!N12</f>
        <v>0</v>
      </c>
      <c r="CM15" s="14" t="e">
        <f t="shared" si="39"/>
        <v>#REF!</v>
      </c>
      <c r="CN15" s="15" t="e">
        <f t="shared" si="40"/>
        <v>#REF!</v>
      </c>
      <c r="CO15" s="14" t="e">
        <f>DL15+DISTRIBUSI!#REF!-'PEMAKAIAN UNIT'!O12</f>
        <v>#REF!</v>
      </c>
      <c r="CP15" s="15" t="e">
        <f t="shared" si="41"/>
        <v>#REF!</v>
      </c>
      <c r="CQ15" s="226">
        <f t="shared" si="42"/>
        <v>1468</v>
      </c>
      <c r="CR15" s="226">
        <f>DISTRIBUSI!R13</f>
        <v>2000</v>
      </c>
      <c r="CS15" s="226">
        <f>'PEMAKAIAN UNIT'!P12</f>
        <v>0</v>
      </c>
      <c r="CT15" s="14">
        <f t="shared" si="43"/>
        <v>3468</v>
      </c>
      <c r="CU15" s="15">
        <f t="shared" si="44"/>
        <v>1733</v>
      </c>
      <c r="CV15" s="14" t="e">
        <f>DN15+DISTRIBUSI!#REF!-'PEMAKAIAN UNIT'!Q12</f>
        <v>#REF!</v>
      </c>
      <c r="CW15" s="15" t="e">
        <f t="shared" si="45"/>
        <v>#REF!</v>
      </c>
      <c r="CX15" s="14">
        <f>DO15+'LPLPO GUDANG'!E18-'LPLPO GUDANG'!G18</f>
        <v>100</v>
      </c>
      <c r="CY15" s="15">
        <f t="shared" si="46"/>
        <v>-1700</v>
      </c>
      <c r="CZ15" s="28"/>
      <c r="DA15" s="14">
        <v>0</v>
      </c>
      <c r="DB15" s="14"/>
      <c r="DC15" s="14">
        <v>80</v>
      </c>
      <c r="DD15" s="14">
        <v>40</v>
      </c>
      <c r="DE15" s="14">
        <v>200</v>
      </c>
      <c r="DF15" s="14">
        <v>60</v>
      </c>
      <c r="DG15" s="14">
        <v>210</v>
      </c>
      <c r="DH15" s="14">
        <v>200</v>
      </c>
      <c r="DI15" s="14">
        <v>170</v>
      </c>
      <c r="DJ15" s="14">
        <v>0</v>
      </c>
      <c r="DK15" s="14">
        <v>0</v>
      </c>
      <c r="DL15" s="14">
        <v>0</v>
      </c>
      <c r="DM15" s="14">
        <v>1468</v>
      </c>
      <c r="DN15" s="14">
        <v>0</v>
      </c>
      <c r="DO15" s="14">
        <v>300</v>
      </c>
      <c r="DP15" s="13">
        <f t="shared" si="47"/>
        <v>2728</v>
      </c>
      <c r="DR15" t="s">
        <v>7</v>
      </c>
      <c r="DU15" s="20" t="e">
        <f t="shared" si="48"/>
        <v>#REF!</v>
      </c>
    </row>
    <row r="16" spans="1:125" customFormat="1" ht="20.149999999999999" customHeight="1" x14ac:dyDescent="0.35">
      <c r="A16" s="84">
        <f t="shared" si="49"/>
        <v>5</v>
      </c>
      <c r="B16" s="142" t="s">
        <v>317</v>
      </c>
      <c r="C16" s="153" t="s">
        <v>6</v>
      </c>
      <c r="D16" s="109">
        <v>0</v>
      </c>
      <c r="E16" s="110">
        <f>'LPLPO GUDANG'!E19</f>
        <v>3000</v>
      </c>
      <c r="F16" s="110">
        <f t="shared" si="0"/>
        <v>3000</v>
      </c>
      <c r="G16" s="110">
        <f>'PEMAKAIAN UNIT'!R13</f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09">
        <f t="shared" si="1"/>
        <v>0</v>
      </c>
      <c r="Z16" s="109" t="e">
        <f t="shared" si="2"/>
        <v>#REF!</v>
      </c>
      <c r="AA16" s="109" t="e">
        <f t="shared" si="3"/>
        <v>#REF!</v>
      </c>
      <c r="AB16" s="14">
        <v>780</v>
      </c>
      <c r="AC16" s="109" t="e">
        <f t="shared" si="4"/>
        <v>#REF!</v>
      </c>
      <c r="AD16" s="109">
        <f>'LPLPO GUDANG'!H19</f>
        <v>1800</v>
      </c>
      <c r="AE16" s="111" t="e">
        <f t="shared" si="5"/>
        <v>#REF!</v>
      </c>
      <c r="AF16" s="212"/>
      <c r="AG16" s="212"/>
      <c r="AH16" s="20"/>
      <c r="AI16" s="14">
        <f t="shared" si="6"/>
        <v>3000</v>
      </c>
      <c r="AJ16" s="209" t="e">
        <f t="shared" si="7"/>
        <v>#REF!</v>
      </c>
      <c r="AL16" s="14">
        <f t="shared" si="8"/>
        <v>0</v>
      </c>
      <c r="AM16" s="14">
        <f>DISTRIBUSI!D14</f>
        <v>0</v>
      </c>
      <c r="AN16" s="14">
        <f>'PEMAKAIAN UNIT'!D13</f>
        <v>0</v>
      </c>
      <c r="AO16" s="14">
        <f t="shared" si="9"/>
        <v>0</v>
      </c>
      <c r="AP16" s="15">
        <f t="shared" si="10"/>
        <v>0</v>
      </c>
      <c r="AQ16" s="14">
        <f t="shared" si="11"/>
        <v>0</v>
      </c>
      <c r="AR16" s="14">
        <f>DISTRIBUSI!E14</f>
        <v>0</v>
      </c>
      <c r="AS16" s="14">
        <f>'PEMAKAIAN UNIT'!E13</f>
        <v>0</v>
      </c>
      <c r="AT16" s="14">
        <f t="shared" si="12"/>
        <v>0</v>
      </c>
      <c r="AU16" s="15">
        <f t="shared" si="13"/>
        <v>0</v>
      </c>
      <c r="AV16" s="14">
        <f t="shared" si="14"/>
        <v>0</v>
      </c>
      <c r="AW16" s="14">
        <f>DISTRIBUSI!F14</f>
        <v>0</v>
      </c>
      <c r="AX16" s="14">
        <f>'PEMAKAIAN UNIT'!F13</f>
        <v>0</v>
      </c>
      <c r="AY16" s="14">
        <f t="shared" si="15"/>
        <v>0</v>
      </c>
      <c r="AZ16" s="15">
        <f t="shared" si="16"/>
        <v>0</v>
      </c>
      <c r="BA16" s="14">
        <f t="shared" si="17"/>
        <v>0</v>
      </c>
      <c r="BB16" s="14">
        <f>DISTRIBUSI!G14</f>
        <v>0</v>
      </c>
      <c r="BC16" s="14">
        <f>'PEMAKAIAN UNIT'!G13</f>
        <v>0</v>
      </c>
      <c r="BD16" s="14">
        <f t="shared" si="18"/>
        <v>0</v>
      </c>
      <c r="BE16" s="15">
        <f t="shared" si="19"/>
        <v>0</v>
      </c>
      <c r="BF16" s="14">
        <f t="shared" si="20"/>
        <v>0</v>
      </c>
      <c r="BG16" s="14">
        <f>DISTRIBUSI!H14</f>
        <v>0</v>
      </c>
      <c r="BH16" s="14">
        <f>'PEMAKAIAN UNIT'!H13</f>
        <v>0</v>
      </c>
      <c r="BI16" s="14">
        <f t="shared" si="21"/>
        <v>0</v>
      </c>
      <c r="BJ16" s="15">
        <f t="shared" si="22"/>
        <v>0</v>
      </c>
      <c r="BK16" s="14">
        <f t="shared" si="23"/>
        <v>0</v>
      </c>
      <c r="BL16" s="14">
        <f>DISTRIBUSI!I14</f>
        <v>0</v>
      </c>
      <c r="BM16" s="14">
        <f>'PEMAKAIAN UNIT'!I13</f>
        <v>0</v>
      </c>
      <c r="BN16" s="14">
        <f t="shared" si="24"/>
        <v>0</v>
      </c>
      <c r="BO16" s="15">
        <f t="shared" si="25"/>
        <v>0</v>
      </c>
      <c r="BP16" s="14">
        <f t="shared" si="26"/>
        <v>0</v>
      </c>
      <c r="BQ16" s="14">
        <f>DISTRIBUSI!J14</f>
        <v>0</v>
      </c>
      <c r="BR16" s="14">
        <f>'PEMAKAIAN UNIT'!J13</f>
        <v>0</v>
      </c>
      <c r="BS16" s="14">
        <f t="shared" si="27"/>
        <v>0</v>
      </c>
      <c r="BT16" s="15">
        <f t="shared" si="28"/>
        <v>0</v>
      </c>
      <c r="BU16" s="14">
        <f t="shared" si="29"/>
        <v>0</v>
      </c>
      <c r="BV16" s="14">
        <f>DISTRIBUSI!K14</f>
        <v>0</v>
      </c>
      <c r="BW16" s="14">
        <f>'PEMAKAIAN UNIT'!K13</f>
        <v>0</v>
      </c>
      <c r="BX16" s="14">
        <f t="shared" si="30"/>
        <v>0</v>
      </c>
      <c r="BY16" s="15">
        <f t="shared" si="31"/>
        <v>0</v>
      </c>
      <c r="BZ16" s="14">
        <f t="shared" si="32"/>
        <v>0</v>
      </c>
      <c r="CA16" s="14">
        <f>DISTRIBUSI!L14</f>
        <v>0</v>
      </c>
      <c r="CB16" s="14">
        <f>'PEMAKAIAN UNIT'!L13</f>
        <v>0</v>
      </c>
      <c r="CC16" s="14">
        <f t="shared" si="33"/>
        <v>0</v>
      </c>
      <c r="CD16" s="15">
        <f t="shared" si="34"/>
        <v>0</v>
      </c>
      <c r="CE16" s="14">
        <f t="shared" si="35"/>
        <v>0</v>
      </c>
      <c r="CF16" s="14">
        <f>DISTRIBUSI!M14</f>
        <v>0</v>
      </c>
      <c r="CG16" s="14">
        <f>'PEMAKAIAN UNIT'!M13</f>
        <v>0</v>
      </c>
      <c r="CH16" s="14">
        <f t="shared" si="36"/>
        <v>0</v>
      </c>
      <c r="CI16" s="15">
        <f t="shared" si="37"/>
        <v>0</v>
      </c>
      <c r="CJ16" s="14">
        <f t="shared" si="38"/>
        <v>0</v>
      </c>
      <c r="CK16" s="14" t="e">
        <f>DISTRIBUSI!#REF!</f>
        <v>#REF!</v>
      </c>
      <c r="CL16" s="14">
        <f>'PEMAKAIAN UNIT'!N13</f>
        <v>0</v>
      </c>
      <c r="CM16" s="14" t="e">
        <f t="shared" si="39"/>
        <v>#REF!</v>
      </c>
      <c r="CN16" s="15" t="e">
        <f t="shared" si="40"/>
        <v>#REF!</v>
      </c>
      <c r="CO16" s="14" t="e">
        <f>DL16+DISTRIBUSI!#REF!-'PEMAKAIAN UNIT'!O13</f>
        <v>#REF!</v>
      </c>
      <c r="CP16" s="15" t="e">
        <f t="shared" si="41"/>
        <v>#REF!</v>
      </c>
      <c r="CQ16" s="226">
        <f t="shared" si="42"/>
        <v>1540</v>
      </c>
      <c r="CR16" s="226">
        <f>DISTRIBUSI!R14</f>
        <v>3000</v>
      </c>
      <c r="CS16" s="226">
        <f>'PEMAKAIAN UNIT'!P13</f>
        <v>0</v>
      </c>
      <c r="CT16" s="14">
        <f t="shared" si="43"/>
        <v>4540</v>
      </c>
      <c r="CU16" s="15">
        <f t="shared" si="44"/>
        <v>3760</v>
      </c>
      <c r="CV16" s="14" t="e">
        <f>DN16+DISTRIBUSI!#REF!-'PEMAKAIAN UNIT'!Q13</f>
        <v>#REF!</v>
      </c>
      <c r="CW16" s="15" t="e">
        <f t="shared" si="45"/>
        <v>#REF!</v>
      </c>
      <c r="CX16" s="14">
        <f>DO16+'LPLPO GUDANG'!E19-'LPLPO GUDANG'!G19</f>
        <v>1100</v>
      </c>
      <c r="CY16" s="15">
        <f t="shared" si="46"/>
        <v>-700</v>
      </c>
      <c r="CZ16" s="28"/>
      <c r="DA16" s="14">
        <v>0</v>
      </c>
      <c r="DB16" s="14"/>
      <c r="DC16" s="14">
        <v>0</v>
      </c>
      <c r="DD16" s="14">
        <v>0</v>
      </c>
      <c r="DE16" s="14">
        <v>0</v>
      </c>
      <c r="DF16" s="14"/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1540</v>
      </c>
      <c r="DN16" s="14">
        <v>0</v>
      </c>
      <c r="DO16" s="14">
        <v>1300</v>
      </c>
      <c r="DP16" s="13">
        <f t="shared" si="47"/>
        <v>2840</v>
      </c>
      <c r="DR16" s="21" t="s">
        <v>317</v>
      </c>
      <c r="DU16" s="20" t="e">
        <f t="shared" si="48"/>
        <v>#REF!</v>
      </c>
    </row>
    <row r="17" spans="1:125" customFormat="1" ht="20.149999999999999" customHeight="1" x14ac:dyDescent="0.35">
      <c r="A17" s="84">
        <f t="shared" si="49"/>
        <v>6</v>
      </c>
      <c r="B17" s="142" t="s">
        <v>8</v>
      </c>
      <c r="C17" s="154" t="s">
        <v>48</v>
      </c>
      <c r="D17" s="109">
        <v>0</v>
      </c>
      <c r="E17" s="110">
        <f>'LPLPO GUDANG'!E20</f>
        <v>0</v>
      </c>
      <c r="F17" s="110">
        <f t="shared" si="0"/>
        <v>0</v>
      </c>
      <c r="G17" s="110">
        <f>'PEMAKAIAN UNIT'!R14</f>
        <v>0</v>
      </c>
      <c r="H17" s="14">
        <v>25</v>
      </c>
      <c r="I17" s="14">
        <v>0</v>
      </c>
      <c r="J17" s="14">
        <v>0</v>
      </c>
      <c r="K17" s="14"/>
      <c r="L17" s="14"/>
      <c r="M17" s="14"/>
      <c r="N17" s="14"/>
      <c r="O17" s="14"/>
      <c r="P17" s="14"/>
      <c r="Q17" s="14"/>
      <c r="R17" s="14"/>
      <c r="S17" s="14">
        <v>10</v>
      </c>
      <c r="T17" s="14">
        <v>0</v>
      </c>
      <c r="U17" s="14">
        <v>6</v>
      </c>
      <c r="V17" s="14">
        <v>13</v>
      </c>
      <c r="W17" s="14">
        <v>8</v>
      </c>
      <c r="X17" s="14">
        <v>5</v>
      </c>
      <c r="Y17" s="109">
        <f t="shared" si="1"/>
        <v>0</v>
      </c>
      <c r="Z17" s="109" t="e">
        <f t="shared" si="2"/>
        <v>#REF!</v>
      </c>
      <c r="AA17" s="109" t="e">
        <f t="shared" si="3"/>
        <v>#REF!</v>
      </c>
      <c r="AB17" s="14">
        <v>61</v>
      </c>
      <c r="AC17" s="109" t="e">
        <f t="shared" si="4"/>
        <v>#REF!</v>
      </c>
      <c r="AD17" s="109">
        <f>'LPLPO GUDANG'!H20</f>
        <v>135</v>
      </c>
      <c r="AE17" s="111" t="e">
        <f t="shared" si="5"/>
        <v>#REF!</v>
      </c>
      <c r="AF17" s="212"/>
      <c r="AG17" s="212"/>
      <c r="AH17" s="20"/>
      <c r="AI17" s="14">
        <f t="shared" si="6"/>
        <v>0</v>
      </c>
      <c r="AJ17" s="209" t="e">
        <f t="shared" si="7"/>
        <v>#REF!</v>
      </c>
      <c r="AL17" s="14">
        <f t="shared" si="8"/>
        <v>21</v>
      </c>
      <c r="AM17" s="14">
        <f>DISTRIBUSI!D15</f>
        <v>0</v>
      </c>
      <c r="AN17" s="14">
        <f>'PEMAKAIAN UNIT'!D14</f>
        <v>0</v>
      </c>
      <c r="AO17" s="14">
        <f t="shared" si="9"/>
        <v>21</v>
      </c>
      <c r="AP17" s="15">
        <f t="shared" si="10"/>
        <v>-4</v>
      </c>
      <c r="AQ17" s="14">
        <f t="shared" si="11"/>
        <v>2</v>
      </c>
      <c r="AR17" s="14">
        <f>DISTRIBUSI!E15</f>
        <v>0</v>
      </c>
      <c r="AS17" s="14">
        <f>'PEMAKAIAN UNIT'!E14</f>
        <v>0</v>
      </c>
      <c r="AT17" s="14">
        <f t="shared" si="12"/>
        <v>2</v>
      </c>
      <c r="AU17" s="15">
        <f t="shared" si="13"/>
        <v>2</v>
      </c>
      <c r="AV17" s="14">
        <f t="shared" si="14"/>
        <v>6</v>
      </c>
      <c r="AW17" s="14">
        <f>DISTRIBUSI!F15</f>
        <v>0</v>
      </c>
      <c r="AX17" s="14">
        <f>'PEMAKAIAN UNIT'!F14</f>
        <v>0</v>
      </c>
      <c r="AY17" s="14">
        <f t="shared" si="15"/>
        <v>6</v>
      </c>
      <c r="AZ17" s="15">
        <f t="shared" si="16"/>
        <v>6</v>
      </c>
      <c r="BA17" s="14">
        <f t="shared" si="17"/>
        <v>5</v>
      </c>
      <c r="BB17" s="14">
        <f>DISTRIBUSI!G15</f>
        <v>0</v>
      </c>
      <c r="BC17" s="14">
        <f>'PEMAKAIAN UNIT'!G14</f>
        <v>0</v>
      </c>
      <c r="BD17" s="14">
        <f t="shared" si="18"/>
        <v>5</v>
      </c>
      <c r="BE17" s="15">
        <f t="shared" si="19"/>
        <v>-5</v>
      </c>
      <c r="BF17" s="14">
        <f t="shared" si="20"/>
        <v>8</v>
      </c>
      <c r="BG17" s="14">
        <f>DISTRIBUSI!H15</f>
        <v>0</v>
      </c>
      <c r="BH17" s="14">
        <f>'PEMAKAIAN UNIT'!H14</f>
        <v>0</v>
      </c>
      <c r="BI17" s="14">
        <f t="shared" si="21"/>
        <v>8</v>
      </c>
      <c r="BJ17" s="15">
        <f t="shared" si="22"/>
        <v>8</v>
      </c>
      <c r="BK17" s="14">
        <f t="shared" si="23"/>
        <v>4</v>
      </c>
      <c r="BL17" s="14">
        <f>DISTRIBUSI!I15</f>
        <v>0</v>
      </c>
      <c r="BM17" s="14">
        <f>'PEMAKAIAN UNIT'!I14</f>
        <v>0</v>
      </c>
      <c r="BN17" s="14">
        <f t="shared" si="24"/>
        <v>4</v>
      </c>
      <c r="BO17" s="15">
        <f t="shared" si="25"/>
        <v>-2</v>
      </c>
      <c r="BP17" s="14">
        <f t="shared" si="26"/>
        <v>6</v>
      </c>
      <c r="BQ17" s="14">
        <f>DISTRIBUSI!J15</f>
        <v>0</v>
      </c>
      <c r="BR17" s="14">
        <f>'PEMAKAIAN UNIT'!J14</f>
        <v>0</v>
      </c>
      <c r="BS17" s="14">
        <f t="shared" si="27"/>
        <v>6</v>
      </c>
      <c r="BT17" s="15">
        <f t="shared" si="28"/>
        <v>-7</v>
      </c>
      <c r="BU17" s="14">
        <f t="shared" si="29"/>
        <v>12</v>
      </c>
      <c r="BV17" s="14">
        <f>DISTRIBUSI!K15</f>
        <v>0</v>
      </c>
      <c r="BW17" s="14">
        <f>'PEMAKAIAN UNIT'!K14</f>
        <v>0</v>
      </c>
      <c r="BX17" s="14">
        <f t="shared" si="30"/>
        <v>12</v>
      </c>
      <c r="BY17" s="15">
        <f t="shared" si="31"/>
        <v>4</v>
      </c>
      <c r="BZ17" s="14">
        <f t="shared" si="32"/>
        <v>7</v>
      </c>
      <c r="CA17" s="14">
        <f>DISTRIBUSI!L15</f>
        <v>0</v>
      </c>
      <c r="CB17" s="14">
        <f>'PEMAKAIAN UNIT'!L14</f>
        <v>0</v>
      </c>
      <c r="CC17" s="14">
        <f t="shared" si="33"/>
        <v>7</v>
      </c>
      <c r="CD17" s="15">
        <f t="shared" si="34"/>
        <v>2</v>
      </c>
      <c r="CE17" s="14">
        <f t="shared" si="35"/>
        <v>0</v>
      </c>
      <c r="CF17" s="14">
        <f>DISTRIBUSI!M15</f>
        <v>0</v>
      </c>
      <c r="CG17" s="14">
        <f>'PEMAKAIAN UNIT'!M14</f>
        <v>0</v>
      </c>
      <c r="CH17" s="14">
        <f t="shared" si="36"/>
        <v>0</v>
      </c>
      <c r="CI17" s="15">
        <f t="shared" si="37"/>
        <v>0</v>
      </c>
      <c r="CJ17" s="14">
        <f t="shared" si="38"/>
        <v>0</v>
      </c>
      <c r="CK17" s="14" t="e">
        <f>DISTRIBUSI!#REF!</f>
        <v>#REF!</v>
      </c>
      <c r="CL17" s="14">
        <f>'PEMAKAIAN UNIT'!N14</f>
        <v>0</v>
      </c>
      <c r="CM17" s="14" t="e">
        <f t="shared" si="39"/>
        <v>#REF!</v>
      </c>
      <c r="CN17" s="15" t="e">
        <f t="shared" si="40"/>
        <v>#REF!</v>
      </c>
      <c r="CO17" s="14" t="e">
        <f>DL17+DISTRIBUSI!#REF!-'PEMAKAIAN UNIT'!O14</f>
        <v>#REF!</v>
      </c>
      <c r="CP17" s="15" t="e">
        <f t="shared" si="41"/>
        <v>#REF!</v>
      </c>
      <c r="CQ17" s="226">
        <f t="shared" si="42"/>
        <v>59</v>
      </c>
      <c r="CR17" s="226">
        <f>DISTRIBUSI!R15</f>
        <v>0</v>
      </c>
      <c r="CS17" s="226">
        <f>'PEMAKAIAN UNIT'!P14</f>
        <v>0</v>
      </c>
      <c r="CT17" s="14">
        <f t="shared" si="43"/>
        <v>59</v>
      </c>
      <c r="CU17" s="15">
        <f t="shared" si="44"/>
        <v>-2</v>
      </c>
      <c r="CV17" s="14" t="e">
        <f>DN17+DISTRIBUSI!#REF!-'PEMAKAIAN UNIT'!Q14</f>
        <v>#REF!</v>
      </c>
      <c r="CW17" s="15" t="e">
        <f t="shared" si="45"/>
        <v>#REF!</v>
      </c>
      <c r="CX17" s="14">
        <f>DO17+'LPLPO GUDANG'!E20-'LPLPO GUDANG'!G20</f>
        <v>0</v>
      </c>
      <c r="CY17" s="15">
        <f t="shared" si="46"/>
        <v>-135</v>
      </c>
      <c r="CZ17" s="28"/>
      <c r="DA17" s="14">
        <v>21</v>
      </c>
      <c r="DB17" s="14">
        <v>2</v>
      </c>
      <c r="DC17" s="14">
        <v>6</v>
      </c>
      <c r="DD17" s="14">
        <v>5</v>
      </c>
      <c r="DE17" s="14">
        <v>8</v>
      </c>
      <c r="DF17" s="14">
        <v>4</v>
      </c>
      <c r="DG17" s="14">
        <v>6</v>
      </c>
      <c r="DH17" s="14">
        <v>12</v>
      </c>
      <c r="DI17" s="14">
        <v>7</v>
      </c>
      <c r="DJ17" s="14">
        <v>0</v>
      </c>
      <c r="DK17" s="14">
        <v>0</v>
      </c>
      <c r="DL17" s="14">
        <v>30</v>
      </c>
      <c r="DM17" s="14">
        <v>59</v>
      </c>
      <c r="DN17" s="14">
        <v>0</v>
      </c>
      <c r="DO17" s="14">
        <v>0</v>
      </c>
      <c r="DP17" s="13">
        <f t="shared" si="47"/>
        <v>160</v>
      </c>
      <c r="DR17" t="s">
        <v>8</v>
      </c>
      <c r="DU17" s="20" t="e">
        <f t="shared" si="48"/>
        <v>#REF!</v>
      </c>
    </row>
    <row r="18" spans="1:125" customFormat="1" ht="20.149999999999999" customHeight="1" x14ac:dyDescent="0.35">
      <c r="A18" s="84">
        <f t="shared" si="49"/>
        <v>7</v>
      </c>
      <c r="B18" s="142" t="s">
        <v>9</v>
      </c>
      <c r="C18" s="154" t="s">
        <v>329</v>
      </c>
      <c r="D18" s="109">
        <v>0</v>
      </c>
      <c r="E18" s="110">
        <f>'LPLPO GUDANG'!E21</f>
        <v>1500</v>
      </c>
      <c r="F18" s="110">
        <f t="shared" si="0"/>
        <v>1500</v>
      </c>
      <c r="G18" s="110">
        <f>'PEMAKAIAN UNIT'!R15</f>
        <v>0</v>
      </c>
      <c r="H18" s="14">
        <v>55</v>
      </c>
      <c r="I18" s="14">
        <v>105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>
        <v>230</v>
      </c>
      <c r="T18" s="14">
        <v>0</v>
      </c>
      <c r="U18" s="14">
        <v>165</v>
      </c>
      <c r="V18" s="14">
        <v>285</v>
      </c>
      <c r="W18" s="14">
        <v>160</v>
      </c>
      <c r="X18" s="14">
        <v>170</v>
      </c>
      <c r="Y18" s="109">
        <f t="shared" si="1"/>
        <v>0</v>
      </c>
      <c r="Z18" s="109" t="e">
        <f t="shared" si="2"/>
        <v>#REF!</v>
      </c>
      <c r="AA18" s="109" t="e">
        <f t="shared" si="3"/>
        <v>#REF!</v>
      </c>
      <c r="AB18" s="14">
        <v>1089</v>
      </c>
      <c r="AC18" s="109" t="e">
        <f t="shared" si="4"/>
        <v>#REF!</v>
      </c>
      <c r="AD18" s="109">
        <f>'LPLPO GUDANG'!H21</f>
        <v>3100</v>
      </c>
      <c r="AE18" s="111" t="e">
        <f t="shared" si="5"/>
        <v>#REF!</v>
      </c>
      <c r="AF18" s="212"/>
      <c r="AG18" s="212"/>
      <c r="AH18" s="20"/>
      <c r="AI18" s="14">
        <f t="shared" si="6"/>
        <v>1500</v>
      </c>
      <c r="AJ18" s="209" t="e">
        <f t="shared" si="7"/>
        <v>#REF!</v>
      </c>
      <c r="AL18" s="14">
        <f t="shared" si="8"/>
        <v>130</v>
      </c>
      <c r="AM18" s="14">
        <f>DISTRIBUSI!D16</f>
        <v>0</v>
      </c>
      <c r="AN18" s="14">
        <f>'PEMAKAIAN UNIT'!D15</f>
        <v>0</v>
      </c>
      <c r="AO18" s="14">
        <f t="shared" si="9"/>
        <v>130</v>
      </c>
      <c r="AP18" s="15">
        <f t="shared" si="10"/>
        <v>75</v>
      </c>
      <c r="AQ18" s="14">
        <f t="shared" si="11"/>
        <v>115</v>
      </c>
      <c r="AR18" s="14">
        <f>DISTRIBUSI!E16</f>
        <v>0</v>
      </c>
      <c r="AS18" s="14">
        <f>'PEMAKAIAN UNIT'!E15</f>
        <v>0</v>
      </c>
      <c r="AT18" s="14">
        <f t="shared" si="12"/>
        <v>115</v>
      </c>
      <c r="AU18" s="15">
        <f t="shared" si="13"/>
        <v>10</v>
      </c>
      <c r="AV18" s="14">
        <f t="shared" si="14"/>
        <v>242</v>
      </c>
      <c r="AW18" s="14">
        <f>DISTRIBUSI!F16</f>
        <v>0</v>
      </c>
      <c r="AX18" s="14">
        <f>'PEMAKAIAN UNIT'!F15</f>
        <v>0</v>
      </c>
      <c r="AY18" s="14">
        <f t="shared" si="15"/>
        <v>242</v>
      </c>
      <c r="AZ18" s="15">
        <f t="shared" si="16"/>
        <v>242</v>
      </c>
      <c r="BA18" s="14">
        <f t="shared" si="17"/>
        <v>300</v>
      </c>
      <c r="BB18" s="14">
        <f>DISTRIBUSI!G16</f>
        <v>0</v>
      </c>
      <c r="BC18" s="14">
        <f>'PEMAKAIAN UNIT'!G15</f>
        <v>0</v>
      </c>
      <c r="BD18" s="14">
        <f t="shared" si="18"/>
        <v>300</v>
      </c>
      <c r="BE18" s="15">
        <f t="shared" si="19"/>
        <v>70</v>
      </c>
      <c r="BF18" s="14">
        <f t="shared" si="20"/>
        <v>240</v>
      </c>
      <c r="BG18" s="14">
        <f>DISTRIBUSI!H16</f>
        <v>0</v>
      </c>
      <c r="BH18" s="14">
        <f>'PEMAKAIAN UNIT'!H15</f>
        <v>0</v>
      </c>
      <c r="BI18" s="14">
        <f t="shared" si="21"/>
        <v>240</v>
      </c>
      <c r="BJ18" s="15">
        <f t="shared" si="22"/>
        <v>240</v>
      </c>
      <c r="BK18" s="14">
        <f t="shared" si="23"/>
        <v>225</v>
      </c>
      <c r="BL18" s="14">
        <f>DISTRIBUSI!I16</f>
        <v>0</v>
      </c>
      <c r="BM18" s="14">
        <f>'PEMAKAIAN UNIT'!I15</f>
        <v>0</v>
      </c>
      <c r="BN18" s="14">
        <f t="shared" si="24"/>
        <v>225</v>
      </c>
      <c r="BO18" s="15">
        <f t="shared" si="25"/>
        <v>60</v>
      </c>
      <c r="BP18" s="14">
        <f t="shared" si="26"/>
        <v>300</v>
      </c>
      <c r="BQ18" s="14">
        <f>DISTRIBUSI!J16</f>
        <v>100</v>
      </c>
      <c r="BR18" s="14">
        <f>'PEMAKAIAN UNIT'!J15</f>
        <v>0</v>
      </c>
      <c r="BS18" s="14">
        <f t="shared" si="27"/>
        <v>400</v>
      </c>
      <c r="BT18" s="15">
        <f t="shared" si="28"/>
        <v>115</v>
      </c>
      <c r="BU18" s="14">
        <f t="shared" si="29"/>
        <v>0</v>
      </c>
      <c r="BV18" s="14">
        <f>DISTRIBUSI!K16</f>
        <v>100</v>
      </c>
      <c r="BW18" s="14">
        <f>'PEMAKAIAN UNIT'!K15</f>
        <v>0</v>
      </c>
      <c r="BX18" s="14">
        <f t="shared" si="30"/>
        <v>100</v>
      </c>
      <c r="BY18" s="15">
        <f t="shared" si="31"/>
        <v>-60</v>
      </c>
      <c r="BZ18" s="14">
        <f t="shared" si="32"/>
        <v>205</v>
      </c>
      <c r="CA18" s="14">
        <f>DISTRIBUSI!L16</f>
        <v>0</v>
      </c>
      <c r="CB18" s="14">
        <f>'PEMAKAIAN UNIT'!L15</f>
        <v>0</v>
      </c>
      <c r="CC18" s="14">
        <f t="shared" si="33"/>
        <v>205</v>
      </c>
      <c r="CD18" s="15">
        <f t="shared" si="34"/>
        <v>35</v>
      </c>
      <c r="CE18" s="14">
        <f t="shared" si="35"/>
        <v>0</v>
      </c>
      <c r="CF18" s="14">
        <f>DISTRIBUSI!M16</f>
        <v>0</v>
      </c>
      <c r="CG18" s="14">
        <f>'PEMAKAIAN UNIT'!M15</f>
        <v>0</v>
      </c>
      <c r="CH18" s="14">
        <f t="shared" si="36"/>
        <v>0</v>
      </c>
      <c r="CI18" s="15">
        <f t="shared" si="37"/>
        <v>0</v>
      </c>
      <c r="CJ18" s="14">
        <f t="shared" si="38"/>
        <v>0</v>
      </c>
      <c r="CK18" s="14" t="e">
        <f>DISTRIBUSI!#REF!</f>
        <v>#REF!</v>
      </c>
      <c r="CL18" s="14">
        <f>'PEMAKAIAN UNIT'!N15</f>
        <v>0</v>
      </c>
      <c r="CM18" s="14" t="e">
        <f t="shared" si="39"/>
        <v>#REF!</v>
      </c>
      <c r="CN18" s="15" t="e">
        <f t="shared" si="40"/>
        <v>#REF!</v>
      </c>
      <c r="CO18" s="14" t="e">
        <f>DL18+DISTRIBUSI!#REF!-'PEMAKAIAN UNIT'!O15</f>
        <v>#REF!</v>
      </c>
      <c r="CP18" s="15" t="e">
        <f t="shared" si="41"/>
        <v>#REF!</v>
      </c>
      <c r="CQ18" s="226">
        <f t="shared" si="42"/>
        <v>1079</v>
      </c>
      <c r="CR18" s="226">
        <f>DISTRIBUSI!R16</f>
        <v>0</v>
      </c>
      <c r="CS18" s="226">
        <f>'PEMAKAIAN UNIT'!P15</f>
        <v>0</v>
      </c>
      <c r="CT18" s="14">
        <f t="shared" si="43"/>
        <v>1079</v>
      </c>
      <c r="CU18" s="15">
        <f t="shared" si="44"/>
        <v>-10</v>
      </c>
      <c r="CV18" s="14" t="e">
        <f>DN18+DISTRIBUSI!#REF!-'PEMAKAIAN UNIT'!Q15</f>
        <v>#REF!</v>
      </c>
      <c r="CW18" s="15" t="e">
        <f t="shared" si="45"/>
        <v>#REF!</v>
      </c>
      <c r="CX18" s="14">
        <f>DO18+'LPLPO GUDANG'!E21-'LPLPO GUDANG'!G21</f>
        <v>1700</v>
      </c>
      <c r="CY18" s="15">
        <f t="shared" si="46"/>
        <v>-1400</v>
      </c>
      <c r="CZ18" s="28"/>
      <c r="DA18" s="14">
        <v>130</v>
      </c>
      <c r="DB18" s="14">
        <v>115</v>
      </c>
      <c r="DC18" s="14">
        <v>242</v>
      </c>
      <c r="DD18" s="14">
        <v>300</v>
      </c>
      <c r="DE18" s="14">
        <v>240</v>
      </c>
      <c r="DF18" s="14">
        <v>225</v>
      </c>
      <c r="DG18" s="14">
        <v>300</v>
      </c>
      <c r="DH18" s="14">
        <v>0</v>
      </c>
      <c r="DI18" s="14">
        <v>205</v>
      </c>
      <c r="DJ18" s="14">
        <v>0</v>
      </c>
      <c r="DK18" s="14">
        <v>0</v>
      </c>
      <c r="DL18" s="14">
        <v>700</v>
      </c>
      <c r="DM18" s="14">
        <v>1079</v>
      </c>
      <c r="DN18" s="14">
        <v>0</v>
      </c>
      <c r="DO18" s="14">
        <v>600</v>
      </c>
      <c r="DP18" s="13">
        <f t="shared" si="47"/>
        <v>4136</v>
      </c>
      <c r="DR18" t="s">
        <v>9</v>
      </c>
      <c r="DU18" s="20" t="e">
        <f t="shared" si="48"/>
        <v>#REF!</v>
      </c>
    </row>
    <row r="19" spans="1:125" customFormat="1" ht="20.149999999999999" customHeight="1" x14ac:dyDescent="0.35">
      <c r="A19" s="84">
        <f t="shared" si="49"/>
        <v>8</v>
      </c>
      <c r="B19" s="142" t="s">
        <v>250</v>
      </c>
      <c r="C19" s="154" t="s">
        <v>4</v>
      </c>
      <c r="D19" s="109">
        <v>0</v>
      </c>
      <c r="E19" s="110">
        <f>'LPLPO GUDANG'!E22</f>
        <v>100</v>
      </c>
      <c r="F19" s="110">
        <f t="shared" si="0"/>
        <v>100</v>
      </c>
      <c r="G19" s="110">
        <f>'PEMAKAIAN UNIT'!R16</f>
        <v>0</v>
      </c>
      <c r="H19" s="14">
        <v>0</v>
      </c>
      <c r="I19" s="14">
        <v>0</v>
      </c>
      <c r="J19" s="14">
        <v>0</v>
      </c>
      <c r="K19" s="14"/>
      <c r="L19" s="14"/>
      <c r="M19" s="14"/>
      <c r="N19" s="14"/>
      <c r="O19" s="14"/>
      <c r="P19" s="14"/>
      <c r="Q19" s="14"/>
      <c r="R19" s="14"/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09">
        <f t="shared" si="1"/>
        <v>0</v>
      </c>
      <c r="Z19" s="109" t="e">
        <f t="shared" si="2"/>
        <v>#REF!</v>
      </c>
      <c r="AA19" s="109" t="e">
        <f t="shared" si="3"/>
        <v>#REF!</v>
      </c>
      <c r="AB19" s="14">
        <v>43</v>
      </c>
      <c r="AC19" s="109" t="e">
        <f t="shared" si="4"/>
        <v>#REF!</v>
      </c>
      <c r="AD19" s="109">
        <f>'LPLPO GUDANG'!H22</f>
        <v>0</v>
      </c>
      <c r="AE19" s="111" t="e">
        <f t="shared" si="5"/>
        <v>#REF!</v>
      </c>
      <c r="AF19" s="212"/>
      <c r="AG19" s="212"/>
      <c r="AH19" s="20"/>
      <c r="AI19" s="14">
        <f t="shared" si="6"/>
        <v>100</v>
      </c>
      <c r="AJ19" s="209" t="e">
        <f t="shared" si="7"/>
        <v>#REF!</v>
      </c>
      <c r="AL19" s="14">
        <f t="shared" si="8"/>
        <v>0</v>
      </c>
      <c r="AM19" s="14">
        <f>DISTRIBUSI!D17</f>
        <v>0</v>
      </c>
      <c r="AN19" s="14">
        <f>'PEMAKAIAN UNIT'!D16</f>
        <v>0</v>
      </c>
      <c r="AO19" s="14">
        <f t="shared" si="9"/>
        <v>0</v>
      </c>
      <c r="AP19" s="15">
        <f t="shared" si="10"/>
        <v>0</v>
      </c>
      <c r="AQ19" s="14">
        <f t="shared" si="11"/>
        <v>0</v>
      </c>
      <c r="AR19" s="14">
        <f>DISTRIBUSI!E17</f>
        <v>0</v>
      </c>
      <c r="AS19" s="14">
        <f>'PEMAKAIAN UNIT'!E16</f>
        <v>0</v>
      </c>
      <c r="AT19" s="14">
        <f t="shared" si="12"/>
        <v>0</v>
      </c>
      <c r="AU19" s="15">
        <f t="shared" si="13"/>
        <v>0</v>
      </c>
      <c r="AV19" s="14">
        <f t="shared" si="14"/>
        <v>0</v>
      </c>
      <c r="AW19" s="14">
        <f>DISTRIBUSI!F17</f>
        <v>0</v>
      </c>
      <c r="AX19" s="14">
        <f>'PEMAKAIAN UNIT'!F16</f>
        <v>0</v>
      </c>
      <c r="AY19" s="14">
        <f t="shared" si="15"/>
        <v>0</v>
      </c>
      <c r="AZ19" s="15">
        <f t="shared" si="16"/>
        <v>0</v>
      </c>
      <c r="BA19" s="14">
        <f t="shared" si="17"/>
        <v>0</v>
      </c>
      <c r="BB19" s="14">
        <f>DISTRIBUSI!G17</f>
        <v>0</v>
      </c>
      <c r="BC19" s="14">
        <f>'PEMAKAIAN UNIT'!G16</f>
        <v>0</v>
      </c>
      <c r="BD19" s="14">
        <f t="shared" si="18"/>
        <v>0</v>
      </c>
      <c r="BE19" s="15">
        <f t="shared" si="19"/>
        <v>0</v>
      </c>
      <c r="BF19" s="14">
        <f t="shared" si="20"/>
        <v>0</v>
      </c>
      <c r="BG19" s="14">
        <f>DISTRIBUSI!H17</f>
        <v>0</v>
      </c>
      <c r="BH19" s="14">
        <f>'PEMAKAIAN UNIT'!H16</f>
        <v>0</v>
      </c>
      <c r="BI19" s="14">
        <f t="shared" si="21"/>
        <v>0</v>
      </c>
      <c r="BJ19" s="15">
        <f t="shared" si="22"/>
        <v>0</v>
      </c>
      <c r="BK19" s="14">
        <f t="shared" si="23"/>
        <v>0</v>
      </c>
      <c r="BL19" s="14">
        <f>DISTRIBUSI!I17</f>
        <v>0</v>
      </c>
      <c r="BM19" s="14">
        <f>'PEMAKAIAN UNIT'!I16</f>
        <v>0</v>
      </c>
      <c r="BN19" s="14">
        <f t="shared" si="24"/>
        <v>0</v>
      </c>
      <c r="BO19" s="15">
        <f t="shared" si="25"/>
        <v>0</v>
      </c>
      <c r="BP19" s="14">
        <f t="shared" si="26"/>
        <v>0</v>
      </c>
      <c r="BQ19" s="14">
        <f>DISTRIBUSI!J17</f>
        <v>0</v>
      </c>
      <c r="BR19" s="14">
        <f>'PEMAKAIAN UNIT'!J16</f>
        <v>0</v>
      </c>
      <c r="BS19" s="14">
        <f t="shared" si="27"/>
        <v>0</v>
      </c>
      <c r="BT19" s="15">
        <f t="shared" si="28"/>
        <v>0</v>
      </c>
      <c r="BU19" s="14">
        <f t="shared" si="29"/>
        <v>0</v>
      </c>
      <c r="BV19" s="14">
        <f>DISTRIBUSI!K17</f>
        <v>0</v>
      </c>
      <c r="BW19" s="14">
        <f>'PEMAKAIAN UNIT'!K16</f>
        <v>0</v>
      </c>
      <c r="BX19" s="14">
        <f t="shared" si="30"/>
        <v>0</v>
      </c>
      <c r="BY19" s="15">
        <f t="shared" si="31"/>
        <v>0</v>
      </c>
      <c r="BZ19" s="14">
        <f t="shared" si="32"/>
        <v>0</v>
      </c>
      <c r="CA19" s="14">
        <f>DISTRIBUSI!L17</f>
        <v>0</v>
      </c>
      <c r="CB19" s="14">
        <f>'PEMAKAIAN UNIT'!L16</f>
        <v>0</v>
      </c>
      <c r="CC19" s="14">
        <f t="shared" si="33"/>
        <v>0</v>
      </c>
      <c r="CD19" s="15">
        <f t="shared" si="34"/>
        <v>0</v>
      </c>
      <c r="CE19" s="14">
        <f t="shared" si="35"/>
        <v>0</v>
      </c>
      <c r="CF19" s="14">
        <f>DISTRIBUSI!M17</f>
        <v>0</v>
      </c>
      <c r="CG19" s="14">
        <f>'PEMAKAIAN UNIT'!M16</f>
        <v>0</v>
      </c>
      <c r="CH19" s="14">
        <f t="shared" si="36"/>
        <v>0</v>
      </c>
      <c r="CI19" s="15">
        <f t="shared" si="37"/>
        <v>0</v>
      </c>
      <c r="CJ19" s="14">
        <f t="shared" si="38"/>
        <v>0</v>
      </c>
      <c r="CK19" s="14" t="e">
        <f>DISTRIBUSI!#REF!</f>
        <v>#REF!</v>
      </c>
      <c r="CL19" s="14">
        <f>'PEMAKAIAN UNIT'!N16</f>
        <v>0</v>
      </c>
      <c r="CM19" s="14" t="e">
        <f t="shared" si="39"/>
        <v>#REF!</v>
      </c>
      <c r="CN19" s="15" t="e">
        <f t="shared" si="40"/>
        <v>#REF!</v>
      </c>
      <c r="CO19" s="14" t="e">
        <f>DL19+DISTRIBUSI!#REF!-'PEMAKAIAN UNIT'!O16</f>
        <v>#REF!</v>
      </c>
      <c r="CP19" s="15" t="e">
        <f t="shared" si="41"/>
        <v>#REF!</v>
      </c>
      <c r="CQ19" s="226">
        <f t="shared" si="42"/>
        <v>39</v>
      </c>
      <c r="CR19" s="226">
        <f>DISTRIBUSI!R17</f>
        <v>35</v>
      </c>
      <c r="CS19" s="226">
        <f>'PEMAKAIAN UNIT'!P16</f>
        <v>0</v>
      </c>
      <c r="CT19" s="14">
        <f t="shared" si="43"/>
        <v>74</v>
      </c>
      <c r="CU19" s="15">
        <f t="shared" si="44"/>
        <v>31</v>
      </c>
      <c r="CV19" s="14" t="e">
        <f>DN19+DISTRIBUSI!#REF!-'PEMAKAIAN UNIT'!Q16</f>
        <v>#REF!</v>
      </c>
      <c r="CW19" s="15" t="e">
        <f t="shared" si="45"/>
        <v>#REF!</v>
      </c>
      <c r="CX19" s="14">
        <f>DO19+'LPLPO GUDANG'!E22-'LPLPO GUDANG'!G22</f>
        <v>0</v>
      </c>
      <c r="CY19" s="15">
        <f t="shared" si="46"/>
        <v>0</v>
      </c>
      <c r="CZ19" s="28"/>
      <c r="DA19" s="14">
        <v>0</v>
      </c>
      <c r="DB19" s="14"/>
      <c r="DC19" s="14">
        <v>0</v>
      </c>
      <c r="DD19" s="14">
        <v>0</v>
      </c>
      <c r="DE19" s="14">
        <v>0</v>
      </c>
      <c r="DF19" s="14"/>
      <c r="DG19" s="14"/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39</v>
      </c>
      <c r="DN19" s="14">
        <v>0</v>
      </c>
      <c r="DO19" s="14">
        <v>0</v>
      </c>
      <c r="DP19" s="13">
        <f t="shared" si="47"/>
        <v>39</v>
      </c>
      <c r="DR19" t="s">
        <v>250</v>
      </c>
      <c r="DU19" s="20" t="e">
        <f t="shared" si="48"/>
        <v>#REF!</v>
      </c>
    </row>
    <row r="20" spans="1:125" customFormat="1" ht="45" customHeight="1" x14ac:dyDescent="0.35">
      <c r="A20" s="84">
        <f t="shared" si="49"/>
        <v>9</v>
      </c>
      <c r="B20" s="142" t="s">
        <v>10</v>
      </c>
      <c r="C20" s="155" t="s">
        <v>319</v>
      </c>
      <c r="D20" s="109">
        <v>0</v>
      </c>
      <c r="E20" s="110">
        <f>'LPLPO GUDANG'!E23</f>
        <v>50</v>
      </c>
      <c r="F20" s="110">
        <f t="shared" si="0"/>
        <v>50</v>
      </c>
      <c r="G20" s="110">
        <f>'PEMAKAIAN UNIT'!R17</f>
        <v>0</v>
      </c>
      <c r="H20" s="14">
        <v>0</v>
      </c>
      <c r="I20" s="14"/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>
        <v>0</v>
      </c>
      <c r="T20" s="14">
        <v>0</v>
      </c>
      <c r="U20" s="14">
        <v>5</v>
      </c>
      <c r="V20" s="14">
        <v>0</v>
      </c>
      <c r="W20" s="14">
        <v>0</v>
      </c>
      <c r="X20" s="14">
        <v>13</v>
      </c>
      <c r="Y20" s="109">
        <f t="shared" si="1"/>
        <v>0</v>
      </c>
      <c r="Z20" s="109" t="e">
        <f t="shared" si="2"/>
        <v>#REF!</v>
      </c>
      <c r="AA20" s="109" t="e">
        <f t="shared" si="3"/>
        <v>#REF!</v>
      </c>
      <c r="AB20" s="14">
        <v>36</v>
      </c>
      <c r="AC20" s="109" t="e">
        <f t="shared" si="4"/>
        <v>#REF!</v>
      </c>
      <c r="AD20" s="109">
        <f>'LPLPO GUDANG'!H23</f>
        <v>80</v>
      </c>
      <c r="AE20" s="111" t="e">
        <f t="shared" si="5"/>
        <v>#REF!</v>
      </c>
      <c r="AF20" s="212"/>
      <c r="AG20" s="212"/>
      <c r="AH20" s="20"/>
      <c r="AI20" s="14">
        <f t="shared" si="6"/>
        <v>50</v>
      </c>
      <c r="AJ20" s="209" t="e">
        <f t="shared" si="7"/>
        <v>#REF!</v>
      </c>
      <c r="AL20" s="14">
        <f t="shared" si="8"/>
        <v>0</v>
      </c>
      <c r="AM20" s="14">
        <f>DISTRIBUSI!D18</f>
        <v>0</v>
      </c>
      <c r="AN20" s="14">
        <f>'PEMAKAIAN UNIT'!D17</f>
        <v>0</v>
      </c>
      <c r="AO20" s="14">
        <f t="shared" si="9"/>
        <v>0</v>
      </c>
      <c r="AP20" s="15">
        <f t="shared" si="10"/>
        <v>0</v>
      </c>
      <c r="AQ20" s="14">
        <f t="shared" si="11"/>
        <v>0</v>
      </c>
      <c r="AR20" s="14">
        <f>DISTRIBUSI!E18</f>
        <v>0</v>
      </c>
      <c r="AS20" s="14">
        <f>'PEMAKAIAN UNIT'!E17</f>
        <v>0</v>
      </c>
      <c r="AT20" s="14">
        <f t="shared" si="12"/>
        <v>0</v>
      </c>
      <c r="AU20" s="15">
        <f t="shared" si="13"/>
        <v>0</v>
      </c>
      <c r="AV20" s="14">
        <f t="shared" si="14"/>
        <v>0</v>
      </c>
      <c r="AW20" s="14">
        <f>DISTRIBUSI!F18</f>
        <v>0</v>
      </c>
      <c r="AX20" s="14">
        <f>'PEMAKAIAN UNIT'!F17</f>
        <v>0</v>
      </c>
      <c r="AY20" s="14">
        <f t="shared" si="15"/>
        <v>0</v>
      </c>
      <c r="AZ20" s="15">
        <f t="shared" si="16"/>
        <v>0</v>
      </c>
      <c r="BA20" s="14">
        <f t="shared" si="17"/>
        <v>3</v>
      </c>
      <c r="BB20" s="14">
        <f>DISTRIBUSI!G18</f>
        <v>0</v>
      </c>
      <c r="BC20" s="14">
        <f>'PEMAKAIAN UNIT'!G17</f>
        <v>0</v>
      </c>
      <c r="BD20" s="14">
        <f t="shared" si="18"/>
        <v>3</v>
      </c>
      <c r="BE20" s="15">
        <f t="shared" si="19"/>
        <v>3</v>
      </c>
      <c r="BF20" s="14">
        <f t="shared" si="20"/>
        <v>0</v>
      </c>
      <c r="BG20" s="14">
        <f>DISTRIBUSI!H18</f>
        <v>0</v>
      </c>
      <c r="BH20" s="14">
        <f>'PEMAKAIAN UNIT'!H17</f>
        <v>0</v>
      </c>
      <c r="BI20" s="14">
        <f t="shared" si="21"/>
        <v>0</v>
      </c>
      <c r="BJ20" s="15">
        <f t="shared" si="22"/>
        <v>0</v>
      </c>
      <c r="BK20" s="14">
        <f t="shared" si="23"/>
        <v>8</v>
      </c>
      <c r="BL20" s="14">
        <f>DISTRIBUSI!I18</f>
        <v>0</v>
      </c>
      <c r="BM20" s="14">
        <f>'PEMAKAIAN UNIT'!I17</f>
        <v>0</v>
      </c>
      <c r="BN20" s="14">
        <f t="shared" si="24"/>
        <v>8</v>
      </c>
      <c r="BO20" s="15">
        <f t="shared" si="25"/>
        <v>3</v>
      </c>
      <c r="BP20" s="14">
        <f t="shared" si="26"/>
        <v>0</v>
      </c>
      <c r="BQ20" s="14">
        <f>DISTRIBUSI!J18</f>
        <v>0</v>
      </c>
      <c r="BR20" s="14">
        <f>'PEMAKAIAN UNIT'!J17</f>
        <v>0</v>
      </c>
      <c r="BS20" s="14">
        <f t="shared" si="27"/>
        <v>0</v>
      </c>
      <c r="BT20" s="15">
        <f t="shared" si="28"/>
        <v>0</v>
      </c>
      <c r="BU20" s="14">
        <f t="shared" si="29"/>
        <v>0</v>
      </c>
      <c r="BV20" s="14">
        <f>DISTRIBUSI!K18</f>
        <v>0</v>
      </c>
      <c r="BW20" s="14">
        <f>'PEMAKAIAN UNIT'!K17</f>
        <v>0</v>
      </c>
      <c r="BX20" s="14">
        <f t="shared" si="30"/>
        <v>0</v>
      </c>
      <c r="BY20" s="15">
        <f t="shared" si="31"/>
        <v>0</v>
      </c>
      <c r="BZ20" s="14">
        <f t="shared" si="32"/>
        <v>18</v>
      </c>
      <c r="CA20" s="14">
        <f>DISTRIBUSI!L18</f>
        <v>0</v>
      </c>
      <c r="CB20" s="14">
        <f>'PEMAKAIAN UNIT'!L17</f>
        <v>0</v>
      </c>
      <c r="CC20" s="14">
        <f t="shared" si="33"/>
        <v>18</v>
      </c>
      <c r="CD20" s="15">
        <f t="shared" si="34"/>
        <v>5</v>
      </c>
      <c r="CE20" s="14">
        <f t="shared" si="35"/>
        <v>0</v>
      </c>
      <c r="CF20" s="14">
        <f>DISTRIBUSI!M18</f>
        <v>0</v>
      </c>
      <c r="CG20" s="14">
        <f>'PEMAKAIAN UNIT'!M17</f>
        <v>0</v>
      </c>
      <c r="CH20" s="14">
        <f t="shared" si="36"/>
        <v>0</v>
      </c>
      <c r="CI20" s="15">
        <f t="shared" si="37"/>
        <v>0</v>
      </c>
      <c r="CJ20" s="14">
        <f t="shared" si="38"/>
        <v>0</v>
      </c>
      <c r="CK20" s="14" t="e">
        <f>DISTRIBUSI!#REF!</f>
        <v>#REF!</v>
      </c>
      <c r="CL20" s="14">
        <f>'PEMAKAIAN UNIT'!N17</f>
        <v>0</v>
      </c>
      <c r="CM20" s="14" t="e">
        <f t="shared" si="39"/>
        <v>#REF!</v>
      </c>
      <c r="CN20" s="15" t="e">
        <f t="shared" si="40"/>
        <v>#REF!</v>
      </c>
      <c r="CO20" s="14" t="e">
        <f>DL20+DISTRIBUSI!#REF!-'PEMAKAIAN UNIT'!O17</f>
        <v>#REF!</v>
      </c>
      <c r="CP20" s="15" t="e">
        <f t="shared" si="41"/>
        <v>#REF!</v>
      </c>
      <c r="CQ20" s="226">
        <f t="shared" si="42"/>
        <v>5</v>
      </c>
      <c r="CR20" s="226">
        <f>DISTRIBUSI!R18</f>
        <v>50</v>
      </c>
      <c r="CS20" s="226">
        <f>'PEMAKAIAN UNIT'!P17</f>
        <v>0</v>
      </c>
      <c r="CT20" s="14">
        <f t="shared" si="43"/>
        <v>55</v>
      </c>
      <c r="CU20" s="15">
        <f t="shared" si="44"/>
        <v>19</v>
      </c>
      <c r="CV20" s="14" t="e">
        <f>DN20+DISTRIBUSI!#REF!-'PEMAKAIAN UNIT'!Q17</f>
        <v>#REF!</v>
      </c>
      <c r="CW20" s="15" t="e">
        <f t="shared" si="45"/>
        <v>#REF!</v>
      </c>
      <c r="CX20" s="14">
        <f>DO20+'LPLPO GUDANG'!E23-'LPLPO GUDANG'!G23</f>
        <v>-10</v>
      </c>
      <c r="CY20" s="15">
        <f t="shared" si="46"/>
        <v>-90</v>
      </c>
      <c r="CZ20" s="28"/>
      <c r="DA20" s="14">
        <v>0</v>
      </c>
      <c r="DB20" s="14"/>
      <c r="DC20" s="14">
        <v>0</v>
      </c>
      <c r="DD20" s="14">
        <v>3</v>
      </c>
      <c r="DE20" s="14">
        <v>0</v>
      </c>
      <c r="DF20" s="14">
        <v>8</v>
      </c>
      <c r="DG20" s="14">
        <v>0</v>
      </c>
      <c r="DH20" s="14">
        <v>0</v>
      </c>
      <c r="DI20" s="14">
        <v>18</v>
      </c>
      <c r="DJ20" s="14">
        <v>0</v>
      </c>
      <c r="DK20" s="14">
        <v>0</v>
      </c>
      <c r="DL20" s="14">
        <v>0</v>
      </c>
      <c r="DM20" s="14">
        <v>5</v>
      </c>
      <c r="DN20" s="14">
        <v>0</v>
      </c>
      <c r="DO20" s="14">
        <v>0</v>
      </c>
      <c r="DP20" s="13">
        <f t="shared" si="47"/>
        <v>34</v>
      </c>
      <c r="DR20" s="21" t="s">
        <v>10</v>
      </c>
      <c r="DU20" s="20" t="e">
        <f t="shared" si="48"/>
        <v>#REF!</v>
      </c>
    </row>
    <row r="21" spans="1:125" customFormat="1" ht="50.15" customHeight="1" x14ac:dyDescent="0.35">
      <c r="A21" s="84">
        <f t="shared" si="49"/>
        <v>10</v>
      </c>
      <c r="B21" s="142" t="s">
        <v>10</v>
      </c>
      <c r="C21" s="153" t="s">
        <v>327</v>
      </c>
      <c r="D21" s="109">
        <v>0</v>
      </c>
      <c r="E21" s="110">
        <f>'LPLPO GUDANG'!E24</f>
        <v>1000</v>
      </c>
      <c r="F21" s="110">
        <f t="shared" si="0"/>
        <v>1000</v>
      </c>
      <c r="G21" s="110">
        <f>'PEMAKAIAN UNIT'!R18</f>
        <v>0</v>
      </c>
      <c r="H21" s="14">
        <v>170</v>
      </c>
      <c r="I21" s="14">
        <v>0</v>
      </c>
      <c r="J21" s="14">
        <v>0</v>
      </c>
      <c r="K21" s="14"/>
      <c r="L21" s="14"/>
      <c r="M21" s="14"/>
      <c r="N21" s="14"/>
      <c r="O21" s="14"/>
      <c r="P21" s="14"/>
      <c r="Q21" s="14"/>
      <c r="R21" s="14"/>
      <c r="S21" s="14">
        <v>110</v>
      </c>
      <c r="T21" s="14">
        <v>0</v>
      </c>
      <c r="U21" s="14">
        <v>120</v>
      </c>
      <c r="V21" s="14">
        <v>150</v>
      </c>
      <c r="W21" s="14">
        <v>50</v>
      </c>
      <c r="X21" s="14">
        <v>35</v>
      </c>
      <c r="Y21" s="109">
        <f t="shared" si="1"/>
        <v>0</v>
      </c>
      <c r="Z21" s="109" t="e">
        <f t="shared" si="2"/>
        <v>#REF!</v>
      </c>
      <c r="AA21" s="109" t="e">
        <f t="shared" si="3"/>
        <v>#REF!</v>
      </c>
      <c r="AB21" s="14">
        <v>1787</v>
      </c>
      <c r="AC21" s="109" t="e">
        <f t="shared" si="4"/>
        <v>#REF!</v>
      </c>
      <c r="AD21" s="109">
        <f>'LPLPO GUDANG'!H24</f>
        <v>1900</v>
      </c>
      <c r="AE21" s="111" t="e">
        <f t="shared" si="5"/>
        <v>#REF!</v>
      </c>
      <c r="AF21" s="212"/>
      <c r="AG21" s="212"/>
      <c r="AH21" s="20"/>
      <c r="AI21" s="14">
        <f t="shared" si="6"/>
        <v>1000</v>
      </c>
      <c r="AJ21" s="209" t="e">
        <f t="shared" si="7"/>
        <v>#REF!</v>
      </c>
      <c r="AL21" s="14">
        <f t="shared" si="8"/>
        <v>260</v>
      </c>
      <c r="AM21" s="14">
        <f>DISTRIBUSI!D19</f>
        <v>0</v>
      </c>
      <c r="AN21" s="14">
        <f>'PEMAKAIAN UNIT'!D18</f>
        <v>0</v>
      </c>
      <c r="AO21" s="14">
        <f t="shared" si="9"/>
        <v>260</v>
      </c>
      <c r="AP21" s="15">
        <f t="shared" si="10"/>
        <v>90</v>
      </c>
      <c r="AQ21" s="14">
        <f t="shared" si="11"/>
        <v>60</v>
      </c>
      <c r="AR21" s="14">
        <f>DISTRIBUSI!E19</f>
        <v>0</v>
      </c>
      <c r="AS21" s="14">
        <f>'PEMAKAIAN UNIT'!E18</f>
        <v>0</v>
      </c>
      <c r="AT21" s="14">
        <f t="shared" si="12"/>
        <v>60</v>
      </c>
      <c r="AU21" s="15">
        <f t="shared" si="13"/>
        <v>60</v>
      </c>
      <c r="AV21" s="14">
        <f t="shared" si="14"/>
        <v>214</v>
      </c>
      <c r="AW21" s="14">
        <f>DISTRIBUSI!F19</f>
        <v>100</v>
      </c>
      <c r="AX21" s="14">
        <f>'PEMAKAIAN UNIT'!F18</f>
        <v>0</v>
      </c>
      <c r="AY21" s="14">
        <f t="shared" si="15"/>
        <v>314</v>
      </c>
      <c r="AZ21" s="15">
        <f t="shared" si="16"/>
        <v>314</v>
      </c>
      <c r="BA21" s="14">
        <f t="shared" si="17"/>
        <v>140</v>
      </c>
      <c r="BB21" s="14">
        <f>DISTRIBUSI!G19</f>
        <v>0</v>
      </c>
      <c r="BC21" s="14">
        <f>'PEMAKAIAN UNIT'!G18</f>
        <v>0</v>
      </c>
      <c r="BD21" s="14">
        <f t="shared" si="18"/>
        <v>140</v>
      </c>
      <c r="BE21" s="15">
        <f t="shared" si="19"/>
        <v>30</v>
      </c>
      <c r="BF21" s="14">
        <f t="shared" si="20"/>
        <v>300</v>
      </c>
      <c r="BG21" s="14">
        <f>DISTRIBUSI!H19</f>
        <v>0</v>
      </c>
      <c r="BH21" s="14">
        <f>'PEMAKAIAN UNIT'!H18</f>
        <v>0</v>
      </c>
      <c r="BI21" s="14">
        <f t="shared" si="21"/>
        <v>300</v>
      </c>
      <c r="BJ21" s="15">
        <f t="shared" si="22"/>
        <v>300</v>
      </c>
      <c r="BK21" s="14">
        <f t="shared" si="23"/>
        <v>150</v>
      </c>
      <c r="BL21" s="14">
        <f>DISTRIBUSI!I19</f>
        <v>0</v>
      </c>
      <c r="BM21" s="14">
        <f>'PEMAKAIAN UNIT'!I18</f>
        <v>0</v>
      </c>
      <c r="BN21" s="14">
        <f t="shared" si="24"/>
        <v>150</v>
      </c>
      <c r="BO21" s="15">
        <f t="shared" si="25"/>
        <v>30</v>
      </c>
      <c r="BP21" s="14">
        <f t="shared" si="26"/>
        <v>240</v>
      </c>
      <c r="BQ21" s="14">
        <f>DISTRIBUSI!J19</f>
        <v>100</v>
      </c>
      <c r="BR21" s="14">
        <f>'PEMAKAIAN UNIT'!J18</f>
        <v>0</v>
      </c>
      <c r="BS21" s="14">
        <f t="shared" si="27"/>
        <v>340</v>
      </c>
      <c r="BT21" s="15">
        <f t="shared" si="28"/>
        <v>190</v>
      </c>
      <c r="BU21" s="14">
        <f t="shared" si="29"/>
        <v>140</v>
      </c>
      <c r="BV21" s="14">
        <f>DISTRIBUSI!K19</f>
        <v>100</v>
      </c>
      <c r="BW21" s="14">
        <f>'PEMAKAIAN UNIT'!K18</f>
        <v>0</v>
      </c>
      <c r="BX21" s="14">
        <f t="shared" si="30"/>
        <v>240</v>
      </c>
      <c r="BY21" s="15">
        <f t="shared" si="31"/>
        <v>190</v>
      </c>
      <c r="BZ21" s="14">
        <f t="shared" si="32"/>
        <v>55</v>
      </c>
      <c r="CA21" s="14">
        <f>DISTRIBUSI!L19</f>
        <v>0</v>
      </c>
      <c r="CB21" s="14">
        <f>'PEMAKAIAN UNIT'!L18</f>
        <v>0</v>
      </c>
      <c r="CC21" s="14">
        <f t="shared" si="33"/>
        <v>55</v>
      </c>
      <c r="CD21" s="15">
        <f t="shared" si="34"/>
        <v>20</v>
      </c>
      <c r="CE21" s="14">
        <f t="shared" si="35"/>
        <v>0</v>
      </c>
      <c r="CF21" s="14">
        <f>DISTRIBUSI!M19</f>
        <v>0</v>
      </c>
      <c r="CG21" s="14">
        <f>'PEMAKAIAN UNIT'!M18</f>
        <v>0</v>
      </c>
      <c r="CH21" s="14">
        <f t="shared" si="36"/>
        <v>0</v>
      </c>
      <c r="CI21" s="15">
        <f t="shared" si="37"/>
        <v>0</v>
      </c>
      <c r="CJ21" s="14">
        <f t="shared" si="38"/>
        <v>0</v>
      </c>
      <c r="CK21" s="14" t="e">
        <f>DISTRIBUSI!#REF!</f>
        <v>#REF!</v>
      </c>
      <c r="CL21" s="14">
        <f>'PEMAKAIAN UNIT'!N18</f>
        <v>0</v>
      </c>
      <c r="CM21" s="14" t="e">
        <f t="shared" si="39"/>
        <v>#REF!</v>
      </c>
      <c r="CN21" s="15" t="e">
        <f t="shared" si="40"/>
        <v>#REF!</v>
      </c>
      <c r="CO21" s="14" t="e">
        <f>DL21+DISTRIBUSI!#REF!-'PEMAKAIAN UNIT'!O18</f>
        <v>#REF!</v>
      </c>
      <c r="CP21" s="15" t="e">
        <f t="shared" si="41"/>
        <v>#REF!</v>
      </c>
      <c r="CQ21" s="226">
        <f t="shared" si="42"/>
        <v>732</v>
      </c>
      <c r="CR21" s="226">
        <f>DISTRIBUSI!R19</f>
        <v>0</v>
      </c>
      <c r="CS21" s="226">
        <f>'PEMAKAIAN UNIT'!P18</f>
        <v>0</v>
      </c>
      <c r="CT21" s="14">
        <f t="shared" si="43"/>
        <v>732</v>
      </c>
      <c r="CU21" s="15">
        <f t="shared" si="44"/>
        <v>-1055</v>
      </c>
      <c r="CV21" s="14" t="e">
        <f>DN21+DISTRIBUSI!#REF!-'PEMAKAIAN UNIT'!Q18</f>
        <v>#REF!</v>
      </c>
      <c r="CW21" s="15" t="e">
        <f t="shared" si="45"/>
        <v>#REF!</v>
      </c>
      <c r="CX21" s="14">
        <f>DO21+'LPLPO GUDANG'!E24-'LPLPO GUDANG'!G24</f>
        <v>1400</v>
      </c>
      <c r="CY21" s="15">
        <f t="shared" si="46"/>
        <v>-500</v>
      </c>
      <c r="CZ21" s="28"/>
      <c r="DA21" s="14">
        <v>260</v>
      </c>
      <c r="DB21" s="14">
        <v>60</v>
      </c>
      <c r="DC21" s="14">
        <v>214</v>
      </c>
      <c r="DD21" s="14">
        <v>140</v>
      </c>
      <c r="DE21" s="14">
        <v>300</v>
      </c>
      <c r="DF21" s="14">
        <v>150</v>
      </c>
      <c r="DG21" s="14">
        <v>240</v>
      </c>
      <c r="DH21" s="14">
        <v>140</v>
      </c>
      <c r="DI21" s="14">
        <v>55</v>
      </c>
      <c r="DJ21" s="14">
        <v>0</v>
      </c>
      <c r="DK21" s="14">
        <v>0</v>
      </c>
      <c r="DL21" s="14">
        <v>0</v>
      </c>
      <c r="DM21" s="14">
        <v>732</v>
      </c>
      <c r="DN21" s="14">
        <v>0</v>
      </c>
      <c r="DO21" s="14">
        <v>900</v>
      </c>
      <c r="DP21" s="13">
        <f t="shared" si="47"/>
        <v>3191</v>
      </c>
      <c r="DR21" t="s">
        <v>10</v>
      </c>
      <c r="DU21" s="20" t="e">
        <f t="shared" si="48"/>
        <v>#REF!</v>
      </c>
    </row>
    <row r="22" spans="1:125" customFormat="1" ht="50.15" customHeight="1" x14ac:dyDescent="0.35">
      <c r="A22" s="84">
        <f t="shared" si="49"/>
        <v>11</v>
      </c>
      <c r="B22" s="142" t="s">
        <v>259</v>
      </c>
      <c r="C22" s="154" t="s">
        <v>4</v>
      </c>
      <c r="D22" s="109">
        <v>0</v>
      </c>
      <c r="E22" s="110">
        <f>'LPLPO GUDANG'!E25</f>
        <v>0</v>
      </c>
      <c r="F22" s="110">
        <f t="shared" si="0"/>
        <v>0</v>
      </c>
      <c r="G22" s="110">
        <f>'PEMAKAIAN UNIT'!R19</f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09">
        <f t="shared" si="1"/>
        <v>0</v>
      </c>
      <c r="Z22" s="109" t="e">
        <f t="shared" si="2"/>
        <v>#REF!</v>
      </c>
      <c r="AA22" s="109" t="e">
        <f t="shared" si="3"/>
        <v>#REF!</v>
      </c>
      <c r="AB22" s="14">
        <v>9</v>
      </c>
      <c r="AC22" s="109" t="e">
        <f t="shared" si="4"/>
        <v>#REF!</v>
      </c>
      <c r="AD22" s="109">
        <f>'LPLPO GUDANG'!H25</f>
        <v>0</v>
      </c>
      <c r="AE22" s="111" t="e">
        <f t="shared" si="5"/>
        <v>#REF!</v>
      </c>
      <c r="AF22" s="212"/>
      <c r="AG22" s="212"/>
      <c r="AH22" s="20"/>
      <c r="AI22" s="14">
        <f t="shared" si="6"/>
        <v>0</v>
      </c>
      <c r="AJ22" s="209" t="e">
        <f t="shared" si="7"/>
        <v>#REF!</v>
      </c>
      <c r="AL22" s="14">
        <f t="shared" si="8"/>
        <v>0</v>
      </c>
      <c r="AM22" s="14">
        <f>DISTRIBUSI!D20</f>
        <v>0</v>
      </c>
      <c r="AN22" s="14">
        <f>'PEMAKAIAN UNIT'!D19</f>
        <v>0</v>
      </c>
      <c r="AO22" s="14">
        <f t="shared" si="9"/>
        <v>0</v>
      </c>
      <c r="AP22" s="15">
        <f t="shared" si="10"/>
        <v>0</v>
      </c>
      <c r="AQ22" s="14">
        <f t="shared" si="11"/>
        <v>0</v>
      </c>
      <c r="AR22" s="14">
        <f>DISTRIBUSI!E20</f>
        <v>0</v>
      </c>
      <c r="AS22" s="14">
        <f>'PEMAKAIAN UNIT'!E19</f>
        <v>0</v>
      </c>
      <c r="AT22" s="14">
        <f t="shared" si="12"/>
        <v>0</v>
      </c>
      <c r="AU22" s="15">
        <f t="shared" si="13"/>
        <v>0</v>
      </c>
      <c r="AV22" s="14">
        <f t="shared" si="14"/>
        <v>0</v>
      </c>
      <c r="AW22" s="14">
        <f>DISTRIBUSI!F20</f>
        <v>0</v>
      </c>
      <c r="AX22" s="14">
        <f>'PEMAKAIAN UNIT'!F19</f>
        <v>0</v>
      </c>
      <c r="AY22" s="14">
        <f t="shared" si="15"/>
        <v>0</v>
      </c>
      <c r="AZ22" s="15">
        <f t="shared" si="16"/>
        <v>0</v>
      </c>
      <c r="BA22" s="14">
        <f t="shared" si="17"/>
        <v>0</v>
      </c>
      <c r="BB22" s="14">
        <f>DISTRIBUSI!G20</f>
        <v>0</v>
      </c>
      <c r="BC22" s="14">
        <f>'PEMAKAIAN UNIT'!G19</f>
        <v>0</v>
      </c>
      <c r="BD22" s="14">
        <f t="shared" si="18"/>
        <v>0</v>
      </c>
      <c r="BE22" s="15">
        <f t="shared" si="19"/>
        <v>0</v>
      </c>
      <c r="BF22" s="14">
        <f t="shared" si="20"/>
        <v>0</v>
      </c>
      <c r="BG22" s="14">
        <f>DISTRIBUSI!H20</f>
        <v>0</v>
      </c>
      <c r="BH22" s="14">
        <f>'PEMAKAIAN UNIT'!H19</f>
        <v>0</v>
      </c>
      <c r="BI22" s="14">
        <f t="shared" si="21"/>
        <v>0</v>
      </c>
      <c r="BJ22" s="15">
        <f t="shared" si="22"/>
        <v>0</v>
      </c>
      <c r="BK22" s="14">
        <f t="shared" si="23"/>
        <v>0</v>
      </c>
      <c r="BL22" s="14">
        <f>DISTRIBUSI!I20</f>
        <v>0</v>
      </c>
      <c r="BM22" s="14">
        <f>'PEMAKAIAN UNIT'!I19</f>
        <v>0</v>
      </c>
      <c r="BN22" s="14">
        <f t="shared" si="24"/>
        <v>0</v>
      </c>
      <c r="BO22" s="15">
        <f t="shared" si="25"/>
        <v>0</v>
      </c>
      <c r="BP22" s="14">
        <f t="shared" si="26"/>
        <v>0</v>
      </c>
      <c r="BQ22" s="14">
        <f>DISTRIBUSI!J20</f>
        <v>0</v>
      </c>
      <c r="BR22" s="14">
        <f>'PEMAKAIAN UNIT'!J19</f>
        <v>0</v>
      </c>
      <c r="BS22" s="14">
        <f t="shared" si="27"/>
        <v>0</v>
      </c>
      <c r="BT22" s="15">
        <f t="shared" si="28"/>
        <v>0</v>
      </c>
      <c r="BU22" s="14">
        <f t="shared" si="29"/>
        <v>0</v>
      </c>
      <c r="BV22" s="14">
        <f>DISTRIBUSI!K20</f>
        <v>0</v>
      </c>
      <c r="BW22" s="14">
        <f>'PEMAKAIAN UNIT'!K19</f>
        <v>0</v>
      </c>
      <c r="BX22" s="14">
        <f t="shared" si="30"/>
        <v>0</v>
      </c>
      <c r="BY22" s="15">
        <f t="shared" si="31"/>
        <v>0</v>
      </c>
      <c r="BZ22" s="14">
        <f t="shared" si="32"/>
        <v>0</v>
      </c>
      <c r="CA22" s="14">
        <f>DISTRIBUSI!L20</f>
        <v>0</v>
      </c>
      <c r="CB22" s="14">
        <f>'PEMAKAIAN UNIT'!L19</f>
        <v>0</v>
      </c>
      <c r="CC22" s="14">
        <f t="shared" si="33"/>
        <v>0</v>
      </c>
      <c r="CD22" s="15">
        <f t="shared" si="34"/>
        <v>0</v>
      </c>
      <c r="CE22" s="14">
        <f t="shared" si="35"/>
        <v>0</v>
      </c>
      <c r="CF22" s="14">
        <f>DISTRIBUSI!M20</f>
        <v>0</v>
      </c>
      <c r="CG22" s="14">
        <f>'PEMAKAIAN UNIT'!M19</f>
        <v>0</v>
      </c>
      <c r="CH22" s="14">
        <f t="shared" si="36"/>
        <v>0</v>
      </c>
      <c r="CI22" s="15">
        <f t="shared" si="37"/>
        <v>0</v>
      </c>
      <c r="CJ22" s="14">
        <f t="shared" si="38"/>
        <v>0</v>
      </c>
      <c r="CK22" s="14" t="e">
        <f>DISTRIBUSI!#REF!</f>
        <v>#REF!</v>
      </c>
      <c r="CL22" s="14">
        <f>'PEMAKAIAN UNIT'!N19</f>
        <v>0</v>
      </c>
      <c r="CM22" s="14" t="e">
        <f t="shared" si="39"/>
        <v>#REF!</v>
      </c>
      <c r="CN22" s="15" t="e">
        <f t="shared" si="40"/>
        <v>#REF!</v>
      </c>
      <c r="CO22" s="14" t="e">
        <f>DL22+DISTRIBUSI!#REF!-'PEMAKAIAN UNIT'!O19</f>
        <v>#REF!</v>
      </c>
      <c r="CP22" s="15" t="e">
        <f t="shared" si="41"/>
        <v>#REF!</v>
      </c>
      <c r="CQ22" s="226">
        <f t="shared" si="42"/>
        <v>9</v>
      </c>
      <c r="CR22" s="226">
        <f>DISTRIBUSI!R20</f>
        <v>0</v>
      </c>
      <c r="CS22" s="226">
        <f>'PEMAKAIAN UNIT'!P19</f>
        <v>0</v>
      </c>
      <c r="CT22" s="14">
        <f t="shared" si="43"/>
        <v>9</v>
      </c>
      <c r="CU22" s="15">
        <f t="shared" si="44"/>
        <v>0</v>
      </c>
      <c r="CV22" s="14" t="e">
        <f>DN22+DISTRIBUSI!#REF!-'PEMAKAIAN UNIT'!Q19</f>
        <v>#REF!</v>
      </c>
      <c r="CW22" s="15" t="e">
        <f t="shared" si="45"/>
        <v>#REF!</v>
      </c>
      <c r="CX22" s="14">
        <f>DO22+'LPLPO GUDANG'!E25-'LPLPO GUDANG'!G25</f>
        <v>0</v>
      </c>
      <c r="CY22" s="15">
        <f t="shared" si="46"/>
        <v>0</v>
      </c>
      <c r="CZ22" s="28"/>
      <c r="DA22" s="14">
        <v>0</v>
      </c>
      <c r="DB22" s="14"/>
      <c r="DC22" s="14">
        <v>0</v>
      </c>
      <c r="DD22" s="14">
        <v>0</v>
      </c>
      <c r="DE22" s="14">
        <v>0</v>
      </c>
      <c r="DF22" s="14"/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9</v>
      </c>
      <c r="DN22" s="14">
        <v>0</v>
      </c>
      <c r="DO22" s="14">
        <v>0</v>
      </c>
      <c r="DP22" s="13">
        <f t="shared" si="47"/>
        <v>9</v>
      </c>
      <c r="DR22" t="s">
        <v>259</v>
      </c>
      <c r="DU22" s="20" t="e">
        <f t="shared" si="48"/>
        <v>#REF!</v>
      </c>
    </row>
    <row r="23" spans="1:125" customFormat="1" ht="70" customHeight="1" x14ac:dyDescent="0.35">
      <c r="A23" s="84">
        <f t="shared" si="49"/>
        <v>12</v>
      </c>
      <c r="B23" s="142" t="s">
        <v>11</v>
      </c>
      <c r="C23" s="156" t="s">
        <v>330</v>
      </c>
      <c r="D23" s="109">
        <v>0</v>
      </c>
      <c r="E23" s="110">
        <f>'LPLPO GUDANG'!E26</f>
        <v>0</v>
      </c>
      <c r="F23" s="110">
        <f t="shared" si="0"/>
        <v>0</v>
      </c>
      <c r="G23" s="110">
        <f>'PEMAKAIAN UNIT'!R20</f>
        <v>0</v>
      </c>
      <c r="H23" s="14">
        <v>0</v>
      </c>
      <c r="I23" s="14">
        <v>0</v>
      </c>
      <c r="J23" s="14">
        <v>0</v>
      </c>
      <c r="K23" s="14"/>
      <c r="L23" s="14"/>
      <c r="M23" s="14"/>
      <c r="N23" s="14"/>
      <c r="O23" s="14"/>
      <c r="P23" s="14"/>
      <c r="Q23" s="14"/>
      <c r="R23" s="14"/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09">
        <f t="shared" si="1"/>
        <v>0</v>
      </c>
      <c r="Z23" s="109" t="e">
        <f t="shared" si="2"/>
        <v>#REF!</v>
      </c>
      <c r="AA23" s="109" t="e">
        <f t="shared" si="3"/>
        <v>#REF!</v>
      </c>
      <c r="AB23" s="14">
        <v>0</v>
      </c>
      <c r="AC23" s="109" t="e">
        <f t="shared" si="4"/>
        <v>#REF!</v>
      </c>
      <c r="AD23" s="109">
        <f>'LPLPO GUDANG'!H26</f>
        <v>20</v>
      </c>
      <c r="AE23" s="111" t="e">
        <f t="shared" si="5"/>
        <v>#REF!</v>
      </c>
      <c r="AF23" s="212"/>
      <c r="AG23" s="212"/>
      <c r="AH23" s="20"/>
      <c r="AI23" s="14">
        <f t="shared" si="6"/>
        <v>0</v>
      </c>
      <c r="AJ23" s="209" t="e">
        <f t="shared" si="7"/>
        <v>#REF!</v>
      </c>
      <c r="AL23" s="14">
        <f t="shared" si="8"/>
        <v>0</v>
      </c>
      <c r="AM23" s="14">
        <f>DISTRIBUSI!D21</f>
        <v>0</v>
      </c>
      <c r="AN23" s="14">
        <f>'PEMAKAIAN UNIT'!D20</f>
        <v>0</v>
      </c>
      <c r="AO23" s="14">
        <f t="shared" si="9"/>
        <v>0</v>
      </c>
      <c r="AP23" s="15">
        <f t="shared" si="10"/>
        <v>0</v>
      </c>
      <c r="AQ23" s="14">
        <f t="shared" si="11"/>
        <v>0</v>
      </c>
      <c r="AR23" s="14">
        <f>DISTRIBUSI!E21</f>
        <v>0</v>
      </c>
      <c r="AS23" s="14">
        <f>'PEMAKAIAN UNIT'!E20</f>
        <v>0</v>
      </c>
      <c r="AT23" s="14">
        <f t="shared" si="12"/>
        <v>0</v>
      </c>
      <c r="AU23" s="15">
        <f t="shared" si="13"/>
        <v>0</v>
      </c>
      <c r="AV23" s="14">
        <f t="shared" si="14"/>
        <v>0</v>
      </c>
      <c r="AW23" s="14">
        <f>DISTRIBUSI!F21</f>
        <v>0</v>
      </c>
      <c r="AX23" s="14">
        <f>'PEMAKAIAN UNIT'!F20</f>
        <v>0</v>
      </c>
      <c r="AY23" s="14">
        <f t="shared" si="15"/>
        <v>0</v>
      </c>
      <c r="AZ23" s="15">
        <f t="shared" si="16"/>
        <v>0</v>
      </c>
      <c r="BA23" s="14">
        <f t="shared" si="17"/>
        <v>0</v>
      </c>
      <c r="BB23" s="14">
        <f>DISTRIBUSI!G21</f>
        <v>0</v>
      </c>
      <c r="BC23" s="14">
        <f>'PEMAKAIAN UNIT'!G20</f>
        <v>0</v>
      </c>
      <c r="BD23" s="14">
        <f t="shared" si="18"/>
        <v>0</v>
      </c>
      <c r="BE23" s="15">
        <f t="shared" si="19"/>
        <v>0</v>
      </c>
      <c r="BF23" s="14">
        <f t="shared" si="20"/>
        <v>0</v>
      </c>
      <c r="BG23" s="14">
        <f>DISTRIBUSI!H21</f>
        <v>0</v>
      </c>
      <c r="BH23" s="14">
        <f>'PEMAKAIAN UNIT'!H20</f>
        <v>0</v>
      </c>
      <c r="BI23" s="14">
        <f t="shared" si="21"/>
        <v>0</v>
      </c>
      <c r="BJ23" s="15">
        <f t="shared" si="22"/>
        <v>0</v>
      </c>
      <c r="BK23" s="14">
        <f t="shared" si="23"/>
        <v>0</v>
      </c>
      <c r="BL23" s="14">
        <f>DISTRIBUSI!I21</f>
        <v>0</v>
      </c>
      <c r="BM23" s="14">
        <f>'PEMAKAIAN UNIT'!I20</f>
        <v>0</v>
      </c>
      <c r="BN23" s="14">
        <f t="shared" si="24"/>
        <v>0</v>
      </c>
      <c r="BO23" s="15">
        <f t="shared" si="25"/>
        <v>0</v>
      </c>
      <c r="BP23" s="14">
        <f t="shared" si="26"/>
        <v>0</v>
      </c>
      <c r="BQ23" s="14">
        <f>DISTRIBUSI!J21</f>
        <v>0</v>
      </c>
      <c r="BR23" s="14">
        <f>'PEMAKAIAN UNIT'!J20</f>
        <v>0</v>
      </c>
      <c r="BS23" s="14">
        <f t="shared" si="27"/>
        <v>0</v>
      </c>
      <c r="BT23" s="15">
        <f t="shared" si="28"/>
        <v>0</v>
      </c>
      <c r="BU23" s="14">
        <f t="shared" si="29"/>
        <v>0</v>
      </c>
      <c r="BV23" s="14">
        <f>DISTRIBUSI!K21</f>
        <v>0</v>
      </c>
      <c r="BW23" s="14">
        <f>'PEMAKAIAN UNIT'!K20</f>
        <v>0</v>
      </c>
      <c r="BX23" s="14">
        <f t="shared" si="30"/>
        <v>0</v>
      </c>
      <c r="BY23" s="15">
        <f t="shared" si="31"/>
        <v>0</v>
      </c>
      <c r="BZ23" s="14">
        <f t="shared" si="32"/>
        <v>0</v>
      </c>
      <c r="CA23" s="14">
        <f>DISTRIBUSI!L21</f>
        <v>0</v>
      </c>
      <c r="CB23" s="14">
        <f>'PEMAKAIAN UNIT'!L20</f>
        <v>0</v>
      </c>
      <c r="CC23" s="14">
        <f t="shared" si="33"/>
        <v>0</v>
      </c>
      <c r="CD23" s="15">
        <f t="shared" si="34"/>
        <v>0</v>
      </c>
      <c r="CE23" s="14">
        <f t="shared" si="35"/>
        <v>0</v>
      </c>
      <c r="CF23" s="14">
        <f>DISTRIBUSI!M21</f>
        <v>0</v>
      </c>
      <c r="CG23" s="14">
        <f>'PEMAKAIAN UNIT'!M20</f>
        <v>0</v>
      </c>
      <c r="CH23" s="14">
        <f t="shared" si="36"/>
        <v>0</v>
      </c>
      <c r="CI23" s="15">
        <f t="shared" si="37"/>
        <v>0</v>
      </c>
      <c r="CJ23" s="14">
        <f t="shared" si="38"/>
        <v>0</v>
      </c>
      <c r="CK23" s="14" t="e">
        <f>DISTRIBUSI!#REF!</f>
        <v>#REF!</v>
      </c>
      <c r="CL23" s="14">
        <f>'PEMAKAIAN UNIT'!N20</f>
        <v>0</v>
      </c>
      <c r="CM23" s="14" t="e">
        <f t="shared" si="39"/>
        <v>#REF!</v>
      </c>
      <c r="CN23" s="15" t="e">
        <f t="shared" si="40"/>
        <v>#REF!</v>
      </c>
      <c r="CO23" s="14" t="e">
        <f>DL23+DISTRIBUSI!#REF!-'PEMAKAIAN UNIT'!O20</f>
        <v>#REF!</v>
      </c>
      <c r="CP23" s="15" t="e">
        <f t="shared" si="41"/>
        <v>#REF!</v>
      </c>
      <c r="CQ23" s="226">
        <f t="shared" si="42"/>
        <v>11</v>
      </c>
      <c r="CR23" s="226">
        <f>DISTRIBUSI!R21</f>
        <v>0</v>
      </c>
      <c r="CS23" s="226">
        <f>'PEMAKAIAN UNIT'!P20</f>
        <v>0</v>
      </c>
      <c r="CT23" s="14">
        <f t="shared" si="43"/>
        <v>11</v>
      </c>
      <c r="CU23" s="15">
        <f t="shared" si="44"/>
        <v>11</v>
      </c>
      <c r="CV23" s="14" t="e">
        <f>DN23+DISTRIBUSI!#REF!-'PEMAKAIAN UNIT'!Q20</f>
        <v>#REF!</v>
      </c>
      <c r="CW23" s="15" t="e">
        <f t="shared" si="45"/>
        <v>#REF!</v>
      </c>
      <c r="CX23" s="14">
        <f>DO23+'LPLPO GUDANG'!E26-'LPLPO GUDANG'!G26</f>
        <v>10</v>
      </c>
      <c r="CY23" s="15">
        <f t="shared" si="46"/>
        <v>-10</v>
      </c>
      <c r="CZ23" s="28"/>
      <c r="DA23" s="14">
        <v>0</v>
      </c>
      <c r="DB23" s="14"/>
      <c r="DC23" s="14">
        <v>0</v>
      </c>
      <c r="DD23" s="14">
        <v>0</v>
      </c>
      <c r="DE23" s="14">
        <v>0</v>
      </c>
      <c r="DF23" s="14"/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11</v>
      </c>
      <c r="DN23" s="14">
        <v>0</v>
      </c>
      <c r="DO23" s="14">
        <v>10</v>
      </c>
      <c r="DP23" s="13">
        <f t="shared" si="47"/>
        <v>21</v>
      </c>
      <c r="DR23" t="s">
        <v>11</v>
      </c>
      <c r="DU23" s="20" t="e">
        <f t="shared" si="48"/>
        <v>#REF!</v>
      </c>
    </row>
    <row r="24" spans="1:125" customFormat="1" ht="20.149999999999999" customHeight="1" x14ac:dyDescent="0.35">
      <c r="A24" s="84">
        <f t="shared" si="49"/>
        <v>13</v>
      </c>
      <c r="B24" s="142" t="s">
        <v>12</v>
      </c>
      <c r="C24" s="157" t="s">
        <v>327</v>
      </c>
      <c r="D24" s="109">
        <v>0</v>
      </c>
      <c r="E24" s="110">
        <f>'LPLPO GUDANG'!E27</f>
        <v>0</v>
      </c>
      <c r="F24" s="110">
        <f t="shared" si="0"/>
        <v>0</v>
      </c>
      <c r="G24" s="110">
        <f>'PEMAKAIAN UNIT'!R21</f>
        <v>0</v>
      </c>
      <c r="H24" s="14">
        <v>0</v>
      </c>
      <c r="I24" s="14">
        <v>0</v>
      </c>
      <c r="J24" s="14">
        <v>0</v>
      </c>
      <c r="K24" s="14"/>
      <c r="L24" s="14"/>
      <c r="M24" s="14"/>
      <c r="N24" s="14"/>
      <c r="O24" s="14"/>
      <c r="P24" s="14"/>
      <c r="Q24" s="14"/>
      <c r="R24" s="14"/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09">
        <f t="shared" si="1"/>
        <v>0</v>
      </c>
      <c r="Z24" s="109" t="e">
        <f t="shared" si="2"/>
        <v>#REF!</v>
      </c>
      <c r="AA24" s="109" t="e">
        <f t="shared" si="3"/>
        <v>#REF!</v>
      </c>
      <c r="AB24" s="14">
        <v>0</v>
      </c>
      <c r="AC24" s="109" t="e">
        <f t="shared" si="4"/>
        <v>#REF!</v>
      </c>
      <c r="AD24" s="109">
        <f>'LPLPO GUDANG'!H27</f>
        <v>0</v>
      </c>
      <c r="AE24" s="111" t="e">
        <f t="shared" si="5"/>
        <v>#REF!</v>
      </c>
      <c r="AF24" s="212"/>
      <c r="AG24" s="212"/>
      <c r="AH24" s="20"/>
      <c r="AI24" s="14">
        <f t="shared" si="6"/>
        <v>0</v>
      </c>
      <c r="AJ24" s="209" t="e">
        <f t="shared" si="7"/>
        <v>#REF!</v>
      </c>
      <c r="AL24" s="14">
        <f t="shared" si="8"/>
        <v>0</v>
      </c>
      <c r="AM24" s="14">
        <f>DISTRIBUSI!D22</f>
        <v>0</v>
      </c>
      <c r="AN24" s="14">
        <f>'PEMAKAIAN UNIT'!D21</f>
        <v>0</v>
      </c>
      <c r="AO24" s="14">
        <f t="shared" si="9"/>
        <v>0</v>
      </c>
      <c r="AP24" s="15">
        <f t="shared" si="10"/>
        <v>0</v>
      </c>
      <c r="AQ24" s="14">
        <f t="shared" si="11"/>
        <v>0</v>
      </c>
      <c r="AR24" s="14">
        <f>DISTRIBUSI!E22</f>
        <v>0</v>
      </c>
      <c r="AS24" s="14">
        <f>'PEMAKAIAN UNIT'!E21</f>
        <v>0</v>
      </c>
      <c r="AT24" s="14">
        <f t="shared" si="12"/>
        <v>0</v>
      </c>
      <c r="AU24" s="15">
        <f t="shared" si="13"/>
        <v>0</v>
      </c>
      <c r="AV24" s="14">
        <f t="shared" si="14"/>
        <v>0</v>
      </c>
      <c r="AW24" s="14">
        <f>DISTRIBUSI!F22</f>
        <v>0</v>
      </c>
      <c r="AX24" s="14">
        <f>'PEMAKAIAN UNIT'!F21</f>
        <v>0</v>
      </c>
      <c r="AY24" s="14">
        <f t="shared" si="15"/>
        <v>0</v>
      </c>
      <c r="AZ24" s="15">
        <f t="shared" si="16"/>
        <v>0</v>
      </c>
      <c r="BA24" s="14">
        <f t="shared" si="17"/>
        <v>0</v>
      </c>
      <c r="BB24" s="14">
        <f>DISTRIBUSI!G22</f>
        <v>0</v>
      </c>
      <c r="BC24" s="14">
        <f>'PEMAKAIAN UNIT'!G21</f>
        <v>0</v>
      </c>
      <c r="BD24" s="14">
        <f t="shared" si="18"/>
        <v>0</v>
      </c>
      <c r="BE24" s="15">
        <f t="shared" si="19"/>
        <v>0</v>
      </c>
      <c r="BF24" s="14">
        <f t="shared" si="20"/>
        <v>0</v>
      </c>
      <c r="BG24" s="14">
        <f>DISTRIBUSI!H22</f>
        <v>0</v>
      </c>
      <c r="BH24" s="14">
        <f>'PEMAKAIAN UNIT'!H21</f>
        <v>0</v>
      </c>
      <c r="BI24" s="14">
        <f t="shared" si="21"/>
        <v>0</v>
      </c>
      <c r="BJ24" s="15">
        <f t="shared" si="22"/>
        <v>0</v>
      </c>
      <c r="BK24" s="14">
        <f t="shared" si="23"/>
        <v>0</v>
      </c>
      <c r="BL24" s="14">
        <f>DISTRIBUSI!I22</f>
        <v>0</v>
      </c>
      <c r="BM24" s="14">
        <f>'PEMAKAIAN UNIT'!I21</f>
        <v>0</v>
      </c>
      <c r="BN24" s="14">
        <f t="shared" si="24"/>
        <v>0</v>
      </c>
      <c r="BO24" s="15">
        <f t="shared" si="25"/>
        <v>0</v>
      </c>
      <c r="BP24" s="14">
        <f t="shared" si="26"/>
        <v>0</v>
      </c>
      <c r="BQ24" s="14">
        <f>DISTRIBUSI!J22</f>
        <v>0</v>
      </c>
      <c r="BR24" s="14">
        <f>'PEMAKAIAN UNIT'!J21</f>
        <v>0</v>
      </c>
      <c r="BS24" s="14">
        <f t="shared" si="27"/>
        <v>0</v>
      </c>
      <c r="BT24" s="15">
        <f t="shared" si="28"/>
        <v>0</v>
      </c>
      <c r="BU24" s="14">
        <f t="shared" si="29"/>
        <v>0</v>
      </c>
      <c r="BV24" s="14">
        <f>DISTRIBUSI!K22</f>
        <v>0</v>
      </c>
      <c r="BW24" s="14">
        <f>'PEMAKAIAN UNIT'!K21</f>
        <v>0</v>
      </c>
      <c r="BX24" s="14">
        <f t="shared" si="30"/>
        <v>0</v>
      </c>
      <c r="BY24" s="15">
        <f t="shared" si="31"/>
        <v>0</v>
      </c>
      <c r="BZ24" s="14">
        <f t="shared" si="32"/>
        <v>0</v>
      </c>
      <c r="CA24" s="14">
        <f>DISTRIBUSI!L22</f>
        <v>0</v>
      </c>
      <c r="CB24" s="14">
        <f>'PEMAKAIAN UNIT'!L21</f>
        <v>0</v>
      </c>
      <c r="CC24" s="14">
        <f t="shared" si="33"/>
        <v>0</v>
      </c>
      <c r="CD24" s="15">
        <f t="shared" si="34"/>
        <v>0</v>
      </c>
      <c r="CE24" s="14">
        <f t="shared" si="35"/>
        <v>0</v>
      </c>
      <c r="CF24" s="14">
        <f>DISTRIBUSI!M22</f>
        <v>0</v>
      </c>
      <c r="CG24" s="14">
        <f>'PEMAKAIAN UNIT'!M21</f>
        <v>0</v>
      </c>
      <c r="CH24" s="14">
        <f t="shared" si="36"/>
        <v>0</v>
      </c>
      <c r="CI24" s="15">
        <f t="shared" si="37"/>
        <v>0</v>
      </c>
      <c r="CJ24" s="14">
        <f t="shared" si="38"/>
        <v>0</v>
      </c>
      <c r="CK24" s="14" t="e">
        <f>DISTRIBUSI!#REF!</f>
        <v>#REF!</v>
      </c>
      <c r="CL24" s="14">
        <f>'PEMAKAIAN UNIT'!N21</f>
        <v>0</v>
      </c>
      <c r="CM24" s="14" t="e">
        <f t="shared" si="39"/>
        <v>#REF!</v>
      </c>
      <c r="CN24" s="15" t="e">
        <f t="shared" si="40"/>
        <v>#REF!</v>
      </c>
      <c r="CO24" s="14" t="e">
        <f>DL24+DISTRIBUSI!#REF!-'PEMAKAIAN UNIT'!O21</f>
        <v>#REF!</v>
      </c>
      <c r="CP24" s="15" t="e">
        <f t="shared" si="41"/>
        <v>#REF!</v>
      </c>
      <c r="CQ24" s="226">
        <f t="shared" si="42"/>
        <v>0</v>
      </c>
      <c r="CR24" s="226">
        <f>DISTRIBUSI!R22</f>
        <v>0</v>
      </c>
      <c r="CS24" s="226">
        <f>'PEMAKAIAN UNIT'!P21</f>
        <v>0</v>
      </c>
      <c r="CT24" s="14">
        <f t="shared" si="43"/>
        <v>0</v>
      </c>
      <c r="CU24" s="15">
        <f t="shared" si="44"/>
        <v>0</v>
      </c>
      <c r="CV24" s="14" t="e">
        <f>DN24+DISTRIBUSI!#REF!-'PEMAKAIAN UNIT'!Q21</f>
        <v>#REF!</v>
      </c>
      <c r="CW24" s="15" t="e">
        <f t="shared" si="45"/>
        <v>#REF!</v>
      </c>
      <c r="CX24" s="14">
        <f>DO24+'LPLPO GUDANG'!E27-'LPLPO GUDANG'!G27</f>
        <v>0</v>
      </c>
      <c r="CY24" s="15">
        <f t="shared" si="46"/>
        <v>0</v>
      </c>
      <c r="CZ24" s="28"/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/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3">
        <f t="shared" si="47"/>
        <v>0</v>
      </c>
      <c r="DR24" t="s">
        <v>12</v>
      </c>
      <c r="DU24" s="20" t="e">
        <f t="shared" si="48"/>
        <v>#REF!</v>
      </c>
    </row>
    <row r="25" spans="1:125" customFormat="1" ht="20.149999999999999" customHeight="1" x14ac:dyDescent="0.35">
      <c r="A25" s="84">
        <f t="shared" si="49"/>
        <v>14</v>
      </c>
      <c r="B25" s="142" t="s">
        <v>277</v>
      </c>
      <c r="C25" s="157" t="s">
        <v>327</v>
      </c>
      <c r="D25" s="109">
        <v>0</v>
      </c>
      <c r="E25" s="110">
        <f>'LPLPO GUDANG'!E28</f>
        <v>0</v>
      </c>
      <c r="F25" s="110">
        <f t="shared" si="0"/>
        <v>0</v>
      </c>
      <c r="G25" s="110">
        <f>'PEMAKAIAN UNIT'!R22</f>
        <v>0</v>
      </c>
      <c r="H25" s="14">
        <v>0</v>
      </c>
      <c r="I25" s="14">
        <v>0</v>
      </c>
      <c r="J25" s="14">
        <v>0</v>
      </c>
      <c r="K25" s="14"/>
      <c r="L25" s="14"/>
      <c r="M25" s="14"/>
      <c r="N25" s="14"/>
      <c r="O25" s="14"/>
      <c r="P25" s="14"/>
      <c r="Q25" s="14"/>
      <c r="R25" s="14"/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09">
        <f t="shared" si="1"/>
        <v>0</v>
      </c>
      <c r="Z25" s="109" t="e">
        <f t="shared" si="2"/>
        <v>#REF!</v>
      </c>
      <c r="AA25" s="109" t="e">
        <f t="shared" si="3"/>
        <v>#REF!</v>
      </c>
      <c r="AB25" s="14">
        <v>0</v>
      </c>
      <c r="AC25" s="109" t="e">
        <f t="shared" si="4"/>
        <v>#REF!</v>
      </c>
      <c r="AD25" s="109">
        <f>'LPLPO GUDANG'!H28</f>
        <v>0</v>
      </c>
      <c r="AE25" s="111" t="e">
        <f t="shared" si="5"/>
        <v>#REF!</v>
      </c>
      <c r="AF25" s="212"/>
      <c r="AG25" s="212"/>
      <c r="AH25" s="20"/>
      <c r="AI25" s="14">
        <f t="shared" si="6"/>
        <v>0</v>
      </c>
      <c r="AJ25" s="209" t="e">
        <f t="shared" si="7"/>
        <v>#REF!</v>
      </c>
      <c r="AL25" s="14">
        <f t="shared" si="8"/>
        <v>0</v>
      </c>
      <c r="AM25" s="14">
        <f>DISTRIBUSI!D23</f>
        <v>0</v>
      </c>
      <c r="AN25" s="14">
        <f>'PEMAKAIAN UNIT'!D22</f>
        <v>0</v>
      </c>
      <c r="AO25" s="14">
        <f t="shared" si="9"/>
        <v>0</v>
      </c>
      <c r="AP25" s="15">
        <f t="shared" si="10"/>
        <v>0</v>
      </c>
      <c r="AQ25" s="14">
        <f t="shared" si="11"/>
        <v>0</v>
      </c>
      <c r="AR25" s="14">
        <f>DISTRIBUSI!E23</f>
        <v>0</v>
      </c>
      <c r="AS25" s="14">
        <f>'PEMAKAIAN UNIT'!E22</f>
        <v>0</v>
      </c>
      <c r="AT25" s="14">
        <f t="shared" si="12"/>
        <v>0</v>
      </c>
      <c r="AU25" s="15">
        <f t="shared" si="13"/>
        <v>0</v>
      </c>
      <c r="AV25" s="14">
        <f t="shared" si="14"/>
        <v>0</v>
      </c>
      <c r="AW25" s="14">
        <f>DISTRIBUSI!F23</f>
        <v>0</v>
      </c>
      <c r="AX25" s="14">
        <f>'PEMAKAIAN UNIT'!F22</f>
        <v>0</v>
      </c>
      <c r="AY25" s="14">
        <f t="shared" si="15"/>
        <v>0</v>
      </c>
      <c r="AZ25" s="15">
        <f t="shared" si="16"/>
        <v>0</v>
      </c>
      <c r="BA25" s="14">
        <f t="shared" si="17"/>
        <v>0</v>
      </c>
      <c r="BB25" s="14">
        <f>DISTRIBUSI!G23</f>
        <v>0</v>
      </c>
      <c r="BC25" s="14">
        <f>'PEMAKAIAN UNIT'!G22</f>
        <v>0</v>
      </c>
      <c r="BD25" s="14">
        <f t="shared" si="18"/>
        <v>0</v>
      </c>
      <c r="BE25" s="15">
        <f t="shared" si="19"/>
        <v>0</v>
      </c>
      <c r="BF25" s="14">
        <f t="shared" si="20"/>
        <v>0</v>
      </c>
      <c r="BG25" s="14">
        <f>DISTRIBUSI!H23</f>
        <v>0</v>
      </c>
      <c r="BH25" s="14">
        <f>'PEMAKAIAN UNIT'!H22</f>
        <v>0</v>
      </c>
      <c r="BI25" s="14">
        <f t="shared" si="21"/>
        <v>0</v>
      </c>
      <c r="BJ25" s="15">
        <f t="shared" si="22"/>
        <v>0</v>
      </c>
      <c r="BK25" s="14">
        <f t="shared" si="23"/>
        <v>0</v>
      </c>
      <c r="BL25" s="14">
        <f>DISTRIBUSI!I23</f>
        <v>0</v>
      </c>
      <c r="BM25" s="14">
        <f>'PEMAKAIAN UNIT'!I22</f>
        <v>0</v>
      </c>
      <c r="BN25" s="14">
        <f t="shared" si="24"/>
        <v>0</v>
      </c>
      <c r="BO25" s="15">
        <f t="shared" si="25"/>
        <v>0</v>
      </c>
      <c r="BP25" s="14">
        <f t="shared" si="26"/>
        <v>0</v>
      </c>
      <c r="BQ25" s="14">
        <f>DISTRIBUSI!J23</f>
        <v>0</v>
      </c>
      <c r="BR25" s="14">
        <f>'PEMAKAIAN UNIT'!J22</f>
        <v>0</v>
      </c>
      <c r="BS25" s="14">
        <f t="shared" si="27"/>
        <v>0</v>
      </c>
      <c r="BT25" s="15">
        <f t="shared" si="28"/>
        <v>0</v>
      </c>
      <c r="BU25" s="14">
        <f t="shared" si="29"/>
        <v>0</v>
      </c>
      <c r="BV25" s="14">
        <f>DISTRIBUSI!K23</f>
        <v>0</v>
      </c>
      <c r="BW25" s="14">
        <f>'PEMAKAIAN UNIT'!K22</f>
        <v>0</v>
      </c>
      <c r="BX25" s="14">
        <f t="shared" si="30"/>
        <v>0</v>
      </c>
      <c r="BY25" s="15">
        <f t="shared" si="31"/>
        <v>0</v>
      </c>
      <c r="BZ25" s="14">
        <f t="shared" si="32"/>
        <v>0</v>
      </c>
      <c r="CA25" s="14">
        <f>DISTRIBUSI!L23</f>
        <v>0</v>
      </c>
      <c r="CB25" s="14">
        <f>'PEMAKAIAN UNIT'!L22</f>
        <v>0</v>
      </c>
      <c r="CC25" s="14">
        <f t="shared" si="33"/>
        <v>0</v>
      </c>
      <c r="CD25" s="15">
        <f t="shared" si="34"/>
        <v>0</v>
      </c>
      <c r="CE25" s="14">
        <f t="shared" si="35"/>
        <v>0</v>
      </c>
      <c r="CF25" s="14">
        <f>DISTRIBUSI!M23</f>
        <v>0</v>
      </c>
      <c r="CG25" s="14">
        <f>'PEMAKAIAN UNIT'!M22</f>
        <v>0</v>
      </c>
      <c r="CH25" s="14">
        <f t="shared" si="36"/>
        <v>0</v>
      </c>
      <c r="CI25" s="15">
        <f t="shared" si="37"/>
        <v>0</v>
      </c>
      <c r="CJ25" s="14">
        <f t="shared" si="38"/>
        <v>0</v>
      </c>
      <c r="CK25" s="14" t="e">
        <f>DISTRIBUSI!#REF!</f>
        <v>#REF!</v>
      </c>
      <c r="CL25" s="14">
        <f>'PEMAKAIAN UNIT'!N22</f>
        <v>0</v>
      </c>
      <c r="CM25" s="14" t="e">
        <f t="shared" si="39"/>
        <v>#REF!</v>
      </c>
      <c r="CN25" s="15" t="e">
        <f t="shared" si="40"/>
        <v>#REF!</v>
      </c>
      <c r="CO25" s="14" t="e">
        <f>DL25+DISTRIBUSI!#REF!-'PEMAKAIAN UNIT'!O22</f>
        <v>#REF!</v>
      </c>
      <c r="CP25" s="15" t="e">
        <f t="shared" si="41"/>
        <v>#REF!</v>
      </c>
      <c r="CQ25" s="226">
        <f t="shared" si="42"/>
        <v>0</v>
      </c>
      <c r="CR25" s="226">
        <f>DISTRIBUSI!R23</f>
        <v>0</v>
      </c>
      <c r="CS25" s="226">
        <f>'PEMAKAIAN UNIT'!P22</f>
        <v>0</v>
      </c>
      <c r="CT25" s="14">
        <f t="shared" si="43"/>
        <v>0</v>
      </c>
      <c r="CU25" s="15">
        <f t="shared" si="44"/>
        <v>0</v>
      </c>
      <c r="CV25" s="14" t="e">
        <f>DN25+DISTRIBUSI!#REF!-'PEMAKAIAN UNIT'!Q22</f>
        <v>#REF!</v>
      </c>
      <c r="CW25" s="15" t="e">
        <f t="shared" si="45"/>
        <v>#REF!</v>
      </c>
      <c r="CX25" s="14">
        <f>DO25+'LPLPO GUDANG'!E28-'LPLPO GUDANG'!G28</f>
        <v>0</v>
      </c>
      <c r="CY25" s="15">
        <f t="shared" si="46"/>
        <v>0</v>
      </c>
      <c r="CZ25" s="28"/>
      <c r="DA25" s="14">
        <v>0</v>
      </c>
      <c r="DB25" s="14">
        <v>0</v>
      </c>
      <c r="DC25" s="14"/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3">
        <f t="shared" si="47"/>
        <v>0</v>
      </c>
      <c r="DR25" t="s">
        <v>277</v>
      </c>
      <c r="DU25" s="20" t="e">
        <f t="shared" si="48"/>
        <v>#REF!</v>
      </c>
    </row>
    <row r="26" spans="1:125" customFormat="1" ht="20.149999999999999" customHeight="1" x14ac:dyDescent="0.35">
      <c r="A26" s="84">
        <f t="shared" si="49"/>
        <v>15</v>
      </c>
      <c r="B26" s="142" t="s">
        <v>13</v>
      </c>
      <c r="C26" s="158" t="s">
        <v>327</v>
      </c>
      <c r="D26" s="109">
        <v>0</v>
      </c>
      <c r="E26" s="110">
        <f>'LPLPO GUDANG'!E29</f>
        <v>0</v>
      </c>
      <c r="F26" s="110">
        <f t="shared" si="0"/>
        <v>0</v>
      </c>
      <c r="G26" s="110">
        <f>'PEMAKAIAN UNIT'!R23</f>
        <v>0</v>
      </c>
      <c r="H26" s="14">
        <v>0</v>
      </c>
      <c r="I26" s="14">
        <v>0</v>
      </c>
      <c r="J26" s="14">
        <v>0</v>
      </c>
      <c r="K26" s="14"/>
      <c r="L26" s="14"/>
      <c r="M26" s="14"/>
      <c r="N26" s="14"/>
      <c r="O26" s="14"/>
      <c r="P26" s="14"/>
      <c r="Q26" s="14"/>
      <c r="R26" s="14"/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09">
        <f t="shared" si="1"/>
        <v>0</v>
      </c>
      <c r="Z26" s="109" t="e">
        <f t="shared" si="2"/>
        <v>#REF!</v>
      </c>
      <c r="AA26" s="109" t="e">
        <f t="shared" si="3"/>
        <v>#REF!</v>
      </c>
      <c r="AB26" s="14">
        <v>0</v>
      </c>
      <c r="AC26" s="109" t="e">
        <f t="shared" si="4"/>
        <v>#REF!</v>
      </c>
      <c r="AD26" s="109">
        <f>'LPLPO GUDANG'!H29</f>
        <v>0</v>
      </c>
      <c r="AE26" s="111" t="e">
        <f t="shared" si="5"/>
        <v>#REF!</v>
      </c>
      <c r="AF26" s="212"/>
      <c r="AG26" s="212"/>
      <c r="AH26" s="20"/>
      <c r="AI26" s="14">
        <f t="shared" si="6"/>
        <v>0</v>
      </c>
      <c r="AJ26" s="209" t="e">
        <f t="shared" si="7"/>
        <v>#REF!</v>
      </c>
      <c r="AL26" s="14">
        <f t="shared" si="8"/>
        <v>0</v>
      </c>
      <c r="AM26" s="14">
        <f>DISTRIBUSI!D24</f>
        <v>0</v>
      </c>
      <c r="AN26" s="14">
        <f>'PEMAKAIAN UNIT'!D23</f>
        <v>0</v>
      </c>
      <c r="AO26" s="14">
        <f t="shared" si="9"/>
        <v>0</v>
      </c>
      <c r="AP26" s="15">
        <f t="shared" si="10"/>
        <v>0</v>
      </c>
      <c r="AQ26" s="14">
        <f t="shared" si="11"/>
        <v>0</v>
      </c>
      <c r="AR26" s="14">
        <f>DISTRIBUSI!E24</f>
        <v>0</v>
      </c>
      <c r="AS26" s="14">
        <f>'PEMAKAIAN UNIT'!E23</f>
        <v>0</v>
      </c>
      <c r="AT26" s="14">
        <f t="shared" si="12"/>
        <v>0</v>
      </c>
      <c r="AU26" s="15">
        <f t="shared" si="13"/>
        <v>0</v>
      </c>
      <c r="AV26" s="14">
        <f t="shared" si="14"/>
        <v>0</v>
      </c>
      <c r="AW26" s="14">
        <f>DISTRIBUSI!F24</f>
        <v>0</v>
      </c>
      <c r="AX26" s="14">
        <f>'PEMAKAIAN UNIT'!F23</f>
        <v>0</v>
      </c>
      <c r="AY26" s="14">
        <f t="shared" si="15"/>
        <v>0</v>
      </c>
      <c r="AZ26" s="15">
        <f t="shared" si="16"/>
        <v>0</v>
      </c>
      <c r="BA26" s="14">
        <f t="shared" si="17"/>
        <v>0</v>
      </c>
      <c r="BB26" s="14">
        <f>DISTRIBUSI!G24</f>
        <v>0</v>
      </c>
      <c r="BC26" s="14">
        <f>'PEMAKAIAN UNIT'!G23</f>
        <v>0</v>
      </c>
      <c r="BD26" s="14">
        <f t="shared" si="18"/>
        <v>0</v>
      </c>
      <c r="BE26" s="15">
        <f t="shared" si="19"/>
        <v>0</v>
      </c>
      <c r="BF26" s="14">
        <f t="shared" si="20"/>
        <v>0</v>
      </c>
      <c r="BG26" s="14">
        <f>DISTRIBUSI!H24</f>
        <v>0</v>
      </c>
      <c r="BH26" s="14">
        <f>'PEMAKAIAN UNIT'!H23</f>
        <v>0</v>
      </c>
      <c r="BI26" s="14">
        <f t="shared" si="21"/>
        <v>0</v>
      </c>
      <c r="BJ26" s="15">
        <f t="shared" si="22"/>
        <v>0</v>
      </c>
      <c r="BK26" s="14">
        <f t="shared" si="23"/>
        <v>0</v>
      </c>
      <c r="BL26" s="14">
        <f>DISTRIBUSI!I24</f>
        <v>0</v>
      </c>
      <c r="BM26" s="14">
        <f>'PEMAKAIAN UNIT'!I23</f>
        <v>0</v>
      </c>
      <c r="BN26" s="14">
        <f t="shared" si="24"/>
        <v>0</v>
      </c>
      <c r="BO26" s="15">
        <f t="shared" si="25"/>
        <v>0</v>
      </c>
      <c r="BP26" s="14">
        <f t="shared" si="26"/>
        <v>0</v>
      </c>
      <c r="BQ26" s="14">
        <f>DISTRIBUSI!J24</f>
        <v>0</v>
      </c>
      <c r="BR26" s="14">
        <f>'PEMAKAIAN UNIT'!J23</f>
        <v>0</v>
      </c>
      <c r="BS26" s="14">
        <f t="shared" si="27"/>
        <v>0</v>
      </c>
      <c r="BT26" s="15">
        <f t="shared" si="28"/>
        <v>0</v>
      </c>
      <c r="BU26" s="14">
        <f t="shared" si="29"/>
        <v>0</v>
      </c>
      <c r="BV26" s="14">
        <f>DISTRIBUSI!K24</f>
        <v>0</v>
      </c>
      <c r="BW26" s="14">
        <f>'PEMAKAIAN UNIT'!K23</f>
        <v>0</v>
      </c>
      <c r="BX26" s="14">
        <f t="shared" si="30"/>
        <v>0</v>
      </c>
      <c r="BY26" s="15">
        <f t="shared" si="31"/>
        <v>0</v>
      </c>
      <c r="BZ26" s="14">
        <f t="shared" si="32"/>
        <v>0</v>
      </c>
      <c r="CA26" s="14">
        <f>DISTRIBUSI!L24</f>
        <v>0</v>
      </c>
      <c r="CB26" s="14">
        <f>'PEMAKAIAN UNIT'!L23</f>
        <v>0</v>
      </c>
      <c r="CC26" s="14">
        <f t="shared" si="33"/>
        <v>0</v>
      </c>
      <c r="CD26" s="15">
        <f t="shared" si="34"/>
        <v>0</v>
      </c>
      <c r="CE26" s="14">
        <f t="shared" si="35"/>
        <v>0</v>
      </c>
      <c r="CF26" s="14">
        <f>DISTRIBUSI!M24</f>
        <v>0</v>
      </c>
      <c r="CG26" s="14">
        <f>'PEMAKAIAN UNIT'!M23</f>
        <v>0</v>
      </c>
      <c r="CH26" s="14">
        <f t="shared" si="36"/>
        <v>0</v>
      </c>
      <c r="CI26" s="15">
        <f t="shared" si="37"/>
        <v>0</v>
      </c>
      <c r="CJ26" s="14">
        <f t="shared" si="38"/>
        <v>0</v>
      </c>
      <c r="CK26" s="14" t="e">
        <f>DISTRIBUSI!#REF!</f>
        <v>#REF!</v>
      </c>
      <c r="CL26" s="14">
        <f>'PEMAKAIAN UNIT'!N23</f>
        <v>0</v>
      </c>
      <c r="CM26" s="14" t="e">
        <f t="shared" si="39"/>
        <v>#REF!</v>
      </c>
      <c r="CN26" s="15" t="e">
        <f t="shared" si="40"/>
        <v>#REF!</v>
      </c>
      <c r="CO26" s="14" t="e">
        <f>DL26+DISTRIBUSI!#REF!-'PEMAKAIAN UNIT'!O23</f>
        <v>#REF!</v>
      </c>
      <c r="CP26" s="15" t="e">
        <f t="shared" si="41"/>
        <v>#REF!</v>
      </c>
      <c r="CQ26" s="226">
        <f t="shared" si="42"/>
        <v>0</v>
      </c>
      <c r="CR26" s="226">
        <f>DISTRIBUSI!R24</f>
        <v>0</v>
      </c>
      <c r="CS26" s="226">
        <f>'PEMAKAIAN UNIT'!P23</f>
        <v>0</v>
      </c>
      <c r="CT26" s="14">
        <f t="shared" si="43"/>
        <v>0</v>
      </c>
      <c r="CU26" s="15">
        <f t="shared" si="44"/>
        <v>0</v>
      </c>
      <c r="CV26" s="14" t="e">
        <f>DN26+DISTRIBUSI!#REF!-'PEMAKAIAN UNIT'!Q23</f>
        <v>#REF!</v>
      </c>
      <c r="CW26" s="15" t="e">
        <f t="shared" si="45"/>
        <v>#REF!</v>
      </c>
      <c r="CX26" s="14">
        <f>DO26+'LPLPO GUDANG'!E29-'LPLPO GUDANG'!G29</f>
        <v>0</v>
      </c>
      <c r="CY26" s="15">
        <f t="shared" si="46"/>
        <v>0</v>
      </c>
      <c r="CZ26" s="28"/>
      <c r="DA26" s="14">
        <v>0</v>
      </c>
      <c r="DB26" s="14">
        <v>0</v>
      </c>
      <c r="DC26" s="14"/>
      <c r="DD26" s="14">
        <v>0</v>
      </c>
      <c r="DE26" s="14">
        <v>0</v>
      </c>
      <c r="DF26" s="14"/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3">
        <f t="shared" si="47"/>
        <v>0</v>
      </c>
      <c r="DR26" t="s">
        <v>13</v>
      </c>
      <c r="DU26" s="20" t="e">
        <f t="shared" si="48"/>
        <v>#REF!</v>
      </c>
    </row>
    <row r="27" spans="1:125" customFormat="1" ht="20.149999999999999" customHeight="1" x14ac:dyDescent="0.35">
      <c r="A27" s="84">
        <f t="shared" si="49"/>
        <v>16</v>
      </c>
      <c r="B27" s="142" t="s">
        <v>14</v>
      </c>
      <c r="C27" s="158" t="s">
        <v>327</v>
      </c>
      <c r="D27" s="109">
        <v>0</v>
      </c>
      <c r="E27" s="110">
        <f>'LPLPO GUDANG'!E30</f>
        <v>1500</v>
      </c>
      <c r="F27" s="110">
        <f t="shared" si="0"/>
        <v>1500</v>
      </c>
      <c r="G27" s="110">
        <f>'PEMAKAIAN UNIT'!R24</f>
        <v>0</v>
      </c>
      <c r="H27" s="14">
        <v>220</v>
      </c>
      <c r="I27" s="14">
        <v>100</v>
      </c>
      <c r="J27" s="14">
        <v>0</v>
      </c>
      <c r="K27" s="14"/>
      <c r="L27" s="14"/>
      <c r="M27" s="14"/>
      <c r="N27" s="14"/>
      <c r="O27" s="14"/>
      <c r="P27" s="14"/>
      <c r="Q27" s="14"/>
      <c r="R27" s="14"/>
      <c r="S27" s="14">
        <v>90</v>
      </c>
      <c r="T27" s="14">
        <v>0</v>
      </c>
      <c r="U27" s="14">
        <v>40</v>
      </c>
      <c r="V27" s="14">
        <v>420</v>
      </c>
      <c r="W27" s="14">
        <v>180</v>
      </c>
      <c r="X27" s="14">
        <v>120</v>
      </c>
      <c r="Y27" s="109">
        <f t="shared" si="1"/>
        <v>0</v>
      </c>
      <c r="Z27" s="109" t="e">
        <f t="shared" si="2"/>
        <v>#REF!</v>
      </c>
      <c r="AA27" s="109" t="e">
        <f t="shared" si="3"/>
        <v>#REF!</v>
      </c>
      <c r="AB27" s="14">
        <v>1286</v>
      </c>
      <c r="AC27" s="109" t="e">
        <f t="shared" si="4"/>
        <v>#REF!</v>
      </c>
      <c r="AD27" s="109">
        <f>'LPLPO GUDANG'!H30</f>
        <v>1000</v>
      </c>
      <c r="AE27" s="111" t="e">
        <f t="shared" si="5"/>
        <v>#REF!</v>
      </c>
      <c r="AF27" s="212"/>
      <c r="AG27" s="212"/>
      <c r="AH27" s="20"/>
      <c r="AI27" s="14">
        <f t="shared" si="6"/>
        <v>1500</v>
      </c>
      <c r="AJ27" s="209" t="e">
        <f t="shared" si="7"/>
        <v>#REF!</v>
      </c>
      <c r="AL27" s="14">
        <f t="shared" si="8"/>
        <v>280</v>
      </c>
      <c r="AM27" s="14">
        <f>DISTRIBUSI!D25</f>
        <v>0</v>
      </c>
      <c r="AN27" s="14">
        <f>'PEMAKAIAN UNIT'!D24</f>
        <v>0</v>
      </c>
      <c r="AO27" s="14">
        <f t="shared" si="9"/>
        <v>280</v>
      </c>
      <c r="AP27" s="15">
        <f t="shared" si="10"/>
        <v>60</v>
      </c>
      <c r="AQ27" s="14">
        <f t="shared" si="11"/>
        <v>10</v>
      </c>
      <c r="AR27" s="14">
        <f>DISTRIBUSI!E25</f>
        <v>0</v>
      </c>
      <c r="AS27" s="14">
        <f>'PEMAKAIAN UNIT'!E24</f>
        <v>0</v>
      </c>
      <c r="AT27" s="14">
        <f t="shared" si="12"/>
        <v>10</v>
      </c>
      <c r="AU27" s="15">
        <f t="shared" si="13"/>
        <v>-90</v>
      </c>
      <c r="AV27" s="14">
        <f t="shared" si="14"/>
        <v>230</v>
      </c>
      <c r="AW27" s="14">
        <f>DISTRIBUSI!F25</f>
        <v>0</v>
      </c>
      <c r="AX27" s="14">
        <f>'PEMAKAIAN UNIT'!F24</f>
        <v>0</v>
      </c>
      <c r="AY27" s="14">
        <f t="shared" si="15"/>
        <v>230</v>
      </c>
      <c r="AZ27" s="15">
        <f t="shared" si="16"/>
        <v>230</v>
      </c>
      <c r="BA27" s="14">
        <f t="shared" si="17"/>
        <v>90</v>
      </c>
      <c r="BB27" s="14">
        <f>DISTRIBUSI!G25</f>
        <v>0</v>
      </c>
      <c r="BC27" s="14">
        <f>'PEMAKAIAN UNIT'!G24</f>
        <v>0</v>
      </c>
      <c r="BD27" s="14">
        <f t="shared" si="18"/>
        <v>90</v>
      </c>
      <c r="BE27" s="15">
        <f t="shared" si="19"/>
        <v>0</v>
      </c>
      <c r="BF27" s="14">
        <f t="shared" si="20"/>
        <v>240</v>
      </c>
      <c r="BG27" s="14">
        <f>DISTRIBUSI!H25</f>
        <v>0</v>
      </c>
      <c r="BH27" s="14">
        <f>'PEMAKAIAN UNIT'!H24</f>
        <v>0</v>
      </c>
      <c r="BI27" s="14">
        <f t="shared" si="21"/>
        <v>240</v>
      </c>
      <c r="BJ27" s="15">
        <f t="shared" si="22"/>
        <v>240</v>
      </c>
      <c r="BK27" s="14">
        <f t="shared" si="23"/>
        <v>70</v>
      </c>
      <c r="BL27" s="14">
        <f>DISTRIBUSI!I25</f>
        <v>100</v>
      </c>
      <c r="BM27" s="14">
        <f>'PEMAKAIAN UNIT'!I24</f>
        <v>0</v>
      </c>
      <c r="BN27" s="14">
        <f t="shared" si="24"/>
        <v>170</v>
      </c>
      <c r="BO27" s="15">
        <f t="shared" si="25"/>
        <v>130</v>
      </c>
      <c r="BP27" s="14">
        <f t="shared" si="26"/>
        <v>375</v>
      </c>
      <c r="BQ27" s="14">
        <f>DISTRIBUSI!J25</f>
        <v>0</v>
      </c>
      <c r="BR27" s="14">
        <f>'PEMAKAIAN UNIT'!J24</f>
        <v>0</v>
      </c>
      <c r="BS27" s="14">
        <f t="shared" si="27"/>
        <v>375</v>
      </c>
      <c r="BT27" s="15">
        <f t="shared" si="28"/>
        <v>-45</v>
      </c>
      <c r="BU27" s="14">
        <f t="shared" si="29"/>
        <v>110</v>
      </c>
      <c r="BV27" s="14">
        <f>DISTRIBUSI!K25</f>
        <v>0</v>
      </c>
      <c r="BW27" s="14">
        <f>'PEMAKAIAN UNIT'!K24</f>
        <v>0</v>
      </c>
      <c r="BX27" s="14">
        <f t="shared" si="30"/>
        <v>110</v>
      </c>
      <c r="BY27" s="15">
        <f t="shared" si="31"/>
        <v>-70</v>
      </c>
      <c r="BZ27" s="14">
        <f t="shared" si="32"/>
        <v>170</v>
      </c>
      <c r="CA27" s="14">
        <f>DISTRIBUSI!L25</f>
        <v>0</v>
      </c>
      <c r="CB27" s="14">
        <f>'PEMAKAIAN UNIT'!L24</f>
        <v>0</v>
      </c>
      <c r="CC27" s="14">
        <f t="shared" si="33"/>
        <v>170</v>
      </c>
      <c r="CD27" s="15">
        <f t="shared" si="34"/>
        <v>50</v>
      </c>
      <c r="CE27" s="14">
        <f t="shared" si="35"/>
        <v>0</v>
      </c>
      <c r="CF27" s="14">
        <f>DISTRIBUSI!M25</f>
        <v>0</v>
      </c>
      <c r="CG27" s="14">
        <f>'PEMAKAIAN UNIT'!M24</f>
        <v>0</v>
      </c>
      <c r="CH27" s="14">
        <f t="shared" si="36"/>
        <v>0</v>
      </c>
      <c r="CI27" s="15">
        <f t="shared" si="37"/>
        <v>0</v>
      </c>
      <c r="CJ27" s="14">
        <f t="shared" si="38"/>
        <v>0</v>
      </c>
      <c r="CK27" s="14" t="e">
        <f>DISTRIBUSI!#REF!</f>
        <v>#REF!</v>
      </c>
      <c r="CL27" s="14">
        <f>'PEMAKAIAN UNIT'!N24</f>
        <v>0</v>
      </c>
      <c r="CM27" s="14" t="e">
        <f t="shared" si="39"/>
        <v>#REF!</v>
      </c>
      <c r="CN27" s="15" t="e">
        <f t="shared" si="40"/>
        <v>#REF!</v>
      </c>
      <c r="CO27" s="14" t="e">
        <f>DL27+DISTRIBUSI!#REF!-'PEMAKAIAN UNIT'!O24</f>
        <v>#REF!</v>
      </c>
      <c r="CP27" s="15" t="e">
        <f t="shared" si="41"/>
        <v>#REF!</v>
      </c>
      <c r="CQ27" s="226">
        <f t="shared" si="42"/>
        <v>2097</v>
      </c>
      <c r="CR27" s="226">
        <f>DISTRIBUSI!R25</f>
        <v>1200</v>
      </c>
      <c r="CS27" s="226">
        <f>'PEMAKAIAN UNIT'!P24</f>
        <v>0</v>
      </c>
      <c r="CT27" s="14">
        <f t="shared" si="43"/>
        <v>3297</v>
      </c>
      <c r="CU27" s="15">
        <f t="shared" si="44"/>
        <v>2011</v>
      </c>
      <c r="CV27" s="14" t="e">
        <f>DN27+DISTRIBUSI!#REF!-'PEMAKAIAN UNIT'!Q24</f>
        <v>#REF!</v>
      </c>
      <c r="CW27" s="15" t="e">
        <f t="shared" si="45"/>
        <v>#REF!</v>
      </c>
      <c r="CX27" s="14">
        <f>DO27+'LPLPO GUDANG'!E30-'LPLPO GUDANG'!G30</f>
        <v>100</v>
      </c>
      <c r="CY27" s="15">
        <f t="shared" si="46"/>
        <v>-900</v>
      </c>
      <c r="CZ27" s="28"/>
      <c r="DA27" s="14">
        <v>280</v>
      </c>
      <c r="DB27" s="14">
        <v>10</v>
      </c>
      <c r="DC27" s="14">
        <v>230</v>
      </c>
      <c r="DD27" s="14">
        <v>90</v>
      </c>
      <c r="DE27" s="14">
        <v>240</v>
      </c>
      <c r="DF27" s="14">
        <v>70</v>
      </c>
      <c r="DG27" s="14">
        <v>375</v>
      </c>
      <c r="DH27" s="14">
        <v>110</v>
      </c>
      <c r="DI27" s="14">
        <v>170</v>
      </c>
      <c r="DJ27" s="14">
        <v>0</v>
      </c>
      <c r="DK27" s="14">
        <v>0</v>
      </c>
      <c r="DL27" s="14">
        <v>0</v>
      </c>
      <c r="DM27" s="14">
        <v>2097</v>
      </c>
      <c r="DN27" s="14">
        <v>0</v>
      </c>
      <c r="DO27" s="14">
        <v>100</v>
      </c>
      <c r="DP27" s="13">
        <f t="shared" si="47"/>
        <v>3772</v>
      </c>
      <c r="DR27" t="s">
        <v>14</v>
      </c>
      <c r="DU27" s="20" t="e">
        <f t="shared" si="48"/>
        <v>#REF!</v>
      </c>
    </row>
    <row r="28" spans="1:125" customFormat="1" ht="20.149999999999999" customHeight="1" x14ac:dyDescent="0.35">
      <c r="A28" s="84">
        <f t="shared" si="49"/>
        <v>17</v>
      </c>
      <c r="B28" s="142" t="s">
        <v>15</v>
      </c>
      <c r="C28" s="157" t="s">
        <v>4</v>
      </c>
      <c r="D28" s="109">
        <v>0</v>
      </c>
      <c r="E28" s="110">
        <f>'LPLPO GUDANG'!E31</f>
        <v>0</v>
      </c>
      <c r="F28" s="110">
        <f t="shared" si="0"/>
        <v>0</v>
      </c>
      <c r="G28" s="110">
        <f>'PEMAKAIAN UNIT'!R25</f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09">
        <f t="shared" si="1"/>
        <v>0</v>
      </c>
      <c r="Z28" s="109" t="e">
        <f t="shared" si="2"/>
        <v>#REF!</v>
      </c>
      <c r="AA28" s="109" t="e">
        <f t="shared" si="3"/>
        <v>#REF!</v>
      </c>
      <c r="AB28" s="14">
        <v>22</v>
      </c>
      <c r="AC28" s="109" t="e">
        <f t="shared" si="4"/>
        <v>#REF!</v>
      </c>
      <c r="AD28" s="109">
        <f>'LPLPO GUDANG'!H31</f>
        <v>0</v>
      </c>
      <c r="AE28" s="111" t="e">
        <f t="shared" si="5"/>
        <v>#REF!</v>
      </c>
      <c r="AF28" s="212"/>
      <c r="AG28" s="212"/>
      <c r="AH28" s="20"/>
      <c r="AI28" s="14">
        <f t="shared" si="6"/>
        <v>0</v>
      </c>
      <c r="AJ28" s="209" t="e">
        <f t="shared" si="7"/>
        <v>#REF!</v>
      </c>
      <c r="AL28" s="14">
        <f t="shared" si="8"/>
        <v>0</v>
      </c>
      <c r="AM28" s="14">
        <f>DISTRIBUSI!D26</f>
        <v>0</v>
      </c>
      <c r="AN28" s="14">
        <f>'PEMAKAIAN UNIT'!D25</f>
        <v>0</v>
      </c>
      <c r="AO28" s="14">
        <f t="shared" si="9"/>
        <v>0</v>
      </c>
      <c r="AP28" s="15">
        <f t="shared" si="10"/>
        <v>0</v>
      </c>
      <c r="AQ28" s="14">
        <f t="shared" si="11"/>
        <v>0</v>
      </c>
      <c r="AR28" s="14">
        <f>DISTRIBUSI!E26</f>
        <v>0</v>
      </c>
      <c r="AS28" s="14">
        <f>'PEMAKAIAN UNIT'!E25</f>
        <v>0</v>
      </c>
      <c r="AT28" s="14">
        <f t="shared" si="12"/>
        <v>0</v>
      </c>
      <c r="AU28" s="15">
        <f t="shared" si="13"/>
        <v>0</v>
      </c>
      <c r="AV28" s="14">
        <f t="shared" si="14"/>
        <v>0</v>
      </c>
      <c r="AW28" s="14">
        <f>DISTRIBUSI!F26</f>
        <v>0</v>
      </c>
      <c r="AX28" s="14">
        <f>'PEMAKAIAN UNIT'!F25</f>
        <v>0</v>
      </c>
      <c r="AY28" s="14">
        <f t="shared" si="15"/>
        <v>0</v>
      </c>
      <c r="AZ28" s="15">
        <f t="shared" si="16"/>
        <v>0</v>
      </c>
      <c r="BA28" s="14">
        <f t="shared" si="17"/>
        <v>0</v>
      </c>
      <c r="BB28" s="14">
        <f>DISTRIBUSI!G26</f>
        <v>0</v>
      </c>
      <c r="BC28" s="14">
        <f>'PEMAKAIAN UNIT'!G25</f>
        <v>0</v>
      </c>
      <c r="BD28" s="14">
        <f t="shared" si="18"/>
        <v>0</v>
      </c>
      <c r="BE28" s="15">
        <f t="shared" si="19"/>
        <v>0</v>
      </c>
      <c r="BF28" s="14">
        <f t="shared" si="20"/>
        <v>0</v>
      </c>
      <c r="BG28" s="14">
        <f>DISTRIBUSI!H26</f>
        <v>0</v>
      </c>
      <c r="BH28" s="14">
        <f>'PEMAKAIAN UNIT'!H25</f>
        <v>0</v>
      </c>
      <c r="BI28" s="14">
        <f t="shared" si="21"/>
        <v>0</v>
      </c>
      <c r="BJ28" s="15">
        <f t="shared" si="22"/>
        <v>0</v>
      </c>
      <c r="BK28" s="14">
        <f t="shared" si="23"/>
        <v>0</v>
      </c>
      <c r="BL28" s="14">
        <f>DISTRIBUSI!I26</f>
        <v>0</v>
      </c>
      <c r="BM28" s="14">
        <f>'PEMAKAIAN UNIT'!I25</f>
        <v>0</v>
      </c>
      <c r="BN28" s="14">
        <f t="shared" si="24"/>
        <v>0</v>
      </c>
      <c r="BO28" s="15">
        <f t="shared" si="25"/>
        <v>0</v>
      </c>
      <c r="BP28" s="14">
        <f t="shared" si="26"/>
        <v>0</v>
      </c>
      <c r="BQ28" s="14">
        <f>DISTRIBUSI!J26</f>
        <v>0</v>
      </c>
      <c r="BR28" s="14">
        <f>'PEMAKAIAN UNIT'!J25</f>
        <v>0</v>
      </c>
      <c r="BS28" s="14">
        <f t="shared" si="27"/>
        <v>0</v>
      </c>
      <c r="BT28" s="15">
        <f t="shared" si="28"/>
        <v>0</v>
      </c>
      <c r="BU28" s="14">
        <f t="shared" si="29"/>
        <v>0</v>
      </c>
      <c r="BV28" s="14">
        <f>DISTRIBUSI!K26</f>
        <v>0</v>
      </c>
      <c r="BW28" s="14">
        <f>'PEMAKAIAN UNIT'!K25</f>
        <v>0</v>
      </c>
      <c r="BX28" s="14">
        <f t="shared" si="30"/>
        <v>0</v>
      </c>
      <c r="BY28" s="15">
        <f t="shared" si="31"/>
        <v>0</v>
      </c>
      <c r="BZ28" s="14">
        <f t="shared" si="32"/>
        <v>0</v>
      </c>
      <c r="CA28" s="14">
        <f>DISTRIBUSI!L26</f>
        <v>0</v>
      </c>
      <c r="CB28" s="14">
        <f>'PEMAKAIAN UNIT'!L25</f>
        <v>0</v>
      </c>
      <c r="CC28" s="14">
        <f t="shared" si="33"/>
        <v>0</v>
      </c>
      <c r="CD28" s="15">
        <f t="shared" si="34"/>
        <v>0</v>
      </c>
      <c r="CE28" s="14">
        <f t="shared" si="35"/>
        <v>0</v>
      </c>
      <c r="CF28" s="14">
        <f>DISTRIBUSI!M26</f>
        <v>0</v>
      </c>
      <c r="CG28" s="14">
        <f>'PEMAKAIAN UNIT'!M25</f>
        <v>0</v>
      </c>
      <c r="CH28" s="14">
        <f t="shared" si="36"/>
        <v>0</v>
      </c>
      <c r="CI28" s="15">
        <f t="shared" si="37"/>
        <v>0</v>
      </c>
      <c r="CJ28" s="14">
        <f t="shared" si="38"/>
        <v>0</v>
      </c>
      <c r="CK28" s="14" t="e">
        <f>DISTRIBUSI!#REF!</f>
        <v>#REF!</v>
      </c>
      <c r="CL28" s="14">
        <f>'PEMAKAIAN UNIT'!N25</f>
        <v>0</v>
      </c>
      <c r="CM28" s="14" t="e">
        <f t="shared" si="39"/>
        <v>#REF!</v>
      </c>
      <c r="CN28" s="15" t="e">
        <f t="shared" si="40"/>
        <v>#REF!</v>
      </c>
      <c r="CO28" s="14" t="e">
        <f>DL28+DISTRIBUSI!#REF!-'PEMAKAIAN UNIT'!O25</f>
        <v>#REF!</v>
      </c>
      <c r="CP28" s="15" t="e">
        <f t="shared" si="41"/>
        <v>#REF!</v>
      </c>
      <c r="CQ28" s="226">
        <f t="shared" si="42"/>
        <v>29</v>
      </c>
      <c r="CR28" s="226">
        <f>DISTRIBUSI!R26</f>
        <v>0</v>
      </c>
      <c r="CS28" s="226">
        <f>'PEMAKAIAN UNIT'!P25</f>
        <v>0</v>
      </c>
      <c r="CT28" s="14">
        <f t="shared" si="43"/>
        <v>29</v>
      </c>
      <c r="CU28" s="15">
        <f t="shared" si="44"/>
        <v>7</v>
      </c>
      <c r="CV28" s="14" t="e">
        <f>DN28+DISTRIBUSI!#REF!-'PEMAKAIAN UNIT'!Q25</f>
        <v>#REF!</v>
      </c>
      <c r="CW28" s="15" t="e">
        <f t="shared" si="45"/>
        <v>#REF!</v>
      </c>
      <c r="CX28" s="14">
        <f>DO28+'LPLPO GUDANG'!E31-'LPLPO GUDANG'!G31</f>
        <v>0</v>
      </c>
      <c r="CY28" s="15">
        <f t="shared" si="46"/>
        <v>0</v>
      </c>
      <c r="CZ28" s="28"/>
      <c r="DA28" s="14">
        <v>0</v>
      </c>
      <c r="DB28" s="14"/>
      <c r="DC28" s="14">
        <v>0</v>
      </c>
      <c r="DD28" s="14">
        <v>0</v>
      </c>
      <c r="DE28" s="14">
        <v>0</v>
      </c>
      <c r="DF28" s="14"/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29</v>
      </c>
      <c r="DN28" s="14">
        <v>0</v>
      </c>
      <c r="DO28" s="14">
        <v>0</v>
      </c>
      <c r="DP28" s="13">
        <f t="shared" si="47"/>
        <v>29</v>
      </c>
      <c r="DR28" t="s">
        <v>15</v>
      </c>
      <c r="DU28" s="20" t="e">
        <f t="shared" si="48"/>
        <v>#REF!</v>
      </c>
    </row>
    <row r="29" spans="1:125" customFormat="1" ht="20.149999999999999" customHeight="1" x14ac:dyDescent="0.35">
      <c r="A29" s="84">
        <f t="shared" si="49"/>
        <v>18</v>
      </c>
      <c r="B29" s="142" t="s">
        <v>320</v>
      </c>
      <c r="C29" s="157" t="s">
        <v>331</v>
      </c>
      <c r="D29" s="109">
        <v>0</v>
      </c>
      <c r="E29" s="110">
        <f>'LPLPO GUDANG'!E32</f>
        <v>25</v>
      </c>
      <c r="F29" s="110">
        <f t="shared" si="0"/>
        <v>25</v>
      </c>
      <c r="G29" s="110">
        <f>'PEMAKAIAN UNIT'!R26</f>
        <v>0</v>
      </c>
      <c r="H29" s="14">
        <v>0</v>
      </c>
      <c r="I29" s="14">
        <v>0</v>
      </c>
      <c r="J29" s="14">
        <v>0</v>
      </c>
      <c r="K29" s="14"/>
      <c r="L29" s="14"/>
      <c r="M29" s="14"/>
      <c r="N29" s="14"/>
      <c r="O29" s="14"/>
      <c r="P29" s="14"/>
      <c r="Q29" s="14"/>
      <c r="R29" s="14"/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09">
        <f t="shared" si="1"/>
        <v>0</v>
      </c>
      <c r="Z29" s="109" t="e">
        <f t="shared" si="2"/>
        <v>#REF!</v>
      </c>
      <c r="AA29" s="109" t="e">
        <f t="shared" si="3"/>
        <v>#REF!</v>
      </c>
      <c r="AB29" s="14">
        <v>15</v>
      </c>
      <c r="AC29" s="109" t="e">
        <f t="shared" si="4"/>
        <v>#REF!</v>
      </c>
      <c r="AD29" s="109">
        <f>'LPLPO GUDANG'!H32</f>
        <v>25</v>
      </c>
      <c r="AE29" s="111" t="e">
        <f t="shared" si="5"/>
        <v>#REF!</v>
      </c>
      <c r="AF29" s="212"/>
      <c r="AG29" s="212"/>
      <c r="AH29" s="20"/>
      <c r="AI29" s="14">
        <f t="shared" si="6"/>
        <v>25</v>
      </c>
      <c r="AJ29" s="209" t="e">
        <f t="shared" si="7"/>
        <v>#REF!</v>
      </c>
      <c r="AL29" s="14">
        <f t="shared" si="8"/>
        <v>0</v>
      </c>
      <c r="AM29" s="14">
        <f>DISTRIBUSI!D27</f>
        <v>0</v>
      </c>
      <c r="AN29" s="14">
        <f>'PEMAKAIAN UNIT'!D26</f>
        <v>0</v>
      </c>
      <c r="AO29" s="14">
        <f t="shared" si="9"/>
        <v>0</v>
      </c>
      <c r="AP29" s="15">
        <f t="shared" si="10"/>
        <v>0</v>
      </c>
      <c r="AQ29" s="14">
        <f t="shared" si="11"/>
        <v>0</v>
      </c>
      <c r="AR29" s="14">
        <f>DISTRIBUSI!E27</f>
        <v>0</v>
      </c>
      <c r="AS29" s="14">
        <f>'PEMAKAIAN UNIT'!E26</f>
        <v>0</v>
      </c>
      <c r="AT29" s="14">
        <f t="shared" si="12"/>
        <v>0</v>
      </c>
      <c r="AU29" s="15">
        <f t="shared" si="13"/>
        <v>0</v>
      </c>
      <c r="AV29" s="14">
        <f t="shared" si="14"/>
        <v>0</v>
      </c>
      <c r="AW29" s="14">
        <f>DISTRIBUSI!F27</f>
        <v>0</v>
      </c>
      <c r="AX29" s="14">
        <f>'PEMAKAIAN UNIT'!F26</f>
        <v>0</v>
      </c>
      <c r="AY29" s="14">
        <f t="shared" si="15"/>
        <v>0</v>
      </c>
      <c r="AZ29" s="15">
        <f t="shared" si="16"/>
        <v>0</v>
      </c>
      <c r="BA29" s="14">
        <f t="shared" si="17"/>
        <v>0</v>
      </c>
      <c r="BB29" s="14">
        <f>DISTRIBUSI!G27</f>
        <v>0</v>
      </c>
      <c r="BC29" s="14">
        <f>'PEMAKAIAN UNIT'!G26</f>
        <v>0</v>
      </c>
      <c r="BD29" s="14">
        <f t="shared" si="18"/>
        <v>0</v>
      </c>
      <c r="BE29" s="15">
        <f t="shared" si="19"/>
        <v>0</v>
      </c>
      <c r="BF29" s="14">
        <f t="shared" si="20"/>
        <v>0</v>
      </c>
      <c r="BG29" s="14">
        <f>DISTRIBUSI!H27</f>
        <v>0</v>
      </c>
      <c r="BH29" s="14">
        <f>'PEMAKAIAN UNIT'!H26</f>
        <v>0</v>
      </c>
      <c r="BI29" s="14">
        <f t="shared" si="21"/>
        <v>0</v>
      </c>
      <c r="BJ29" s="15">
        <f t="shared" si="22"/>
        <v>0</v>
      </c>
      <c r="BK29" s="14">
        <f t="shared" si="23"/>
        <v>0</v>
      </c>
      <c r="BL29" s="14">
        <f>DISTRIBUSI!I27</f>
        <v>0</v>
      </c>
      <c r="BM29" s="14">
        <f>'PEMAKAIAN UNIT'!I26</f>
        <v>0</v>
      </c>
      <c r="BN29" s="14">
        <f t="shared" si="24"/>
        <v>0</v>
      </c>
      <c r="BO29" s="15">
        <f t="shared" si="25"/>
        <v>0</v>
      </c>
      <c r="BP29" s="14">
        <f t="shared" si="26"/>
        <v>0</v>
      </c>
      <c r="BQ29" s="14">
        <f>DISTRIBUSI!J27</f>
        <v>0</v>
      </c>
      <c r="BR29" s="14">
        <f>'PEMAKAIAN UNIT'!J26</f>
        <v>0</v>
      </c>
      <c r="BS29" s="14">
        <f t="shared" si="27"/>
        <v>0</v>
      </c>
      <c r="BT29" s="15">
        <f t="shared" si="28"/>
        <v>0</v>
      </c>
      <c r="BU29" s="14">
        <f t="shared" si="29"/>
        <v>0</v>
      </c>
      <c r="BV29" s="14">
        <f>DISTRIBUSI!K27</f>
        <v>0</v>
      </c>
      <c r="BW29" s="14">
        <f>'PEMAKAIAN UNIT'!K26</f>
        <v>0</v>
      </c>
      <c r="BX29" s="14">
        <f t="shared" si="30"/>
        <v>0</v>
      </c>
      <c r="BY29" s="15">
        <f t="shared" si="31"/>
        <v>0</v>
      </c>
      <c r="BZ29" s="14">
        <f t="shared" si="32"/>
        <v>0</v>
      </c>
      <c r="CA29" s="14">
        <f>DISTRIBUSI!L27</f>
        <v>0</v>
      </c>
      <c r="CB29" s="14">
        <f>'PEMAKAIAN UNIT'!L26</f>
        <v>0</v>
      </c>
      <c r="CC29" s="14">
        <f t="shared" si="33"/>
        <v>0</v>
      </c>
      <c r="CD29" s="15">
        <f t="shared" si="34"/>
        <v>0</v>
      </c>
      <c r="CE29" s="14">
        <f t="shared" si="35"/>
        <v>0</v>
      </c>
      <c r="CF29" s="14">
        <f>DISTRIBUSI!M27</f>
        <v>0</v>
      </c>
      <c r="CG29" s="14">
        <f>'PEMAKAIAN UNIT'!M26</f>
        <v>0</v>
      </c>
      <c r="CH29" s="14">
        <f t="shared" si="36"/>
        <v>0</v>
      </c>
      <c r="CI29" s="15">
        <f t="shared" si="37"/>
        <v>0</v>
      </c>
      <c r="CJ29" s="14">
        <f t="shared" si="38"/>
        <v>0</v>
      </c>
      <c r="CK29" s="14" t="e">
        <f>DISTRIBUSI!#REF!</f>
        <v>#REF!</v>
      </c>
      <c r="CL29" s="14">
        <f>'PEMAKAIAN UNIT'!N26</f>
        <v>0</v>
      </c>
      <c r="CM29" s="14" t="e">
        <f t="shared" si="39"/>
        <v>#REF!</v>
      </c>
      <c r="CN29" s="15" t="e">
        <f t="shared" si="40"/>
        <v>#REF!</v>
      </c>
      <c r="CO29" s="14" t="e">
        <f>DL29+DISTRIBUSI!#REF!-'PEMAKAIAN UNIT'!O26</f>
        <v>#REF!</v>
      </c>
      <c r="CP29" s="15" t="e">
        <f t="shared" si="41"/>
        <v>#REF!</v>
      </c>
      <c r="CQ29" s="226">
        <f t="shared" si="42"/>
        <v>22</v>
      </c>
      <c r="CR29" s="226">
        <f>DISTRIBUSI!R27</f>
        <v>0</v>
      </c>
      <c r="CS29" s="226">
        <f>'PEMAKAIAN UNIT'!P26</f>
        <v>0</v>
      </c>
      <c r="CT29" s="14">
        <f t="shared" si="43"/>
        <v>22</v>
      </c>
      <c r="CU29" s="15">
        <f t="shared" si="44"/>
        <v>7</v>
      </c>
      <c r="CV29" s="14" t="e">
        <f>DN29+DISTRIBUSI!#REF!-'PEMAKAIAN UNIT'!Q26</f>
        <v>#REF!</v>
      </c>
      <c r="CW29" s="15" t="e">
        <f t="shared" si="45"/>
        <v>#REF!</v>
      </c>
      <c r="CX29" s="14">
        <f>DO29+'LPLPO GUDANG'!E32-'LPLPO GUDANG'!G32</f>
        <v>50</v>
      </c>
      <c r="CY29" s="15">
        <f t="shared" si="46"/>
        <v>25</v>
      </c>
      <c r="CZ29" s="28"/>
      <c r="DA29" s="14">
        <v>0</v>
      </c>
      <c r="DB29" s="14"/>
      <c r="DC29" s="14">
        <v>0</v>
      </c>
      <c r="DD29" s="14">
        <v>0</v>
      </c>
      <c r="DE29" s="14">
        <v>0</v>
      </c>
      <c r="DF29" s="14"/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22</v>
      </c>
      <c r="DN29" s="14">
        <v>0</v>
      </c>
      <c r="DO29" s="14">
        <v>25</v>
      </c>
      <c r="DP29" s="13">
        <f t="shared" si="47"/>
        <v>47</v>
      </c>
      <c r="DR29" t="s">
        <v>320</v>
      </c>
      <c r="DU29" s="20" t="e">
        <f t="shared" si="48"/>
        <v>#REF!</v>
      </c>
    </row>
    <row r="30" spans="1:125" customFormat="1" ht="20.149999999999999" customHeight="1" x14ac:dyDescent="0.35">
      <c r="A30" s="84">
        <f t="shared" si="49"/>
        <v>19</v>
      </c>
      <c r="B30" s="142" t="s">
        <v>17</v>
      </c>
      <c r="C30" s="157" t="s">
        <v>332</v>
      </c>
      <c r="D30" s="109">
        <v>0</v>
      </c>
      <c r="E30" s="110">
        <f>'LPLPO GUDANG'!E33</f>
        <v>0</v>
      </c>
      <c r="F30" s="110">
        <f t="shared" si="0"/>
        <v>0</v>
      </c>
      <c r="G30" s="110">
        <f>'PEMAKAIAN UNIT'!R27</f>
        <v>0</v>
      </c>
      <c r="H30" s="14">
        <v>0</v>
      </c>
      <c r="I30" s="14">
        <v>0</v>
      </c>
      <c r="J30" s="14">
        <v>0</v>
      </c>
      <c r="K30" s="14"/>
      <c r="L30" s="14"/>
      <c r="M30" s="14"/>
      <c r="N30" s="14"/>
      <c r="O30" s="14"/>
      <c r="P30" s="14"/>
      <c r="Q30" s="14"/>
      <c r="R30" s="14"/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09">
        <f t="shared" si="1"/>
        <v>0</v>
      </c>
      <c r="Z30" s="109" t="e">
        <f t="shared" si="2"/>
        <v>#REF!</v>
      </c>
      <c r="AA30" s="109" t="e">
        <f t="shared" si="3"/>
        <v>#REF!</v>
      </c>
      <c r="AB30" s="14">
        <v>120</v>
      </c>
      <c r="AC30" s="109" t="e">
        <f t="shared" si="4"/>
        <v>#REF!</v>
      </c>
      <c r="AD30" s="109">
        <f>'LPLPO GUDANG'!H33</f>
        <v>1000</v>
      </c>
      <c r="AE30" s="111" t="e">
        <f t="shared" si="5"/>
        <v>#REF!</v>
      </c>
      <c r="AF30" s="212"/>
      <c r="AG30" s="212"/>
      <c r="AH30" s="20"/>
      <c r="AI30" s="14">
        <f t="shared" si="6"/>
        <v>0</v>
      </c>
      <c r="AJ30" s="209" t="e">
        <f t="shared" si="7"/>
        <v>#REF!</v>
      </c>
      <c r="AL30" s="14">
        <f t="shared" si="8"/>
        <v>0</v>
      </c>
      <c r="AM30" s="14">
        <f>DISTRIBUSI!D28</f>
        <v>0</v>
      </c>
      <c r="AN30" s="14">
        <f>'PEMAKAIAN UNIT'!D27</f>
        <v>0</v>
      </c>
      <c r="AO30" s="14">
        <f t="shared" si="9"/>
        <v>0</v>
      </c>
      <c r="AP30" s="15">
        <f t="shared" si="10"/>
        <v>0</v>
      </c>
      <c r="AQ30" s="14">
        <f t="shared" si="11"/>
        <v>0</v>
      </c>
      <c r="AR30" s="14">
        <f>DISTRIBUSI!E28</f>
        <v>0</v>
      </c>
      <c r="AS30" s="14">
        <f>'PEMAKAIAN UNIT'!E27</f>
        <v>0</v>
      </c>
      <c r="AT30" s="14">
        <f t="shared" si="12"/>
        <v>0</v>
      </c>
      <c r="AU30" s="15">
        <f t="shared" si="13"/>
        <v>0</v>
      </c>
      <c r="AV30" s="14">
        <f t="shared" si="14"/>
        <v>0</v>
      </c>
      <c r="AW30" s="14">
        <f>DISTRIBUSI!F28</f>
        <v>0</v>
      </c>
      <c r="AX30" s="14">
        <f>'PEMAKAIAN UNIT'!F27</f>
        <v>0</v>
      </c>
      <c r="AY30" s="14">
        <f t="shared" si="15"/>
        <v>0</v>
      </c>
      <c r="AZ30" s="15">
        <f t="shared" si="16"/>
        <v>0</v>
      </c>
      <c r="BA30" s="14">
        <f t="shared" si="17"/>
        <v>0</v>
      </c>
      <c r="BB30" s="14">
        <f>DISTRIBUSI!G28</f>
        <v>0</v>
      </c>
      <c r="BC30" s="14">
        <f>'PEMAKAIAN UNIT'!G27</f>
        <v>0</v>
      </c>
      <c r="BD30" s="14">
        <f t="shared" si="18"/>
        <v>0</v>
      </c>
      <c r="BE30" s="15">
        <f t="shared" si="19"/>
        <v>0</v>
      </c>
      <c r="BF30" s="14">
        <f t="shared" si="20"/>
        <v>0</v>
      </c>
      <c r="BG30" s="14">
        <f>DISTRIBUSI!H28</f>
        <v>0</v>
      </c>
      <c r="BH30" s="14">
        <f>'PEMAKAIAN UNIT'!H27</f>
        <v>0</v>
      </c>
      <c r="BI30" s="14">
        <f t="shared" si="21"/>
        <v>0</v>
      </c>
      <c r="BJ30" s="15">
        <f t="shared" si="22"/>
        <v>0</v>
      </c>
      <c r="BK30" s="14">
        <f t="shared" si="23"/>
        <v>0</v>
      </c>
      <c r="BL30" s="14">
        <f>DISTRIBUSI!I28</f>
        <v>0</v>
      </c>
      <c r="BM30" s="14">
        <f>'PEMAKAIAN UNIT'!I27</f>
        <v>0</v>
      </c>
      <c r="BN30" s="14">
        <f t="shared" si="24"/>
        <v>0</v>
      </c>
      <c r="BO30" s="15">
        <f t="shared" si="25"/>
        <v>0</v>
      </c>
      <c r="BP30" s="14">
        <f t="shared" si="26"/>
        <v>0</v>
      </c>
      <c r="BQ30" s="14">
        <f>DISTRIBUSI!J28</f>
        <v>0</v>
      </c>
      <c r="BR30" s="14">
        <f>'PEMAKAIAN UNIT'!J27</f>
        <v>0</v>
      </c>
      <c r="BS30" s="14">
        <f t="shared" si="27"/>
        <v>0</v>
      </c>
      <c r="BT30" s="15">
        <f t="shared" si="28"/>
        <v>0</v>
      </c>
      <c r="BU30" s="14">
        <f t="shared" si="29"/>
        <v>0</v>
      </c>
      <c r="BV30" s="14">
        <f>DISTRIBUSI!K28</f>
        <v>0</v>
      </c>
      <c r="BW30" s="14">
        <f>'PEMAKAIAN UNIT'!K27</f>
        <v>0</v>
      </c>
      <c r="BX30" s="14">
        <f t="shared" si="30"/>
        <v>0</v>
      </c>
      <c r="BY30" s="15">
        <f t="shared" si="31"/>
        <v>0</v>
      </c>
      <c r="BZ30" s="14">
        <f t="shared" si="32"/>
        <v>0</v>
      </c>
      <c r="CA30" s="14">
        <f>DISTRIBUSI!L28</f>
        <v>0</v>
      </c>
      <c r="CB30" s="14">
        <f>'PEMAKAIAN UNIT'!L27</f>
        <v>0</v>
      </c>
      <c r="CC30" s="14">
        <f t="shared" si="33"/>
        <v>0</v>
      </c>
      <c r="CD30" s="15">
        <f t="shared" si="34"/>
        <v>0</v>
      </c>
      <c r="CE30" s="14">
        <f t="shared" si="35"/>
        <v>0</v>
      </c>
      <c r="CF30" s="14">
        <f>DISTRIBUSI!M28</f>
        <v>0</v>
      </c>
      <c r="CG30" s="14">
        <f>'PEMAKAIAN UNIT'!M27</f>
        <v>0</v>
      </c>
      <c r="CH30" s="14">
        <f t="shared" si="36"/>
        <v>0</v>
      </c>
      <c r="CI30" s="15">
        <f t="shared" si="37"/>
        <v>0</v>
      </c>
      <c r="CJ30" s="14">
        <f t="shared" si="38"/>
        <v>0</v>
      </c>
      <c r="CK30" s="14" t="e">
        <f>DISTRIBUSI!#REF!</f>
        <v>#REF!</v>
      </c>
      <c r="CL30" s="14">
        <f>'PEMAKAIAN UNIT'!N27</f>
        <v>0</v>
      </c>
      <c r="CM30" s="14" t="e">
        <f t="shared" si="39"/>
        <v>#REF!</v>
      </c>
      <c r="CN30" s="15" t="e">
        <f t="shared" si="40"/>
        <v>#REF!</v>
      </c>
      <c r="CO30" s="14" t="e">
        <f>DL30+DISTRIBUSI!#REF!-'PEMAKAIAN UNIT'!O27</f>
        <v>#REF!</v>
      </c>
      <c r="CP30" s="15" t="e">
        <f t="shared" si="41"/>
        <v>#REF!</v>
      </c>
      <c r="CQ30" s="226">
        <f t="shared" si="42"/>
        <v>190</v>
      </c>
      <c r="CR30" s="226">
        <f>DISTRIBUSI!R28</f>
        <v>0</v>
      </c>
      <c r="CS30" s="226">
        <f>'PEMAKAIAN UNIT'!P27</f>
        <v>0</v>
      </c>
      <c r="CT30" s="14">
        <f t="shared" si="43"/>
        <v>190</v>
      </c>
      <c r="CU30" s="15">
        <f t="shared" si="44"/>
        <v>70</v>
      </c>
      <c r="CV30" s="14" t="e">
        <f>DN30+DISTRIBUSI!#REF!-'PEMAKAIAN UNIT'!Q27</f>
        <v>#REF!</v>
      </c>
      <c r="CW30" s="15" t="e">
        <f t="shared" si="45"/>
        <v>#REF!</v>
      </c>
      <c r="CX30" s="14">
        <f>DO30+'LPLPO GUDANG'!E33-'LPLPO GUDANG'!G33</f>
        <v>100</v>
      </c>
      <c r="CY30" s="15">
        <f t="shared" si="46"/>
        <v>-900</v>
      </c>
      <c r="CZ30" s="28"/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/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190</v>
      </c>
      <c r="DN30" s="14">
        <v>0</v>
      </c>
      <c r="DO30" s="14">
        <v>100</v>
      </c>
      <c r="DP30" s="13">
        <f t="shared" si="47"/>
        <v>290</v>
      </c>
      <c r="DR30" t="s">
        <v>17</v>
      </c>
      <c r="DU30" s="20" t="e">
        <f t="shared" si="48"/>
        <v>#REF!</v>
      </c>
    </row>
    <row r="31" spans="1:125" customFormat="1" ht="20.149999999999999" customHeight="1" x14ac:dyDescent="0.35">
      <c r="A31" s="84">
        <f t="shared" si="49"/>
        <v>20</v>
      </c>
      <c r="B31" s="142" t="s">
        <v>18</v>
      </c>
      <c r="C31" s="157" t="s">
        <v>333</v>
      </c>
      <c r="D31" s="109">
        <v>0</v>
      </c>
      <c r="E31" s="110">
        <f>'LPLPO GUDANG'!E34</f>
        <v>0</v>
      </c>
      <c r="F31" s="110">
        <f t="shared" si="0"/>
        <v>0</v>
      </c>
      <c r="G31" s="110">
        <f>'PEMAKAIAN UNIT'!R28</f>
        <v>0</v>
      </c>
      <c r="H31" s="14">
        <v>0</v>
      </c>
      <c r="I31" s="14">
        <v>140</v>
      </c>
      <c r="J31" s="14">
        <v>0</v>
      </c>
      <c r="K31" s="14"/>
      <c r="L31" s="14"/>
      <c r="M31" s="14"/>
      <c r="N31" s="14"/>
      <c r="O31" s="14"/>
      <c r="P31" s="14"/>
      <c r="Q31" s="14"/>
      <c r="R31" s="14"/>
      <c r="S31" s="14">
        <v>70</v>
      </c>
      <c r="T31" s="14">
        <v>0</v>
      </c>
      <c r="U31" s="14">
        <v>70</v>
      </c>
      <c r="V31" s="14">
        <v>180</v>
      </c>
      <c r="W31" s="14">
        <v>0</v>
      </c>
      <c r="X31" s="14">
        <v>24</v>
      </c>
      <c r="Y31" s="109">
        <f t="shared" si="1"/>
        <v>0</v>
      </c>
      <c r="Z31" s="109" t="e">
        <f t="shared" si="2"/>
        <v>#REF!</v>
      </c>
      <c r="AA31" s="109" t="e">
        <f t="shared" si="3"/>
        <v>#REF!</v>
      </c>
      <c r="AB31" s="14">
        <v>122</v>
      </c>
      <c r="AC31" s="109" t="e">
        <f t="shared" si="4"/>
        <v>#REF!</v>
      </c>
      <c r="AD31" s="109">
        <f>'LPLPO GUDANG'!H34</f>
        <v>800</v>
      </c>
      <c r="AE31" s="111" t="e">
        <f t="shared" si="5"/>
        <v>#REF!</v>
      </c>
      <c r="AF31" s="212"/>
      <c r="AG31" s="212"/>
      <c r="AH31" s="20"/>
      <c r="AI31" s="14">
        <f t="shared" si="6"/>
        <v>0</v>
      </c>
      <c r="AJ31" s="209" t="e">
        <f t="shared" si="7"/>
        <v>#REF!</v>
      </c>
      <c r="AL31" s="14">
        <f t="shared" si="8"/>
        <v>0</v>
      </c>
      <c r="AM31" s="14">
        <f>DISTRIBUSI!D29</f>
        <v>0</v>
      </c>
      <c r="AN31" s="14">
        <f>'PEMAKAIAN UNIT'!D28</f>
        <v>0</v>
      </c>
      <c r="AO31" s="14">
        <f t="shared" si="9"/>
        <v>0</v>
      </c>
      <c r="AP31" s="15">
        <f t="shared" si="10"/>
        <v>0</v>
      </c>
      <c r="AQ31" s="14">
        <f t="shared" si="11"/>
        <v>0</v>
      </c>
      <c r="AR31" s="14">
        <f>DISTRIBUSI!E29</f>
        <v>0</v>
      </c>
      <c r="AS31" s="14">
        <f>'PEMAKAIAN UNIT'!E28</f>
        <v>0</v>
      </c>
      <c r="AT31" s="14">
        <f t="shared" si="12"/>
        <v>0</v>
      </c>
      <c r="AU31" s="15">
        <f t="shared" si="13"/>
        <v>-140</v>
      </c>
      <c r="AV31" s="14">
        <f t="shared" si="14"/>
        <v>160</v>
      </c>
      <c r="AW31" s="14">
        <f>DISTRIBUSI!F29</f>
        <v>0</v>
      </c>
      <c r="AX31" s="14">
        <f>'PEMAKAIAN UNIT'!F28</f>
        <v>0</v>
      </c>
      <c r="AY31" s="14">
        <f t="shared" si="15"/>
        <v>160</v>
      </c>
      <c r="AZ31" s="15">
        <f t="shared" si="16"/>
        <v>160</v>
      </c>
      <c r="BA31" s="14">
        <f t="shared" si="17"/>
        <v>70</v>
      </c>
      <c r="BB31" s="14">
        <f>DISTRIBUSI!G29</f>
        <v>0</v>
      </c>
      <c r="BC31" s="14">
        <f>'PEMAKAIAN UNIT'!G28</f>
        <v>0</v>
      </c>
      <c r="BD31" s="14">
        <f t="shared" si="18"/>
        <v>70</v>
      </c>
      <c r="BE31" s="15">
        <f t="shared" si="19"/>
        <v>0</v>
      </c>
      <c r="BF31" s="14">
        <f t="shared" si="20"/>
        <v>0</v>
      </c>
      <c r="BG31" s="14">
        <f>DISTRIBUSI!H29</f>
        <v>0</v>
      </c>
      <c r="BH31" s="14">
        <f>'PEMAKAIAN UNIT'!H28</f>
        <v>0</v>
      </c>
      <c r="BI31" s="14">
        <f t="shared" si="21"/>
        <v>0</v>
      </c>
      <c r="BJ31" s="15">
        <f t="shared" si="22"/>
        <v>0</v>
      </c>
      <c r="BK31" s="14">
        <f t="shared" si="23"/>
        <v>70</v>
      </c>
      <c r="BL31" s="14">
        <f>DISTRIBUSI!I29</f>
        <v>0</v>
      </c>
      <c r="BM31" s="14">
        <f>'PEMAKAIAN UNIT'!I28</f>
        <v>0</v>
      </c>
      <c r="BN31" s="14">
        <f t="shared" si="24"/>
        <v>70</v>
      </c>
      <c r="BO31" s="15">
        <f t="shared" si="25"/>
        <v>0</v>
      </c>
      <c r="BP31" s="14">
        <f t="shared" si="26"/>
        <v>80</v>
      </c>
      <c r="BQ31" s="14">
        <f>DISTRIBUSI!J29</f>
        <v>0</v>
      </c>
      <c r="BR31" s="14">
        <f>'PEMAKAIAN UNIT'!J28</f>
        <v>0</v>
      </c>
      <c r="BS31" s="14">
        <f t="shared" si="27"/>
        <v>80</v>
      </c>
      <c r="BT31" s="15">
        <f t="shared" si="28"/>
        <v>-100</v>
      </c>
      <c r="BU31" s="14">
        <f t="shared" si="29"/>
        <v>65</v>
      </c>
      <c r="BV31" s="14">
        <f>DISTRIBUSI!K29</f>
        <v>0</v>
      </c>
      <c r="BW31" s="14">
        <f>'PEMAKAIAN UNIT'!K28</f>
        <v>0</v>
      </c>
      <c r="BX31" s="14">
        <f t="shared" si="30"/>
        <v>65</v>
      </c>
      <c r="BY31" s="15">
        <f t="shared" si="31"/>
        <v>65</v>
      </c>
      <c r="BZ31" s="14">
        <f t="shared" si="32"/>
        <v>34</v>
      </c>
      <c r="CA31" s="14">
        <f>DISTRIBUSI!L29</f>
        <v>0</v>
      </c>
      <c r="CB31" s="14">
        <f>'PEMAKAIAN UNIT'!L28</f>
        <v>0</v>
      </c>
      <c r="CC31" s="14">
        <f t="shared" si="33"/>
        <v>34</v>
      </c>
      <c r="CD31" s="15">
        <f t="shared" si="34"/>
        <v>10</v>
      </c>
      <c r="CE31" s="14">
        <f t="shared" si="35"/>
        <v>0</v>
      </c>
      <c r="CF31" s="14">
        <f>DISTRIBUSI!M29</f>
        <v>0</v>
      </c>
      <c r="CG31" s="14">
        <f>'PEMAKAIAN UNIT'!M28</f>
        <v>0</v>
      </c>
      <c r="CH31" s="14">
        <f t="shared" si="36"/>
        <v>0</v>
      </c>
      <c r="CI31" s="15">
        <f t="shared" si="37"/>
        <v>0</v>
      </c>
      <c r="CJ31" s="14">
        <f t="shared" si="38"/>
        <v>0</v>
      </c>
      <c r="CK31" s="14" t="e">
        <f>DISTRIBUSI!#REF!</f>
        <v>#REF!</v>
      </c>
      <c r="CL31" s="14">
        <f>'PEMAKAIAN UNIT'!N28</f>
        <v>0</v>
      </c>
      <c r="CM31" s="14" t="e">
        <f t="shared" si="39"/>
        <v>#REF!</v>
      </c>
      <c r="CN31" s="15" t="e">
        <f t="shared" si="40"/>
        <v>#REF!</v>
      </c>
      <c r="CO31" s="14" t="e">
        <f>DL31+DISTRIBUSI!#REF!-'PEMAKAIAN UNIT'!O28</f>
        <v>#REF!</v>
      </c>
      <c r="CP31" s="15" t="e">
        <f t="shared" si="41"/>
        <v>#REF!</v>
      </c>
      <c r="CQ31" s="226">
        <f t="shared" si="42"/>
        <v>402</v>
      </c>
      <c r="CR31" s="226">
        <f>DISTRIBUSI!R29</f>
        <v>0</v>
      </c>
      <c r="CS31" s="226">
        <f>'PEMAKAIAN UNIT'!P28</f>
        <v>0</v>
      </c>
      <c r="CT31" s="14">
        <f t="shared" si="43"/>
        <v>402</v>
      </c>
      <c r="CU31" s="15">
        <f t="shared" si="44"/>
        <v>280</v>
      </c>
      <c r="CV31" s="14" t="e">
        <f>DN31+DISTRIBUSI!#REF!-'PEMAKAIAN UNIT'!Q28</f>
        <v>#REF!</v>
      </c>
      <c r="CW31" s="15" t="e">
        <f t="shared" si="45"/>
        <v>#REF!</v>
      </c>
      <c r="CX31" s="14">
        <f>DO31+'LPLPO GUDANG'!E34-'LPLPO GUDANG'!G34</f>
        <v>1050</v>
      </c>
      <c r="CY31" s="15">
        <f t="shared" si="46"/>
        <v>250</v>
      </c>
      <c r="CZ31" s="28"/>
      <c r="DA31" s="14">
        <v>0</v>
      </c>
      <c r="DB31" s="14">
        <v>0</v>
      </c>
      <c r="DC31" s="14">
        <v>160</v>
      </c>
      <c r="DD31" s="14">
        <v>70</v>
      </c>
      <c r="DE31" s="14">
        <v>0</v>
      </c>
      <c r="DF31" s="14">
        <v>70</v>
      </c>
      <c r="DG31" s="14">
        <v>80</v>
      </c>
      <c r="DH31" s="14">
        <v>65</v>
      </c>
      <c r="DI31" s="14">
        <v>34</v>
      </c>
      <c r="DJ31" s="14">
        <v>0</v>
      </c>
      <c r="DK31" s="14">
        <v>0</v>
      </c>
      <c r="DL31" s="14">
        <v>0</v>
      </c>
      <c r="DM31" s="14">
        <v>402</v>
      </c>
      <c r="DN31" s="14">
        <v>0</v>
      </c>
      <c r="DO31" s="14">
        <v>1050</v>
      </c>
      <c r="DP31" s="13">
        <f t="shared" si="47"/>
        <v>1931</v>
      </c>
      <c r="DR31" t="s">
        <v>18</v>
      </c>
      <c r="DU31" s="20" t="e">
        <f t="shared" si="48"/>
        <v>#REF!</v>
      </c>
    </row>
    <row r="32" spans="1:125" customFormat="1" ht="20.149999999999999" customHeight="1" x14ac:dyDescent="0.35">
      <c r="A32" s="84">
        <f t="shared" si="49"/>
        <v>21</v>
      </c>
      <c r="B32" s="142" t="s">
        <v>412</v>
      </c>
      <c r="C32" s="117"/>
      <c r="D32" s="109">
        <v>0</v>
      </c>
      <c r="E32" s="110">
        <f>'LPLPO GUDANG'!E35</f>
        <v>2000</v>
      </c>
      <c r="F32" s="110">
        <f t="shared" si="0"/>
        <v>2000</v>
      </c>
      <c r="G32" s="110">
        <f>'PEMAKAIAN UNIT'!R29</f>
        <v>0</v>
      </c>
      <c r="H32" s="14">
        <v>0</v>
      </c>
      <c r="I32" s="14">
        <v>0</v>
      </c>
      <c r="J32" s="14">
        <v>0</v>
      </c>
      <c r="K32" s="14"/>
      <c r="L32" s="14"/>
      <c r="M32" s="14"/>
      <c r="N32" s="14"/>
      <c r="O32" s="14"/>
      <c r="P32" s="14"/>
      <c r="Q32" s="14"/>
      <c r="R32" s="14"/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09">
        <f t="shared" si="1"/>
        <v>0</v>
      </c>
      <c r="Z32" s="109" t="e">
        <f t="shared" si="2"/>
        <v>#REF!</v>
      </c>
      <c r="AA32" s="109" t="e">
        <f t="shared" si="3"/>
        <v>#REF!</v>
      </c>
      <c r="AB32" s="14">
        <v>1228</v>
      </c>
      <c r="AC32" s="109" t="e">
        <f t="shared" si="4"/>
        <v>#REF!</v>
      </c>
      <c r="AD32" s="109">
        <f>'LPLPO GUDANG'!H35</f>
        <v>3000</v>
      </c>
      <c r="AE32" s="111" t="e">
        <f t="shared" si="5"/>
        <v>#REF!</v>
      </c>
      <c r="AF32" s="212"/>
      <c r="AG32" s="212"/>
      <c r="AH32" s="20"/>
      <c r="AI32" s="14">
        <f t="shared" si="6"/>
        <v>2000</v>
      </c>
      <c r="AJ32" s="209" t="e">
        <f t="shared" si="7"/>
        <v>#REF!</v>
      </c>
      <c r="AL32" s="14">
        <f t="shared" si="8"/>
        <v>0</v>
      </c>
      <c r="AM32" s="14">
        <f>DISTRIBUSI!D30</f>
        <v>0</v>
      </c>
      <c r="AN32" s="14">
        <f>'PEMAKAIAN UNIT'!D29</f>
        <v>0</v>
      </c>
      <c r="AO32" s="14">
        <f t="shared" si="9"/>
        <v>0</v>
      </c>
      <c r="AP32" s="15">
        <f t="shared" si="10"/>
        <v>0</v>
      </c>
      <c r="AQ32" s="14">
        <f t="shared" si="11"/>
        <v>0</v>
      </c>
      <c r="AR32" s="14">
        <f>DISTRIBUSI!E30</f>
        <v>0</v>
      </c>
      <c r="AS32" s="14">
        <f>'PEMAKAIAN UNIT'!E29</f>
        <v>0</v>
      </c>
      <c r="AT32" s="14">
        <f t="shared" si="12"/>
        <v>0</v>
      </c>
      <c r="AU32" s="15">
        <f t="shared" si="13"/>
        <v>0</v>
      </c>
      <c r="AV32" s="14">
        <f t="shared" si="14"/>
        <v>0</v>
      </c>
      <c r="AW32" s="14">
        <f>DISTRIBUSI!F30</f>
        <v>0</v>
      </c>
      <c r="AX32" s="14">
        <f>'PEMAKAIAN UNIT'!F29</f>
        <v>0</v>
      </c>
      <c r="AY32" s="14">
        <f t="shared" si="15"/>
        <v>0</v>
      </c>
      <c r="AZ32" s="15">
        <f t="shared" si="16"/>
        <v>0</v>
      </c>
      <c r="BA32" s="14">
        <f t="shared" si="17"/>
        <v>0</v>
      </c>
      <c r="BB32" s="14">
        <f>DISTRIBUSI!G30</f>
        <v>0</v>
      </c>
      <c r="BC32" s="14">
        <f>'PEMAKAIAN UNIT'!G29</f>
        <v>0</v>
      </c>
      <c r="BD32" s="14">
        <f t="shared" si="18"/>
        <v>0</v>
      </c>
      <c r="BE32" s="15">
        <f t="shared" si="19"/>
        <v>0</v>
      </c>
      <c r="BF32" s="14">
        <f t="shared" si="20"/>
        <v>0</v>
      </c>
      <c r="BG32" s="14">
        <f>DISTRIBUSI!H30</f>
        <v>0</v>
      </c>
      <c r="BH32" s="14">
        <f>'PEMAKAIAN UNIT'!H29</f>
        <v>0</v>
      </c>
      <c r="BI32" s="14">
        <f t="shared" si="21"/>
        <v>0</v>
      </c>
      <c r="BJ32" s="15">
        <f t="shared" si="22"/>
        <v>0</v>
      </c>
      <c r="BK32" s="14">
        <f t="shared" si="23"/>
        <v>0</v>
      </c>
      <c r="BL32" s="14">
        <f>DISTRIBUSI!I30</f>
        <v>0</v>
      </c>
      <c r="BM32" s="14">
        <f>'PEMAKAIAN UNIT'!I29</f>
        <v>0</v>
      </c>
      <c r="BN32" s="14">
        <f t="shared" si="24"/>
        <v>0</v>
      </c>
      <c r="BO32" s="15">
        <f t="shared" si="25"/>
        <v>0</v>
      </c>
      <c r="BP32" s="14">
        <f t="shared" si="26"/>
        <v>0</v>
      </c>
      <c r="BQ32" s="14">
        <f>DISTRIBUSI!J30</f>
        <v>0</v>
      </c>
      <c r="BR32" s="14">
        <f>'PEMAKAIAN UNIT'!J29</f>
        <v>0</v>
      </c>
      <c r="BS32" s="14">
        <f t="shared" si="27"/>
        <v>0</v>
      </c>
      <c r="BT32" s="15">
        <f t="shared" si="28"/>
        <v>0</v>
      </c>
      <c r="BU32" s="14">
        <f t="shared" si="29"/>
        <v>0</v>
      </c>
      <c r="BV32" s="14">
        <f>DISTRIBUSI!K30</f>
        <v>0</v>
      </c>
      <c r="BW32" s="14">
        <f>'PEMAKAIAN UNIT'!K29</f>
        <v>0</v>
      </c>
      <c r="BX32" s="14">
        <f t="shared" si="30"/>
        <v>0</v>
      </c>
      <c r="BY32" s="15">
        <f t="shared" si="31"/>
        <v>0</v>
      </c>
      <c r="BZ32" s="14">
        <f t="shared" si="32"/>
        <v>0</v>
      </c>
      <c r="CA32" s="14">
        <f>DISTRIBUSI!L30</f>
        <v>0</v>
      </c>
      <c r="CB32" s="14">
        <f>'PEMAKAIAN UNIT'!L29</f>
        <v>0</v>
      </c>
      <c r="CC32" s="14">
        <f t="shared" si="33"/>
        <v>0</v>
      </c>
      <c r="CD32" s="15">
        <f t="shared" si="34"/>
        <v>0</v>
      </c>
      <c r="CE32" s="14">
        <f t="shared" si="35"/>
        <v>0</v>
      </c>
      <c r="CF32" s="14">
        <f>DISTRIBUSI!M30</f>
        <v>0</v>
      </c>
      <c r="CG32" s="14">
        <f>'PEMAKAIAN UNIT'!M29</f>
        <v>0</v>
      </c>
      <c r="CH32" s="14">
        <f t="shared" si="36"/>
        <v>0</v>
      </c>
      <c r="CI32" s="15">
        <f t="shared" si="37"/>
        <v>0</v>
      </c>
      <c r="CJ32" s="14">
        <f t="shared" si="38"/>
        <v>0</v>
      </c>
      <c r="CK32" s="14" t="e">
        <f>DISTRIBUSI!#REF!</f>
        <v>#REF!</v>
      </c>
      <c r="CL32" s="14">
        <f>'PEMAKAIAN UNIT'!N29</f>
        <v>0</v>
      </c>
      <c r="CM32" s="14" t="e">
        <f t="shared" si="39"/>
        <v>#REF!</v>
      </c>
      <c r="CN32" s="15" t="e">
        <f t="shared" si="40"/>
        <v>#REF!</v>
      </c>
      <c r="CO32" s="14" t="e">
        <f>DL32+DISTRIBUSI!#REF!-'PEMAKAIAN UNIT'!O29</f>
        <v>#REF!</v>
      </c>
      <c r="CP32" s="15" t="e">
        <f t="shared" si="41"/>
        <v>#REF!</v>
      </c>
      <c r="CQ32" s="226">
        <f t="shared" si="42"/>
        <v>768</v>
      </c>
      <c r="CR32" s="226">
        <f>DISTRIBUSI!R30</f>
        <v>0</v>
      </c>
      <c r="CS32" s="226">
        <f>'PEMAKAIAN UNIT'!P29</f>
        <v>0</v>
      </c>
      <c r="CT32" s="14">
        <f t="shared" si="43"/>
        <v>768</v>
      </c>
      <c r="CU32" s="15">
        <f t="shared" si="44"/>
        <v>-460</v>
      </c>
      <c r="CV32" s="14" t="e">
        <f>DN32+DISTRIBUSI!#REF!-'PEMAKAIAN UNIT'!Q29</f>
        <v>#REF!</v>
      </c>
      <c r="CW32" s="15" t="e">
        <f t="shared" si="45"/>
        <v>#REF!</v>
      </c>
      <c r="CX32" s="14">
        <f>DO32+'LPLPO GUDANG'!E35-'LPLPO GUDANG'!G35</f>
        <v>4000</v>
      </c>
      <c r="CY32" s="15">
        <f t="shared" si="46"/>
        <v>1000</v>
      </c>
      <c r="CZ32" s="28"/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768</v>
      </c>
      <c r="DN32" s="14">
        <v>0</v>
      </c>
      <c r="DO32" s="14">
        <v>2000</v>
      </c>
      <c r="DP32" s="13">
        <f t="shared" si="47"/>
        <v>2768</v>
      </c>
      <c r="DR32" t="s">
        <v>19</v>
      </c>
      <c r="DU32" s="20" t="e">
        <f t="shared" si="48"/>
        <v>#REF!</v>
      </c>
    </row>
    <row r="33" spans="1:125" customFormat="1" ht="20.149999999999999" customHeight="1" x14ac:dyDescent="0.35">
      <c r="A33" s="84">
        <f t="shared" si="49"/>
        <v>22</v>
      </c>
      <c r="B33" s="142" t="s">
        <v>19</v>
      </c>
      <c r="C33" s="155" t="s">
        <v>4</v>
      </c>
      <c r="D33" s="109">
        <v>0</v>
      </c>
      <c r="E33" s="110">
        <f>'LPLPO GUDANG'!E36</f>
        <v>0</v>
      </c>
      <c r="F33" s="110">
        <f t="shared" si="0"/>
        <v>0</v>
      </c>
      <c r="G33" s="110">
        <f>'PEMAKAIAN UNIT'!R30</f>
        <v>0</v>
      </c>
      <c r="H33" s="14">
        <v>0</v>
      </c>
      <c r="I33" s="14">
        <v>0</v>
      </c>
      <c r="J33" s="14">
        <v>0</v>
      </c>
      <c r="K33" s="14"/>
      <c r="L33" s="14"/>
      <c r="M33" s="14"/>
      <c r="N33" s="14"/>
      <c r="O33" s="14"/>
      <c r="P33" s="14"/>
      <c r="Q33" s="14"/>
      <c r="R33" s="14"/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09">
        <f t="shared" si="1"/>
        <v>0</v>
      </c>
      <c r="Z33" s="109" t="e">
        <f t="shared" si="2"/>
        <v>#REF!</v>
      </c>
      <c r="AA33" s="109" t="e">
        <f t="shared" si="3"/>
        <v>#REF!</v>
      </c>
      <c r="AB33" s="14">
        <v>0</v>
      </c>
      <c r="AC33" s="109" t="e">
        <f t="shared" si="4"/>
        <v>#REF!</v>
      </c>
      <c r="AD33" s="109">
        <f>'LPLPO GUDANG'!H36</f>
        <v>0</v>
      </c>
      <c r="AE33" s="111" t="e">
        <f t="shared" si="5"/>
        <v>#REF!</v>
      </c>
      <c r="AF33" s="212"/>
      <c r="AG33" s="212"/>
      <c r="AH33" s="20"/>
      <c r="AI33" s="14">
        <f t="shared" si="6"/>
        <v>0</v>
      </c>
      <c r="AJ33" s="209" t="e">
        <f t="shared" si="7"/>
        <v>#REF!</v>
      </c>
      <c r="AL33" s="14">
        <f t="shared" si="8"/>
        <v>0</v>
      </c>
      <c r="AM33" s="14">
        <f>DISTRIBUSI!D31</f>
        <v>0</v>
      </c>
      <c r="AN33" s="14">
        <f>'PEMAKAIAN UNIT'!D30</f>
        <v>0</v>
      </c>
      <c r="AO33" s="14">
        <f t="shared" si="9"/>
        <v>0</v>
      </c>
      <c r="AP33" s="15">
        <f t="shared" si="10"/>
        <v>0</v>
      </c>
      <c r="AQ33" s="14">
        <f t="shared" si="11"/>
        <v>0</v>
      </c>
      <c r="AR33" s="14">
        <f>DISTRIBUSI!E31</f>
        <v>0</v>
      </c>
      <c r="AS33" s="14">
        <f>'PEMAKAIAN UNIT'!E30</f>
        <v>0</v>
      </c>
      <c r="AT33" s="14">
        <f t="shared" si="12"/>
        <v>0</v>
      </c>
      <c r="AU33" s="15">
        <f t="shared" si="13"/>
        <v>0</v>
      </c>
      <c r="AV33" s="14">
        <f t="shared" si="14"/>
        <v>0</v>
      </c>
      <c r="AW33" s="14">
        <f>DISTRIBUSI!F31</f>
        <v>0</v>
      </c>
      <c r="AX33" s="14">
        <f>'PEMAKAIAN UNIT'!F30</f>
        <v>0</v>
      </c>
      <c r="AY33" s="14">
        <f t="shared" si="15"/>
        <v>0</v>
      </c>
      <c r="AZ33" s="15">
        <f t="shared" si="16"/>
        <v>0</v>
      </c>
      <c r="BA33" s="14">
        <f t="shared" si="17"/>
        <v>0</v>
      </c>
      <c r="BB33" s="14">
        <f>DISTRIBUSI!G31</f>
        <v>0</v>
      </c>
      <c r="BC33" s="14">
        <f>'PEMAKAIAN UNIT'!G30</f>
        <v>0</v>
      </c>
      <c r="BD33" s="14">
        <f t="shared" si="18"/>
        <v>0</v>
      </c>
      <c r="BE33" s="15">
        <f t="shared" si="19"/>
        <v>0</v>
      </c>
      <c r="BF33" s="14">
        <f t="shared" si="20"/>
        <v>0</v>
      </c>
      <c r="BG33" s="14">
        <f>DISTRIBUSI!H31</f>
        <v>0</v>
      </c>
      <c r="BH33" s="14">
        <f>'PEMAKAIAN UNIT'!H30</f>
        <v>0</v>
      </c>
      <c r="BI33" s="14">
        <f t="shared" si="21"/>
        <v>0</v>
      </c>
      <c r="BJ33" s="15">
        <f t="shared" si="22"/>
        <v>0</v>
      </c>
      <c r="BK33" s="14">
        <f t="shared" si="23"/>
        <v>0</v>
      </c>
      <c r="BL33" s="14">
        <f>DISTRIBUSI!I31</f>
        <v>0</v>
      </c>
      <c r="BM33" s="14">
        <f>'PEMAKAIAN UNIT'!I30</f>
        <v>0</v>
      </c>
      <c r="BN33" s="14">
        <f t="shared" si="24"/>
        <v>0</v>
      </c>
      <c r="BO33" s="15">
        <f t="shared" si="25"/>
        <v>0</v>
      </c>
      <c r="BP33" s="14">
        <f t="shared" si="26"/>
        <v>0</v>
      </c>
      <c r="BQ33" s="14">
        <f>DISTRIBUSI!J31</f>
        <v>0</v>
      </c>
      <c r="BR33" s="14">
        <f>'PEMAKAIAN UNIT'!J30</f>
        <v>0</v>
      </c>
      <c r="BS33" s="14">
        <f t="shared" si="27"/>
        <v>0</v>
      </c>
      <c r="BT33" s="15">
        <f t="shared" si="28"/>
        <v>0</v>
      </c>
      <c r="BU33" s="14">
        <f t="shared" si="29"/>
        <v>0</v>
      </c>
      <c r="BV33" s="14">
        <f>DISTRIBUSI!K31</f>
        <v>0</v>
      </c>
      <c r="BW33" s="14">
        <f>'PEMAKAIAN UNIT'!K30</f>
        <v>0</v>
      </c>
      <c r="BX33" s="14">
        <f t="shared" si="30"/>
        <v>0</v>
      </c>
      <c r="BY33" s="15">
        <f t="shared" si="31"/>
        <v>0</v>
      </c>
      <c r="BZ33" s="14">
        <f t="shared" si="32"/>
        <v>0</v>
      </c>
      <c r="CA33" s="14">
        <f>DISTRIBUSI!L31</f>
        <v>0</v>
      </c>
      <c r="CB33" s="14">
        <f>'PEMAKAIAN UNIT'!L30</f>
        <v>0</v>
      </c>
      <c r="CC33" s="14">
        <f t="shared" si="33"/>
        <v>0</v>
      </c>
      <c r="CD33" s="15">
        <f t="shared" si="34"/>
        <v>0</v>
      </c>
      <c r="CE33" s="14">
        <f t="shared" si="35"/>
        <v>0</v>
      </c>
      <c r="CF33" s="14">
        <f>DISTRIBUSI!M31</f>
        <v>0</v>
      </c>
      <c r="CG33" s="14">
        <f>'PEMAKAIAN UNIT'!M30</f>
        <v>0</v>
      </c>
      <c r="CH33" s="14">
        <f t="shared" si="36"/>
        <v>0</v>
      </c>
      <c r="CI33" s="15">
        <f t="shared" si="37"/>
        <v>0</v>
      </c>
      <c r="CJ33" s="14">
        <f t="shared" si="38"/>
        <v>0</v>
      </c>
      <c r="CK33" s="14" t="e">
        <f>DISTRIBUSI!#REF!</f>
        <v>#REF!</v>
      </c>
      <c r="CL33" s="14">
        <f>'PEMAKAIAN UNIT'!N30</f>
        <v>0</v>
      </c>
      <c r="CM33" s="14" t="e">
        <f t="shared" si="39"/>
        <v>#REF!</v>
      </c>
      <c r="CN33" s="15" t="e">
        <f t="shared" si="40"/>
        <v>#REF!</v>
      </c>
      <c r="CO33" s="14" t="e">
        <f>DL33+DISTRIBUSI!#REF!-'PEMAKAIAN UNIT'!O30</f>
        <v>#REF!</v>
      </c>
      <c r="CP33" s="15" t="e">
        <f t="shared" si="41"/>
        <v>#REF!</v>
      </c>
      <c r="CQ33" s="226">
        <f t="shared" si="42"/>
        <v>0</v>
      </c>
      <c r="CR33" s="226">
        <f>DISTRIBUSI!R31</f>
        <v>0</v>
      </c>
      <c r="CS33" s="226">
        <f>'PEMAKAIAN UNIT'!P30</f>
        <v>0</v>
      </c>
      <c r="CT33" s="14">
        <f t="shared" si="43"/>
        <v>0</v>
      </c>
      <c r="CU33" s="15">
        <f t="shared" si="44"/>
        <v>0</v>
      </c>
      <c r="CV33" s="14" t="e">
        <f>DN33+DISTRIBUSI!#REF!-'PEMAKAIAN UNIT'!Q30</f>
        <v>#REF!</v>
      </c>
      <c r="CW33" s="15" t="e">
        <f t="shared" si="45"/>
        <v>#REF!</v>
      </c>
      <c r="CX33" s="14">
        <f>DO33+'LPLPO GUDANG'!E36-'LPLPO GUDANG'!G36</f>
        <v>0</v>
      </c>
      <c r="CY33" s="15">
        <f t="shared" si="46"/>
        <v>0</v>
      </c>
      <c r="CZ33" s="28"/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3">
        <f t="shared" si="47"/>
        <v>0</v>
      </c>
      <c r="DU33" s="20"/>
    </row>
    <row r="34" spans="1:125" customFormat="1" ht="20.149999999999999" customHeight="1" x14ac:dyDescent="0.35">
      <c r="A34" s="84">
        <f t="shared" si="49"/>
        <v>23</v>
      </c>
      <c r="B34" s="142" t="s">
        <v>260</v>
      </c>
      <c r="C34" s="155" t="s">
        <v>254</v>
      </c>
      <c r="D34" s="109">
        <v>0</v>
      </c>
      <c r="E34" s="110">
        <f>'LPLPO GUDANG'!E37</f>
        <v>0</v>
      </c>
      <c r="F34" s="110">
        <f t="shared" si="0"/>
        <v>0</v>
      </c>
      <c r="G34" s="110">
        <f>'PEMAKAIAN UNIT'!R31</f>
        <v>0</v>
      </c>
      <c r="H34" s="14">
        <v>0</v>
      </c>
      <c r="I34" s="14">
        <v>5</v>
      </c>
      <c r="J34" s="14">
        <v>0</v>
      </c>
      <c r="K34" s="14"/>
      <c r="L34" s="14"/>
      <c r="M34" s="14"/>
      <c r="N34" s="14"/>
      <c r="O34" s="14"/>
      <c r="P34" s="14"/>
      <c r="Q34" s="14"/>
      <c r="R34" s="14"/>
      <c r="S34" s="14">
        <v>0</v>
      </c>
      <c r="T34" s="14">
        <v>0</v>
      </c>
      <c r="U34" s="14">
        <v>2</v>
      </c>
      <c r="V34" s="14">
        <v>5</v>
      </c>
      <c r="W34" s="14">
        <v>11</v>
      </c>
      <c r="X34" s="14">
        <v>4</v>
      </c>
      <c r="Y34" s="109">
        <f t="shared" si="1"/>
        <v>0</v>
      </c>
      <c r="Z34" s="109" t="e">
        <f t="shared" si="2"/>
        <v>#REF!</v>
      </c>
      <c r="AA34" s="109" t="e">
        <f t="shared" si="3"/>
        <v>#REF!</v>
      </c>
      <c r="AB34" s="14">
        <v>5</v>
      </c>
      <c r="AC34" s="109" t="e">
        <f t="shared" si="4"/>
        <v>#REF!</v>
      </c>
      <c r="AD34" s="109">
        <f>'LPLPO GUDANG'!H37</f>
        <v>0</v>
      </c>
      <c r="AE34" s="111" t="e">
        <f t="shared" si="5"/>
        <v>#REF!</v>
      </c>
      <c r="AF34" s="212"/>
      <c r="AG34" s="212"/>
      <c r="AH34" s="20"/>
      <c r="AI34" s="14">
        <f t="shared" si="6"/>
        <v>0</v>
      </c>
      <c r="AJ34" s="209" t="e">
        <f t="shared" si="7"/>
        <v>#REF!</v>
      </c>
      <c r="AL34" s="14">
        <f t="shared" si="8"/>
        <v>0</v>
      </c>
      <c r="AM34" s="14">
        <f>DISTRIBUSI!D32</f>
        <v>0</v>
      </c>
      <c r="AN34" s="14">
        <f>'PEMAKAIAN UNIT'!D31</f>
        <v>0</v>
      </c>
      <c r="AO34" s="14">
        <f t="shared" si="9"/>
        <v>0</v>
      </c>
      <c r="AP34" s="15">
        <f t="shared" si="10"/>
        <v>0</v>
      </c>
      <c r="AQ34" s="14">
        <f t="shared" si="11"/>
        <v>5</v>
      </c>
      <c r="AR34" s="14">
        <f>DISTRIBUSI!E32</f>
        <v>0</v>
      </c>
      <c r="AS34" s="14">
        <f>'PEMAKAIAN UNIT'!E31</f>
        <v>0</v>
      </c>
      <c r="AT34" s="14">
        <f t="shared" si="12"/>
        <v>5</v>
      </c>
      <c r="AU34" s="15">
        <f t="shared" si="13"/>
        <v>0</v>
      </c>
      <c r="AV34" s="14">
        <f t="shared" si="14"/>
        <v>7</v>
      </c>
      <c r="AW34" s="14">
        <f>DISTRIBUSI!F32</f>
        <v>0</v>
      </c>
      <c r="AX34" s="14">
        <f>'PEMAKAIAN UNIT'!F31</f>
        <v>0</v>
      </c>
      <c r="AY34" s="14">
        <f t="shared" si="15"/>
        <v>7</v>
      </c>
      <c r="AZ34" s="15">
        <f t="shared" si="16"/>
        <v>7</v>
      </c>
      <c r="BA34" s="14">
        <f t="shared" si="17"/>
        <v>0</v>
      </c>
      <c r="BB34" s="14">
        <f>DISTRIBUSI!G32</f>
        <v>0</v>
      </c>
      <c r="BC34" s="14">
        <f>'PEMAKAIAN UNIT'!G31</f>
        <v>0</v>
      </c>
      <c r="BD34" s="14">
        <f t="shared" si="18"/>
        <v>0</v>
      </c>
      <c r="BE34" s="15">
        <f t="shared" si="19"/>
        <v>0</v>
      </c>
      <c r="BF34" s="14">
        <f t="shared" si="20"/>
        <v>8</v>
      </c>
      <c r="BG34" s="14">
        <f>DISTRIBUSI!H32</f>
        <v>0</v>
      </c>
      <c r="BH34" s="14">
        <f>'PEMAKAIAN UNIT'!H31</f>
        <v>0</v>
      </c>
      <c r="BI34" s="14">
        <f t="shared" si="21"/>
        <v>8</v>
      </c>
      <c r="BJ34" s="15">
        <f t="shared" si="22"/>
        <v>8</v>
      </c>
      <c r="BK34" s="14">
        <f t="shared" si="23"/>
        <v>2</v>
      </c>
      <c r="BL34" s="14">
        <f>DISTRIBUSI!I32</f>
        <v>0</v>
      </c>
      <c r="BM34" s="14">
        <f>'PEMAKAIAN UNIT'!I31</f>
        <v>0</v>
      </c>
      <c r="BN34" s="14">
        <f t="shared" si="24"/>
        <v>2</v>
      </c>
      <c r="BO34" s="15">
        <f t="shared" si="25"/>
        <v>0</v>
      </c>
      <c r="BP34" s="14">
        <f t="shared" si="26"/>
        <v>4</v>
      </c>
      <c r="BQ34" s="14">
        <f>DISTRIBUSI!J32</f>
        <v>0</v>
      </c>
      <c r="BR34" s="14">
        <f>'PEMAKAIAN UNIT'!J31</f>
        <v>0</v>
      </c>
      <c r="BS34" s="14">
        <f t="shared" si="27"/>
        <v>4</v>
      </c>
      <c r="BT34" s="15">
        <f t="shared" si="28"/>
        <v>-1</v>
      </c>
      <c r="BU34" s="14">
        <f t="shared" si="29"/>
        <v>0</v>
      </c>
      <c r="BV34" s="14">
        <f>DISTRIBUSI!K32</f>
        <v>0</v>
      </c>
      <c r="BW34" s="14">
        <f>'PEMAKAIAN UNIT'!K31</f>
        <v>0</v>
      </c>
      <c r="BX34" s="14">
        <f t="shared" si="30"/>
        <v>0</v>
      </c>
      <c r="BY34" s="15">
        <f t="shared" si="31"/>
        <v>-11</v>
      </c>
      <c r="BZ34" s="14">
        <f t="shared" si="32"/>
        <v>5</v>
      </c>
      <c r="CA34" s="14">
        <f>DISTRIBUSI!L32</f>
        <v>0</v>
      </c>
      <c r="CB34" s="14">
        <f>'PEMAKAIAN UNIT'!L31</f>
        <v>0</v>
      </c>
      <c r="CC34" s="14">
        <f t="shared" si="33"/>
        <v>5</v>
      </c>
      <c r="CD34" s="15">
        <f t="shared" si="34"/>
        <v>1</v>
      </c>
      <c r="CE34" s="14">
        <f t="shared" si="35"/>
        <v>0</v>
      </c>
      <c r="CF34" s="14">
        <f>DISTRIBUSI!M32</f>
        <v>0</v>
      </c>
      <c r="CG34" s="14">
        <f>'PEMAKAIAN UNIT'!M31</f>
        <v>0</v>
      </c>
      <c r="CH34" s="14">
        <f t="shared" si="36"/>
        <v>0</v>
      </c>
      <c r="CI34" s="15">
        <f t="shared" si="37"/>
        <v>0</v>
      </c>
      <c r="CJ34" s="14">
        <f t="shared" si="38"/>
        <v>0</v>
      </c>
      <c r="CK34" s="14" t="e">
        <f>DISTRIBUSI!#REF!</f>
        <v>#REF!</v>
      </c>
      <c r="CL34" s="14">
        <f>'PEMAKAIAN UNIT'!N31</f>
        <v>0</v>
      </c>
      <c r="CM34" s="14" t="e">
        <f t="shared" si="39"/>
        <v>#REF!</v>
      </c>
      <c r="CN34" s="15" t="e">
        <f t="shared" si="40"/>
        <v>#REF!</v>
      </c>
      <c r="CO34" s="14" t="e">
        <f>DL34+DISTRIBUSI!#REF!-'PEMAKAIAN UNIT'!O31</f>
        <v>#REF!</v>
      </c>
      <c r="CP34" s="15" t="e">
        <f t="shared" si="41"/>
        <v>#REF!</v>
      </c>
      <c r="CQ34" s="226">
        <f t="shared" si="42"/>
        <v>3</v>
      </c>
      <c r="CR34" s="226">
        <f>DISTRIBUSI!R32</f>
        <v>0</v>
      </c>
      <c r="CS34" s="226">
        <f>'PEMAKAIAN UNIT'!P31</f>
        <v>0</v>
      </c>
      <c r="CT34" s="14">
        <f t="shared" si="43"/>
        <v>3</v>
      </c>
      <c r="CU34" s="15">
        <f t="shared" si="44"/>
        <v>-2</v>
      </c>
      <c r="CV34" s="14" t="e">
        <f>DN34+DISTRIBUSI!#REF!-'PEMAKAIAN UNIT'!Q31</f>
        <v>#REF!</v>
      </c>
      <c r="CW34" s="15" t="e">
        <f t="shared" si="45"/>
        <v>#REF!</v>
      </c>
      <c r="CX34" s="14">
        <f>DO34+'LPLPO GUDANG'!E37-'LPLPO GUDANG'!G37</f>
        <v>74</v>
      </c>
      <c r="CY34" s="15">
        <f t="shared" si="46"/>
        <v>74</v>
      </c>
      <c r="CZ34" s="28"/>
      <c r="DA34" s="14">
        <v>0</v>
      </c>
      <c r="DB34" s="14">
        <v>5</v>
      </c>
      <c r="DC34" s="14">
        <v>7</v>
      </c>
      <c r="DD34" s="14">
        <v>0</v>
      </c>
      <c r="DE34" s="14">
        <v>8</v>
      </c>
      <c r="DF34" s="14">
        <v>2</v>
      </c>
      <c r="DG34" s="14">
        <v>4</v>
      </c>
      <c r="DH34" s="14">
        <v>0</v>
      </c>
      <c r="DI34" s="14">
        <v>5</v>
      </c>
      <c r="DJ34" s="14">
        <v>0</v>
      </c>
      <c r="DK34" s="14">
        <v>0</v>
      </c>
      <c r="DL34" s="14">
        <v>0</v>
      </c>
      <c r="DM34" s="14">
        <v>3</v>
      </c>
      <c r="DN34" s="14">
        <v>0</v>
      </c>
      <c r="DO34" s="13">
        <v>74</v>
      </c>
      <c r="DP34" s="13">
        <f t="shared" si="47"/>
        <v>108</v>
      </c>
      <c r="DR34" t="s">
        <v>260</v>
      </c>
      <c r="DU34" s="20" t="e">
        <f t="shared" si="48"/>
        <v>#REF!</v>
      </c>
    </row>
    <row r="35" spans="1:125" customFormat="1" ht="20.149999999999999" customHeight="1" x14ac:dyDescent="0.35">
      <c r="A35" s="84">
        <f t="shared" si="49"/>
        <v>24</v>
      </c>
      <c r="B35" s="142" t="s">
        <v>104</v>
      </c>
      <c r="C35" s="155" t="s">
        <v>334</v>
      </c>
      <c r="D35" s="109">
        <v>0</v>
      </c>
      <c r="E35" s="110">
        <f>'LPLPO GUDANG'!E38</f>
        <v>0</v>
      </c>
      <c r="F35" s="110">
        <f t="shared" si="0"/>
        <v>0</v>
      </c>
      <c r="G35" s="110">
        <f>'PEMAKAIAN UNIT'!R32</f>
        <v>0</v>
      </c>
      <c r="H35" s="14">
        <v>0</v>
      </c>
      <c r="I35" s="14">
        <v>0</v>
      </c>
      <c r="J35" s="14">
        <v>0</v>
      </c>
      <c r="K35" s="14"/>
      <c r="L35" s="14"/>
      <c r="M35" s="14"/>
      <c r="N35" s="14"/>
      <c r="O35" s="14"/>
      <c r="P35" s="14"/>
      <c r="Q35" s="14"/>
      <c r="R35" s="14"/>
      <c r="S35" s="14">
        <v>0</v>
      </c>
      <c r="T35" s="14">
        <v>0</v>
      </c>
      <c r="U35" s="14"/>
      <c r="V35" s="14">
        <v>0</v>
      </c>
      <c r="W35" s="14">
        <v>0</v>
      </c>
      <c r="X35" s="14">
        <v>0</v>
      </c>
      <c r="Y35" s="109">
        <f t="shared" si="1"/>
        <v>0</v>
      </c>
      <c r="Z35" s="109" t="e">
        <f t="shared" si="2"/>
        <v>#REF!</v>
      </c>
      <c r="AA35" s="109" t="e">
        <f t="shared" si="3"/>
        <v>#REF!</v>
      </c>
      <c r="AB35" s="14">
        <v>603</v>
      </c>
      <c r="AC35" s="109" t="e">
        <f t="shared" si="4"/>
        <v>#REF!</v>
      </c>
      <c r="AD35" s="109">
        <f>'LPLPO GUDANG'!H38</f>
        <v>0</v>
      </c>
      <c r="AE35" s="111" t="e">
        <f t="shared" si="5"/>
        <v>#REF!</v>
      </c>
      <c r="AF35" s="212"/>
      <c r="AG35" s="212"/>
      <c r="AH35" s="20"/>
      <c r="AI35" s="14">
        <f t="shared" si="6"/>
        <v>0</v>
      </c>
      <c r="AJ35" s="209" t="e">
        <f t="shared" si="7"/>
        <v>#REF!</v>
      </c>
      <c r="AL35" s="14">
        <f t="shared" si="8"/>
        <v>0</v>
      </c>
      <c r="AM35" s="14">
        <f>DISTRIBUSI!D33</f>
        <v>0</v>
      </c>
      <c r="AN35" s="14">
        <f>'PEMAKAIAN UNIT'!D32</f>
        <v>0</v>
      </c>
      <c r="AO35" s="14">
        <f t="shared" si="9"/>
        <v>0</v>
      </c>
      <c r="AP35" s="15">
        <f t="shared" si="10"/>
        <v>0</v>
      </c>
      <c r="AQ35" s="14">
        <f t="shared" si="11"/>
        <v>0</v>
      </c>
      <c r="AR35" s="14">
        <f>DISTRIBUSI!E33</f>
        <v>0</v>
      </c>
      <c r="AS35" s="14">
        <f>'PEMAKAIAN UNIT'!E32</f>
        <v>0</v>
      </c>
      <c r="AT35" s="14">
        <f t="shared" si="12"/>
        <v>0</v>
      </c>
      <c r="AU35" s="15">
        <f t="shared" si="13"/>
        <v>0</v>
      </c>
      <c r="AV35" s="14">
        <f t="shared" si="14"/>
        <v>0</v>
      </c>
      <c r="AW35" s="14">
        <f>DISTRIBUSI!F33</f>
        <v>0</v>
      </c>
      <c r="AX35" s="14">
        <f>'PEMAKAIAN UNIT'!F32</f>
        <v>0</v>
      </c>
      <c r="AY35" s="14">
        <f t="shared" si="15"/>
        <v>0</v>
      </c>
      <c r="AZ35" s="15">
        <f t="shared" si="16"/>
        <v>0</v>
      </c>
      <c r="BA35" s="14">
        <f t="shared" si="17"/>
        <v>0</v>
      </c>
      <c r="BB35" s="14">
        <f>DISTRIBUSI!G33</f>
        <v>0</v>
      </c>
      <c r="BC35" s="14">
        <f>'PEMAKAIAN UNIT'!G32</f>
        <v>0</v>
      </c>
      <c r="BD35" s="14">
        <f t="shared" si="18"/>
        <v>0</v>
      </c>
      <c r="BE35" s="15">
        <f t="shared" si="19"/>
        <v>0</v>
      </c>
      <c r="BF35" s="14">
        <f t="shared" si="20"/>
        <v>0</v>
      </c>
      <c r="BG35" s="14">
        <f>DISTRIBUSI!H33</f>
        <v>0</v>
      </c>
      <c r="BH35" s="14">
        <f>'PEMAKAIAN UNIT'!H32</f>
        <v>0</v>
      </c>
      <c r="BI35" s="14">
        <f t="shared" si="21"/>
        <v>0</v>
      </c>
      <c r="BJ35" s="15">
        <f t="shared" si="22"/>
        <v>0</v>
      </c>
      <c r="BK35" s="14">
        <f t="shared" si="23"/>
        <v>0</v>
      </c>
      <c r="BL35" s="14">
        <f>DISTRIBUSI!I33</f>
        <v>0</v>
      </c>
      <c r="BM35" s="14">
        <f>'PEMAKAIAN UNIT'!I32</f>
        <v>0</v>
      </c>
      <c r="BN35" s="14">
        <f t="shared" si="24"/>
        <v>0</v>
      </c>
      <c r="BO35" s="15">
        <f t="shared" si="25"/>
        <v>0</v>
      </c>
      <c r="BP35" s="14">
        <f t="shared" si="26"/>
        <v>0</v>
      </c>
      <c r="BQ35" s="14">
        <f>DISTRIBUSI!J33</f>
        <v>0</v>
      </c>
      <c r="BR35" s="14">
        <f>'PEMAKAIAN UNIT'!J32</f>
        <v>0</v>
      </c>
      <c r="BS35" s="14">
        <f t="shared" si="27"/>
        <v>0</v>
      </c>
      <c r="BT35" s="15">
        <f t="shared" si="28"/>
        <v>0</v>
      </c>
      <c r="BU35" s="14">
        <f t="shared" si="29"/>
        <v>0</v>
      </c>
      <c r="BV35" s="14">
        <f>DISTRIBUSI!K33</f>
        <v>0</v>
      </c>
      <c r="BW35" s="14">
        <f>'PEMAKAIAN UNIT'!K32</f>
        <v>0</v>
      </c>
      <c r="BX35" s="14">
        <f t="shared" si="30"/>
        <v>0</v>
      </c>
      <c r="BY35" s="15">
        <f t="shared" si="31"/>
        <v>0</v>
      </c>
      <c r="BZ35" s="14">
        <f t="shared" si="32"/>
        <v>0</v>
      </c>
      <c r="CA35" s="14">
        <f>DISTRIBUSI!L33</f>
        <v>0</v>
      </c>
      <c r="CB35" s="14">
        <f>'PEMAKAIAN UNIT'!L32</f>
        <v>0</v>
      </c>
      <c r="CC35" s="14">
        <f t="shared" si="33"/>
        <v>0</v>
      </c>
      <c r="CD35" s="15">
        <f t="shared" si="34"/>
        <v>0</v>
      </c>
      <c r="CE35" s="14">
        <f t="shared" si="35"/>
        <v>0</v>
      </c>
      <c r="CF35" s="14">
        <f>DISTRIBUSI!M33</f>
        <v>0</v>
      </c>
      <c r="CG35" s="14">
        <f>'PEMAKAIAN UNIT'!M32</f>
        <v>0</v>
      </c>
      <c r="CH35" s="14">
        <f t="shared" si="36"/>
        <v>0</v>
      </c>
      <c r="CI35" s="15">
        <f t="shared" si="37"/>
        <v>0</v>
      </c>
      <c r="CJ35" s="14">
        <f t="shared" si="38"/>
        <v>0</v>
      </c>
      <c r="CK35" s="14" t="e">
        <f>DISTRIBUSI!#REF!</f>
        <v>#REF!</v>
      </c>
      <c r="CL35" s="14">
        <f>'PEMAKAIAN UNIT'!N32</f>
        <v>0</v>
      </c>
      <c r="CM35" s="14" t="e">
        <f t="shared" si="39"/>
        <v>#REF!</v>
      </c>
      <c r="CN35" s="15" t="e">
        <f t="shared" si="40"/>
        <v>#REF!</v>
      </c>
      <c r="CO35" s="14" t="e">
        <f>DL35+DISTRIBUSI!#REF!-'PEMAKAIAN UNIT'!O32</f>
        <v>#REF!</v>
      </c>
      <c r="CP35" s="15" t="e">
        <f t="shared" si="41"/>
        <v>#REF!</v>
      </c>
      <c r="CQ35" s="226">
        <f t="shared" si="42"/>
        <v>555</v>
      </c>
      <c r="CR35" s="226">
        <f>DISTRIBUSI!R33</f>
        <v>900</v>
      </c>
      <c r="CS35" s="226">
        <f>'PEMAKAIAN UNIT'!P32</f>
        <v>0</v>
      </c>
      <c r="CT35" s="14">
        <f t="shared" si="43"/>
        <v>1455</v>
      </c>
      <c r="CU35" s="15">
        <f t="shared" si="44"/>
        <v>852</v>
      </c>
      <c r="CV35" s="14" t="e">
        <f>DN35+DISTRIBUSI!#REF!-'PEMAKAIAN UNIT'!Q32</f>
        <v>#REF!</v>
      </c>
      <c r="CW35" s="15" t="e">
        <f t="shared" si="45"/>
        <v>#REF!</v>
      </c>
      <c r="CX35" s="14">
        <f>DO35+'LPLPO GUDANG'!E38-'LPLPO GUDANG'!G38</f>
        <v>-800</v>
      </c>
      <c r="CY35" s="15">
        <f t="shared" si="46"/>
        <v>-800</v>
      </c>
      <c r="CZ35" s="28"/>
      <c r="DA35" s="14">
        <v>0</v>
      </c>
      <c r="DB35" s="14"/>
      <c r="DC35" s="14">
        <v>0</v>
      </c>
      <c r="DD35" s="14">
        <v>0</v>
      </c>
      <c r="DE35" s="14">
        <v>0</v>
      </c>
      <c r="DF35" s="14"/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700</v>
      </c>
      <c r="DM35" s="14">
        <v>555</v>
      </c>
      <c r="DN35" s="14">
        <v>0</v>
      </c>
      <c r="DO35" s="13">
        <v>200</v>
      </c>
      <c r="DP35" s="13">
        <f t="shared" si="47"/>
        <v>1455</v>
      </c>
      <c r="DR35" t="s">
        <v>104</v>
      </c>
      <c r="DU35" s="20" t="e">
        <f t="shared" si="48"/>
        <v>#REF!</v>
      </c>
    </row>
    <row r="36" spans="1:125" customFormat="1" ht="20.149999999999999" customHeight="1" x14ac:dyDescent="0.35">
      <c r="A36" s="84">
        <f t="shared" si="49"/>
        <v>25</v>
      </c>
      <c r="B36" s="142" t="s">
        <v>20</v>
      </c>
      <c r="C36" s="157" t="s">
        <v>335</v>
      </c>
      <c r="D36" s="109">
        <v>0</v>
      </c>
      <c r="E36" s="110">
        <f>'LPLPO GUDANG'!E39</f>
        <v>0</v>
      </c>
      <c r="F36" s="110">
        <f t="shared" si="0"/>
        <v>0</v>
      </c>
      <c r="G36" s="110">
        <f>'PEMAKAIAN UNIT'!R33</f>
        <v>0</v>
      </c>
      <c r="H36" s="14">
        <v>0</v>
      </c>
      <c r="I36" s="14">
        <v>1</v>
      </c>
      <c r="J36" s="14">
        <v>0</v>
      </c>
      <c r="K36" s="14"/>
      <c r="L36" s="14"/>
      <c r="M36" s="14"/>
      <c r="N36" s="14"/>
      <c r="O36" s="14"/>
      <c r="P36" s="14"/>
      <c r="Q36" s="14"/>
      <c r="R36" s="14"/>
      <c r="S36" s="14">
        <v>6</v>
      </c>
      <c r="T36" s="14">
        <v>0</v>
      </c>
      <c r="U36" s="14">
        <v>5</v>
      </c>
      <c r="V36" s="14">
        <v>4</v>
      </c>
      <c r="W36" s="14">
        <v>8</v>
      </c>
      <c r="X36" s="14">
        <v>3</v>
      </c>
      <c r="Y36" s="109">
        <f t="shared" si="1"/>
        <v>0</v>
      </c>
      <c r="Z36" s="109" t="e">
        <f t="shared" si="2"/>
        <v>#REF!</v>
      </c>
      <c r="AA36" s="109" t="e">
        <f t="shared" si="3"/>
        <v>#REF!</v>
      </c>
      <c r="AB36" s="14">
        <v>41</v>
      </c>
      <c r="AC36" s="109" t="e">
        <f t="shared" si="4"/>
        <v>#REF!</v>
      </c>
      <c r="AD36" s="109">
        <f>'LPLPO GUDANG'!H39</f>
        <v>60</v>
      </c>
      <c r="AE36" s="111" t="e">
        <f t="shared" si="5"/>
        <v>#REF!</v>
      </c>
      <c r="AF36" s="212"/>
      <c r="AG36" s="212"/>
      <c r="AH36" s="20"/>
      <c r="AI36" s="14">
        <f t="shared" si="6"/>
        <v>0</v>
      </c>
      <c r="AJ36" s="209" t="e">
        <f t="shared" si="7"/>
        <v>#REF!</v>
      </c>
      <c r="AL36" s="14">
        <f t="shared" si="8"/>
        <v>0</v>
      </c>
      <c r="AM36" s="14">
        <f>DISTRIBUSI!D34</f>
        <v>0</v>
      </c>
      <c r="AN36" s="14">
        <f>'PEMAKAIAN UNIT'!D33</f>
        <v>0</v>
      </c>
      <c r="AO36" s="14">
        <f t="shared" si="9"/>
        <v>0</v>
      </c>
      <c r="AP36" s="15">
        <f t="shared" si="10"/>
        <v>0</v>
      </c>
      <c r="AQ36" s="14">
        <f t="shared" si="11"/>
        <v>4</v>
      </c>
      <c r="AR36" s="14">
        <f>DISTRIBUSI!E34</f>
        <v>0</v>
      </c>
      <c r="AS36" s="14">
        <f>'PEMAKAIAN UNIT'!E33</f>
        <v>0</v>
      </c>
      <c r="AT36" s="14">
        <f t="shared" si="12"/>
        <v>4</v>
      </c>
      <c r="AU36" s="15">
        <f t="shared" si="13"/>
        <v>3</v>
      </c>
      <c r="AV36" s="14">
        <f t="shared" si="14"/>
        <v>2</v>
      </c>
      <c r="AW36" s="14">
        <f>DISTRIBUSI!F34</f>
        <v>0</v>
      </c>
      <c r="AX36" s="14">
        <f>'PEMAKAIAN UNIT'!F33</f>
        <v>0</v>
      </c>
      <c r="AY36" s="14">
        <f t="shared" si="15"/>
        <v>2</v>
      </c>
      <c r="AZ36" s="15">
        <f t="shared" si="16"/>
        <v>2</v>
      </c>
      <c r="BA36" s="14">
        <f t="shared" si="17"/>
        <v>2</v>
      </c>
      <c r="BB36" s="14">
        <f>DISTRIBUSI!G34</f>
        <v>0</v>
      </c>
      <c r="BC36" s="14">
        <f>'PEMAKAIAN UNIT'!G33</f>
        <v>0</v>
      </c>
      <c r="BD36" s="14">
        <f t="shared" si="18"/>
        <v>2</v>
      </c>
      <c r="BE36" s="15">
        <f t="shared" si="19"/>
        <v>-4</v>
      </c>
      <c r="BF36" s="14">
        <f t="shared" si="20"/>
        <v>4</v>
      </c>
      <c r="BG36" s="14">
        <f>DISTRIBUSI!H34</f>
        <v>0</v>
      </c>
      <c r="BH36" s="14">
        <f>'PEMAKAIAN UNIT'!H33</f>
        <v>0</v>
      </c>
      <c r="BI36" s="14">
        <f t="shared" si="21"/>
        <v>4</v>
      </c>
      <c r="BJ36" s="15">
        <f t="shared" si="22"/>
        <v>4</v>
      </c>
      <c r="BK36" s="14">
        <f t="shared" si="23"/>
        <v>5</v>
      </c>
      <c r="BL36" s="14">
        <f>DISTRIBUSI!I34</f>
        <v>0</v>
      </c>
      <c r="BM36" s="14">
        <f>'PEMAKAIAN UNIT'!I33</f>
        <v>0</v>
      </c>
      <c r="BN36" s="14">
        <f t="shared" si="24"/>
        <v>5</v>
      </c>
      <c r="BO36" s="15">
        <f t="shared" si="25"/>
        <v>0</v>
      </c>
      <c r="BP36" s="14">
        <f t="shared" si="26"/>
        <v>4</v>
      </c>
      <c r="BQ36" s="14">
        <f>DISTRIBUSI!J34</f>
        <v>0</v>
      </c>
      <c r="BR36" s="14">
        <f>'PEMAKAIAN UNIT'!J33</f>
        <v>0</v>
      </c>
      <c r="BS36" s="14">
        <f t="shared" si="27"/>
        <v>4</v>
      </c>
      <c r="BT36" s="15">
        <f t="shared" si="28"/>
        <v>0</v>
      </c>
      <c r="BU36" s="14">
        <f t="shared" si="29"/>
        <v>0</v>
      </c>
      <c r="BV36" s="14">
        <f>DISTRIBUSI!K34</f>
        <v>5</v>
      </c>
      <c r="BW36" s="14">
        <f>'PEMAKAIAN UNIT'!K33</f>
        <v>0</v>
      </c>
      <c r="BX36" s="14">
        <f t="shared" si="30"/>
        <v>5</v>
      </c>
      <c r="BY36" s="15">
        <f t="shared" si="31"/>
        <v>-3</v>
      </c>
      <c r="BZ36" s="14">
        <f t="shared" si="32"/>
        <v>3</v>
      </c>
      <c r="CA36" s="14">
        <f>DISTRIBUSI!L34</f>
        <v>0</v>
      </c>
      <c r="CB36" s="14">
        <f>'PEMAKAIAN UNIT'!L33</f>
        <v>0</v>
      </c>
      <c r="CC36" s="14">
        <f t="shared" si="33"/>
        <v>3</v>
      </c>
      <c r="CD36" s="15">
        <f t="shared" si="34"/>
        <v>0</v>
      </c>
      <c r="CE36" s="14">
        <f t="shared" si="35"/>
        <v>0</v>
      </c>
      <c r="CF36" s="14">
        <f>DISTRIBUSI!M34</f>
        <v>0</v>
      </c>
      <c r="CG36" s="14">
        <f>'PEMAKAIAN UNIT'!M33</f>
        <v>0</v>
      </c>
      <c r="CH36" s="14">
        <f t="shared" si="36"/>
        <v>0</v>
      </c>
      <c r="CI36" s="15">
        <f t="shared" si="37"/>
        <v>0</v>
      </c>
      <c r="CJ36" s="14">
        <f t="shared" si="38"/>
        <v>0</v>
      </c>
      <c r="CK36" s="14" t="e">
        <f>DISTRIBUSI!#REF!</f>
        <v>#REF!</v>
      </c>
      <c r="CL36" s="14">
        <f>'PEMAKAIAN UNIT'!N33</f>
        <v>0</v>
      </c>
      <c r="CM36" s="14" t="e">
        <f t="shared" si="39"/>
        <v>#REF!</v>
      </c>
      <c r="CN36" s="15" t="e">
        <f t="shared" si="40"/>
        <v>#REF!</v>
      </c>
      <c r="CO36" s="14" t="e">
        <f>DL36+DISTRIBUSI!#REF!-'PEMAKAIAN UNIT'!O33</f>
        <v>#REF!</v>
      </c>
      <c r="CP36" s="15" t="e">
        <f t="shared" si="41"/>
        <v>#REF!</v>
      </c>
      <c r="CQ36" s="226">
        <f t="shared" si="42"/>
        <v>76</v>
      </c>
      <c r="CR36" s="226">
        <f>DISTRIBUSI!R34</f>
        <v>0</v>
      </c>
      <c r="CS36" s="226">
        <f>'PEMAKAIAN UNIT'!P33</f>
        <v>0</v>
      </c>
      <c r="CT36" s="14">
        <f t="shared" si="43"/>
        <v>76</v>
      </c>
      <c r="CU36" s="15">
        <f t="shared" si="44"/>
        <v>35</v>
      </c>
      <c r="CV36" s="14" t="e">
        <f>DN36+DISTRIBUSI!#REF!-'PEMAKAIAN UNIT'!Q33</f>
        <v>#REF!</v>
      </c>
      <c r="CW36" s="15" t="e">
        <f t="shared" si="45"/>
        <v>#REF!</v>
      </c>
      <c r="CX36" s="14">
        <f>DO36+'LPLPO GUDANG'!E39-'LPLPO GUDANG'!G39</f>
        <v>-8</v>
      </c>
      <c r="CY36" s="15">
        <f t="shared" si="46"/>
        <v>-68</v>
      </c>
      <c r="CZ36" s="28"/>
      <c r="DA36" s="14">
        <v>0</v>
      </c>
      <c r="DB36" s="14">
        <v>4</v>
      </c>
      <c r="DC36" s="14">
        <v>2</v>
      </c>
      <c r="DD36" s="14">
        <v>2</v>
      </c>
      <c r="DE36" s="14">
        <v>4</v>
      </c>
      <c r="DF36" s="14">
        <v>5</v>
      </c>
      <c r="DG36" s="14">
        <v>4</v>
      </c>
      <c r="DH36" s="14">
        <v>0</v>
      </c>
      <c r="DI36" s="14">
        <v>3</v>
      </c>
      <c r="DJ36" s="14">
        <v>0</v>
      </c>
      <c r="DK36" s="14">
        <v>0</v>
      </c>
      <c r="DL36" s="14">
        <v>0</v>
      </c>
      <c r="DM36" s="14">
        <v>76</v>
      </c>
      <c r="DN36" s="14">
        <v>0</v>
      </c>
      <c r="DO36" s="13">
        <v>2</v>
      </c>
      <c r="DP36" s="13">
        <f t="shared" si="47"/>
        <v>102</v>
      </c>
      <c r="DR36" t="s">
        <v>20</v>
      </c>
      <c r="DU36" s="20" t="e">
        <f t="shared" si="48"/>
        <v>#REF!</v>
      </c>
    </row>
    <row r="37" spans="1:125" customFormat="1" ht="20.149999999999999" customHeight="1" x14ac:dyDescent="0.35">
      <c r="A37" s="84">
        <f t="shared" si="49"/>
        <v>26</v>
      </c>
      <c r="B37" s="142" t="s">
        <v>22</v>
      </c>
      <c r="C37" s="157" t="s">
        <v>330</v>
      </c>
      <c r="D37" s="109">
        <v>0</v>
      </c>
      <c r="E37" s="110">
        <f>'LPLPO GUDANG'!E40</f>
        <v>0</v>
      </c>
      <c r="F37" s="110">
        <f t="shared" si="0"/>
        <v>0</v>
      </c>
      <c r="G37" s="110">
        <f>'PEMAKAIAN UNIT'!R34</f>
        <v>0</v>
      </c>
      <c r="H37" s="14">
        <v>0</v>
      </c>
      <c r="I37" s="14">
        <v>0</v>
      </c>
      <c r="J37" s="14">
        <v>0</v>
      </c>
      <c r="K37" s="14"/>
      <c r="L37" s="14"/>
      <c r="M37" s="14"/>
      <c r="N37" s="14"/>
      <c r="O37" s="14"/>
      <c r="P37" s="14"/>
      <c r="Q37" s="14"/>
      <c r="R37" s="14"/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09">
        <f t="shared" si="1"/>
        <v>0</v>
      </c>
      <c r="Z37" s="109" t="e">
        <f t="shared" si="2"/>
        <v>#REF!</v>
      </c>
      <c r="AA37" s="109" t="e">
        <f t="shared" si="3"/>
        <v>#REF!</v>
      </c>
      <c r="AB37" s="14">
        <v>0</v>
      </c>
      <c r="AC37" s="109" t="e">
        <f t="shared" si="4"/>
        <v>#REF!</v>
      </c>
      <c r="AD37" s="109">
        <f>'LPLPO GUDANG'!H40</f>
        <v>0</v>
      </c>
      <c r="AE37" s="111" t="e">
        <f t="shared" si="5"/>
        <v>#REF!</v>
      </c>
      <c r="AF37" s="212"/>
      <c r="AG37" s="212"/>
      <c r="AH37" s="20"/>
      <c r="AI37" s="14">
        <f t="shared" si="6"/>
        <v>0</v>
      </c>
      <c r="AJ37" s="209" t="e">
        <f t="shared" si="7"/>
        <v>#REF!</v>
      </c>
      <c r="AL37" s="14">
        <f t="shared" si="8"/>
        <v>0</v>
      </c>
      <c r="AM37" s="14">
        <f>DISTRIBUSI!D35</f>
        <v>0</v>
      </c>
      <c r="AN37" s="14">
        <f>'PEMAKAIAN UNIT'!D34</f>
        <v>0</v>
      </c>
      <c r="AO37" s="14">
        <f t="shared" si="9"/>
        <v>0</v>
      </c>
      <c r="AP37" s="15">
        <f t="shared" si="10"/>
        <v>0</v>
      </c>
      <c r="AQ37" s="14">
        <f t="shared" si="11"/>
        <v>0</v>
      </c>
      <c r="AR37" s="14">
        <f>DISTRIBUSI!E35</f>
        <v>0</v>
      </c>
      <c r="AS37" s="14">
        <f>'PEMAKAIAN UNIT'!E34</f>
        <v>0</v>
      </c>
      <c r="AT37" s="14">
        <f t="shared" si="12"/>
        <v>0</v>
      </c>
      <c r="AU37" s="15">
        <f t="shared" si="13"/>
        <v>0</v>
      </c>
      <c r="AV37" s="14">
        <f t="shared" si="14"/>
        <v>0</v>
      </c>
      <c r="AW37" s="14">
        <f>DISTRIBUSI!F35</f>
        <v>0</v>
      </c>
      <c r="AX37" s="14">
        <f>'PEMAKAIAN UNIT'!F34</f>
        <v>0</v>
      </c>
      <c r="AY37" s="14">
        <f t="shared" si="15"/>
        <v>0</v>
      </c>
      <c r="AZ37" s="15">
        <f t="shared" si="16"/>
        <v>0</v>
      </c>
      <c r="BA37" s="14">
        <f t="shared" si="17"/>
        <v>0</v>
      </c>
      <c r="BB37" s="14">
        <f>DISTRIBUSI!G35</f>
        <v>0</v>
      </c>
      <c r="BC37" s="14">
        <f>'PEMAKAIAN UNIT'!G34</f>
        <v>0</v>
      </c>
      <c r="BD37" s="14">
        <f t="shared" si="18"/>
        <v>0</v>
      </c>
      <c r="BE37" s="15">
        <f t="shared" si="19"/>
        <v>0</v>
      </c>
      <c r="BF37" s="14">
        <f t="shared" si="20"/>
        <v>0</v>
      </c>
      <c r="BG37" s="14">
        <f>DISTRIBUSI!H35</f>
        <v>0</v>
      </c>
      <c r="BH37" s="14">
        <f>'PEMAKAIAN UNIT'!H34</f>
        <v>0</v>
      </c>
      <c r="BI37" s="14">
        <f t="shared" si="21"/>
        <v>0</v>
      </c>
      <c r="BJ37" s="15">
        <f t="shared" si="22"/>
        <v>0</v>
      </c>
      <c r="BK37" s="14">
        <f t="shared" si="23"/>
        <v>0</v>
      </c>
      <c r="BL37" s="14">
        <f>DISTRIBUSI!I35</f>
        <v>0</v>
      </c>
      <c r="BM37" s="14">
        <f>'PEMAKAIAN UNIT'!I34</f>
        <v>0</v>
      </c>
      <c r="BN37" s="14">
        <f t="shared" si="24"/>
        <v>0</v>
      </c>
      <c r="BO37" s="15">
        <f t="shared" si="25"/>
        <v>0</v>
      </c>
      <c r="BP37" s="14">
        <f t="shared" si="26"/>
        <v>0</v>
      </c>
      <c r="BQ37" s="14">
        <f>DISTRIBUSI!J35</f>
        <v>0</v>
      </c>
      <c r="BR37" s="14">
        <f>'PEMAKAIAN UNIT'!J34</f>
        <v>0</v>
      </c>
      <c r="BS37" s="14">
        <f t="shared" si="27"/>
        <v>0</v>
      </c>
      <c r="BT37" s="15">
        <f t="shared" si="28"/>
        <v>0</v>
      </c>
      <c r="BU37" s="14">
        <f t="shared" si="29"/>
        <v>0</v>
      </c>
      <c r="BV37" s="14">
        <f>DISTRIBUSI!K35</f>
        <v>0</v>
      </c>
      <c r="BW37" s="14">
        <f>'PEMAKAIAN UNIT'!K34</f>
        <v>0</v>
      </c>
      <c r="BX37" s="14">
        <f t="shared" si="30"/>
        <v>0</v>
      </c>
      <c r="BY37" s="15">
        <f t="shared" si="31"/>
        <v>0</v>
      </c>
      <c r="BZ37" s="14">
        <f t="shared" si="32"/>
        <v>0</v>
      </c>
      <c r="CA37" s="14">
        <f>DISTRIBUSI!L35</f>
        <v>0</v>
      </c>
      <c r="CB37" s="14">
        <f>'PEMAKAIAN UNIT'!L34</f>
        <v>0</v>
      </c>
      <c r="CC37" s="14">
        <f t="shared" si="33"/>
        <v>0</v>
      </c>
      <c r="CD37" s="15">
        <f t="shared" si="34"/>
        <v>0</v>
      </c>
      <c r="CE37" s="14">
        <f t="shared" si="35"/>
        <v>0</v>
      </c>
      <c r="CF37" s="14">
        <f>DISTRIBUSI!M35</f>
        <v>0</v>
      </c>
      <c r="CG37" s="14">
        <f>'PEMAKAIAN UNIT'!M34</f>
        <v>0</v>
      </c>
      <c r="CH37" s="14">
        <f t="shared" si="36"/>
        <v>0</v>
      </c>
      <c r="CI37" s="15">
        <f t="shared" si="37"/>
        <v>0</v>
      </c>
      <c r="CJ37" s="14">
        <f t="shared" si="38"/>
        <v>0</v>
      </c>
      <c r="CK37" s="14" t="e">
        <f>DISTRIBUSI!#REF!</f>
        <v>#REF!</v>
      </c>
      <c r="CL37" s="14">
        <f>'PEMAKAIAN UNIT'!N34</f>
        <v>0</v>
      </c>
      <c r="CM37" s="14" t="e">
        <f t="shared" si="39"/>
        <v>#REF!</v>
      </c>
      <c r="CN37" s="15" t="e">
        <f t="shared" si="40"/>
        <v>#REF!</v>
      </c>
      <c r="CO37" s="14" t="e">
        <f>DL37+DISTRIBUSI!#REF!-'PEMAKAIAN UNIT'!O34</f>
        <v>#REF!</v>
      </c>
      <c r="CP37" s="15" t="e">
        <f t="shared" si="41"/>
        <v>#REF!</v>
      </c>
      <c r="CQ37" s="226">
        <f t="shared" si="42"/>
        <v>0</v>
      </c>
      <c r="CR37" s="226">
        <f>DISTRIBUSI!R35</f>
        <v>0</v>
      </c>
      <c r="CS37" s="226">
        <f>'PEMAKAIAN UNIT'!P34</f>
        <v>0</v>
      </c>
      <c r="CT37" s="14">
        <f t="shared" si="43"/>
        <v>0</v>
      </c>
      <c r="CU37" s="15">
        <f t="shared" si="44"/>
        <v>0</v>
      </c>
      <c r="CV37" s="14" t="e">
        <f>DN37+DISTRIBUSI!#REF!-'PEMAKAIAN UNIT'!Q34</f>
        <v>#REF!</v>
      </c>
      <c r="CW37" s="15" t="e">
        <f t="shared" si="45"/>
        <v>#REF!</v>
      </c>
      <c r="CX37" s="14">
        <f>DO37+'LPLPO GUDANG'!E40-'LPLPO GUDANG'!G40</f>
        <v>0</v>
      </c>
      <c r="CY37" s="15">
        <f t="shared" si="46"/>
        <v>0</v>
      </c>
      <c r="CZ37" s="28"/>
      <c r="DA37" s="14">
        <v>0</v>
      </c>
      <c r="DB37" s="14"/>
      <c r="DC37" s="14">
        <v>0</v>
      </c>
      <c r="DD37" s="14">
        <v>0</v>
      </c>
      <c r="DE37" s="14">
        <v>0</v>
      </c>
      <c r="DF37" s="14"/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3">
        <v>0</v>
      </c>
      <c r="DP37" s="13">
        <f t="shared" si="47"/>
        <v>0</v>
      </c>
      <c r="DR37" t="s">
        <v>22</v>
      </c>
      <c r="DU37" s="20" t="e">
        <f t="shared" si="48"/>
        <v>#REF!</v>
      </c>
    </row>
    <row r="38" spans="1:125" customFormat="1" ht="20.149999999999999" customHeight="1" x14ac:dyDescent="0.35">
      <c r="A38" s="84">
        <f t="shared" si="49"/>
        <v>27</v>
      </c>
      <c r="B38" s="142" t="s">
        <v>21</v>
      </c>
      <c r="C38" s="159" t="s">
        <v>330</v>
      </c>
      <c r="D38" s="109">
        <v>0</v>
      </c>
      <c r="E38" s="110">
        <f>'LPLPO GUDANG'!E41</f>
        <v>0</v>
      </c>
      <c r="F38" s="110">
        <f t="shared" si="0"/>
        <v>0</v>
      </c>
      <c r="G38" s="110">
        <f>'PEMAKAIAN UNIT'!R35</f>
        <v>0</v>
      </c>
      <c r="H38" s="14">
        <v>0</v>
      </c>
      <c r="I38" s="14">
        <v>0</v>
      </c>
      <c r="J38" s="14">
        <v>0</v>
      </c>
      <c r="K38" s="14"/>
      <c r="L38" s="14"/>
      <c r="M38" s="14"/>
      <c r="N38" s="14"/>
      <c r="O38" s="14"/>
      <c r="P38" s="14"/>
      <c r="Q38" s="14"/>
      <c r="R38" s="14"/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09">
        <f t="shared" si="1"/>
        <v>0</v>
      </c>
      <c r="Z38" s="109" t="e">
        <f t="shared" si="2"/>
        <v>#REF!</v>
      </c>
      <c r="AA38" s="109" t="e">
        <f t="shared" si="3"/>
        <v>#REF!</v>
      </c>
      <c r="AB38" s="14">
        <v>0</v>
      </c>
      <c r="AC38" s="109" t="e">
        <f t="shared" si="4"/>
        <v>#REF!</v>
      </c>
      <c r="AD38" s="109">
        <f>'LPLPO GUDANG'!H41</f>
        <v>0</v>
      </c>
      <c r="AE38" s="111" t="e">
        <f t="shared" si="5"/>
        <v>#REF!</v>
      </c>
      <c r="AF38" s="212"/>
      <c r="AG38" s="212"/>
      <c r="AH38" s="20"/>
      <c r="AI38" s="14">
        <f t="shared" si="6"/>
        <v>0</v>
      </c>
      <c r="AJ38" s="209" t="e">
        <f t="shared" si="7"/>
        <v>#REF!</v>
      </c>
      <c r="AL38" s="14">
        <f t="shared" si="8"/>
        <v>0</v>
      </c>
      <c r="AM38" s="14">
        <f>DISTRIBUSI!D36</f>
        <v>0</v>
      </c>
      <c r="AN38" s="14">
        <f>'PEMAKAIAN UNIT'!D35</f>
        <v>0</v>
      </c>
      <c r="AO38" s="14">
        <f t="shared" si="9"/>
        <v>0</v>
      </c>
      <c r="AP38" s="15">
        <f t="shared" si="10"/>
        <v>0</v>
      </c>
      <c r="AQ38" s="14">
        <f t="shared" si="11"/>
        <v>0</v>
      </c>
      <c r="AR38" s="14">
        <f>DISTRIBUSI!E36</f>
        <v>0</v>
      </c>
      <c r="AS38" s="14">
        <f>'PEMAKAIAN UNIT'!E35</f>
        <v>0</v>
      </c>
      <c r="AT38" s="14">
        <f t="shared" si="12"/>
        <v>0</v>
      </c>
      <c r="AU38" s="15">
        <f t="shared" si="13"/>
        <v>0</v>
      </c>
      <c r="AV38" s="14">
        <f t="shared" si="14"/>
        <v>0</v>
      </c>
      <c r="AW38" s="14">
        <f>DISTRIBUSI!F36</f>
        <v>0</v>
      </c>
      <c r="AX38" s="14">
        <f>'PEMAKAIAN UNIT'!F35</f>
        <v>0</v>
      </c>
      <c r="AY38" s="14">
        <f t="shared" si="15"/>
        <v>0</v>
      </c>
      <c r="AZ38" s="15">
        <f t="shared" si="16"/>
        <v>0</v>
      </c>
      <c r="BA38" s="14">
        <f t="shared" si="17"/>
        <v>0</v>
      </c>
      <c r="BB38" s="14">
        <f>DISTRIBUSI!G36</f>
        <v>0</v>
      </c>
      <c r="BC38" s="14">
        <f>'PEMAKAIAN UNIT'!G35</f>
        <v>0</v>
      </c>
      <c r="BD38" s="14">
        <f t="shared" si="18"/>
        <v>0</v>
      </c>
      <c r="BE38" s="15">
        <f t="shared" si="19"/>
        <v>0</v>
      </c>
      <c r="BF38" s="14">
        <f t="shared" si="20"/>
        <v>0</v>
      </c>
      <c r="BG38" s="14">
        <f>DISTRIBUSI!H36</f>
        <v>0</v>
      </c>
      <c r="BH38" s="14">
        <f>'PEMAKAIAN UNIT'!H35</f>
        <v>0</v>
      </c>
      <c r="BI38" s="14">
        <f t="shared" si="21"/>
        <v>0</v>
      </c>
      <c r="BJ38" s="15">
        <f t="shared" si="22"/>
        <v>0</v>
      </c>
      <c r="BK38" s="14">
        <f t="shared" si="23"/>
        <v>0</v>
      </c>
      <c r="BL38" s="14">
        <f>DISTRIBUSI!I36</f>
        <v>0</v>
      </c>
      <c r="BM38" s="14">
        <f>'PEMAKAIAN UNIT'!I35</f>
        <v>0</v>
      </c>
      <c r="BN38" s="14">
        <f t="shared" si="24"/>
        <v>0</v>
      </c>
      <c r="BO38" s="15">
        <f t="shared" si="25"/>
        <v>0</v>
      </c>
      <c r="BP38" s="14">
        <f t="shared" si="26"/>
        <v>0</v>
      </c>
      <c r="BQ38" s="14">
        <f>DISTRIBUSI!J36</f>
        <v>0</v>
      </c>
      <c r="BR38" s="14">
        <f>'PEMAKAIAN UNIT'!J35</f>
        <v>0</v>
      </c>
      <c r="BS38" s="14">
        <f t="shared" si="27"/>
        <v>0</v>
      </c>
      <c r="BT38" s="15">
        <f t="shared" si="28"/>
        <v>0</v>
      </c>
      <c r="BU38" s="14">
        <f t="shared" si="29"/>
        <v>0</v>
      </c>
      <c r="BV38" s="14">
        <f>DISTRIBUSI!K36</f>
        <v>0</v>
      </c>
      <c r="BW38" s="14">
        <f>'PEMAKAIAN UNIT'!K35</f>
        <v>0</v>
      </c>
      <c r="BX38" s="14">
        <f t="shared" si="30"/>
        <v>0</v>
      </c>
      <c r="BY38" s="15">
        <f t="shared" si="31"/>
        <v>0</v>
      </c>
      <c r="BZ38" s="14">
        <f t="shared" si="32"/>
        <v>0</v>
      </c>
      <c r="CA38" s="14">
        <f>DISTRIBUSI!L36</f>
        <v>0</v>
      </c>
      <c r="CB38" s="14">
        <f>'PEMAKAIAN UNIT'!L35</f>
        <v>0</v>
      </c>
      <c r="CC38" s="14">
        <f t="shared" si="33"/>
        <v>0</v>
      </c>
      <c r="CD38" s="15">
        <f t="shared" si="34"/>
        <v>0</v>
      </c>
      <c r="CE38" s="14">
        <f t="shared" si="35"/>
        <v>0</v>
      </c>
      <c r="CF38" s="14">
        <f>DISTRIBUSI!M36</f>
        <v>0</v>
      </c>
      <c r="CG38" s="14">
        <f>'PEMAKAIAN UNIT'!M35</f>
        <v>0</v>
      </c>
      <c r="CH38" s="14">
        <f t="shared" si="36"/>
        <v>0</v>
      </c>
      <c r="CI38" s="15">
        <f t="shared" si="37"/>
        <v>0</v>
      </c>
      <c r="CJ38" s="14">
        <f t="shared" si="38"/>
        <v>0</v>
      </c>
      <c r="CK38" s="14" t="e">
        <f>DISTRIBUSI!#REF!</f>
        <v>#REF!</v>
      </c>
      <c r="CL38" s="14">
        <f>'PEMAKAIAN UNIT'!N35</f>
        <v>0</v>
      </c>
      <c r="CM38" s="14" t="e">
        <f t="shared" si="39"/>
        <v>#REF!</v>
      </c>
      <c r="CN38" s="15" t="e">
        <f t="shared" si="40"/>
        <v>#REF!</v>
      </c>
      <c r="CO38" s="14" t="e">
        <f>DL38+DISTRIBUSI!#REF!-'PEMAKAIAN UNIT'!O35</f>
        <v>#REF!</v>
      </c>
      <c r="CP38" s="15" t="e">
        <f t="shared" si="41"/>
        <v>#REF!</v>
      </c>
      <c r="CQ38" s="226">
        <f t="shared" si="42"/>
        <v>0</v>
      </c>
      <c r="CR38" s="226">
        <f>DISTRIBUSI!R36</f>
        <v>0</v>
      </c>
      <c r="CS38" s="226">
        <f>'PEMAKAIAN UNIT'!P35</f>
        <v>0</v>
      </c>
      <c r="CT38" s="14">
        <f t="shared" si="43"/>
        <v>0</v>
      </c>
      <c r="CU38" s="15">
        <f t="shared" si="44"/>
        <v>0</v>
      </c>
      <c r="CV38" s="14" t="e">
        <f>DN38+DISTRIBUSI!#REF!-'PEMAKAIAN UNIT'!Q35</f>
        <v>#REF!</v>
      </c>
      <c r="CW38" s="15" t="e">
        <f t="shared" si="45"/>
        <v>#REF!</v>
      </c>
      <c r="CX38" s="14">
        <f>DO38+'LPLPO GUDANG'!E41-'LPLPO GUDANG'!G41</f>
        <v>0</v>
      </c>
      <c r="CY38" s="15">
        <f t="shared" si="46"/>
        <v>0</v>
      </c>
      <c r="CZ38" s="28"/>
      <c r="DA38" s="14">
        <v>0</v>
      </c>
      <c r="DB38" s="14"/>
      <c r="DC38" s="14">
        <v>0</v>
      </c>
      <c r="DD38" s="14">
        <v>0</v>
      </c>
      <c r="DE38" s="14">
        <v>0</v>
      </c>
      <c r="DF38" s="14"/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3">
        <v>0</v>
      </c>
      <c r="DP38" s="13">
        <f t="shared" si="47"/>
        <v>0</v>
      </c>
      <c r="DR38" t="s">
        <v>21</v>
      </c>
      <c r="DU38" s="20" t="e">
        <f t="shared" si="48"/>
        <v>#REF!</v>
      </c>
    </row>
    <row r="39" spans="1:125" customFormat="1" ht="20.149999999999999" customHeight="1" x14ac:dyDescent="0.35">
      <c r="A39" s="84">
        <f t="shared" si="49"/>
        <v>28</v>
      </c>
      <c r="B39" s="142" t="s">
        <v>23</v>
      </c>
      <c r="C39" s="155" t="s">
        <v>336</v>
      </c>
      <c r="D39" s="109">
        <v>0</v>
      </c>
      <c r="E39" s="110">
        <f>'LPLPO GUDANG'!E42</f>
        <v>0</v>
      </c>
      <c r="F39" s="110">
        <f t="shared" si="0"/>
        <v>0</v>
      </c>
      <c r="G39" s="110">
        <f>'PEMAKAIAN UNIT'!R36</f>
        <v>0</v>
      </c>
      <c r="H39" s="14">
        <v>0</v>
      </c>
      <c r="I39" s="14">
        <v>0</v>
      </c>
      <c r="J39" s="14">
        <v>0</v>
      </c>
      <c r="K39" s="14"/>
      <c r="L39" s="14"/>
      <c r="M39" s="14"/>
      <c r="N39" s="14"/>
      <c r="O39" s="14"/>
      <c r="P39" s="14"/>
      <c r="Q39" s="14"/>
      <c r="R39" s="14"/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09">
        <f t="shared" si="1"/>
        <v>0</v>
      </c>
      <c r="Z39" s="109" t="e">
        <f t="shared" si="2"/>
        <v>#REF!</v>
      </c>
      <c r="AA39" s="109" t="e">
        <f t="shared" si="3"/>
        <v>#REF!</v>
      </c>
      <c r="AB39" s="14">
        <v>130</v>
      </c>
      <c r="AC39" s="109" t="e">
        <f t="shared" si="4"/>
        <v>#REF!</v>
      </c>
      <c r="AD39" s="109">
        <f>'LPLPO GUDANG'!H42</f>
        <v>0</v>
      </c>
      <c r="AE39" s="111" t="e">
        <f t="shared" si="5"/>
        <v>#REF!</v>
      </c>
      <c r="AF39" s="212"/>
      <c r="AG39" s="212"/>
      <c r="AH39" s="20"/>
      <c r="AI39" s="14">
        <f t="shared" si="6"/>
        <v>0</v>
      </c>
      <c r="AJ39" s="209" t="e">
        <f t="shared" si="7"/>
        <v>#REF!</v>
      </c>
      <c r="AL39" s="14">
        <f t="shared" si="8"/>
        <v>0</v>
      </c>
      <c r="AM39" s="14">
        <f>DISTRIBUSI!D37</f>
        <v>0</v>
      </c>
      <c r="AN39" s="14">
        <f>'PEMAKAIAN UNIT'!D36</f>
        <v>0</v>
      </c>
      <c r="AO39" s="14">
        <f t="shared" si="9"/>
        <v>0</v>
      </c>
      <c r="AP39" s="15">
        <f t="shared" si="10"/>
        <v>0</v>
      </c>
      <c r="AQ39" s="14">
        <f t="shared" si="11"/>
        <v>0</v>
      </c>
      <c r="AR39" s="14">
        <f>DISTRIBUSI!E37</f>
        <v>0</v>
      </c>
      <c r="AS39" s="14">
        <f>'PEMAKAIAN UNIT'!E36</f>
        <v>0</v>
      </c>
      <c r="AT39" s="14">
        <f t="shared" si="12"/>
        <v>0</v>
      </c>
      <c r="AU39" s="15">
        <f t="shared" si="13"/>
        <v>0</v>
      </c>
      <c r="AV39" s="14">
        <f t="shared" si="14"/>
        <v>0</v>
      </c>
      <c r="AW39" s="14">
        <f>DISTRIBUSI!F37</f>
        <v>0</v>
      </c>
      <c r="AX39" s="14">
        <f>'PEMAKAIAN UNIT'!F36</f>
        <v>0</v>
      </c>
      <c r="AY39" s="14">
        <f t="shared" si="15"/>
        <v>0</v>
      </c>
      <c r="AZ39" s="15">
        <f t="shared" si="16"/>
        <v>0</v>
      </c>
      <c r="BA39" s="14">
        <f t="shared" si="17"/>
        <v>0</v>
      </c>
      <c r="BB39" s="14">
        <f>DISTRIBUSI!G37</f>
        <v>0</v>
      </c>
      <c r="BC39" s="14">
        <f>'PEMAKAIAN UNIT'!G36</f>
        <v>0</v>
      </c>
      <c r="BD39" s="14">
        <f t="shared" si="18"/>
        <v>0</v>
      </c>
      <c r="BE39" s="15">
        <f t="shared" si="19"/>
        <v>0</v>
      </c>
      <c r="BF39" s="14">
        <f t="shared" si="20"/>
        <v>0</v>
      </c>
      <c r="BG39" s="14">
        <f>DISTRIBUSI!H37</f>
        <v>0</v>
      </c>
      <c r="BH39" s="14">
        <f>'PEMAKAIAN UNIT'!H36</f>
        <v>0</v>
      </c>
      <c r="BI39" s="14">
        <f t="shared" si="21"/>
        <v>0</v>
      </c>
      <c r="BJ39" s="15">
        <f t="shared" si="22"/>
        <v>0</v>
      </c>
      <c r="BK39" s="14">
        <f t="shared" si="23"/>
        <v>0</v>
      </c>
      <c r="BL39" s="14">
        <f>DISTRIBUSI!I37</f>
        <v>0</v>
      </c>
      <c r="BM39" s="14">
        <f>'PEMAKAIAN UNIT'!I36</f>
        <v>0</v>
      </c>
      <c r="BN39" s="14">
        <f t="shared" si="24"/>
        <v>0</v>
      </c>
      <c r="BO39" s="15">
        <f t="shared" si="25"/>
        <v>0</v>
      </c>
      <c r="BP39" s="14">
        <f t="shared" si="26"/>
        <v>0</v>
      </c>
      <c r="BQ39" s="14">
        <f>DISTRIBUSI!J37</f>
        <v>0</v>
      </c>
      <c r="BR39" s="14">
        <f>'PEMAKAIAN UNIT'!J36</f>
        <v>0</v>
      </c>
      <c r="BS39" s="14">
        <f t="shared" si="27"/>
        <v>0</v>
      </c>
      <c r="BT39" s="15">
        <f t="shared" si="28"/>
        <v>0</v>
      </c>
      <c r="BU39" s="14">
        <f t="shared" si="29"/>
        <v>0</v>
      </c>
      <c r="BV39" s="14">
        <f>DISTRIBUSI!K37</f>
        <v>0</v>
      </c>
      <c r="BW39" s="14">
        <f>'PEMAKAIAN UNIT'!K36</f>
        <v>0</v>
      </c>
      <c r="BX39" s="14">
        <f t="shared" si="30"/>
        <v>0</v>
      </c>
      <c r="BY39" s="15">
        <f t="shared" si="31"/>
        <v>0</v>
      </c>
      <c r="BZ39" s="14">
        <f t="shared" si="32"/>
        <v>0</v>
      </c>
      <c r="CA39" s="14">
        <f>DISTRIBUSI!L37</f>
        <v>0</v>
      </c>
      <c r="CB39" s="14">
        <f>'PEMAKAIAN UNIT'!L36</f>
        <v>0</v>
      </c>
      <c r="CC39" s="14">
        <f t="shared" si="33"/>
        <v>0</v>
      </c>
      <c r="CD39" s="15">
        <f t="shared" si="34"/>
        <v>0</v>
      </c>
      <c r="CE39" s="14">
        <f t="shared" si="35"/>
        <v>0</v>
      </c>
      <c r="CF39" s="14">
        <f>DISTRIBUSI!M37</f>
        <v>0</v>
      </c>
      <c r="CG39" s="14">
        <f>'PEMAKAIAN UNIT'!M36</f>
        <v>0</v>
      </c>
      <c r="CH39" s="14">
        <f t="shared" si="36"/>
        <v>0</v>
      </c>
      <c r="CI39" s="15">
        <f t="shared" si="37"/>
        <v>0</v>
      </c>
      <c r="CJ39" s="14">
        <f t="shared" si="38"/>
        <v>0</v>
      </c>
      <c r="CK39" s="14" t="e">
        <f>DISTRIBUSI!#REF!</f>
        <v>#REF!</v>
      </c>
      <c r="CL39" s="14">
        <f>'PEMAKAIAN UNIT'!N36</f>
        <v>0</v>
      </c>
      <c r="CM39" s="14" t="e">
        <f t="shared" si="39"/>
        <v>#REF!</v>
      </c>
      <c r="CN39" s="15" t="e">
        <f t="shared" si="40"/>
        <v>#REF!</v>
      </c>
      <c r="CO39" s="14" t="e">
        <f>DL39+DISTRIBUSI!#REF!-'PEMAKAIAN UNIT'!O36</f>
        <v>#REF!</v>
      </c>
      <c r="CP39" s="15" t="e">
        <f t="shared" si="41"/>
        <v>#REF!</v>
      </c>
      <c r="CQ39" s="226">
        <f t="shared" si="42"/>
        <v>210</v>
      </c>
      <c r="CR39" s="226">
        <f>DISTRIBUSI!R37</f>
        <v>0</v>
      </c>
      <c r="CS39" s="226">
        <f>'PEMAKAIAN UNIT'!P36</f>
        <v>0</v>
      </c>
      <c r="CT39" s="14">
        <f t="shared" si="43"/>
        <v>210</v>
      </c>
      <c r="CU39" s="15">
        <f t="shared" si="44"/>
        <v>80</v>
      </c>
      <c r="CV39" s="14" t="e">
        <f>DN39+DISTRIBUSI!#REF!-'PEMAKAIAN UNIT'!Q36</f>
        <v>#REF!</v>
      </c>
      <c r="CW39" s="15" t="e">
        <f t="shared" si="45"/>
        <v>#REF!</v>
      </c>
      <c r="CX39" s="14">
        <f>DO39+'LPLPO GUDANG'!E42-'LPLPO GUDANG'!G42</f>
        <v>90</v>
      </c>
      <c r="CY39" s="15">
        <f t="shared" si="46"/>
        <v>90</v>
      </c>
      <c r="CZ39" s="28"/>
      <c r="DA39" s="14">
        <v>0</v>
      </c>
      <c r="DB39" s="14"/>
      <c r="DC39" s="14">
        <v>0</v>
      </c>
      <c r="DD39" s="14">
        <v>0</v>
      </c>
      <c r="DE39" s="14">
        <v>0</v>
      </c>
      <c r="DF39" s="14"/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210</v>
      </c>
      <c r="DN39" s="14">
        <v>0</v>
      </c>
      <c r="DO39" s="13">
        <v>90</v>
      </c>
      <c r="DP39" s="13">
        <f t="shared" si="47"/>
        <v>300</v>
      </c>
      <c r="DR39" t="s">
        <v>23</v>
      </c>
      <c r="DU39" s="20" t="e">
        <f t="shared" si="48"/>
        <v>#REF!</v>
      </c>
    </row>
    <row r="40" spans="1:125" customFormat="1" ht="36" x14ac:dyDescent="0.35">
      <c r="A40" s="84">
        <f t="shared" si="49"/>
        <v>29</v>
      </c>
      <c r="B40" s="142" t="s">
        <v>25</v>
      </c>
      <c r="C40" s="157" t="s">
        <v>327</v>
      </c>
      <c r="D40" s="109">
        <v>0</v>
      </c>
      <c r="E40" s="110">
        <f>'LPLPO GUDANG'!E43</f>
        <v>1500</v>
      </c>
      <c r="F40" s="110">
        <f t="shared" si="0"/>
        <v>1500</v>
      </c>
      <c r="G40" s="110">
        <f>'PEMAKAIAN UNIT'!R37</f>
        <v>0</v>
      </c>
      <c r="H40" s="14">
        <v>155</v>
      </c>
      <c r="I40" s="14">
        <v>0</v>
      </c>
      <c r="J40" s="14">
        <v>0</v>
      </c>
      <c r="K40" s="14"/>
      <c r="L40" s="14"/>
      <c r="M40" s="14"/>
      <c r="N40" s="14"/>
      <c r="O40" s="14"/>
      <c r="P40" s="14"/>
      <c r="Q40" s="14"/>
      <c r="R40" s="14"/>
      <c r="S40" s="14">
        <v>20</v>
      </c>
      <c r="T40" s="14">
        <v>0</v>
      </c>
      <c r="U40" s="14">
        <v>155</v>
      </c>
      <c r="V40" s="14">
        <v>305</v>
      </c>
      <c r="W40" s="14">
        <v>0</v>
      </c>
      <c r="X40" s="14">
        <v>92</v>
      </c>
      <c r="Y40" s="109">
        <f t="shared" si="1"/>
        <v>0</v>
      </c>
      <c r="Z40" s="109" t="e">
        <f t="shared" si="2"/>
        <v>#REF!</v>
      </c>
      <c r="AA40" s="109" t="e">
        <f t="shared" si="3"/>
        <v>#REF!</v>
      </c>
      <c r="AB40" s="14">
        <v>1127</v>
      </c>
      <c r="AC40" s="109" t="e">
        <f t="shared" si="4"/>
        <v>#REF!</v>
      </c>
      <c r="AD40" s="109">
        <f>'LPLPO GUDANG'!H43</f>
        <v>0</v>
      </c>
      <c r="AE40" s="111" t="e">
        <f t="shared" si="5"/>
        <v>#REF!</v>
      </c>
      <c r="AF40" s="212"/>
      <c r="AG40" s="212"/>
      <c r="AH40" s="20"/>
      <c r="AI40" s="14">
        <f t="shared" si="6"/>
        <v>1500</v>
      </c>
      <c r="AJ40" s="209" t="e">
        <f t="shared" si="7"/>
        <v>#REF!</v>
      </c>
      <c r="AL40" s="14">
        <f t="shared" si="8"/>
        <v>305</v>
      </c>
      <c r="AM40" s="14">
        <f>DISTRIBUSI!D38</f>
        <v>0</v>
      </c>
      <c r="AN40" s="14">
        <f>'PEMAKAIAN UNIT'!D37</f>
        <v>0</v>
      </c>
      <c r="AO40" s="14">
        <f t="shared" si="9"/>
        <v>305</v>
      </c>
      <c r="AP40" s="15">
        <f t="shared" si="10"/>
        <v>150</v>
      </c>
      <c r="AQ40" s="14">
        <f t="shared" si="11"/>
        <v>65</v>
      </c>
      <c r="AR40" s="14">
        <f>DISTRIBUSI!E38</f>
        <v>0</v>
      </c>
      <c r="AS40" s="14">
        <f>'PEMAKAIAN UNIT'!E37</f>
        <v>0</v>
      </c>
      <c r="AT40" s="14">
        <f t="shared" si="12"/>
        <v>65</v>
      </c>
      <c r="AU40" s="15">
        <f t="shared" si="13"/>
        <v>65</v>
      </c>
      <c r="AV40" s="14">
        <f t="shared" si="14"/>
        <v>200</v>
      </c>
      <c r="AW40" s="14">
        <f>DISTRIBUSI!F38</f>
        <v>0</v>
      </c>
      <c r="AX40" s="14">
        <f>'PEMAKAIAN UNIT'!F37</f>
        <v>0</v>
      </c>
      <c r="AY40" s="14">
        <f t="shared" si="15"/>
        <v>200</v>
      </c>
      <c r="AZ40" s="15">
        <f t="shared" si="16"/>
        <v>200</v>
      </c>
      <c r="BA40" s="14">
        <f t="shared" si="17"/>
        <v>50</v>
      </c>
      <c r="BB40" s="14">
        <f>DISTRIBUSI!G38</f>
        <v>0</v>
      </c>
      <c r="BC40" s="14">
        <f>'PEMAKAIAN UNIT'!G37</f>
        <v>0</v>
      </c>
      <c r="BD40" s="14">
        <f t="shared" si="18"/>
        <v>50</v>
      </c>
      <c r="BE40" s="15">
        <f t="shared" si="19"/>
        <v>30</v>
      </c>
      <c r="BF40" s="14">
        <f t="shared" si="20"/>
        <v>315</v>
      </c>
      <c r="BG40" s="14">
        <f>DISTRIBUSI!H38</f>
        <v>0</v>
      </c>
      <c r="BH40" s="14">
        <f>'PEMAKAIAN UNIT'!H37</f>
        <v>0</v>
      </c>
      <c r="BI40" s="14">
        <f t="shared" si="21"/>
        <v>315</v>
      </c>
      <c r="BJ40" s="15">
        <f t="shared" si="22"/>
        <v>315</v>
      </c>
      <c r="BK40" s="14">
        <f t="shared" si="23"/>
        <v>190</v>
      </c>
      <c r="BL40" s="14">
        <f>DISTRIBUSI!I38</f>
        <v>0</v>
      </c>
      <c r="BM40" s="14">
        <f>'PEMAKAIAN UNIT'!I37</f>
        <v>0</v>
      </c>
      <c r="BN40" s="14">
        <f t="shared" si="24"/>
        <v>190</v>
      </c>
      <c r="BO40" s="15">
        <f t="shared" si="25"/>
        <v>35</v>
      </c>
      <c r="BP40" s="14">
        <f t="shared" si="26"/>
        <v>260</v>
      </c>
      <c r="BQ40" s="14">
        <f>DISTRIBUSI!J38</f>
        <v>0</v>
      </c>
      <c r="BR40" s="14">
        <f>'PEMAKAIAN UNIT'!J37</f>
        <v>0</v>
      </c>
      <c r="BS40" s="14">
        <f t="shared" si="27"/>
        <v>260</v>
      </c>
      <c r="BT40" s="15">
        <f t="shared" si="28"/>
        <v>-45</v>
      </c>
      <c r="BU40" s="14">
        <f t="shared" si="29"/>
        <v>0</v>
      </c>
      <c r="BV40" s="14">
        <f>DISTRIBUSI!K38</f>
        <v>0</v>
      </c>
      <c r="BW40" s="14">
        <f>'PEMAKAIAN UNIT'!K37</f>
        <v>0</v>
      </c>
      <c r="BX40" s="14">
        <f t="shared" si="30"/>
        <v>0</v>
      </c>
      <c r="BY40" s="15">
        <f t="shared" si="31"/>
        <v>0</v>
      </c>
      <c r="BZ40" s="14">
        <f t="shared" si="32"/>
        <v>102</v>
      </c>
      <c r="CA40" s="14">
        <f>DISTRIBUSI!L38</f>
        <v>0</v>
      </c>
      <c r="CB40" s="14">
        <f>'PEMAKAIAN UNIT'!L37</f>
        <v>0</v>
      </c>
      <c r="CC40" s="14">
        <f t="shared" si="33"/>
        <v>102</v>
      </c>
      <c r="CD40" s="15">
        <f t="shared" si="34"/>
        <v>10</v>
      </c>
      <c r="CE40" s="14">
        <f t="shared" si="35"/>
        <v>0</v>
      </c>
      <c r="CF40" s="14">
        <f>DISTRIBUSI!M38</f>
        <v>0</v>
      </c>
      <c r="CG40" s="14">
        <f>'PEMAKAIAN UNIT'!M37</f>
        <v>0</v>
      </c>
      <c r="CH40" s="14">
        <f t="shared" si="36"/>
        <v>0</v>
      </c>
      <c r="CI40" s="15">
        <f t="shared" si="37"/>
        <v>0</v>
      </c>
      <c r="CJ40" s="14">
        <f t="shared" si="38"/>
        <v>0</v>
      </c>
      <c r="CK40" s="14" t="e">
        <f>DISTRIBUSI!#REF!</f>
        <v>#REF!</v>
      </c>
      <c r="CL40" s="14">
        <f>'PEMAKAIAN UNIT'!N37</f>
        <v>0</v>
      </c>
      <c r="CM40" s="14" t="e">
        <f t="shared" si="39"/>
        <v>#REF!</v>
      </c>
      <c r="CN40" s="15" t="e">
        <f t="shared" si="40"/>
        <v>#REF!</v>
      </c>
      <c r="CO40" s="14" t="e">
        <f>DL40+DISTRIBUSI!#REF!-'PEMAKAIAN UNIT'!O37</f>
        <v>#REF!</v>
      </c>
      <c r="CP40" s="15" t="e">
        <f t="shared" si="41"/>
        <v>#REF!</v>
      </c>
      <c r="CQ40" s="226">
        <f t="shared" si="42"/>
        <v>1543</v>
      </c>
      <c r="CR40" s="226">
        <f>DISTRIBUSI!R38</f>
        <v>2500</v>
      </c>
      <c r="CS40" s="226">
        <f>'PEMAKAIAN UNIT'!P37</f>
        <v>0</v>
      </c>
      <c r="CT40" s="14">
        <f t="shared" si="43"/>
        <v>4043</v>
      </c>
      <c r="CU40" s="15">
        <f t="shared" si="44"/>
        <v>2916</v>
      </c>
      <c r="CV40" s="14" t="e">
        <f>DN40+DISTRIBUSI!#REF!-'PEMAKAIAN UNIT'!Q37</f>
        <v>#REF!</v>
      </c>
      <c r="CW40" s="15" t="e">
        <f t="shared" si="45"/>
        <v>#REF!</v>
      </c>
      <c r="CX40" s="14">
        <f>DO40+'LPLPO GUDANG'!E43-'LPLPO GUDANG'!G43</f>
        <v>-300</v>
      </c>
      <c r="CY40" s="15">
        <f t="shared" si="46"/>
        <v>-300</v>
      </c>
      <c r="CZ40" s="28"/>
      <c r="DA40" s="14">
        <v>305</v>
      </c>
      <c r="DB40" s="14">
        <v>65</v>
      </c>
      <c r="DC40" s="14">
        <v>200</v>
      </c>
      <c r="DD40" s="14">
        <v>50</v>
      </c>
      <c r="DE40" s="14">
        <v>315</v>
      </c>
      <c r="DF40" s="14">
        <v>190</v>
      </c>
      <c r="DG40" s="14">
        <v>260</v>
      </c>
      <c r="DH40" s="14">
        <v>0</v>
      </c>
      <c r="DI40" s="14">
        <v>102</v>
      </c>
      <c r="DJ40" s="14">
        <v>0</v>
      </c>
      <c r="DK40" s="14">
        <v>0</v>
      </c>
      <c r="DL40" s="14">
        <v>0</v>
      </c>
      <c r="DM40" s="14">
        <v>1543</v>
      </c>
      <c r="DN40" s="14">
        <v>0</v>
      </c>
      <c r="DO40" s="13">
        <v>700</v>
      </c>
      <c r="DP40" s="13">
        <f t="shared" si="47"/>
        <v>3730</v>
      </c>
      <c r="DR40" t="s">
        <v>25</v>
      </c>
      <c r="DU40" s="20" t="e">
        <f t="shared" si="48"/>
        <v>#REF!</v>
      </c>
    </row>
    <row r="41" spans="1:125" customFormat="1" ht="20.149999999999999" customHeight="1" x14ac:dyDescent="0.35">
      <c r="A41" s="84">
        <f t="shared" si="49"/>
        <v>30</v>
      </c>
      <c r="B41" s="142" t="s">
        <v>24</v>
      </c>
      <c r="C41" s="160" t="s">
        <v>4</v>
      </c>
      <c r="D41" s="109">
        <v>0</v>
      </c>
      <c r="E41" s="110">
        <f>'LPLPO GUDANG'!E44</f>
        <v>0</v>
      </c>
      <c r="F41" s="110">
        <f t="shared" si="0"/>
        <v>0</v>
      </c>
      <c r="G41" s="110">
        <f>'PEMAKAIAN UNIT'!R38</f>
        <v>0</v>
      </c>
      <c r="H41" s="14">
        <v>0</v>
      </c>
      <c r="I41" s="14">
        <v>0</v>
      </c>
      <c r="J41" s="14">
        <v>0</v>
      </c>
      <c r="K41" s="14"/>
      <c r="L41" s="14"/>
      <c r="M41" s="14"/>
      <c r="N41" s="14"/>
      <c r="O41" s="14"/>
      <c r="P41" s="14"/>
      <c r="Q41" s="14"/>
      <c r="R41" s="14"/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09">
        <f t="shared" si="1"/>
        <v>0</v>
      </c>
      <c r="Z41" s="109" t="e">
        <f t="shared" si="2"/>
        <v>#REF!</v>
      </c>
      <c r="AA41" s="109" t="e">
        <f t="shared" si="3"/>
        <v>#REF!</v>
      </c>
      <c r="AB41" s="14">
        <v>48</v>
      </c>
      <c r="AC41" s="109" t="e">
        <f t="shared" si="4"/>
        <v>#REF!</v>
      </c>
      <c r="AD41" s="109">
        <f>'LPLPO GUDANG'!H44</f>
        <v>100</v>
      </c>
      <c r="AE41" s="111" t="e">
        <f t="shared" si="5"/>
        <v>#REF!</v>
      </c>
      <c r="AF41" s="212"/>
      <c r="AG41" s="212"/>
      <c r="AH41" s="20"/>
      <c r="AI41" s="14">
        <f t="shared" si="6"/>
        <v>0</v>
      </c>
      <c r="AJ41" s="209" t="e">
        <f t="shared" si="7"/>
        <v>#REF!</v>
      </c>
      <c r="AL41" s="14">
        <f t="shared" si="8"/>
        <v>0</v>
      </c>
      <c r="AM41" s="14">
        <f>DISTRIBUSI!D39</f>
        <v>0</v>
      </c>
      <c r="AN41" s="14">
        <f>'PEMAKAIAN UNIT'!D38</f>
        <v>0</v>
      </c>
      <c r="AO41" s="14">
        <f t="shared" si="9"/>
        <v>0</v>
      </c>
      <c r="AP41" s="15">
        <f t="shared" si="10"/>
        <v>0</v>
      </c>
      <c r="AQ41" s="14">
        <f t="shared" si="11"/>
        <v>0</v>
      </c>
      <c r="AR41" s="14">
        <f>DISTRIBUSI!E39</f>
        <v>0</v>
      </c>
      <c r="AS41" s="14">
        <f>'PEMAKAIAN UNIT'!E38</f>
        <v>0</v>
      </c>
      <c r="AT41" s="14">
        <f t="shared" si="12"/>
        <v>0</v>
      </c>
      <c r="AU41" s="15">
        <f t="shared" si="13"/>
        <v>0</v>
      </c>
      <c r="AV41" s="14">
        <f t="shared" si="14"/>
        <v>0</v>
      </c>
      <c r="AW41" s="14">
        <f>DISTRIBUSI!F39</f>
        <v>0</v>
      </c>
      <c r="AX41" s="14">
        <f>'PEMAKAIAN UNIT'!F38</f>
        <v>0</v>
      </c>
      <c r="AY41" s="14">
        <f t="shared" si="15"/>
        <v>0</v>
      </c>
      <c r="AZ41" s="15">
        <f t="shared" si="16"/>
        <v>0</v>
      </c>
      <c r="BA41" s="14">
        <f t="shared" si="17"/>
        <v>0</v>
      </c>
      <c r="BB41" s="14">
        <f>DISTRIBUSI!G39</f>
        <v>0</v>
      </c>
      <c r="BC41" s="14">
        <f>'PEMAKAIAN UNIT'!G38</f>
        <v>0</v>
      </c>
      <c r="BD41" s="14">
        <f t="shared" si="18"/>
        <v>0</v>
      </c>
      <c r="BE41" s="15">
        <f t="shared" si="19"/>
        <v>0</v>
      </c>
      <c r="BF41" s="14">
        <f t="shared" si="20"/>
        <v>0</v>
      </c>
      <c r="BG41" s="14">
        <f>DISTRIBUSI!H39</f>
        <v>0</v>
      </c>
      <c r="BH41" s="14">
        <f>'PEMAKAIAN UNIT'!H38</f>
        <v>0</v>
      </c>
      <c r="BI41" s="14">
        <f t="shared" si="21"/>
        <v>0</v>
      </c>
      <c r="BJ41" s="15">
        <f t="shared" si="22"/>
        <v>0</v>
      </c>
      <c r="BK41" s="14">
        <f t="shared" si="23"/>
        <v>0</v>
      </c>
      <c r="BL41" s="14">
        <f>DISTRIBUSI!I39</f>
        <v>0</v>
      </c>
      <c r="BM41" s="14">
        <f>'PEMAKAIAN UNIT'!I38</f>
        <v>0</v>
      </c>
      <c r="BN41" s="14">
        <f t="shared" si="24"/>
        <v>0</v>
      </c>
      <c r="BO41" s="15">
        <f t="shared" si="25"/>
        <v>0</v>
      </c>
      <c r="BP41" s="14">
        <f t="shared" si="26"/>
        <v>0</v>
      </c>
      <c r="BQ41" s="14">
        <f>DISTRIBUSI!J39</f>
        <v>0</v>
      </c>
      <c r="BR41" s="14">
        <f>'PEMAKAIAN UNIT'!J38</f>
        <v>0</v>
      </c>
      <c r="BS41" s="14">
        <f t="shared" si="27"/>
        <v>0</v>
      </c>
      <c r="BT41" s="15">
        <f t="shared" si="28"/>
        <v>0</v>
      </c>
      <c r="BU41" s="14">
        <f t="shared" si="29"/>
        <v>0</v>
      </c>
      <c r="BV41" s="14">
        <f>DISTRIBUSI!K39</f>
        <v>0</v>
      </c>
      <c r="BW41" s="14">
        <f>'PEMAKAIAN UNIT'!K38</f>
        <v>0</v>
      </c>
      <c r="BX41" s="14">
        <f t="shared" si="30"/>
        <v>0</v>
      </c>
      <c r="BY41" s="15">
        <f t="shared" si="31"/>
        <v>0</v>
      </c>
      <c r="BZ41" s="14">
        <f t="shared" si="32"/>
        <v>0</v>
      </c>
      <c r="CA41" s="14">
        <f>DISTRIBUSI!L39</f>
        <v>0</v>
      </c>
      <c r="CB41" s="14">
        <f>'PEMAKAIAN UNIT'!L38</f>
        <v>0</v>
      </c>
      <c r="CC41" s="14">
        <f t="shared" si="33"/>
        <v>0</v>
      </c>
      <c r="CD41" s="15">
        <f t="shared" si="34"/>
        <v>0</v>
      </c>
      <c r="CE41" s="14">
        <f t="shared" si="35"/>
        <v>0</v>
      </c>
      <c r="CF41" s="14">
        <f>DISTRIBUSI!M39</f>
        <v>0</v>
      </c>
      <c r="CG41" s="14">
        <f>'PEMAKAIAN UNIT'!M38</f>
        <v>0</v>
      </c>
      <c r="CH41" s="14">
        <f t="shared" si="36"/>
        <v>0</v>
      </c>
      <c r="CI41" s="15">
        <f t="shared" si="37"/>
        <v>0</v>
      </c>
      <c r="CJ41" s="14">
        <f t="shared" si="38"/>
        <v>0</v>
      </c>
      <c r="CK41" s="14" t="e">
        <f>DISTRIBUSI!#REF!</f>
        <v>#REF!</v>
      </c>
      <c r="CL41" s="14">
        <f>'PEMAKAIAN UNIT'!N38</f>
        <v>0</v>
      </c>
      <c r="CM41" s="14" t="e">
        <f t="shared" si="39"/>
        <v>#REF!</v>
      </c>
      <c r="CN41" s="15" t="e">
        <f t="shared" si="40"/>
        <v>#REF!</v>
      </c>
      <c r="CO41" s="14" t="e">
        <f>DL41+DISTRIBUSI!#REF!-'PEMAKAIAN UNIT'!O38</f>
        <v>#REF!</v>
      </c>
      <c r="CP41" s="15" t="e">
        <f t="shared" si="41"/>
        <v>#REF!</v>
      </c>
      <c r="CQ41" s="226">
        <f t="shared" si="42"/>
        <v>82</v>
      </c>
      <c r="CR41" s="226">
        <f>DISTRIBUSI!R39</f>
        <v>0</v>
      </c>
      <c r="CS41" s="226">
        <f>'PEMAKAIAN UNIT'!P38</f>
        <v>0</v>
      </c>
      <c r="CT41" s="14">
        <f t="shared" si="43"/>
        <v>82</v>
      </c>
      <c r="CU41" s="15">
        <f t="shared" si="44"/>
        <v>34</v>
      </c>
      <c r="CV41" s="14" t="e">
        <f>DN41+DISTRIBUSI!#REF!-'PEMAKAIAN UNIT'!Q38</f>
        <v>#REF!</v>
      </c>
      <c r="CW41" s="15" t="e">
        <f t="shared" si="45"/>
        <v>#REF!</v>
      </c>
      <c r="CX41" s="14">
        <f>DO41+'LPLPO GUDANG'!E44-'LPLPO GUDANG'!G44</f>
        <v>30</v>
      </c>
      <c r="CY41" s="15">
        <f t="shared" si="46"/>
        <v>-70</v>
      </c>
      <c r="CZ41" s="28"/>
      <c r="DA41" s="14">
        <v>0</v>
      </c>
      <c r="DB41" s="14"/>
      <c r="DC41" s="14">
        <v>0</v>
      </c>
      <c r="DD41" s="14">
        <v>0</v>
      </c>
      <c r="DE41" s="14">
        <v>0</v>
      </c>
      <c r="DF41" s="14"/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82</v>
      </c>
      <c r="DN41" s="14">
        <v>0</v>
      </c>
      <c r="DO41" s="13">
        <v>30</v>
      </c>
      <c r="DP41" s="13">
        <f t="shared" si="47"/>
        <v>112</v>
      </c>
      <c r="DR41" t="s">
        <v>24</v>
      </c>
      <c r="DU41" s="20" t="e">
        <f t="shared" si="48"/>
        <v>#REF!</v>
      </c>
    </row>
    <row r="42" spans="1:125" customFormat="1" ht="20.149999999999999" customHeight="1" x14ac:dyDescent="0.35">
      <c r="A42" s="84">
        <f t="shared" si="49"/>
        <v>31</v>
      </c>
      <c r="B42" s="142" t="s">
        <v>26</v>
      </c>
      <c r="C42" s="157" t="s">
        <v>48</v>
      </c>
      <c r="D42" s="109">
        <v>0</v>
      </c>
      <c r="E42" s="110">
        <f>'LPLPO GUDANG'!E45</f>
        <v>0</v>
      </c>
      <c r="F42" s="110">
        <f t="shared" si="0"/>
        <v>0</v>
      </c>
      <c r="G42" s="110">
        <f>'PEMAKAIAN UNIT'!R39</f>
        <v>0</v>
      </c>
      <c r="H42" s="14">
        <v>0</v>
      </c>
      <c r="I42" s="14">
        <v>0</v>
      </c>
      <c r="J42" s="14">
        <v>0</v>
      </c>
      <c r="K42" s="14"/>
      <c r="L42" s="14"/>
      <c r="M42" s="14"/>
      <c r="N42" s="14"/>
      <c r="O42" s="14"/>
      <c r="P42" s="14"/>
      <c r="Q42" s="14"/>
      <c r="R42" s="14"/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09">
        <f t="shared" si="1"/>
        <v>0</v>
      </c>
      <c r="Z42" s="109" t="e">
        <f t="shared" si="2"/>
        <v>#REF!</v>
      </c>
      <c r="AA42" s="109" t="e">
        <f t="shared" si="3"/>
        <v>#REF!</v>
      </c>
      <c r="AB42" s="14">
        <v>0</v>
      </c>
      <c r="AC42" s="109" t="e">
        <f t="shared" si="4"/>
        <v>#REF!</v>
      </c>
      <c r="AD42" s="109">
        <f>'LPLPO GUDANG'!H45</f>
        <v>0</v>
      </c>
      <c r="AE42" s="111" t="e">
        <f t="shared" si="5"/>
        <v>#REF!</v>
      </c>
      <c r="AF42" s="212"/>
      <c r="AG42" s="212"/>
      <c r="AH42" s="20"/>
      <c r="AI42" s="14">
        <f t="shared" si="6"/>
        <v>0</v>
      </c>
      <c r="AJ42" s="209" t="e">
        <f t="shared" si="7"/>
        <v>#REF!</v>
      </c>
      <c r="AL42" s="14">
        <f t="shared" si="8"/>
        <v>0</v>
      </c>
      <c r="AM42" s="14">
        <f>DISTRIBUSI!D40</f>
        <v>0</v>
      </c>
      <c r="AN42" s="14">
        <f>'PEMAKAIAN UNIT'!D39</f>
        <v>0</v>
      </c>
      <c r="AO42" s="14">
        <f t="shared" si="9"/>
        <v>0</v>
      </c>
      <c r="AP42" s="15">
        <f t="shared" si="10"/>
        <v>0</v>
      </c>
      <c r="AQ42" s="14">
        <f t="shared" si="11"/>
        <v>0</v>
      </c>
      <c r="AR42" s="14">
        <f>DISTRIBUSI!E40</f>
        <v>0</v>
      </c>
      <c r="AS42" s="14">
        <f>'PEMAKAIAN UNIT'!E39</f>
        <v>0</v>
      </c>
      <c r="AT42" s="14">
        <f t="shared" si="12"/>
        <v>0</v>
      </c>
      <c r="AU42" s="15">
        <f t="shared" si="13"/>
        <v>0</v>
      </c>
      <c r="AV42" s="14">
        <f t="shared" si="14"/>
        <v>0</v>
      </c>
      <c r="AW42" s="14">
        <f>DISTRIBUSI!F40</f>
        <v>0</v>
      </c>
      <c r="AX42" s="14">
        <f>'PEMAKAIAN UNIT'!F39</f>
        <v>0</v>
      </c>
      <c r="AY42" s="14">
        <f t="shared" si="15"/>
        <v>0</v>
      </c>
      <c r="AZ42" s="15">
        <f t="shared" si="16"/>
        <v>0</v>
      </c>
      <c r="BA42" s="14">
        <f t="shared" si="17"/>
        <v>0</v>
      </c>
      <c r="BB42" s="14">
        <f>DISTRIBUSI!G40</f>
        <v>0</v>
      </c>
      <c r="BC42" s="14">
        <f>'PEMAKAIAN UNIT'!G39</f>
        <v>0</v>
      </c>
      <c r="BD42" s="14">
        <f t="shared" si="18"/>
        <v>0</v>
      </c>
      <c r="BE42" s="15">
        <f t="shared" si="19"/>
        <v>0</v>
      </c>
      <c r="BF42" s="14">
        <f t="shared" si="20"/>
        <v>0</v>
      </c>
      <c r="BG42" s="14">
        <f>DISTRIBUSI!H40</f>
        <v>0</v>
      </c>
      <c r="BH42" s="14">
        <f>'PEMAKAIAN UNIT'!H39</f>
        <v>0</v>
      </c>
      <c r="BI42" s="14">
        <f t="shared" si="21"/>
        <v>0</v>
      </c>
      <c r="BJ42" s="15">
        <f t="shared" si="22"/>
        <v>0</v>
      </c>
      <c r="BK42" s="14">
        <f t="shared" si="23"/>
        <v>0</v>
      </c>
      <c r="BL42" s="14">
        <f>DISTRIBUSI!I40</f>
        <v>0</v>
      </c>
      <c r="BM42" s="14">
        <f>'PEMAKAIAN UNIT'!I39</f>
        <v>0</v>
      </c>
      <c r="BN42" s="14">
        <f t="shared" si="24"/>
        <v>0</v>
      </c>
      <c r="BO42" s="15">
        <f t="shared" si="25"/>
        <v>0</v>
      </c>
      <c r="BP42" s="14">
        <f t="shared" si="26"/>
        <v>0</v>
      </c>
      <c r="BQ42" s="14">
        <f>DISTRIBUSI!J40</f>
        <v>0</v>
      </c>
      <c r="BR42" s="14">
        <f>'PEMAKAIAN UNIT'!J39</f>
        <v>0</v>
      </c>
      <c r="BS42" s="14">
        <f t="shared" si="27"/>
        <v>0</v>
      </c>
      <c r="BT42" s="15">
        <f t="shared" si="28"/>
        <v>0</v>
      </c>
      <c r="BU42" s="14">
        <f t="shared" si="29"/>
        <v>0</v>
      </c>
      <c r="BV42" s="14">
        <f>DISTRIBUSI!K40</f>
        <v>0</v>
      </c>
      <c r="BW42" s="14">
        <f>'PEMAKAIAN UNIT'!K39</f>
        <v>0</v>
      </c>
      <c r="BX42" s="14">
        <f t="shared" si="30"/>
        <v>0</v>
      </c>
      <c r="BY42" s="15">
        <f t="shared" si="31"/>
        <v>0</v>
      </c>
      <c r="BZ42" s="14">
        <f t="shared" si="32"/>
        <v>0</v>
      </c>
      <c r="CA42" s="14">
        <f>DISTRIBUSI!L40</f>
        <v>0</v>
      </c>
      <c r="CB42" s="14">
        <f>'PEMAKAIAN UNIT'!L39</f>
        <v>0</v>
      </c>
      <c r="CC42" s="14">
        <f t="shared" si="33"/>
        <v>0</v>
      </c>
      <c r="CD42" s="15">
        <f t="shared" si="34"/>
        <v>0</v>
      </c>
      <c r="CE42" s="14">
        <f t="shared" si="35"/>
        <v>0</v>
      </c>
      <c r="CF42" s="14">
        <f>DISTRIBUSI!M40</f>
        <v>0</v>
      </c>
      <c r="CG42" s="14">
        <f>'PEMAKAIAN UNIT'!M39</f>
        <v>0</v>
      </c>
      <c r="CH42" s="14">
        <f t="shared" si="36"/>
        <v>0</v>
      </c>
      <c r="CI42" s="15">
        <f t="shared" si="37"/>
        <v>0</v>
      </c>
      <c r="CJ42" s="14">
        <f t="shared" si="38"/>
        <v>0</v>
      </c>
      <c r="CK42" s="14" t="e">
        <f>DISTRIBUSI!#REF!</f>
        <v>#REF!</v>
      </c>
      <c r="CL42" s="14">
        <f>'PEMAKAIAN UNIT'!N39</f>
        <v>0</v>
      </c>
      <c r="CM42" s="14" t="e">
        <f t="shared" si="39"/>
        <v>#REF!</v>
      </c>
      <c r="CN42" s="15" t="e">
        <f t="shared" si="40"/>
        <v>#REF!</v>
      </c>
      <c r="CO42" s="14" t="e">
        <f>DL42+DISTRIBUSI!#REF!-'PEMAKAIAN UNIT'!O39</f>
        <v>#REF!</v>
      </c>
      <c r="CP42" s="15" t="e">
        <f t="shared" si="41"/>
        <v>#REF!</v>
      </c>
      <c r="CQ42" s="226">
        <f t="shared" si="42"/>
        <v>0</v>
      </c>
      <c r="CR42" s="226">
        <f>DISTRIBUSI!R40</f>
        <v>0</v>
      </c>
      <c r="CS42" s="226">
        <f>'PEMAKAIAN UNIT'!P39</f>
        <v>0</v>
      </c>
      <c r="CT42" s="14">
        <f t="shared" si="43"/>
        <v>0</v>
      </c>
      <c r="CU42" s="15">
        <f t="shared" si="44"/>
        <v>0</v>
      </c>
      <c r="CV42" s="14" t="e">
        <f>DN42+DISTRIBUSI!#REF!-'PEMAKAIAN UNIT'!Q39</f>
        <v>#REF!</v>
      </c>
      <c r="CW42" s="15" t="e">
        <f t="shared" si="45"/>
        <v>#REF!</v>
      </c>
      <c r="CX42" s="14">
        <f>DO42+'LPLPO GUDANG'!E45-'LPLPO GUDANG'!G45</f>
        <v>2</v>
      </c>
      <c r="CY42" s="15">
        <f t="shared" si="46"/>
        <v>2</v>
      </c>
      <c r="CZ42" s="28"/>
      <c r="DA42" s="14">
        <v>0</v>
      </c>
      <c r="DB42" s="14"/>
      <c r="DC42" s="14">
        <v>0</v>
      </c>
      <c r="DD42" s="14">
        <v>0</v>
      </c>
      <c r="DE42" s="14">
        <v>0</v>
      </c>
      <c r="DF42" s="14"/>
      <c r="DG42" s="14"/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3">
        <v>2</v>
      </c>
      <c r="DP42" s="13">
        <f t="shared" si="47"/>
        <v>2</v>
      </c>
      <c r="DR42" t="s">
        <v>26</v>
      </c>
      <c r="DU42" s="20" t="e">
        <f t="shared" si="48"/>
        <v>#REF!</v>
      </c>
    </row>
    <row r="43" spans="1:125" customFormat="1" ht="20.149999999999999" customHeight="1" x14ac:dyDescent="0.35">
      <c r="A43" s="84">
        <f t="shared" si="49"/>
        <v>32</v>
      </c>
      <c r="B43" s="142" t="s">
        <v>27</v>
      </c>
      <c r="C43" s="157" t="s">
        <v>337</v>
      </c>
      <c r="D43" s="109">
        <v>0</v>
      </c>
      <c r="E43" s="110">
        <f>'LPLPO GUDANG'!E46</f>
        <v>0</v>
      </c>
      <c r="F43" s="110">
        <f t="shared" si="0"/>
        <v>0</v>
      </c>
      <c r="G43" s="110">
        <f>'PEMAKAIAN UNIT'!R40</f>
        <v>0</v>
      </c>
      <c r="H43" s="14">
        <v>0</v>
      </c>
      <c r="I43" s="14">
        <v>0</v>
      </c>
      <c r="J43" s="14">
        <v>0</v>
      </c>
      <c r="K43" s="14"/>
      <c r="L43" s="14"/>
      <c r="M43" s="14"/>
      <c r="N43" s="14"/>
      <c r="O43" s="14"/>
      <c r="P43" s="14"/>
      <c r="Q43" s="14"/>
      <c r="R43" s="14"/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09">
        <f t="shared" si="1"/>
        <v>0</v>
      </c>
      <c r="Z43" s="109" t="e">
        <f t="shared" si="2"/>
        <v>#REF!</v>
      </c>
      <c r="AA43" s="109" t="e">
        <f t="shared" si="3"/>
        <v>#REF!</v>
      </c>
      <c r="AB43" s="14">
        <v>6</v>
      </c>
      <c r="AC43" s="109" t="e">
        <f t="shared" si="4"/>
        <v>#REF!</v>
      </c>
      <c r="AD43" s="109">
        <f>'LPLPO GUDANG'!H46</f>
        <v>5</v>
      </c>
      <c r="AE43" s="111" t="e">
        <f t="shared" si="5"/>
        <v>#REF!</v>
      </c>
      <c r="AF43" s="212"/>
      <c r="AG43" s="212"/>
      <c r="AH43" s="20"/>
      <c r="AI43" s="14">
        <f t="shared" si="6"/>
        <v>0</v>
      </c>
      <c r="AJ43" s="209" t="e">
        <f t="shared" si="7"/>
        <v>#REF!</v>
      </c>
      <c r="AL43" s="14">
        <f t="shared" si="8"/>
        <v>0</v>
      </c>
      <c r="AM43" s="14">
        <f>DISTRIBUSI!D41</f>
        <v>0</v>
      </c>
      <c r="AN43" s="14">
        <f>'PEMAKAIAN UNIT'!D40</f>
        <v>0</v>
      </c>
      <c r="AO43" s="14">
        <f t="shared" si="9"/>
        <v>0</v>
      </c>
      <c r="AP43" s="15">
        <f t="shared" si="10"/>
        <v>0</v>
      </c>
      <c r="AQ43" s="14">
        <f t="shared" si="11"/>
        <v>0</v>
      </c>
      <c r="AR43" s="14">
        <f>DISTRIBUSI!E41</f>
        <v>0</v>
      </c>
      <c r="AS43" s="14">
        <f>'PEMAKAIAN UNIT'!E40</f>
        <v>0</v>
      </c>
      <c r="AT43" s="14">
        <f t="shared" si="12"/>
        <v>0</v>
      </c>
      <c r="AU43" s="15">
        <f t="shared" si="13"/>
        <v>0</v>
      </c>
      <c r="AV43" s="14">
        <f t="shared" si="14"/>
        <v>0</v>
      </c>
      <c r="AW43" s="14">
        <f>DISTRIBUSI!F41</f>
        <v>0</v>
      </c>
      <c r="AX43" s="14">
        <f>'PEMAKAIAN UNIT'!F40</f>
        <v>0</v>
      </c>
      <c r="AY43" s="14">
        <f t="shared" si="15"/>
        <v>0</v>
      </c>
      <c r="AZ43" s="15">
        <f t="shared" si="16"/>
        <v>0</v>
      </c>
      <c r="BA43" s="14">
        <f t="shared" si="17"/>
        <v>0</v>
      </c>
      <c r="BB43" s="14">
        <f>DISTRIBUSI!G41</f>
        <v>0</v>
      </c>
      <c r="BC43" s="14">
        <f>'PEMAKAIAN UNIT'!G40</f>
        <v>0</v>
      </c>
      <c r="BD43" s="14">
        <f t="shared" si="18"/>
        <v>0</v>
      </c>
      <c r="BE43" s="15">
        <f t="shared" si="19"/>
        <v>0</v>
      </c>
      <c r="BF43" s="14">
        <f t="shared" si="20"/>
        <v>0</v>
      </c>
      <c r="BG43" s="14">
        <f>DISTRIBUSI!H41</f>
        <v>0</v>
      </c>
      <c r="BH43" s="14">
        <f>'PEMAKAIAN UNIT'!H40</f>
        <v>0</v>
      </c>
      <c r="BI43" s="14">
        <f t="shared" si="21"/>
        <v>0</v>
      </c>
      <c r="BJ43" s="15">
        <f t="shared" si="22"/>
        <v>0</v>
      </c>
      <c r="BK43" s="14">
        <f t="shared" si="23"/>
        <v>0</v>
      </c>
      <c r="BL43" s="14">
        <f>DISTRIBUSI!I41</f>
        <v>0</v>
      </c>
      <c r="BM43" s="14">
        <f>'PEMAKAIAN UNIT'!I40</f>
        <v>0</v>
      </c>
      <c r="BN43" s="14">
        <f t="shared" si="24"/>
        <v>0</v>
      </c>
      <c r="BO43" s="15">
        <f t="shared" si="25"/>
        <v>0</v>
      </c>
      <c r="BP43" s="14">
        <f t="shared" si="26"/>
        <v>0</v>
      </c>
      <c r="BQ43" s="14">
        <f>DISTRIBUSI!J41</f>
        <v>0</v>
      </c>
      <c r="BR43" s="14">
        <f>'PEMAKAIAN UNIT'!J40</f>
        <v>0</v>
      </c>
      <c r="BS43" s="14">
        <f t="shared" si="27"/>
        <v>0</v>
      </c>
      <c r="BT43" s="15">
        <f t="shared" si="28"/>
        <v>0</v>
      </c>
      <c r="BU43" s="14">
        <f t="shared" si="29"/>
        <v>0</v>
      </c>
      <c r="BV43" s="14">
        <f>DISTRIBUSI!K41</f>
        <v>0</v>
      </c>
      <c r="BW43" s="14">
        <f>'PEMAKAIAN UNIT'!K40</f>
        <v>0</v>
      </c>
      <c r="BX43" s="14">
        <f t="shared" si="30"/>
        <v>0</v>
      </c>
      <c r="BY43" s="15">
        <f t="shared" si="31"/>
        <v>0</v>
      </c>
      <c r="BZ43" s="14">
        <f t="shared" si="32"/>
        <v>0</v>
      </c>
      <c r="CA43" s="14">
        <f>DISTRIBUSI!L41</f>
        <v>0</v>
      </c>
      <c r="CB43" s="14">
        <f>'PEMAKAIAN UNIT'!L40</f>
        <v>0</v>
      </c>
      <c r="CC43" s="14">
        <f t="shared" si="33"/>
        <v>0</v>
      </c>
      <c r="CD43" s="15">
        <f t="shared" si="34"/>
        <v>0</v>
      </c>
      <c r="CE43" s="14">
        <f t="shared" si="35"/>
        <v>0</v>
      </c>
      <c r="CF43" s="14">
        <f>DISTRIBUSI!M41</f>
        <v>0</v>
      </c>
      <c r="CG43" s="14">
        <f>'PEMAKAIAN UNIT'!M40</f>
        <v>0</v>
      </c>
      <c r="CH43" s="14">
        <f t="shared" si="36"/>
        <v>0</v>
      </c>
      <c r="CI43" s="15">
        <f t="shared" si="37"/>
        <v>0</v>
      </c>
      <c r="CJ43" s="14">
        <f t="shared" si="38"/>
        <v>0</v>
      </c>
      <c r="CK43" s="14" t="e">
        <f>DISTRIBUSI!#REF!</f>
        <v>#REF!</v>
      </c>
      <c r="CL43" s="14">
        <f>'PEMAKAIAN UNIT'!N40</f>
        <v>0</v>
      </c>
      <c r="CM43" s="14" t="e">
        <f t="shared" si="39"/>
        <v>#REF!</v>
      </c>
      <c r="CN43" s="15" t="e">
        <f t="shared" si="40"/>
        <v>#REF!</v>
      </c>
      <c r="CO43" s="14" t="e">
        <f>DL43+DISTRIBUSI!#REF!-'PEMAKAIAN UNIT'!O40</f>
        <v>#REF!</v>
      </c>
      <c r="CP43" s="15" t="e">
        <f t="shared" si="41"/>
        <v>#REF!</v>
      </c>
      <c r="CQ43" s="226">
        <f t="shared" si="42"/>
        <v>6</v>
      </c>
      <c r="CR43" s="226">
        <f>DISTRIBUSI!R41</f>
        <v>0</v>
      </c>
      <c r="CS43" s="226">
        <f>'PEMAKAIAN UNIT'!P40</f>
        <v>0</v>
      </c>
      <c r="CT43" s="14">
        <f t="shared" si="43"/>
        <v>6</v>
      </c>
      <c r="CU43" s="15">
        <f t="shared" si="44"/>
        <v>0</v>
      </c>
      <c r="CV43" s="14" t="e">
        <f>DN43+DISTRIBUSI!#REF!-'PEMAKAIAN UNIT'!Q40</f>
        <v>#REF!</v>
      </c>
      <c r="CW43" s="15" t="e">
        <f t="shared" si="45"/>
        <v>#REF!</v>
      </c>
      <c r="CX43" s="14">
        <f>DO43+'LPLPO GUDANG'!E46-'LPLPO GUDANG'!G46</f>
        <v>10</v>
      </c>
      <c r="CY43" s="15">
        <f t="shared" si="46"/>
        <v>5</v>
      </c>
      <c r="CZ43" s="28"/>
      <c r="DA43" s="14">
        <v>0</v>
      </c>
      <c r="DB43" s="14"/>
      <c r="DC43" s="14">
        <v>0</v>
      </c>
      <c r="DD43" s="14">
        <v>0</v>
      </c>
      <c r="DE43" s="14">
        <v>0</v>
      </c>
      <c r="DF43" s="14"/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6</v>
      </c>
      <c r="DN43" s="14">
        <v>0</v>
      </c>
      <c r="DO43" s="13">
        <v>10</v>
      </c>
      <c r="DP43" s="13">
        <f t="shared" si="47"/>
        <v>16</v>
      </c>
      <c r="DR43" t="s">
        <v>27</v>
      </c>
      <c r="DU43" s="20" t="e">
        <f t="shared" si="48"/>
        <v>#REF!</v>
      </c>
    </row>
    <row r="44" spans="1:125" customFormat="1" ht="20.149999999999999" customHeight="1" x14ac:dyDescent="0.35">
      <c r="A44" s="84">
        <f t="shared" si="49"/>
        <v>33</v>
      </c>
      <c r="B44" s="142" t="s">
        <v>28</v>
      </c>
      <c r="C44" s="157" t="s">
        <v>338</v>
      </c>
      <c r="D44" s="109">
        <v>0</v>
      </c>
      <c r="E44" s="110">
        <f>'LPLPO GUDANG'!E47</f>
        <v>0</v>
      </c>
      <c r="F44" s="110">
        <f t="shared" si="0"/>
        <v>0</v>
      </c>
      <c r="G44" s="110">
        <f>'PEMAKAIAN UNIT'!R41</f>
        <v>0</v>
      </c>
      <c r="H44" s="14">
        <v>0</v>
      </c>
      <c r="I44" s="14">
        <v>0</v>
      </c>
      <c r="J44" s="14">
        <v>0</v>
      </c>
      <c r="K44" s="14"/>
      <c r="L44" s="14"/>
      <c r="M44" s="14"/>
      <c r="N44" s="14"/>
      <c r="O44" s="14"/>
      <c r="P44" s="14"/>
      <c r="Q44" s="14"/>
      <c r="R44" s="14"/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09">
        <f t="shared" si="1"/>
        <v>0</v>
      </c>
      <c r="Z44" s="109" t="e">
        <f t="shared" si="2"/>
        <v>#REF!</v>
      </c>
      <c r="AA44" s="109" t="e">
        <f t="shared" si="3"/>
        <v>#REF!</v>
      </c>
      <c r="AB44" s="14">
        <v>5</v>
      </c>
      <c r="AC44" s="109" t="e">
        <f t="shared" si="4"/>
        <v>#REF!</v>
      </c>
      <c r="AD44" s="109">
        <f>'LPLPO GUDANG'!H47</f>
        <v>0</v>
      </c>
      <c r="AE44" s="111" t="e">
        <f t="shared" si="5"/>
        <v>#REF!</v>
      </c>
      <c r="AF44" s="212"/>
      <c r="AG44" s="212"/>
      <c r="AH44" s="20"/>
      <c r="AI44" s="14">
        <f t="shared" si="6"/>
        <v>0</v>
      </c>
      <c r="AJ44" s="209" t="e">
        <f t="shared" si="7"/>
        <v>#REF!</v>
      </c>
      <c r="AL44" s="14">
        <f t="shared" si="8"/>
        <v>0</v>
      </c>
      <c r="AM44" s="14">
        <f>DISTRIBUSI!D42</f>
        <v>0</v>
      </c>
      <c r="AN44" s="14">
        <f>'PEMAKAIAN UNIT'!D41</f>
        <v>0</v>
      </c>
      <c r="AO44" s="14">
        <f t="shared" si="9"/>
        <v>0</v>
      </c>
      <c r="AP44" s="15">
        <f t="shared" si="10"/>
        <v>0</v>
      </c>
      <c r="AQ44" s="14">
        <f t="shared" si="11"/>
        <v>0</v>
      </c>
      <c r="AR44" s="14">
        <f>DISTRIBUSI!E42</f>
        <v>0</v>
      </c>
      <c r="AS44" s="14">
        <f>'PEMAKAIAN UNIT'!E41</f>
        <v>0</v>
      </c>
      <c r="AT44" s="14">
        <f t="shared" si="12"/>
        <v>0</v>
      </c>
      <c r="AU44" s="15">
        <f t="shared" si="13"/>
        <v>0</v>
      </c>
      <c r="AV44" s="14">
        <f t="shared" si="14"/>
        <v>0</v>
      </c>
      <c r="AW44" s="14">
        <f>DISTRIBUSI!F42</f>
        <v>0</v>
      </c>
      <c r="AX44" s="14">
        <f>'PEMAKAIAN UNIT'!F41</f>
        <v>0</v>
      </c>
      <c r="AY44" s="14">
        <f t="shared" si="15"/>
        <v>0</v>
      </c>
      <c r="AZ44" s="15">
        <f t="shared" si="16"/>
        <v>0</v>
      </c>
      <c r="BA44" s="14">
        <f t="shared" si="17"/>
        <v>0</v>
      </c>
      <c r="BB44" s="14">
        <f>DISTRIBUSI!G42</f>
        <v>0</v>
      </c>
      <c r="BC44" s="14">
        <f>'PEMAKAIAN UNIT'!G41</f>
        <v>0</v>
      </c>
      <c r="BD44" s="14">
        <f t="shared" si="18"/>
        <v>0</v>
      </c>
      <c r="BE44" s="15">
        <f t="shared" si="19"/>
        <v>0</v>
      </c>
      <c r="BF44" s="14">
        <f t="shared" si="20"/>
        <v>0</v>
      </c>
      <c r="BG44" s="14">
        <f>DISTRIBUSI!H42</f>
        <v>0</v>
      </c>
      <c r="BH44" s="14">
        <f>'PEMAKAIAN UNIT'!H41</f>
        <v>0</v>
      </c>
      <c r="BI44" s="14">
        <f t="shared" si="21"/>
        <v>0</v>
      </c>
      <c r="BJ44" s="15">
        <f t="shared" si="22"/>
        <v>0</v>
      </c>
      <c r="BK44" s="14">
        <f t="shared" si="23"/>
        <v>0</v>
      </c>
      <c r="BL44" s="14">
        <f>DISTRIBUSI!I42</f>
        <v>0</v>
      </c>
      <c r="BM44" s="14">
        <f>'PEMAKAIAN UNIT'!I41</f>
        <v>0</v>
      </c>
      <c r="BN44" s="14">
        <f t="shared" si="24"/>
        <v>0</v>
      </c>
      <c r="BO44" s="15">
        <f t="shared" si="25"/>
        <v>0</v>
      </c>
      <c r="BP44" s="14">
        <f t="shared" si="26"/>
        <v>0</v>
      </c>
      <c r="BQ44" s="14">
        <f>DISTRIBUSI!J42</f>
        <v>0</v>
      </c>
      <c r="BR44" s="14">
        <f>'PEMAKAIAN UNIT'!J41</f>
        <v>0</v>
      </c>
      <c r="BS44" s="14">
        <f t="shared" si="27"/>
        <v>0</v>
      </c>
      <c r="BT44" s="15">
        <f t="shared" si="28"/>
        <v>0</v>
      </c>
      <c r="BU44" s="14">
        <f t="shared" si="29"/>
        <v>0</v>
      </c>
      <c r="BV44" s="14">
        <f>DISTRIBUSI!K42</f>
        <v>0</v>
      </c>
      <c r="BW44" s="14">
        <f>'PEMAKAIAN UNIT'!K41</f>
        <v>0</v>
      </c>
      <c r="BX44" s="14">
        <f t="shared" si="30"/>
        <v>0</v>
      </c>
      <c r="BY44" s="15">
        <f t="shared" si="31"/>
        <v>0</v>
      </c>
      <c r="BZ44" s="14">
        <f t="shared" si="32"/>
        <v>0</v>
      </c>
      <c r="CA44" s="14">
        <f>DISTRIBUSI!L42</f>
        <v>0</v>
      </c>
      <c r="CB44" s="14">
        <f>'PEMAKAIAN UNIT'!L41</f>
        <v>0</v>
      </c>
      <c r="CC44" s="14">
        <f t="shared" si="33"/>
        <v>0</v>
      </c>
      <c r="CD44" s="15">
        <f t="shared" si="34"/>
        <v>0</v>
      </c>
      <c r="CE44" s="14">
        <f t="shared" si="35"/>
        <v>0</v>
      </c>
      <c r="CF44" s="14">
        <f>DISTRIBUSI!M42</f>
        <v>0</v>
      </c>
      <c r="CG44" s="14">
        <f>'PEMAKAIAN UNIT'!M41</f>
        <v>0</v>
      </c>
      <c r="CH44" s="14">
        <f t="shared" si="36"/>
        <v>0</v>
      </c>
      <c r="CI44" s="15">
        <f t="shared" si="37"/>
        <v>0</v>
      </c>
      <c r="CJ44" s="14">
        <f t="shared" si="38"/>
        <v>0</v>
      </c>
      <c r="CK44" s="14" t="e">
        <f>DISTRIBUSI!#REF!</f>
        <v>#REF!</v>
      </c>
      <c r="CL44" s="14">
        <f>'PEMAKAIAN UNIT'!N41</f>
        <v>0</v>
      </c>
      <c r="CM44" s="14" t="e">
        <f t="shared" si="39"/>
        <v>#REF!</v>
      </c>
      <c r="CN44" s="15" t="e">
        <f t="shared" si="40"/>
        <v>#REF!</v>
      </c>
      <c r="CO44" s="14" t="e">
        <f>DL44+DISTRIBUSI!#REF!-'PEMAKAIAN UNIT'!O41</f>
        <v>#REF!</v>
      </c>
      <c r="CP44" s="15" t="e">
        <f t="shared" si="41"/>
        <v>#REF!</v>
      </c>
      <c r="CQ44" s="226">
        <f t="shared" si="42"/>
        <v>2</v>
      </c>
      <c r="CR44" s="226">
        <f>DISTRIBUSI!R42</f>
        <v>0</v>
      </c>
      <c r="CS44" s="226">
        <f>'PEMAKAIAN UNIT'!P41</f>
        <v>0</v>
      </c>
      <c r="CT44" s="14">
        <f t="shared" si="43"/>
        <v>2</v>
      </c>
      <c r="CU44" s="15">
        <f t="shared" si="44"/>
        <v>-3</v>
      </c>
      <c r="CV44" s="14" t="e">
        <f>DN44+DISTRIBUSI!#REF!-'PEMAKAIAN UNIT'!Q41</f>
        <v>#REF!</v>
      </c>
      <c r="CW44" s="15" t="e">
        <f t="shared" si="45"/>
        <v>#REF!</v>
      </c>
      <c r="CX44" s="14">
        <f>DO44+'LPLPO GUDANG'!E47-'LPLPO GUDANG'!G47</f>
        <v>5</v>
      </c>
      <c r="CY44" s="15">
        <f t="shared" si="46"/>
        <v>5</v>
      </c>
      <c r="CZ44" s="28"/>
      <c r="DA44" s="14">
        <v>0</v>
      </c>
      <c r="DB44" s="14"/>
      <c r="DC44" s="14">
        <v>0</v>
      </c>
      <c r="DD44" s="14">
        <v>0</v>
      </c>
      <c r="DE44" s="14">
        <v>0</v>
      </c>
      <c r="DF44" s="14"/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2</v>
      </c>
      <c r="DN44" s="14">
        <v>0</v>
      </c>
      <c r="DO44" s="13">
        <v>5</v>
      </c>
      <c r="DP44" s="13">
        <f t="shared" si="47"/>
        <v>7</v>
      </c>
      <c r="DR44" t="s">
        <v>28</v>
      </c>
      <c r="DU44" s="20" t="e">
        <f t="shared" si="48"/>
        <v>#REF!</v>
      </c>
    </row>
    <row r="45" spans="1:125" customFormat="1" ht="20.149999999999999" customHeight="1" x14ac:dyDescent="0.35">
      <c r="A45" s="84">
        <f t="shared" si="49"/>
        <v>34</v>
      </c>
      <c r="B45" s="142" t="s">
        <v>29</v>
      </c>
      <c r="C45" s="157" t="s">
        <v>339</v>
      </c>
      <c r="D45" s="109">
        <v>0</v>
      </c>
      <c r="E45" s="110">
        <f>'LPLPO GUDANG'!E48</f>
        <v>0</v>
      </c>
      <c r="F45" s="110">
        <f t="shared" si="0"/>
        <v>0</v>
      </c>
      <c r="G45" s="110">
        <f>'PEMAKAIAN UNIT'!R42</f>
        <v>0</v>
      </c>
      <c r="H45" s="14">
        <v>0</v>
      </c>
      <c r="I45" s="14">
        <v>0</v>
      </c>
      <c r="J45" s="14">
        <v>0</v>
      </c>
      <c r="K45" s="14"/>
      <c r="L45" s="14"/>
      <c r="M45" s="14"/>
      <c r="N45" s="14"/>
      <c r="O45" s="14"/>
      <c r="P45" s="14"/>
      <c r="Q45" s="14"/>
      <c r="R45" s="14"/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09">
        <f t="shared" si="1"/>
        <v>0</v>
      </c>
      <c r="Z45" s="109" t="e">
        <f t="shared" si="2"/>
        <v>#REF!</v>
      </c>
      <c r="AA45" s="109" t="e">
        <f t="shared" si="3"/>
        <v>#REF!</v>
      </c>
      <c r="AB45" s="14">
        <v>90</v>
      </c>
      <c r="AC45" s="109" t="e">
        <f t="shared" si="4"/>
        <v>#REF!</v>
      </c>
      <c r="AD45" s="109">
        <f>'LPLPO GUDANG'!H48</f>
        <v>0</v>
      </c>
      <c r="AE45" s="111" t="e">
        <f t="shared" si="5"/>
        <v>#REF!</v>
      </c>
      <c r="AF45" s="212"/>
      <c r="AG45" s="212"/>
      <c r="AH45" s="20"/>
      <c r="AI45" s="14">
        <f t="shared" si="6"/>
        <v>0</v>
      </c>
      <c r="AJ45" s="209" t="e">
        <f t="shared" si="7"/>
        <v>#REF!</v>
      </c>
      <c r="AL45" s="14">
        <f t="shared" si="8"/>
        <v>0</v>
      </c>
      <c r="AM45" s="14">
        <f>DISTRIBUSI!D43</f>
        <v>0</v>
      </c>
      <c r="AN45" s="14">
        <f>'PEMAKAIAN UNIT'!D42</f>
        <v>0</v>
      </c>
      <c r="AO45" s="14">
        <f t="shared" si="9"/>
        <v>0</v>
      </c>
      <c r="AP45" s="15">
        <f t="shared" si="10"/>
        <v>0</v>
      </c>
      <c r="AQ45" s="14">
        <f t="shared" si="11"/>
        <v>0</v>
      </c>
      <c r="AR45" s="14">
        <f>DISTRIBUSI!E43</f>
        <v>0</v>
      </c>
      <c r="AS45" s="14">
        <f>'PEMAKAIAN UNIT'!E42</f>
        <v>0</v>
      </c>
      <c r="AT45" s="14">
        <f t="shared" si="12"/>
        <v>0</v>
      </c>
      <c r="AU45" s="15">
        <f t="shared" si="13"/>
        <v>0</v>
      </c>
      <c r="AV45" s="14">
        <f t="shared" si="14"/>
        <v>0</v>
      </c>
      <c r="AW45" s="14">
        <f>DISTRIBUSI!F43</f>
        <v>0</v>
      </c>
      <c r="AX45" s="14">
        <f>'PEMAKAIAN UNIT'!F42</f>
        <v>0</v>
      </c>
      <c r="AY45" s="14">
        <f t="shared" si="15"/>
        <v>0</v>
      </c>
      <c r="AZ45" s="15">
        <f t="shared" si="16"/>
        <v>0</v>
      </c>
      <c r="BA45" s="14">
        <f t="shared" si="17"/>
        <v>0</v>
      </c>
      <c r="BB45" s="14">
        <f>DISTRIBUSI!G43</f>
        <v>0</v>
      </c>
      <c r="BC45" s="14">
        <f>'PEMAKAIAN UNIT'!G42</f>
        <v>0</v>
      </c>
      <c r="BD45" s="14">
        <f t="shared" si="18"/>
        <v>0</v>
      </c>
      <c r="BE45" s="15">
        <f t="shared" si="19"/>
        <v>0</v>
      </c>
      <c r="BF45" s="14">
        <f t="shared" si="20"/>
        <v>0</v>
      </c>
      <c r="BG45" s="14">
        <f>DISTRIBUSI!H43</f>
        <v>0</v>
      </c>
      <c r="BH45" s="14">
        <f>'PEMAKAIAN UNIT'!H42</f>
        <v>0</v>
      </c>
      <c r="BI45" s="14">
        <f t="shared" si="21"/>
        <v>0</v>
      </c>
      <c r="BJ45" s="15">
        <f t="shared" si="22"/>
        <v>0</v>
      </c>
      <c r="BK45" s="14">
        <f t="shared" si="23"/>
        <v>0</v>
      </c>
      <c r="BL45" s="14">
        <f>DISTRIBUSI!I43</f>
        <v>0</v>
      </c>
      <c r="BM45" s="14">
        <f>'PEMAKAIAN UNIT'!I42</f>
        <v>0</v>
      </c>
      <c r="BN45" s="14">
        <f t="shared" si="24"/>
        <v>0</v>
      </c>
      <c r="BO45" s="15">
        <f t="shared" si="25"/>
        <v>0</v>
      </c>
      <c r="BP45" s="14">
        <f t="shared" si="26"/>
        <v>0</v>
      </c>
      <c r="BQ45" s="14">
        <f>DISTRIBUSI!J43</f>
        <v>0</v>
      </c>
      <c r="BR45" s="14">
        <f>'PEMAKAIAN UNIT'!J42</f>
        <v>0</v>
      </c>
      <c r="BS45" s="14">
        <f t="shared" si="27"/>
        <v>0</v>
      </c>
      <c r="BT45" s="15">
        <f t="shared" si="28"/>
        <v>0</v>
      </c>
      <c r="BU45" s="14">
        <f t="shared" si="29"/>
        <v>0</v>
      </c>
      <c r="BV45" s="14">
        <f>DISTRIBUSI!K43</f>
        <v>0</v>
      </c>
      <c r="BW45" s="14">
        <f>'PEMAKAIAN UNIT'!K42</f>
        <v>0</v>
      </c>
      <c r="BX45" s="14">
        <f t="shared" si="30"/>
        <v>0</v>
      </c>
      <c r="BY45" s="15">
        <f t="shared" si="31"/>
        <v>0</v>
      </c>
      <c r="BZ45" s="14">
        <f t="shared" si="32"/>
        <v>0</v>
      </c>
      <c r="CA45" s="14">
        <f>DISTRIBUSI!L43</f>
        <v>0</v>
      </c>
      <c r="CB45" s="14">
        <f>'PEMAKAIAN UNIT'!L42</f>
        <v>0</v>
      </c>
      <c r="CC45" s="14">
        <f t="shared" si="33"/>
        <v>0</v>
      </c>
      <c r="CD45" s="15">
        <f t="shared" si="34"/>
        <v>0</v>
      </c>
      <c r="CE45" s="14">
        <f t="shared" si="35"/>
        <v>0</v>
      </c>
      <c r="CF45" s="14">
        <f>DISTRIBUSI!M43</f>
        <v>0</v>
      </c>
      <c r="CG45" s="14">
        <f>'PEMAKAIAN UNIT'!M42</f>
        <v>0</v>
      </c>
      <c r="CH45" s="14">
        <f t="shared" si="36"/>
        <v>0</v>
      </c>
      <c r="CI45" s="15">
        <f t="shared" si="37"/>
        <v>0</v>
      </c>
      <c r="CJ45" s="14">
        <f t="shared" si="38"/>
        <v>0</v>
      </c>
      <c r="CK45" s="14" t="e">
        <f>DISTRIBUSI!#REF!</f>
        <v>#REF!</v>
      </c>
      <c r="CL45" s="14">
        <f>'PEMAKAIAN UNIT'!N42</f>
        <v>0</v>
      </c>
      <c r="CM45" s="14" t="e">
        <f t="shared" si="39"/>
        <v>#REF!</v>
      </c>
      <c r="CN45" s="15" t="e">
        <f t="shared" si="40"/>
        <v>#REF!</v>
      </c>
      <c r="CO45" s="14" t="e">
        <f>DL45+DISTRIBUSI!#REF!-'PEMAKAIAN UNIT'!O42</f>
        <v>#REF!</v>
      </c>
      <c r="CP45" s="15" t="e">
        <f t="shared" si="41"/>
        <v>#REF!</v>
      </c>
      <c r="CQ45" s="226">
        <f t="shared" si="42"/>
        <v>128</v>
      </c>
      <c r="CR45" s="226">
        <f>DISTRIBUSI!R43</f>
        <v>0</v>
      </c>
      <c r="CS45" s="226">
        <f>'PEMAKAIAN UNIT'!P42</f>
        <v>0</v>
      </c>
      <c r="CT45" s="14">
        <f t="shared" si="43"/>
        <v>128</v>
      </c>
      <c r="CU45" s="15">
        <f t="shared" si="44"/>
        <v>38</v>
      </c>
      <c r="CV45" s="14" t="e">
        <f>DN45+DISTRIBUSI!#REF!-'PEMAKAIAN UNIT'!Q42</f>
        <v>#REF!</v>
      </c>
      <c r="CW45" s="15" t="e">
        <f t="shared" si="45"/>
        <v>#REF!</v>
      </c>
      <c r="CX45" s="14">
        <f>DO45+'LPLPO GUDANG'!E48-'LPLPO GUDANG'!G48</f>
        <v>100</v>
      </c>
      <c r="CY45" s="15">
        <f t="shared" si="46"/>
        <v>100</v>
      </c>
      <c r="CZ45" s="28"/>
      <c r="DA45" s="14">
        <v>0</v>
      </c>
      <c r="DB45" s="14"/>
      <c r="DC45" s="14">
        <v>0</v>
      </c>
      <c r="DD45" s="14">
        <v>0</v>
      </c>
      <c r="DE45" s="14">
        <v>0</v>
      </c>
      <c r="DF45" s="14"/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128</v>
      </c>
      <c r="DN45" s="14">
        <v>0</v>
      </c>
      <c r="DO45" s="13">
        <v>100</v>
      </c>
      <c r="DP45" s="13">
        <f t="shared" si="47"/>
        <v>228</v>
      </c>
      <c r="DR45" t="s">
        <v>29</v>
      </c>
      <c r="DU45" s="20" t="e">
        <f t="shared" si="48"/>
        <v>#REF!</v>
      </c>
    </row>
    <row r="46" spans="1:125" customFormat="1" ht="20.149999999999999" customHeight="1" x14ac:dyDescent="0.35">
      <c r="A46" s="84">
        <f t="shared" si="49"/>
        <v>35</v>
      </c>
      <c r="B46" s="142" t="s">
        <v>30</v>
      </c>
      <c r="C46" s="161" t="s">
        <v>337</v>
      </c>
      <c r="D46" s="109">
        <v>0</v>
      </c>
      <c r="E46" s="110">
        <f>'LPLPO GUDANG'!E49</f>
        <v>0</v>
      </c>
      <c r="F46" s="110">
        <f t="shared" si="0"/>
        <v>0</v>
      </c>
      <c r="G46" s="110">
        <f>'PEMAKAIAN UNIT'!R43</f>
        <v>0</v>
      </c>
      <c r="H46" s="14">
        <v>0</v>
      </c>
      <c r="I46" s="14">
        <v>0</v>
      </c>
      <c r="J46" s="14">
        <v>0</v>
      </c>
      <c r="K46" s="14"/>
      <c r="L46" s="14"/>
      <c r="M46" s="14"/>
      <c r="N46" s="14"/>
      <c r="O46" s="14"/>
      <c r="P46" s="14"/>
      <c r="Q46" s="14"/>
      <c r="R46" s="14"/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09">
        <f t="shared" si="1"/>
        <v>0</v>
      </c>
      <c r="Z46" s="109" t="e">
        <f t="shared" si="2"/>
        <v>#REF!</v>
      </c>
      <c r="AA46" s="109" t="e">
        <f t="shared" si="3"/>
        <v>#REF!</v>
      </c>
      <c r="AB46" s="14">
        <v>8</v>
      </c>
      <c r="AC46" s="109" t="e">
        <f t="shared" si="4"/>
        <v>#REF!</v>
      </c>
      <c r="AD46" s="109">
        <f>'LPLPO GUDANG'!H49</f>
        <v>20</v>
      </c>
      <c r="AE46" s="111" t="e">
        <f t="shared" si="5"/>
        <v>#REF!</v>
      </c>
      <c r="AF46" s="212"/>
      <c r="AG46" s="212"/>
      <c r="AH46" s="20"/>
      <c r="AI46" s="14">
        <f t="shared" si="6"/>
        <v>0</v>
      </c>
      <c r="AJ46" s="209" t="e">
        <f t="shared" si="7"/>
        <v>#REF!</v>
      </c>
      <c r="AL46" s="14">
        <f t="shared" si="8"/>
        <v>0</v>
      </c>
      <c r="AM46" s="14">
        <f>DISTRIBUSI!D44</f>
        <v>0</v>
      </c>
      <c r="AN46" s="14">
        <f>'PEMAKAIAN UNIT'!D43</f>
        <v>0</v>
      </c>
      <c r="AO46" s="14">
        <f t="shared" si="9"/>
        <v>0</v>
      </c>
      <c r="AP46" s="15">
        <f t="shared" si="10"/>
        <v>0</v>
      </c>
      <c r="AQ46" s="14">
        <f t="shared" si="11"/>
        <v>0</v>
      </c>
      <c r="AR46" s="14">
        <f>DISTRIBUSI!E44</f>
        <v>0</v>
      </c>
      <c r="AS46" s="14">
        <f>'PEMAKAIAN UNIT'!E43</f>
        <v>0</v>
      </c>
      <c r="AT46" s="14">
        <f t="shared" si="12"/>
        <v>0</v>
      </c>
      <c r="AU46" s="15">
        <f t="shared" si="13"/>
        <v>0</v>
      </c>
      <c r="AV46" s="14">
        <f t="shared" si="14"/>
        <v>0</v>
      </c>
      <c r="AW46" s="14">
        <f>DISTRIBUSI!F44</f>
        <v>0</v>
      </c>
      <c r="AX46" s="14">
        <f>'PEMAKAIAN UNIT'!F43</f>
        <v>0</v>
      </c>
      <c r="AY46" s="14">
        <f t="shared" si="15"/>
        <v>0</v>
      </c>
      <c r="AZ46" s="15">
        <f t="shared" si="16"/>
        <v>0</v>
      </c>
      <c r="BA46" s="14">
        <f t="shared" si="17"/>
        <v>0</v>
      </c>
      <c r="BB46" s="14">
        <f>DISTRIBUSI!G44</f>
        <v>0</v>
      </c>
      <c r="BC46" s="14">
        <f>'PEMAKAIAN UNIT'!G43</f>
        <v>0</v>
      </c>
      <c r="BD46" s="14">
        <f t="shared" si="18"/>
        <v>0</v>
      </c>
      <c r="BE46" s="15">
        <f t="shared" si="19"/>
        <v>0</v>
      </c>
      <c r="BF46" s="14">
        <f t="shared" si="20"/>
        <v>0</v>
      </c>
      <c r="BG46" s="14">
        <f>DISTRIBUSI!H44</f>
        <v>0</v>
      </c>
      <c r="BH46" s="14">
        <f>'PEMAKAIAN UNIT'!H43</f>
        <v>0</v>
      </c>
      <c r="BI46" s="14">
        <f t="shared" si="21"/>
        <v>0</v>
      </c>
      <c r="BJ46" s="15">
        <f t="shared" si="22"/>
        <v>0</v>
      </c>
      <c r="BK46" s="14">
        <f t="shared" si="23"/>
        <v>0</v>
      </c>
      <c r="BL46" s="14">
        <f>DISTRIBUSI!I44</f>
        <v>0</v>
      </c>
      <c r="BM46" s="14">
        <f>'PEMAKAIAN UNIT'!I43</f>
        <v>0</v>
      </c>
      <c r="BN46" s="14">
        <f t="shared" si="24"/>
        <v>0</v>
      </c>
      <c r="BO46" s="15">
        <f t="shared" si="25"/>
        <v>0</v>
      </c>
      <c r="BP46" s="14">
        <f t="shared" si="26"/>
        <v>0</v>
      </c>
      <c r="BQ46" s="14">
        <f>DISTRIBUSI!J44</f>
        <v>0</v>
      </c>
      <c r="BR46" s="14">
        <f>'PEMAKAIAN UNIT'!J43</f>
        <v>0</v>
      </c>
      <c r="BS46" s="14">
        <f t="shared" si="27"/>
        <v>0</v>
      </c>
      <c r="BT46" s="15">
        <f t="shared" si="28"/>
        <v>0</v>
      </c>
      <c r="BU46" s="14">
        <f t="shared" si="29"/>
        <v>0</v>
      </c>
      <c r="BV46" s="14">
        <f>DISTRIBUSI!K44</f>
        <v>0</v>
      </c>
      <c r="BW46" s="14">
        <f>'PEMAKAIAN UNIT'!K43</f>
        <v>0</v>
      </c>
      <c r="BX46" s="14">
        <f t="shared" si="30"/>
        <v>0</v>
      </c>
      <c r="BY46" s="15">
        <f t="shared" si="31"/>
        <v>0</v>
      </c>
      <c r="BZ46" s="14">
        <f t="shared" si="32"/>
        <v>0</v>
      </c>
      <c r="CA46" s="14">
        <f>DISTRIBUSI!L44</f>
        <v>0</v>
      </c>
      <c r="CB46" s="14">
        <f>'PEMAKAIAN UNIT'!L43</f>
        <v>0</v>
      </c>
      <c r="CC46" s="14">
        <f t="shared" si="33"/>
        <v>0</v>
      </c>
      <c r="CD46" s="15">
        <f t="shared" si="34"/>
        <v>0</v>
      </c>
      <c r="CE46" s="14">
        <f t="shared" si="35"/>
        <v>0</v>
      </c>
      <c r="CF46" s="14">
        <f>DISTRIBUSI!M44</f>
        <v>0</v>
      </c>
      <c r="CG46" s="14">
        <f>'PEMAKAIAN UNIT'!M43</f>
        <v>0</v>
      </c>
      <c r="CH46" s="14">
        <f t="shared" si="36"/>
        <v>0</v>
      </c>
      <c r="CI46" s="15">
        <f t="shared" si="37"/>
        <v>0</v>
      </c>
      <c r="CJ46" s="14">
        <f t="shared" si="38"/>
        <v>0</v>
      </c>
      <c r="CK46" s="14" t="e">
        <f>DISTRIBUSI!#REF!</f>
        <v>#REF!</v>
      </c>
      <c r="CL46" s="14">
        <f>'PEMAKAIAN UNIT'!N43</f>
        <v>0</v>
      </c>
      <c r="CM46" s="14" t="e">
        <f t="shared" si="39"/>
        <v>#REF!</v>
      </c>
      <c r="CN46" s="15" t="e">
        <f t="shared" si="40"/>
        <v>#REF!</v>
      </c>
      <c r="CO46" s="14" t="e">
        <f>DL46+DISTRIBUSI!#REF!-'PEMAKAIAN UNIT'!O43</f>
        <v>#REF!</v>
      </c>
      <c r="CP46" s="15" t="e">
        <f t="shared" si="41"/>
        <v>#REF!</v>
      </c>
      <c r="CQ46" s="226">
        <f t="shared" si="42"/>
        <v>8</v>
      </c>
      <c r="CR46" s="226">
        <f>DISTRIBUSI!R44</f>
        <v>0</v>
      </c>
      <c r="CS46" s="226">
        <f>'PEMAKAIAN UNIT'!P43</f>
        <v>0</v>
      </c>
      <c r="CT46" s="14">
        <f t="shared" si="43"/>
        <v>8</v>
      </c>
      <c r="CU46" s="15">
        <f t="shared" si="44"/>
        <v>0</v>
      </c>
      <c r="CV46" s="14" t="e">
        <f>DN46+DISTRIBUSI!#REF!-'PEMAKAIAN UNIT'!Q43</f>
        <v>#REF!</v>
      </c>
      <c r="CW46" s="15" t="e">
        <f t="shared" si="45"/>
        <v>#REF!</v>
      </c>
      <c r="CX46" s="14">
        <f>DO46+'LPLPO GUDANG'!E49-'LPLPO GUDANG'!G49</f>
        <v>10</v>
      </c>
      <c r="CY46" s="15">
        <f t="shared" si="46"/>
        <v>-10</v>
      </c>
      <c r="CZ46" s="28"/>
      <c r="DA46" s="14">
        <v>0</v>
      </c>
      <c r="DB46" s="14"/>
      <c r="DC46" s="14">
        <v>0</v>
      </c>
      <c r="DD46" s="14">
        <v>0</v>
      </c>
      <c r="DE46" s="14">
        <v>0</v>
      </c>
      <c r="DF46" s="14"/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8</v>
      </c>
      <c r="DN46" s="14">
        <v>0</v>
      </c>
      <c r="DO46" s="13">
        <v>10</v>
      </c>
      <c r="DP46" s="13">
        <f t="shared" si="47"/>
        <v>18</v>
      </c>
      <c r="DR46" t="s">
        <v>30</v>
      </c>
      <c r="DU46" s="20" t="e">
        <f t="shared" si="48"/>
        <v>#REF!</v>
      </c>
    </row>
    <row r="47" spans="1:125" customFormat="1" ht="20.149999999999999" customHeight="1" x14ac:dyDescent="0.35">
      <c r="A47" s="84">
        <f t="shared" si="49"/>
        <v>36</v>
      </c>
      <c r="B47" s="142" t="s">
        <v>31</v>
      </c>
      <c r="C47" s="162" t="s">
        <v>327</v>
      </c>
      <c r="D47" s="109">
        <v>0</v>
      </c>
      <c r="E47" s="110">
        <f>'LPLPO GUDANG'!E50</f>
        <v>400</v>
      </c>
      <c r="F47" s="110">
        <f t="shared" si="0"/>
        <v>400</v>
      </c>
      <c r="G47" s="110">
        <f>'PEMAKAIAN UNIT'!R44</f>
        <v>0</v>
      </c>
      <c r="H47" s="14">
        <v>0</v>
      </c>
      <c r="I47" s="14">
        <v>0</v>
      </c>
      <c r="J47" s="14">
        <v>0</v>
      </c>
      <c r="K47" s="14"/>
      <c r="L47" s="14"/>
      <c r="M47" s="14"/>
      <c r="N47" s="14"/>
      <c r="O47" s="14"/>
      <c r="P47" s="14"/>
      <c r="Q47" s="14"/>
      <c r="R47" s="14"/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09">
        <f t="shared" si="1"/>
        <v>0</v>
      </c>
      <c r="Z47" s="109" t="e">
        <f t="shared" si="2"/>
        <v>#REF!</v>
      </c>
      <c r="AA47" s="109" t="e">
        <f t="shared" si="3"/>
        <v>#REF!</v>
      </c>
      <c r="AB47" s="14">
        <v>120</v>
      </c>
      <c r="AC47" s="109" t="e">
        <f t="shared" si="4"/>
        <v>#REF!</v>
      </c>
      <c r="AD47" s="109">
        <f>'LPLPO GUDANG'!H50</f>
        <v>0</v>
      </c>
      <c r="AE47" s="111" t="e">
        <f t="shared" si="5"/>
        <v>#REF!</v>
      </c>
      <c r="AF47" s="212"/>
      <c r="AG47" s="212"/>
      <c r="AH47" s="20"/>
      <c r="AI47" s="14">
        <f t="shared" si="6"/>
        <v>400</v>
      </c>
      <c r="AJ47" s="209" t="e">
        <f t="shared" si="7"/>
        <v>#REF!</v>
      </c>
      <c r="AL47" s="14">
        <f t="shared" si="8"/>
        <v>0</v>
      </c>
      <c r="AM47" s="14">
        <f>DISTRIBUSI!D45</f>
        <v>0</v>
      </c>
      <c r="AN47" s="14">
        <f>'PEMAKAIAN UNIT'!D44</f>
        <v>0</v>
      </c>
      <c r="AO47" s="14">
        <f t="shared" si="9"/>
        <v>0</v>
      </c>
      <c r="AP47" s="15">
        <f t="shared" si="10"/>
        <v>0</v>
      </c>
      <c r="AQ47" s="14">
        <f t="shared" si="11"/>
        <v>0</v>
      </c>
      <c r="AR47" s="14">
        <f>DISTRIBUSI!E45</f>
        <v>0</v>
      </c>
      <c r="AS47" s="14">
        <f>'PEMAKAIAN UNIT'!E44</f>
        <v>0</v>
      </c>
      <c r="AT47" s="14">
        <f t="shared" si="12"/>
        <v>0</v>
      </c>
      <c r="AU47" s="15">
        <f t="shared" si="13"/>
        <v>0</v>
      </c>
      <c r="AV47" s="14">
        <f t="shared" si="14"/>
        <v>0</v>
      </c>
      <c r="AW47" s="14">
        <f>DISTRIBUSI!F45</f>
        <v>0</v>
      </c>
      <c r="AX47" s="14">
        <f>'PEMAKAIAN UNIT'!F44</f>
        <v>0</v>
      </c>
      <c r="AY47" s="14">
        <f t="shared" si="15"/>
        <v>0</v>
      </c>
      <c r="AZ47" s="15">
        <f t="shared" si="16"/>
        <v>0</v>
      </c>
      <c r="BA47" s="14">
        <f t="shared" si="17"/>
        <v>0</v>
      </c>
      <c r="BB47" s="14">
        <f>DISTRIBUSI!G45</f>
        <v>0</v>
      </c>
      <c r="BC47" s="14">
        <f>'PEMAKAIAN UNIT'!G44</f>
        <v>0</v>
      </c>
      <c r="BD47" s="14">
        <f t="shared" si="18"/>
        <v>0</v>
      </c>
      <c r="BE47" s="15">
        <f t="shared" si="19"/>
        <v>0</v>
      </c>
      <c r="BF47" s="14">
        <f t="shared" si="20"/>
        <v>0</v>
      </c>
      <c r="BG47" s="14">
        <f>DISTRIBUSI!H45</f>
        <v>0</v>
      </c>
      <c r="BH47" s="14">
        <f>'PEMAKAIAN UNIT'!H44</f>
        <v>0</v>
      </c>
      <c r="BI47" s="14">
        <f t="shared" si="21"/>
        <v>0</v>
      </c>
      <c r="BJ47" s="15">
        <f t="shared" si="22"/>
        <v>0</v>
      </c>
      <c r="BK47" s="14">
        <f t="shared" si="23"/>
        <v>0</v>
      </c>
      <c r="BL47" s="14">
        <f>DISTRIBUSI!I45</f>
        <v>0</v>
      </c>
      <c r="BM47" s="14">
        <f>'PEMAKAIAN UNIT'!I44</f>
        <v>0</v>
      </c>
      <c r="BN47" s="14">
        <f t="shared" si="24"/>
        <v>0</v>
      </c>
      <c r="BO47" s="15">
        <f t="shared" si="25"/>
        <v>0</v>
      </c>
      <c r="BP47" s="14">
        <f t="shared" si="26"/>
        <v>0</v>
      </c>
      <c r="BQ47" s="14">
        <f>DISTRIBUSI!J45</f>
        <v>0</v>
      </c>
      <c r="BR47" s="14">
        <f>'PEMAKAIAN UNIT'!J44</f>
        <v>0</v>
      </c>
      <c r="BS47" s="14">
        <f t="shared" si="27"/>
        <v>0</v>
      </c>
      <c r="BT47" s="15">
        <f t="shared" si="28"/>
        <v>0</v>
      </c>
      <c r="BU47" s="14">
        <f t="shared" si="29"/>
        <v>0</v>
      </c>
      <c r="BV47" s="14">
        <f>DISTRIBUSI!K45</f>
        <v>0</v>
      </c>
      <c r="BW47" s="14">
        <f>'PEMAKAIAN UNIT'!K44</f>
        <v>0</v>
      </c>
      <c r="BX47" s="14">
        <f t="shared" si="30"/>
        <v>0</v>
      </c>
      <c r="BY47" s="15">
        <f t="shared" si="31"/>
        <v>0</v>
      </c>
      <c r="BZ47" s="14">
        <f t="shared" si="32"/>
        <v>0</v>
      </c>
      <c r="CA47" s="14">
        <f>DISTRIBUSI!L45</f>
        <v>0</v>
      </c>
      <c r="CB47" s="14">
        <f>'PEMAKAIAN UNIT'!L44</f>
        <v>0</v>
      </c>
      <c r="CC47" s="14">
        <f t="shared" si="33"/>
        <v>0</v>
      </c>
      <c r="CD47" s="15">
        <f t="shared" si="34"/>
        <v>0</v>
      </c>
      <c r="CE47" s="14">
        <f t="shared" si="35"/>
        <v>0</v>
      </c>
      <c r="CF47" s="14">
        <f>DISTRIBUSI!M45</f>
        <v>0</v>
      </c>
      <c r="CG47" s="14">
        <f>'PEMAKAIAN UNIT'!M44</f>
        <v>0</v>
      </c>
      <c r="CH47" s="14">
        <f t="shared" si="36"/>
        <v>0</v>
      </c>
      <c r="CI47" s="15">
        <f t="shared" si="37"/>
        <v>0</v>
      </c>
      <c r="CJ47" s="14">
        <f t="shared" si="38"/>
        <v>0</v>
      </c>
      <c r="CK47" s="14" t="e">
        <f>DISTRIBUSI!#REF!</f>
        <v>#REF!</v>
      </c>
      <c r="CL47" s="14">
        <f>'PEMAKAIAN UNIT'!N44</f>
        <v>0</v>
      </c>
      <c r="CM47" s="14" t="e">
        <f t="shared" si="39"/>
        <v>#REF!</v>
      </c>
      <c r="CN47" s="15" t="e">
        <f t="shared" si="40"/>
        <v>#REF!</v>
      </c>
      <c r="CO47" s="14" t="e">
        <f>DL47+DISTRIBUSI!#REF!-'PEMAKAIAN UNIT'!O44</f>
        <v>#REF!</v>
      </c>
      <c r="CP47" s="15" t="e">
        <f t="shared" si="41"/>
        <v>#REF!</v>
      </c>
      <c r="CQ47" s="226">
        <f t="shared" si="42"/>
        <v>130</v>
      </c>
      <c r="CR47" s="226">
        <f>DISTRIBUSI!R45</f>
        <v>400</v>
      </c>
      <c r="CS47" s="226">
        <f>'PEMAKAIAN UNIT'!P44</f>
        <v>0</v>
      </c>
      <c r="CT47" s="14">
        <f t="shared" si="43"/>
        <v>530</v>
      </c>
      <c r="CU47" s="15">
        <f t="shared" si="44"/>
        <v>410</v>
      </c>
      <c r="CV47" s="14" t="e">
        <f>DN47+DISTRIBUSI!#REF!-'PEMAKAIAN UNIT'!Q44</f>
        <v>#REF!</v>
      </c>
      <c r="CW47" s="15" t="e">
        <f t="shared" si="45"/>
        <v>#REF!</v>
      </c>
      <c r="CX47" s="14">
        <f>DO47+'LPLPO GUDANG'!E50-'LPLPO GUDANG'!G50</f>
        <v>100</v>
      </c>
      <c r="CY47" s="15">
        <f t="shared" si="46"/>
        <v>100</v>
      </c>
      <c r="CZ47" s="28"/>
      <c r="DA47" s="14">
        <v>0</v>
      </c>
      <c r="DB47" s="14"/>
      <c r="DC47" s="14">
        <v>0</v>
      </c>
      <c r="DD47" s="14">
        <v>0</v>
      </c>
      <c r="DE47" s="14">
        <v>0</v>
      </c>
      <c r="DF47" s="14"/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130</v>
      </c>
      <c r="DN47" s="14">
        <v>0</v>
      </c>
      <c r="DO47" s="13">
        <v>100</v>
      </c>
      <c r="DP47" s="13">
        <f t="shared" si="47"/>
        <v>230</v>
      </c>
      <c r="DR47" t="s">
        <v>31</v>
      </c>
      <c r="DU47" s="20" t="e">
        <f t="shared" si="48"/>
        <v>#REF!</v>
      </c>
    </row>
    <row r="48" spans="1:125" customFormat="1" ht="20.149999999999999" customHeight="1" x14ac:dyDescent="0.35">
      <c r="A48" s="84">
        <f t="shared" si="49"/>
        <v>37</v>
      </c>
      <c r="B48" s="142" t="s">
        <v>32</v>
      </c>
      <c r="C48" s="162" t="s">
        <v>340</v>
      </c>
      <c r="D48" s="109">
        <v>0</v>
      </c>
      <c r="E48" s="110">
        <f>'LPLPO GUDANG'!E51</f>
        <v>0</v>
      </c>
      <c r="F48" s="110">
        <f t="shared" si="0"/>
        <v>0</v>
      </c>
      <c r="G48" s="110">
        <f>'PEMAKAIAN UNIT'!R45</f>
        <v>0</v>
      </c>
      <c r="H48" s="14">
        <v>0</v>
      </c>
      <c r="I48" s="14">
        <v>0</v>
      </c>
      <c r="J48" s="14">
        <v>0</v>
      </c>
      <c r="K48" s="14"/>
      <c r="L48" s="14"/>
      <c r="M48" s="14"/>
      <c r="N48" s="14"/>
      <c r="O48" s="14"/>
      <c r="P48" s="14"/>
      <c r="Q48" s="14"/>
      <c r="R48" s="14"/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09">
        <f t="shared" si="1"/>
        <v>0</v>
      </c>
      <c r="Z48" s="109" t="e">
        <f t="shared" si="2"/>
        <v>#REF!</v>
      </c>
      <c r="AA48" s="109" t="e">
        <f t="shared" si="3"/>
        <v>#REF!</v>
      </c>
      <c r="AB48" s="14">
        <v>80</v>
      </c>
      <c r="AC48" s="109" t="e">
        <f t="shared" si="4"/>
        <v>#REF!</v>
      </c>
      <c r="AD48" s="109">
        <f>'LPLPO GUDANG'!H51</f>
        <v>200</v>
      </c>
      <c r="AE48" s="111" t="e">
        <f t="shared" si="5"/>
        <v>#REF!</v>
      </c>
      <c r="AF48" s="212"/>
      <c r="AG48" s="212"/>
      <c r="AH48" s="20"/>
      <c r="AI48" s="14">
        <f t="shared" si="6"/>
        <v>0</v>
      </c>
      <c r="AJ48" s="209" t="e">
        <f t="shared" si="7"/>
        <v>#REF!</v>
      </c>
      <c r="AL48" s="14">
        <f t="shared" si="8"/>
        <v>0</v>
      </c>
      <c r="AM48" s="14">
        <f>DISTRIBUSI!D46</f>
        <v>0</v>
      </c>
      <c r="AN48" s="14">
        <f>'PEMAKAIAN UNIT'!D45</f>
        <v>0</v>
      </c>
      <c r="AO48" s="14">
        <f t="shared" si="9"/>
        <v>0</v>
      </c>
      <c r="AP48" s="15">
        <f t="shared" si="10"/>
        <v>0</v>
      </c>
      <c r="AQ48" s="14">
        <f t="shared" si="11"/>
        <v>0</v>
      </c>
      <c r="AR48" s="14">
        <f>DISTRIBUSI!E46</f>
        <v>0</v>
      </c>
      <c r="AS48" s="14">
        <f>'PEMAKAIAN UNIT'!E45</f>
        <v>0</v>
      </c>
      <c r="AT48" s="14">
        <f t="shared" si="12"/>
        <v>0</v>
      </c>
      <c r="AU48" s="15">
        <f t="shared" si="13"/>
        <v>0</v>
      </c>
      <c r="AV48" s="14">
        <f t="shared" si="14"/>
        <v>0</v>
      </c>
      <c r="AW48" s="14">
        <f>DISTRIBUSI!F46</f>
        <v>0</v>
      </c>
      <c r="AX48" s="14">
        <f>'PEMAKAIAN UNIT'!F45</f>
        <v>0</v>
      </c>
      <c r="AY48" s="14">
        <f t="shared" si="15"/>
        <v>0</v>
      </c>
      <c r="AZ48" s="15">
        <f t="shared" si="16"/>
        <v>0</v>
      </c>
      <c r="BA48" s="14">
        <f t="shared" si="17"/>
        <v>0</v>
      </c>
      <c r="BB48" s="14">
        <f>DISTRIBUSI!G46</f>
        <v>0</v>
      </c>
      <c r="BC48" s="14">
        <f>'PEMAKAIAN UNIT'!G45</f>
        <v>0</v>
      </c>
      <c r="BD48" s="14">
        <f t="shared" si="18"/>
        <v>0</v>
      </c>
      <c r="BE48" s="15">
        <f t="shared" si="19"/>
        <v>0</v>
      </c>
      <c r="BF48" s="14">
        <f t="shared" si="20"/>
        <v>0</v>
      </c>
      <c r="BG48" s="14">
        <f>DISTRIBUSI!H46</f>
        <v>0</v>
      </c>
      <c r="BH48" s="14">
        <f>'PEMAKAIAN UNIT'!H45</f>
        <v>0</v>
      </c>
      <c r="BI48" s="14">
        <f t="shared" si="21"/>
        <v>0</v>
      </c>
      <c r="BJ48" s="15">
        <f t="shared" si="22"/>
        <v>0</v>
      </c>
      <c r="BK48" s="14">
        <f t="shared" si="23"/>
        <v>0</v>
      </c>
      <c r="BL48" s="14">
        <f>DISTRIBUSI!I46</f>
        <v>0</v>
      </c>
      <c r="BM48" s="14">
        <f>'PEMAKAIAN UNIT'!I45</f>
        <v>0</v>
      </c>
      <c r="BN48" s="14">
        <f t="shared" si="24"/>
        <v>0</v>
      </c>
      <c r="BO48" s="15">
        <f t="shared" si="25"/>
        <v>0</v>
      </c>
      <c r="BP48" s="14">
        <f t="shared" si="26"/>
        <v>0</v>
      </c>
      <c r="BQ48" s="14">
        <f>DISTRIBUSI!J46</f>
        <v>0</v>
      </c>
      <c r="BR48" s="14">
        <f>'PEMAKAIAN UNIT'!J45</f>
        <v>0</v>
      </c>
      <c r="BS48" s="14">
        <f t="shared" si="27"/>
        <v>0</v>
      </c>
      <c r="BT48" s="15">
        <f t="shared" si="28"/>
        <v>0</v>
      </c>
      <c r="BU48" s="14">
        <f t="shared" si="29"/>
        <v>0</v>
      </c>
      <c r="BV48" s="14">
        <f>DISTRIBUSI!K46</f>
        <v>0</v>
      </c>
      <c r="BW48" s="14">
        <f>'PEMAKAIAN UNIT'!K45</f>
        <v>0</v>
      </c>
      <c r="BX48" s="14">
        <f t="shared" si="30"/>
        <v>0</v>
      </c>
      <c r="BY48" s="15">
        <f t="shared" si="31"/>
        <v>0</v>
      </c>
      <c r="BZ48" s="14">
        <f t="shared" si="32"/>
        <v>0</v>
      </c>
      <c r="CA48" s="14">
        <f>DISTRIBUSI!L46</f>
        <v>0</v>
      </c>
      <c r="CB48" s="14">
        <f>'PEMAKAIAN UNIT'!L45</f>
        <v>0</v>
      </c>
      <c r="CC48" s="14">
        <f t="shared" si="33"/>
        <v>0</v>
      </c>
      <c r="CD48" s="15">
        <f t="shared" si="34"/>
        <v>0</v>
      </c>
      <c r="CE48" s="14">
        <f t="shared" si="35"/>
        <v>0</v>
      </c>
      <c r="CF48" s="14">
        <f>DISTRIBUSI!M46</f>
        <v>0</v>
      </c>
      <c r="CG48" s="14">
        <f>'PEMAKAIAN UNIT'!M45</f>
        <v>0</v>
      </c>
      <c r="CH48" s="14">
        <f t="shared" si="36"/>
        <v>0</v>
      </c>
      <c r="CI48" s="15">
        <f t="shared" si="37"/>
        <v>0</v>
      </c>
      <c r="CJ48" s="14">
        <f t="shared" si="38"/>
        <v>0</v>
      </c>
      <c r="CK48" s="14" t="e">
        <f>DISTRIBUSI!#REF!</f>
        <v>#REF!</v>
      </c>
      <c r="CL48" s="14">
        <f>'PEMAKAIAN UNIT'!N45</f>
        <v>0</v>
      </c>
      <c r="CM48" s="14" t="e">
        <f t="shared" si="39"/>
        <v>#REF!</v>
      </c>
      <c r="CN48" s="15" t="e">
        <f t="shared" si="40"/>
        <v>#REF!</v>
      </c>
      <c r="CO48" s="14" t="e">
        <f>DL48+DISTRIBUSI!#REF!-'PEMAKAIAN UNIT'!O45</f>
        <v>#REF!</v>
      </c>
      <c r="CP48" s="15" t="e">
        <f t="shared" si="41"/>
        <v>#REF!</v>
      </c>
      <c r="CQ48" s="226">
        <f t="shared" si="42"/>
        <v>80</v>
      </c>
      <c r="CR48" s="226">
        <f>DISTRIBUSI!R46</f>
        <v>0</v>
      </c>
      <c r="CS48" s="226">
        <f>'PEMAKAIAN UNIT'!P45</f>
        <v>0</v>
      </c>
      <c r="CT48" s="14">
        <f t="shared" si="43"/>
        <v>80</v>
      </c>
      <c r="CU48" s="15">
        <f t="shared" si="44"/>
        <v>0</v>
      </c>
      <c r="CV48" s="14" t="e">
        <f>DN48+DISTRIBUSI!#REF!-'PEMAKAIAN UNIT'!Q45</f>
        <v>#REF!</v>
      </c>
      <c r="CW48" s="15" t="e">
        <f t="shared" si="45"/>
        <v>#REF!</v>
      </c>
      <c r="CX48" s="14">
        <f>DO48+'LPLPO GUDANG'!E51-'LPLPO GUDANG'!G51</f>
        <v>0</v>
      </c>
      <c r="CY48" s="15">
        <f t="shared" si="46"/>
        <v>-200</v>
      </c>
      <c r="CZ48" s="28"/>
      <c r="DA48" s="14">
        <v>0</v>
      </c>
      <c r="DB48" s="14"/>
      <c r="DC48" s="14">
        <v>0</v>
      </c>
      <c r="DD48" s="14">
        <v>0</v>
      </c>
      <c r="DE48" s="14">
        <v>0</v>
      </c>
      <c r="DF48" s="14"/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80</v>
      </c>
      <c r="DN48" s="14">
        <v>0</v>
      </c>
      <c r="DO48" s="13">
        <v>0</v>
      </c>
      <c r="DP48" s="13">
        <f t="shared" si="47"/>
        <v>80</v>
      </c>
      <c r="DR48" t="s">
        <v>32</v>
      </c>
      <c r="DU48" s="20" t="e">
        <f t="shared" si="48"/>
        <v>#REF!</v>
      </c>
    </row>
    <row r="49" spans="1:125" customFormat="1" ht="20.149999999999999" customHeight="1" x14ac:dyDescent="0.35">
      <c r="A49" s="84">
        <f t="shared" si="49"/>
        <v>38</v>
      </c>
      <c r="B49" s="142" t="s">
        <v>34</v>
      </c>
      <c r="C49" s="157" t="s">
        <v>48</v>
      </c>
      <c r="D49" s="109">
        <v>0</v>
      </c>
      <c r="E49" s="110">
        <f>'LPLPO GUDANG'!E52</f>
        <v>50</v>
      </c>
      <c r="F49" s="110">
        <f t="shared" si="0"/>
        <v>50</v>
      </c>
      <c r="G49" s="110">
        <f>'PEMAKAIAN UNIT'!R46</f>
        <v>0</v>
      </c>
      <c r="H49" s="14">
        <v>0</v>
      </c>
      <c r="I49" s="14">
        <v>0</v>
      </c>
      <c r="J49" s="14">
        <v>0</v>
      </c>
      <c r="K49" s="14"/>
      <c r="L49" s="14"/>
      <c r="M49" s="14"/>
      <c r="N49" s="14"/>
      <c r="O49" s="14"/>
      <c r="P49" s="14"/>
      <c r="Q49" s="14"/>
      <c r="R49" s="14"/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09">
        <f t="shared" si="1"/>
        <v>0</v>
      </c>
      <c r="Z49" s="109" t="e">
        <f t="shared" si="2"/>
        <v>#REF!</v>
      </c>
      <c r="AA49" s="109" t="e">
        <f t="shared" si="3"/>
        <v>#REF!</v>
      </c>
      <c r="AB49" s="14">
        <v>18</v>
      </c>
      <c r="AC49" s="109" t="e">
        <f t="shared" si="4"/>
        <v>#REF!</v>
      </c>
      <c r="AD49" s="109">
        <f>'LPLPO GUDANG'!H52</f>
        <v>85</v>
      </c>
      <c r="AE49" s="111" t="e">
        <f t="shared" si="5"/>
        <v>#REF!</v>
      </c>
      <c r="AF49" s="212"/>
      <c r="AG49" s="212"/>
      <c r="AH49" s="20"/>
      <c r="AI49" s="14">
        <f t="shared" si="6"/>
        <v>50</v>
      </c>
      <c r="AJ49" s="209" t="e">
        <f t="shared" si="7"/>
        <v>#REF!</v>
      </c>
      <c r="AL49" s="14">
        <f t="shared" si="8"/>
        <v>0</v>
      </c>
      <c r="AM49" s="14">
        <f>DISTRIBUSI!D47</f>
        <v>0</v>
      </c>
      <c r="AN49" s="14">
        <f>'PEMAKAIAN UNIT'!D46</f>
        <v>0</v>
      </c>
      <c r="AO49" s="14">
        <f t="shared" si="9"/>
        <v>0</v>
      </c>
      <c r="AP49" s="15">
        <f t="shared" si="10"/>
        <v>0</v>
      </c>
      <c r="AQ49" s="14">
        <f t="shared" si="11"/>
        <v>0</v>
      </c>
      <c r="AR49" s="14">
        <f>DISTRIBUSI!E47</f>
        <v>0</v>
      </c>
      <c r="AS49" s="14">
        <f>'PEMAKAIAN UNIT'!E46</f>
        <v>0</v>
      </c>
      <c r="AT49" s="14">
        <f t="shared" si="12"/>
        <v>0</v>
      </c>
      <c r="AU49" s="15">
        <f t="shared" si="13"/>
        <v>0</v>
      </c>
      <c r="AV49" s="14">
        <f t="shared" si="14"/>
        <v>0</v>
      </c>
      <c r="AW49" s="14">
        <f>DISTRIBUSI!F47</f>
        <v>0</v>
      </c>
      <c r="AX49" s="14">
        <f>'PEMAKAIAN UNIT'!F46</f>
        <v>0</v>
      </c>
      <c r="AY49" s="14">
        <f t="shared" si="15"/>
        <v>0</v>
      </c>
      <c r="AZ49" s="15">
        <f t="shared" si="16"/>
        <v>0</v>
      </c>
      <c r="BA49" s="14">
        <f t="shared" si="17"/>
        <v>0</v>
      </c>
      <c r="BB49" s="14">
        <f>DISTRIBUSI!G47</f>
        <v>0</v>
      </c>
      <c r="BC49" s="14">
        <f>'PEMAKAIAN UNIT'!G46</f>
        <v>0</v>
      </c>
      <c r="BD49" s="14">
        <f t="shared" si="18"/>
        <v>0</v>
      </c>
      <c r="BE49" s="15">
        <f t="shared" si="19"/>
        <v>0</v>
      </c>
      <c r="BF49" s="14">
        <f t="shared" si="20"/>
        <v>0</v>
      </c>
      <c r="BG49" s="14">
        <f>DISTRIBUSI!H47</f>
        <v>0</v>
      </c>
      <c r="BH49" s="14">
        <f>'PEMAKAIAN UNIT'!H46</f>
        <v>0</v>
      </c>
      <c r="BI49" s="14">
        <f t="shared" si="21"/>
        <v>0</v>
      </c>
      <c r="BJ49" s="15">
        <f t="shared" si="22"/>
        <v>0</v>
      </c>
      <c r="BK49" s="14">
        <f t="shared" si="23"/>
        <v>0</v>
      </c>
      <c r="BL49" s="14">
        <f>DISTRIBUSI!I47</f>
        <v>0</v>
      </c>
      <c r="BM49" s="14">
        <f>'PEMAKAIAN UNIT'!I46</f>
        <v>0</v>
      </c>
      <c r="BN49" s="14">
        <f t="shared" si="24"/>
        <v>0</v>
      </c>
      <c r="BO49" s="15">
        <f t="shared" si="25"/>
        <v>0</v>
      </c>
      <c r="BP49" s="14">
        <f t="shared" si="26"/>
        <v>0</v>
      </c>
      <c r="BQ49" s="14">
        <f>DISTRIBUSI!J47</f>
        <v>0</v>
      </c>
      <c r="BR49" s="14">
        <f>'PEMAKAIAN UNIT'!J46</f>
        <v>0</v>
      </c>
      <c r="BS49" s="14">
        <f t="shared" si="27"/>
        <v>0</v>
      </c>
      <c r="BT49" s="15">
        <f t="shared" si="28"/>
        <v>0</v>
      </c>
      <c r="BU49" s="14">
        <f t="shared" si="29"/>
        <v>0</v>
      </c>
      <c r="BV49" s="14">
        <f>DISTRIBUSI!K47</f>
        <v>0</v>
      </c>
      <c r="BW49" s="14">
        <f>'PEMAKAIAN UNIT'!K46</f>
        <v>0</v>
      </c>
      <c r="BX49" s="14">
        <f t="shared" si="30"/>
        <v>0</v>
      </c>
      <c r="BY49" s="15">
        <f t="shared" si="31"/>
        <v>0</v>
      </c>
      <c r="BZ49" s="14">
        <f t="shared" si="32"/>
        <v>0</v>
      </c>
      <c r="CA49" s="14">
        <f>DISTRIBUSI!L47</f>
        <v>0</v>
      </c>
      <c r="CB49" s="14">
        <f>'PEMAKAIAN UNIT'!L46</f>
        <v>0</v>
      </c>
      <c r="CC49" s="14">
        <f t="shared" si="33"/>
        <v>0</v>
      </c>
      <c r="CD49" s="15">
        <f t="shared" si="34"/>
        <v>0</v>
      </c>
      <c r="CE49" s="14">
        <f t="shared" si="35"/>
        <v>0</v>
      </c>
      <c r="CF49" s="14">
        <f>DISTRIBUSI!M47</f>
        <v>0</v>
      </c>
      <c r="CG49" s="14">
        <f>'PEMAKAIAN UNIT'!M46</f>
        <v>0</v>
      </c>
      <c r="CH49" s="14">
        <f t="shared" si="36"/>
        <v>0</v>
      </c>
      <c r="CI49" s="15">
        <f t="shared" si="37"/>
        <v>0</v>
      </c>
      <c r="CJ49" s="14">
        <f t="shared" si="38"/>
        <v>0</v>
      </c>
      <c r="CK49" s="14" t="e">
        <f>DISTRIBUSI!#REF!</f>
        <v>#REF!</v>
      </c>
      <c r="CL49" s="14">
        <f>'PEMAKAIAN UNIT'!N46</f>
        <v>0</v>
      </c>
      <c r="CM49" s="14" t="e">
        <f t="shared" si="39"/>
        <v>#REF!</v>
      </c>
      <c r="CN49" s="15" t="e">
        <f t="shared" si="40"/>
        <v>#REF!</v>
      </c>
      <c r="CO49" s="14" t="e">
        <f>DL49+DISTRIBUSI!#REF!-'PEMAKAIAN UNIT'!O46</f>
        <v>#REF!</v>
      </c>
      <c r="CP49" s="15" t="e">
        <f t="shared" si="41"/>
        <v>#REF!</v>
      </c>
      <c r="CQ49" s="226">
        <f t="shared" si="42"/>
        <v>1</v>
      </c>
      <c r="CR49" s="226">
        <f>DISTRIBUSI!R47</f>
        <v>0</v>
      </c>
      <c r="CS49" s="226">
        <f>'PEMAKAIAN UNIT'!P46</f>
        <v>0</v>
      </c>
      <c r="CT49" s="14">
        <f t="shared" si="43"/>
        <v>1</v>
      </c>
      <c r="CU49" s="15">
        <f t="shared" si="44"/>
        <v>-17</v>
      </c>
      <c r="CV49" s="14" t="e">
        <f>DN49+DISTRIBUSI!#REF!-'PEMAKAIAN UNIT'!Q46</f>
        <v>#REF!</v>
      </c>
      <c r="CW49" s="15" t="e">
        <f t="shared" si="45"/>
        <v>#REF!</v>
      </c>
      <c r="CX49" s="14">
        <f>DO49+'LPLPO GUDANG'!E52-'LPLPO GUDANG'!G52</f>
        <v>110</v>
      </c>
      <c r="CY49" s="15">
        <f t="shared" si="46"/>
        <v>25</v>
      </c>
      <c r="CZ49" s="28"/>
      <c r="DA49" s="14">
        <v>0</v>
      </c>
      <c r="DB49" s="14"/>
      <c r="DC49" s="14">
        <v>0</v>
      </c>
      <c r="DD49" s="14">
        <v>0</v>
      </c>
      <c r="DE49" s="14">
        <v>0</v>
      </c>
      <c r="DF49" s="14"/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1</v>
      </c>
      <c r="DN49" s="14">
        <v>0</v>
      </c>
      <c r="DO49" s="13">
        <v>70</v>
      </c>
      <c r="DP49" s="13">
        <f t="shared" si="47"/>
        <v>71</v>
      </c>
      <c r="DR49" t="s">
        <v>34</v>
      </c>
      <c r="DU49" s="20" t="e">
        <f t="shared" si="48"/>
        <v>#REF!</v>
      </c>
    </row>
    <row r="50" spans="1:125" customFormat="1" ht="20.149999999999999" customHeight="1" x14ac:dyDescent="0.35">
      <c r="A50" s="84">
        <f t="shared" si="49"/>
        <v>39</v>
      </c>
      <c r="B50" s="142" t="s">
        <v>35</v>
      </c>
      <c r="C50" s="155" t="s">
        <v>4</v>
      </c>
      <c r="D50" s="109">
        <v>0</v>
      </c>
      <c r="E50" s="110">
        <f>'LPLPO GUDANG'!E53</f>
        <v>0</v>
      </c>
      <c r="F50" s="110">
        <f t="shared" si="0"/>
        <v>0</v>
      </c>
      <c r="G50" s="110">
        <f>'PEMAKAIAN UNIT'!R47</f>
        <v>0</v>
      </c>
      <c r="H50" s="14">
        <v>0</v>
      </c>
      <c r="I50" s="14">
        <v>0</v>
      </c>
      <c r="J50" s="14">
        <v>0</v>
      </c>
      <c r="K50" s="14"/>
      <c r="L50" s="14"/>
      <c r="M50" s="14"/>
      <c r="N50" s="14"/>
      <c r="O50" s="14"/>
      <c r="P50" s="14"/>
      <c r="Q50" s="14"/>
      <c r="R50" s="14"/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09">
        <f t="shared" si="1"/>
        <v>0</v>
      </c>
      <c r="Z50" s="109" t="e">
        <f t="shared" si="2"/>
        <v>#REF!</v>
      </c>
      <c r="AA50" s="109" t="e">
        <f t="shared" si="3"/>
        <v>#REF!</v>
      </c>
      <c r="AB50" s="14">
        <v>2</v>
      </c>
      <c r="AC50" s="109" t="e">
        <f t="shared" si="4"/>
        <v>#REF!</v>
      </c>
      <c r="AD50" s="109">
        <f>'LPLPO GUDANG'!H53</f>
        <v>15</v>
      </c>
      <c r="AE50" s="111" t="e">
        <f t="shared" si="5"/>
        <v>#REF!</v>
      </c>
      <c r="AF50" s="212"/>
      <c r="AG50" s="212"/>
      <c r="AH50" s="20"/>
      <c r="AI50" s="14">
        <f t="shared" si="6"/>
        <v>0</v>
      </c>
      <c r="AJ50" s="209" t="e">
        <f t="shared" si="7"/>
        <v>#REF!</v>
      </c>
      <c r="AL50" s="14">
        <f t="shared" si="8"/>
        <v>0</v>
      </c>
      <c r="AM50" s="14">
        <f>DISTRIBUSI!D48</f>
        <v>0</v>
      </c>
      <c r="AN50" s="14">
        <f>'PEMAKAIAN UNIT'!D47</f>
        <v>0</v>
      </c>
      <c r="AO50" s="14">
        <f t="shared" si="9"/>
        <v>0</v>
      </c>
      <c r="AP50" s="15">
        <f t="shared" si="10"/>
        <v>0</v>
      </c>
      <c r="AQ50" s="14">
        <f t="shared" si="11"/>
        <v>0</v>
      </c>
      <c r="AR50" s="14">
        <f>DISTRIBUSI!E48</f>
        <v>0</v>
      </c>
      <c r="AS50" s="14">
        <f>'PEMAKAIAN UNIT'!E47</f>
        <v>0</v>
      </c>
      <c r="AT50" s="14">
        <f t="shared" si="12"/>
        <v>0</v>
      </c>
      <c r="AU50" s="15">
        <f t="shared" si="13"/>
        <v>0</v>
      </c>
      <c r="AV50" s="14">
        <f t="shared" si="14"/>
        <v>0</v>
      </c>
      <c r="AW50" s="14">
        <f>DISTRIBUSI!F48</f>
        <v>0</v>
      </c>
      <c r="AX50" s="14">
        <f>'PEMAKAIAN UNIT'!F47</f>
        <v>0</v>
      </c>
      <c r="AY50" s="14">
        <f t="shared" si="15"/>
        <v>0</v>
      </c>
      <c r="AZ50" s="15">
        <f t="shared" si="16"/>
        <v>0</v>
      </c>
      <c r="BA50" s="14">
        <f t="shared" si="17"/>
        <v>0</v>
      </c>
      <c r="BB50" s="14">
        <f>DISTRIBUSI!G48</f>
        <v>0</v>
      </c>
      <c r="BC50" s="14">
        <f>'PEMAKAIAN UNIT'!G47</f>
        <v>0</v>
      </c>
      <c r="BD50" s="14">
        <f t="shared" si="18"/>
        <v>0</v>
      </c>
      <c r="BE50" s="15">
        <f t="shared" si="19"/>
        <v>0</v>
      </c>
      <c r="BF50" s="14">
        <f t="shared" si="20"/>
        <v>0</v>
      </c>
      <c r="BG50" s="14">
        <f>DISTRIBUSI!H48</f>
        <v>0</v>
      </c>
      <c r="BH50" s="14">
        <f>'PEMAKAIAN UNIT'!H47</f>
        <v>0</v>
      </c>
      <c r="BI50" s="14">
        <f t="shared" si="21"/>
        <v>0</v>
      </c>
      <c r="BJ50" s="15">
        <f t="shared" si="22"/>
        <v>0</v>
      </c>
      <c r="BK50" s="14">
        <f t="shared" si="23"/>
        <v>0</v>
      </c>
      <c r="BL50" s="14">
        <f>DISTRIBUSI!I48</f>
        <v>0</v>
      </c>
      <c r="BM50" s="14">
        <f>'PEMAKAIAN UNIT'!I47</f>
        <v>0</v>
      </c>
      <c r="BN50" s="14">
        <f t="shared" si="24"/>
        <v>0</v>
      </c>
      <c r="BO50" s="15">
        <f t="shared" si="25"/>
        <v>0</v>
      </c>
      <c r="BP50" s="14">
        <f t="shared" si="26"/>
        <v>0</v>
      </c>
      <c r="BQ50" s="14">
        <f>DISTRIBUSI!J48</f>
        <v>0</v>
      </c>
      <c r="BR50" s="14">
        <f>'PEMAKAIAN UNIT'!J47</f>
        <v>0</v>
      </c>
      <c r="BS50" s="14">
        <f t="shared" si="27"/>
        <v>0</v>
      </c>
      <c r="BT50" s="15">
        <f t="shared" si="28"/>
        <v>0</v>
      </c>
      <c r="BU50" s="14">
        <f t="shared" si="29"/>
        <v>0</v>
      </c>
      <c r="BV50" s="14">
        <f>DISTRIBUSI!K48</f>
        <v>0</v>
      </c>
      <c r="BW50" s="14">
        <f>'PEMAKAIAN UNIT'!K47</f>
        <v>0</v>
      </c>
      <c r="BX50" s="14">
        <f t="shared" si="30"/>
        <v>0</v>
      </c>
      <c r="BY50" s="15">
        <f t="shared" si="31"/>
        <v>0</v>
      </c>
      <c r="BZ50" s="14">
        <f t="shared" si="32"/>
        <v>0</v>
      </c>
      <c r="CA50" s="14">
        <f>DISTRIBUSI!L48</f>
        <v>0</v>
      </c>
      <c r="CB50" s="14">
        <f>'PEMAKAIAN UNIT'!L47</f>
        <v>0</v>
      </c>
      <c r="CC50" s="14">
        <f t="shared" si="33"/>
        <v>0</v>
      </c>
      <c r="CD50" s="15">
        <f t="shared" si="34"/>
        <v>0</v>
      </c>
      <c r="CE50" s="14">
        <f t="shared" si="35"/>
        <v>0</v>
      </c>
      <c r="CF50" s="14">
        <f>DISTRIBUSI!M48</f>
        <v>0</v>
      </c>
      <c r="CG50" s="14">
        <f>'PEMAKAIAN UNIT'!M47</f>
        <v>0</v>
      </c>
      <c r="CH50" s="14">
        <f t="shared" si="36"/>
        <v>0</v>
      </c>
      <c r="CI50" s="15">
        <f t="shared" si="37"/>
        <v>0</v>
      </c>
      <c r="CJ50" s="14">
        <f t="shared" si="38"/>
        <v>0</v>
      </c>
      <c r="CK50" s="14" t="e">
        <f>DISTRIBUSI!#REF!</f>
        <v>#REF!</v>
      </c>
      <c r="CL50" s="14">
        <f>'PEMAKAIAN UNIT'!N47</f>
        <v>0</v>
      </c>
      <c r="CM50" s="14" t="e">
        <f t="shared" si="39"/>
        <v>#REF!</v>
      </c>
      <c r="CN50" s="15" t="e">
        <f t="shared" si="40"/>
        <v>#REF!</v>
      </c>
      <c r="CO50" s="14" t="e">
        <f>DL50+DISTRIBUSI!#REF!-'PEMAKAIAN UNIT'!O47</f>
        <v>#REF!</v>
      </c>
      <c r="CP50" s="15" t="e">
        <f t="shared" si="41"/>
        <v>#REF!</v>
      </c>
      <c r="CQ50" s="226">
        <f t="shared" si="42"/>
        <v>2</v>
      </c>
      <c r="CR50" s="226">
        <f>DISTRIBUSI!R48</f>
        <v>0</v>
      </c>
      <c r="CS50" s="226">
        <f>'PEMAKAIAN UNIT'!P47</f>
        <v>0</v>
      </c>
      <c r="CT50" s="14">
        <f t="shared" si="43"/>
        <v>2</v>
      </c>
      <c r="CU50" s="15">
        <f t="shared" si="44"/>
        <v>0</v>
      </c>
      <c r="CV50" s="14" t="e">
        <f>DN50+DISTRIBUSI!#REF!-'PEMAKAIAN UNIT'!Q47</f>
        <v>#REF!</v>
      </c>
      <c r="CW50" s="15" t="e">
        <f t="shared" si="45"/>
        <v>#REF!</v>
      </c>
      <c r="CX50" s="14">
        <f>DO50+'LPLPO GUDANG'!E53-'LPLPO GUDANG'!G53</f>
        <v>5</v>
      </c>
      <c r="CY50" s="15">
        <f t="shared" si="46"/>
        <v>-10</v>
      </c>
      <c r="CZ50" s="28"/>
      <c r="DA50" s="14">
        <v>0</v>
      </c>
      <c r="DB50" s="14"/>
      <c r="DC50" s="14">
        <v>0</v>
      </c>
      <c r="DD50" s="14">
        <v>0</v>
      </c>
      <c r="DE50" s="14">
        <v>0</v>
      </c>
      <c r="DF50" s="14"/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2</v>
      </c>
      <c r="DN50" s="14">
        <v>0</v>
      </c>
      <c r="DO50" s="13">
        <v>5</v>
      </c>
      <c r="DP50" s="13">
        <f t="shared" si="47"/>
        <v>7</v>
      </c>
      <c r="DR50" t="s">
        <v>35</v>
      </c>
      <c r="DU50" s="20" t="e">
        <f t="shared" si="48"/>
        <v>#REF!</v>
      </c>
    </row>
    <row r="51" spans="1:125" customFormat="1" ht="20.149999999999999" customHeight="1" x14ac:dyDescent="0.5">
      <c r="A51" s="84">
        <f t="shared" si="49"/>
        <v>40</v>
      </c>
      <c r="B51" s="142" t="s">
        <v>282</v>
      </c>
      <c r="C51" s="250" t="s">
        <v>48</v>
      </c>
      <c r="D51" s="109">
        <v>0</v>
      </c>
      <c r="E51" s="110">
        <f>'LPLPO GUDANG'!E54</f>
        <v>0</v>
      </c>
      <c r="F51" s="110">
        <f t="shared" si="0"/>
        <v>0</v>
      </c>
      <c r="G51" s="110">
        <f>'PEMAKAIAN UNIT'!R48</f>
        <v>0</v>
      </c>
      <c r="H51" s="14">
        <v>0</v>
      </c>
      <c r="I51" s="14">
        <v>0</v>
      </c>
      <c r="J51" s="14">
        <v>0</v>
      </c>
      <c r="K51" s="14"/>
      <c r="L51" s="14"/>
      <c r="M51" s="14"/>
      <c r="N51" s="14"/>
      <c r="O51" s="14"/>
      <c r="P51" s="14"/>
      <c r="Q51" s="14"/>
      <c r="R51" s="14"/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09">
        <f t="shared" si="1"/>
        <v>0</v>
      </c>
      <c r="Z51" s="109" t="e">
        <f t="shared" si="2"/>
        <v>#REF!</v>
      </c>
      <c r="AA51" s="109" t="e">
        <f t="shared" si="3"/>
        <v>#REF!</v>
      </c>
      <c r="AB51" s="14">
        <v>0</v>
      </c>
      <c r="AC51" s="109" t="e">
        <f t="shared" si="4"/>
        <v>#REF!</v>
      </c>
      <c r="AD51" s="109">
        <f>'LPLPO GUDANG'!H54</f>
        <v>0</v>
      </c>
      <c r="AE51" s="111" t="e">
        <f t="shared" si="5"/>
        <v>#REF!</v>
      </c>
      <c r="AF51" s="212"/>
      <c r="AG51" s="212"/>
      <c r="AH51" s="20"/>
      <c r="AI51" s="14">
        <f t="shared" si="6"/>
        <v>0</v>
      </c>
      <c r="AJ51" s="209" t="e">
        <f t="shared" si="7"/>
        <v>#REF!</v>
      </c>
      <c r="AL51" s="14">
        <f t="shared" si="8"/>
        <v>0</v>
      </c>
      <c r="AM51" s="14">
        <f>DISTRIBUSI!D49</f>
        <v>0</v>
      </c>
      <c r="AN51" s="14">
        <f>'PEMAKAIAN UNIT'!D48</f>
        <v>0</v>
      </c>
      <c r="AO51" s="14">
        <f t="shared" si="9"/>
        <v>0</v>
      </c>
      <c r="AP51" s="15">
        <f t="shared" si="10"/>
        <v>0</v>
      </c>
      <c r="AQ51" s="14">
        <f t="shared" si="11"/>
        <v>0</v>
      </c>
      <c r="AR51" s="14">
        <f>DISTRIBUSI!E49</f>
        <v>0</v>
      </c>
      <c r="AS51" s="14">
        <f>'PEMAKAIAN UNIT'!E48</f>
        <v>0</v>
      </c>
      <c r="AT51" s="14">
        <f t="shared" si="12"/>
        <v>0</v>
      </c>
      <c r="AU51" s="15">
        <f t="shared" si="13"/>
        <v>0</v>
      </c>
      <c r="AV51" s="14">
        <f t="shared" si="14"/>
        <v>0</v>
      </c>
      <c r="AW51" s="14">
        <f>DISTRIBUSI!F49</f>
        <v>0</v>
      </c>
      <c r="AX51" s="14">
        <f>'PEMAKAIAN UNIT'!F48</f>
        <v>0</v>
      </c>
      <c r="AY51" s="14">
        <f t="shared" si="15"/>
        <v>0</v>
      </c>
      <c r="AZ51" s="15">
        <f t="shared" si="16"/>
        <v>0</v>
      </c>
      <c r="BA51" s="14">
        <f t="shared" si="17"/>
        <v>0</v>
      </c>
      <c r="BB51" s="14">
        <f>DISTRIBUSI!G49</f>
        <v>0</v>
      </c>
      <c r="BC51" s="14">
        <f>'PEMAKAIAN UNIT'!G48</f>
        <v>0</v>
      </c>
      <c r="BD51" s="14">
        <f t="shared" si="18"/>
        <v>0</v>
      </c>
      <c r="BE51" s="15">
        <f t="shared" si="19"/>
        <v>0</v>
      </c>
      <c r="BF51" s="14">
        <f t="shared" si="20"/>
        <v>0</v>
      </c>
      <c r="BG51" s="14">
        <f>DISTRIBUSI!H49</f>
        <v>0</v>
      </c>
      <c r="BH51" s="14">
        <f>'PEMAKAIAN UNIT'!H48</f>
        <v>0</v>
      </c>
      <c r="BI51" s="14">
        <f t="shared" si="21"/>
        <v>0</v>
      </c>
      <c r="BJ51" s="15">
        <f t="shared" si="22"/>
        <v>0</v>
      </c>
      <c r="BK51" s="14">
        <f t="shared" si="23"/>
        <v>0</v>
      </c>
      <c r="BL51" s="14">
        <f>DISTRIBUSI!I49</f>
        <v>0</v>
      </c>
      <c r="BM51" s="14">
        <f>'PEMAKAIAN UNIT'!I48</f>
        <v>0</v>
      </c>
      <c r="BN51" s="14">
        <f t="shared" si="24"/>
        <v>0</v>
      </c>
      <c r="BO51" s="15">
        <f t="shared" si="25"/>
        <v>0</v>
      </c>
      <c r="BP51" s="14">
        <f t="shared" si="26"/>
        <v>0</v>
      </c>
      <c r="BQ51" s="14">
        <f>DISTRIBUSI!J49</f>
        <v>0</v>
      </c>
      <c r="BR51" s="14">
        <f>'PEMAKAIAN UNIT'!J48</f>
        <v>0</v>
      </c>
      <c r="BS51" s="14">
        <f t="shared" si="27"/>
        <v>0</v>
      </c>
      <c r="BT51" s="15">
        <f t="shared" si="28"/>
        <v>0</v>
      </c>
      <c r="BU51" s="14">
        <f t="shared" si="29"/>
        <v>0</v>
      </c>
      <c r="BV51" s="14">
        <f>DISTRIBUSI!K49</f>
        <v>0</v>
      </c>
      <c r="BW51" s="14">
        <f>'PEMAKAIAN UNIT'!K48</f>
        <v>0</v>
      </c>
      <c r="BX51" s="14">
        <f t="shared" si="30"/>
        <v>0</v>
      </c>
      <c r="BY51" s="15">
        <f t="shared" si="31"/>
        <v>0</v>
      </c>
      <c r="BZ51" s="14">
        <f t="shared" si="32"/>
        <v>0</v>
      </c>
      <c r="CA51" s="14">
        <f>DISTRIBUSI!L49</f>
        <v>0</v>
      </c>
      <c r="CB51" s="14">
        <f>'PEMAKAIAN UNIT'!L48</f>
        <v>0</v>
      </c>
      <c r="CC51" s="14">
        <f t="shared" si="33"/>
        <v>0</v>
      </c>
      <c r="CD51" s="15">
        <f t="shared" si="34"/>
        <v>0</v>
      </c>
      <c r="CE51" s="14">
        <f t="shared" si="35"/>
        <v>0</v>
      </c>
      <c r="CF51" s="14">
        <f>DISTRIBUSI!M49</f>
        <v>0</v>
      </c>
      <c r="CG51" s="14">
        <f>'PEMAKAIAN UNIT'!M48</f>
        <v>0</v>
      </c>
      <c r="CH51" s="14">
        <f t="shared" si="36"/>
        <v>0</v>
      </c>
      <c r="CI51" s="15">
        <f t="shared" si="37"/>
        <v>0</v>
      </c>
      <c r="CJ51" s="14">
        <f t="shared" si="38"/>
        <v>0</v>
      </c>
      <c r="CK51" s="14" t="e">
        <f>DISTRIBUSI!#REF!</f>
        <v>#REF!</v>
      </c>
      <c r="CL51" s="14">
        <f>'PEMAKAIAN UNIT'!N48</f>
        <v>0</v>
      </c>
      <c r="CM51" s="14" t="e">
        <f t="shared" si="39"/>
        <v>#REF!</v>
      </c>
      <c r="CN51" s="15" t="e">
        <f t="shared" si="40"/>
        <v>#REF!</v>
      </c>
      <c r="CO51" s="14" t="e">
        <f>DL51+DISTRIBUSI!#REF!-'PEMAKAIAN UNIT'!O48</f>
        <v>#REF!</v>
      </c>
      <c r="CP51" s="15" t="e">
        <f t="shared" si="41"/>
        <v>#REF!</v>
      </c>
      <c r="CQ51" s="226">
        <f t="shared" si="42"/>
        <v>0</v>
      </c>
      <c r="CR51" s="226">
        <f>DISTRIBUSI!R49</f>
        <v>0</v>
      </c>
      <c r="CS51" s="226">
        <f>'PEMAKAIAN UNIT'!P48</f>
        <v>0</v>
      </c>
      <c r="CT51" s="14">
        <f t="shared" si="43"/>
        <v>0</v>
      </c>
      <c r="CU51" s="15">
        <f t="shared" si="44"/>
        <v>0</v>
      </c>
      <c r="CV51" s="14" t="e">
        <f>DN51+DISTRIBUSI!#REF!-'PEMAKAIAN UNIT'!Q48</f>
        <v>#REF!</v>
      </c>
      <c r="CW51" s="15" t="e">
        <f t="shared" si="45"/>
        <v>#REF!</v>
      </c>
      <c r="CX51" s="14">
        <f>DO51+'LPLPO GUDANG'!E54-'LPLPO GUDANG'!G54</f>
        <v>0</v>
      </c>
      <c r="CY51" s="15">
        <f t="shared" si="46"/>
        <v>0</v>
      </c>
      <c r="CZ51" s="28"/>
      <c r="DA51" s="14">
        <v>0</v>
      </c>
      <c r="DB51" s="14"/>
      <c r="DC51" s="14">
        <v>0</v>
      </c>
      <c r="DD51" s="14">
        <v>0</v>
      </c>
      <c r="DE51" s="14">
        <v>0</v>
      </c>
      <c r="DF51" s="14"/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3">
        <v>0</v>
      </c>
      <c r="DP51" s="13">
        <f t="shared" si="47"/>
        <v>0</v>
      </c>
      <c r="DR51" t="s">
        <v>282</v>
      </c>
      <c r="DU51" s="20" t="e">
        <f t="shared" si="48"/>
        <v>#REF!</v>
      </c>
    </row>
    <row r="52" spans="1:125" customFormat="1" ht="20.149999999999999" customHeight="1" x14ac:dyDescent="0.35">
      <c r="A52" s="84">
        <f t="shared" si="49"/>
        <v>41</v>
      </c>
      <c r="B52" s="142" t="s">
        <v>36</v>
      </c>
      <c r="C52" s="157" t="s">
        <v>341</v>
      </c>
      <c r="D52" s="109">
        <v>0</v>
      </c>
      <c r="E52" s="110">
        <f>'LPLPO GUDANG'!E55</f>
        <v>0</v>
      </c>
      <c r="F52" s="110">
        <f t="shared" si="0"/>
        <v>0</v>
      </c>
      <c r="G52" s="110">
        <f>'PEMAKAIAN UNIT'!R49</f>
        <v>0</v>
      </c>
      <c r="H52" s="14">
        <v>0</v>
      </c>
      <c r="I52" s="14">
        <v>0</v>
      </c>
      <c r="J52" s="14">
        <v>0</v>
      </c>
      <c r="K52" s="14"/>
      <c r="L52" s="14"/>
      <c r="M52" s="14"/>
      <c r="N52" s="14"/>
      <c r="O52" s="14"/>
      <c r="P52" s="14"/>
      <c r="Q52" s="14"/>
      <c r="R52" s="14"/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09">
        <f t="shared" si="1"/>
        <v>0</v>
      </c>
      <c r="Z52" s="109" t="e">
        <f t="shared" si="2"/>
        <v>#REF!</v>
      </c>
      <c r="AA52" s="109" t="e">
        <f t="shared" si="3"/>
        <v>#REF!</v>
      </c>
      <c r="AB52" s="14">
        <v>0</v>
      </c>
      <c r="AC52" s="109" t="e">
        <f t="shared" si="4"/>
        <v>#REF!</v>
      </c>
      <c r="AD52" s="109">
        <f>'LPLPO GUDANG'!H55</f>
        <v>0</v>
      </c>
      <c r="AE52" s="111" t="e">
        <f t="shared" si="5"/>
        <v>#REF!</v>
      </c>
      <c r="AF52" s="212"/>
      <c r="AG52" s="212"/>
      <c r="AH52" s="20"/>
      <c r="AI52" s="14">
        <f t="shared" si="6"/>
        <v>0</v>
      </c>
      <c r="AJ52" s="209" t="e">
        <f t="shared" si="7"/>
        <v>#REF!</v>
      </c>
      <c r="AL52" s="14">
        <f t="shared" si="8"/>
        <v>0</v>
      </c>
      <c r="AM52" s="14">
        <f>DISTRIBUSI!D50</f>
        <v>0</v>
      </c>
      <c r="AN52" s="14">
        <f>'PEMAKAIAN UNIT'!D49</f>
        <v>0</v>
      </c>
      <c r="AO52" s="14">
        <f t="shared" si="9"/>
        <v>0</v>
      </c>
      <c r="AP52" s="15">
        <f t="shared" si="10"/>
        <v>0</v>
      </c>
      <c r="AQ52" s="14">
        <f t="shared" si="11"/>
        <v>0</v>
      </c>
      <c r="AR52" s="14">
        <f>DISTRIBUSI!E50</f>
        <v>0</v>
      </c>
      <c r="AS52" s="14">
        <f>'PEMAKAIAN UNIT'!E49</f>
        <v>0</v>
      </c>
      <c r="AT52" s="14">
        <f t="shared" si="12"/>
        <v>0</v>
      </c>
      <c r="AU52" s="15">
        <f t="shared" si="13"/>
        <v>0</v>
      </c>
      <c r="AV52" s="14">
        <f t="shared" si="14"/>
        <v>0</v>
      </c>
      <c r="AW52" s="14">
        <f>DISTRIBUSI!F50</f>
        <v>0</v>
      </c>
      <c r="AX52" s="14">
        <f>'PEMAKAIAN UNIT'!F49</f>
        <v>0</v>
      </c>
      <c r="AY52" s="14">
        <f t="shared" si="15"/>
        <v>0</v>
      </c>
      <c r="AZ52" s="15">
        <f t="shared" si="16"/>
        <v>0</v>
      </c>
      <c r="BA52" s="14">
        <f t="shared" si="17"/>
        <v>0</v>
      </c>
      <c r="BB52" s="14">
        <f>DISTRIBUSI!G50</f>
        <v>0</v>
      </c>
      <c r="BC52" s="14">
        <f>'PEMAKAIAN UNIT'!G49</f>
        <v>0</v>
      </c>
      <c r="BD52" s="14">
        <f t="shared" si="18"/>
        <v>0</v>
      </c>
      <c r="BE52" s="15">
        <f t="shared" si="19"/>
        <v>0</v>
      </c>
      <c r="BF52" s="14">
        <f t="shared" si="20"/>
        <v>0</v>
      </c>
      <c r="BG52" s="14">
        <f>DISTRIBUSI!H50</f>
        <v>0</v>
      </c>
      <c r="BH52" s="14">
        <f>'PEMAKAIAN UNIT'!H49</f>
        <v>0</v>
      </c>
      <c r="BI52" s="14">
        <f t="shared" si="21"/>
        <v>0</v>
      </c>
      <c r="BJ52" s="15">
        <f t="shared" si="22"/>
        <v>0</v>
      </c>
      <c r="BK52" s="14">
        <f t="shared" si="23"/>
        <v>0</v>
      </c>
      <c r="BL52" s="14">
        <f>DISTRIBUSI!I50</f>
        <v>0</v>
      </c>
      <c r="BM52" s="14">
        <f>'PEMAKAIAN UNIT'!I49</f>
        <v>0</v>
      </c>
      <c r="BN52" s="14">
        <f t="shared" si="24"/>
        <v>0</v>
      </c>
      <c r="BO52" s="15">
        <f t="shared" si="25"/>
        <v>0</v>
      </c>
      <c r="BP52" s="14">
        <f t="shared" si="26"/>
        <v>0</v>
      </c>
      <c r="BQ52" s="14">
        <f>DISTRIBUSI!J50</f>
        <v>0</v>
      </c>
      <c r="BR52" s="14">
        <f>'PEMAKAIAN UNIT'!J49</f>
        <v>0</v>
      </c>
      <c r="BS52" s="14">
        <f t="shared" si="27"/>
        <v>0</v>
      </c>
      <c r="BT52" s="15">
        <f t="shared" si="28"/>
        <v>0</v>
      </c>
      <c r="BU52" s="14">
        <f t="shared" si="29"/>
        <v>0</v>
      </c>
      <c r="BV52" s="14">
        <f>DISTRIBUSI!K50</f>
        <v>0</v>
      </c>
      <c r="BW52" s="14">
        <f>'PEMAKAIAN UNIT'!K49</f>
        <v>0</v>
      </c>
      <c r="BX52" s="14">
        <f t="shared" si="30"/>
        <v>0</v>
      </c>
      <c r="BY52" s="15">
        <f t="shared" si="31"/>
        <v>0</v>
      </c>
      <c r="BZ52" s="14">
        <f t="shared" si="32"/>
        <v>0</v>
      </c>
      <c r="CA52" s="14">
        <f>DISTRIBUSI!L50</f>
        <v>0</v>
      </c>
      <c r="CB52" s="14">
        <f>'PEMAKAIAN UNIT'!L49</f>
        <v>0</v>
      </c>
      <c r="CC52" s="14">
        <f t="shared" si="33"/>
        <v>0</v>
      </c>
      <c r="CD52" s="15">
        <f t="shared" si="34"/>
        <v>0</v>
      </c>
      <c r="CE52" s="14">
        <f t="shared" si="35"/>
        <v>0</v>
      </c>
      <c r="CF52" s="14">
        <f>DISTRIBUSI!M50</f>
        <v>0</v>
      </c>
      <c r="CG52" s="14">
        <f>'PEMAKAIAN UNIT'!M49</f>
        <v>0</v>
      </c>
      <c r="CH52" s="14">
        <f t="shared" si="36"/>
        <v>0</v>
      </c>
      <c r="CI52" s="15">
        <f t="shared" si="37"/>
        <v>0</v>
      </c>
      <c r="CJ52" s="14">
        <f t="shared" si="38"/>
        <v>0</v>
      </c>
      <c r="CK52" s="14" t="e">
        <f>DISTRIBUSI!#REF!</f>
        <v>#REF!</v>
      </c>
      <c r="CL52" s="14">
        <f>'PEMAKAIAN UNIT'!N49</f>
        <v>0</v>
      </c>
      <c r="CM52" s="14" t="e">
        <f t="shared" si="39"/>
        <v>#REF!</v>
      </c>
      <c r="CN52" s="15" t="e">
        <f t="shared" si="40"/>
        <v>#REF!</v>
      </c>
      <c r="CO52" s="14" t="e">
        <f>DL52+DISTRIBUSI!#REF!-'PEMAKAIAN UNIT'!O49</f>
        <v>#REF!</v>
      </c>
      <c r="CP52" s="15" t="e">
        <f t="shared" si="41"/>
        <v>#REF!</v>
      </c>
      <c r="CQ52" s="226">
        <f t="shared" si="42"/>
        <v>0</v>
      </c>
      <c r="CR52" s="226">
        <f>DISTRIBUSI!R50</f>
        <v>0</v>
      </c>
      <c r="CS52" s="226">
        <f>'PEMAKAIAN UNIT'!P49</f>
        <v>0</v>
      </c>
      <c r="CT52" s="14">
        <f t="shared" si="43"/>
        <v>0</v>
      </c>
      <c r="CU52" s="15">
        <f t="shared" si="44"/>
        <v>0</v>
      </c>
      <c r="CV52" s="14" t="e">
        <f>DN52+DISTRIBUSI!#REF!-'PEMAKAIAN UNIT'!Q49</f>
        <v>#REF!</v>
      </c>
      <c r="CW52" s="15" t="e">
        <f t="shared" si="45"/>
        <v>#REF!</v>
      </c>
      <c r="CX52" s="14">
        <f>DO52+'LPLPO GUDANG'!E55-'LPLPO GUDANG'!G55</f>
        <v>0</v>
      </c>
      <c r="CY52" s="15">
        <f t="shared" si="46"/>
        <v>0</v>
      </c>
      <c r="CZ52" s="28"/>
      <c r="DA52" s="14">
        <v>0</v>
      </c>
      <c r="DB52" s="14"/>
      <c r="DC52" s="14">
        <v>0</v>
      </c>
      <c r="DD52" s="14">
        <v>0</v>
      </c>
      <c r="DE52" s="14">
        <v>0</v>
      </c>
      <c r="DF52" s="14"/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3">
        <v>0</v>
      </c>
      <c r="DP52" s="13">
        <f t="shared" si="47"/>
        <v>0</v>
      </c>
      <c r="DR52" t="s">
        <v>36</v>
      </c>
      <c r="DU52" s="20" t="e">
        <f t="shared" si="48"/>
        <v>#REF!</v>
      </c>
    </row>
    <row r="53" spans="1:125" customFormat="1" ht="20.149999999999999" customHeight="1" x14ac:dyDescent="0.35">
      <c r="A53" s="84">
        <f t="shared" si="49"/>
        <v>42</v>
      </c>
      <c r="B53" s="142" t="s">
        <v>38</v>
      </c>
      <c r="C53" s="155" t="s">
        <v>337</v>
      </c>
      <c r="D53" s="109">
        <v>0</v>
      </c>
      <c r="E53" s="110">
        <f>'LPLPO GUDANG'!E56</f>
        <v>0</v>
      </c>
      <c r="F53" s="110">
        <f t="shared" si="0"/>
        <v>0</v>
      </c>
      <c r="G53" s="110">
        <f>'PEMAKAIAN UNIT'!R50</f>
        <v>0</v>
      </c>
      <c r="H53" s="14">
        <v>0</v>
      </c>
      <c r="I53" s="14">
        <v>0</v>
      </c>
      <c r="J53" s="14">
        <v>0</v>
      </c>
      <c r="K53" s="14"/>
      <c r="L53" s="14"/>
      <c r="M53" s="14"/>
      <c r="N53" s="14"/>
      <c r="O53" s="14"/>
      <c r="P53" s="14"/>
      <c r="Q53" s="14"/>
      <c r="R53" s="14"/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09">
        <f t="shared" si="1"/>
        <v>0</v>
      </c>
      <c r="Z53" s="109" t="e">
        <f t="shared" si="2"/>
        <v>#REF!</v>
      </c>
      <c r="AA53" s="109" t="e">
        <f t="shared" si="3"/>
        <v>#REF!</v>
      </c>
      <c r="AB53" s="14">
        <v>0</v>
      </c>
      <c r="AC53" s="109" t="e">
        <f t="shared" si="4"/>
        <v>#REF!</v>
      </c>
      <c r="AD53" s="109">
        <f>'LPLPO GUDANG'!H56</f>
        <v>0</v>
      </c>
      <c r="AE53" s="111" t="e">
        <f t="shared" si="5"/>
        <v>#REF!</v>
      </c>
      <c r="AF53" s="212"/>
      <c r="AG53" s="212"/>
      <c r="AH53" s="20"/>
      <c r="AI53" s="14">
        <f t="shared" si="6"/>
        <v>0</v>
      </c>
      <c r="AJ53" s="209" t="e">
        <f t="shared" si="7"/>
        <v>#REF!</v>
      </c>
      <c r="AL53" s="14">
        <f t="shared" si="8"/>
        <v>0</v>
      </c>
      <c r="AM53" s="14">
        <f>DISTRIBUSI!D51</f>
        <v>0</v>
      </c>
      <c r="AN53" s="14">
        <f>'PEMAKAIAN UNIT'!D50</f>
        <v>0</v>
      </c>
      <c r="AO53" s="14">
        <f t="shared" si="9"/>
        <v>0</v>
      </c>
      <c r="AP53" s="15">
        <f t="shared" si="10"/>
        <v>0</v>
      </c>
      <c r="AQ53" s="14">
        <f t="shared" si="11"/>
        <v>0</v>
      </c>
      <c r="AR53" s="14">
        <f>DISTRIBUSI!E51</f>
        <v>0</v>
      </c>
      <c r="AS53" s="14">
        <f>'PEMAKAIAN UNIT'!E50</f>
        <v>0</v>
      </c>
      <c r="AT53" s="14">
        <f t="shared" si="12"/>
        <v>0</v>
      </c>
      <c r="AU53" s="15">
        <f t="shared" si="13"/>
        <v>0</v>
      </c>
      <c r="AV53" s="14">
        <f t="shared" si="14"/>
        <v>0</v>
      </c>
      <c r="AW53" s="14">
        <f>DISTRIBUSI!F51</f>
        <v>0</v>
      </c>
      <c r="AX53" s="14">
        <f>'PEMAKAIAN UNIT'!F50</f>
        <v>0</v>
      </c>
      <c r="AY53" s="14">
        <f t="shared" si="15"/>
        <v>0</v>
      </c>
      <c r="AZ53" s="15">
        <f t="shared" si="16"/>
        <v>0</v>
      </c>
      <c r="BA53" s="14">
        <f t="shared" si="17"/>
        <v>0</v>
      </c>
      <c r="BB53" s="14">
        <f>DISTRIBUSI!G51</f>
        <v>0</v>
      </c>
      <c r="BC53" s="14">
        <f>'PEMAKAIAN UNIT'!G50</f>
        <v>0</v>
      </c>
      <c r="BD53" s="14">
        <f t="shared" si="18"/>
        <v>0</v>
      </c>
      <c r="BE53" s="15">
        <f t="shared" si="19"/>
        <v>0</v>
      </c>
      <c r="BF53" s="14">
        <f t="shared" si="20"/>
        <v>0</v>
      </c>
      <c r="BG53" s="14">
        <f>DISTRIBUSI!H51</f>
        <v>0</v>
      </c>
      <c r="BH53" s="14">
        <f>'PEMAKAIAN UNIT'!H50</f>
        <v>0</v>
      </c>
      <c r="BI53" s="14">
        <f t="shared" si="21"/>
        <v>0</v>
      </c>
      <c r="BJ53" s="15">
        <f t="shared" si="22"/>
        <v>0</v>
      </c>
      <c r="BK53" s="14">
        <f t="shared" si="23"/>
        <v>0</v>
      </c>
      <c r="BL53" s="14">
        <f>DISTRIBUSI!I51</f>
        <v>0</v>
      </c>
      <c r="BM53" s="14">
        <f>'PEMAKAIAN UNIT'!I50</f>
        <v>0</v>
      </c>
      <c r="BN53" s="14">
        <f t="shared" si="24"/>
        <v>0</v>
      </c>
      <c r="BO53" s="15">
        <f t="shared" si="25"/>
        <v>0</v>
      </c>
      <c r="BP53" s="14">
        <f t="shared" si="26"/>
        <v>0</v>
      </c>
      <c r="BQ53" s="14">
        <f>DISTRIBUSI!J51</f>
        <v>0</v>
      </c>
      <c r="BR53" s="14">
        <f>'PEMAKAIAN UNIT'!J50</f>
        <v>0</v>
      </c>
      <c r="BS53" s="14">
        <f t="shared" si="27"/>
        <v>0</v>
      </c>
      <c r="BT53" s="15">
        <f t="shared" si="28"/>
        <v>0</v>
      </c>
      <c r="BU53" s="14">
        <f t="shared" si="29"/>
        <v>0</v>
      </c>
      <c r="BV53" s="14">
        <f>DISTRIBUSI!K51</f>
        <v>0</v>
      </c>
      <c r="BW53" s="14">
        <f>'PEMAKAIAN UNIT'!K50</f>
        <v>0</v>
      </c>
      <c r="BX53" s="14">
        <f t="shared" si="30"/>
        <v>0</v>
      </c>
      <c r="BY53" s="15">
        <f t="shared" si="31"/>
        <v>0</v>
      </c>
      <c r="BZ53" s="14">
        <f t="shared" si="32"/>
        <v>0</v>
      </c>
      <c r="CA53" s="14">
        <f>DISTRIBUSI!L51</f>
        <v>0</v>
      </c>
      <c r="CB53" s="14">
        <f>'PEMAKAIAN UNIT'!L50</f>
        <v>0</v>
      </c>
      <c r="CC53" s="14">
        <f t="shared" si="33"/>
        <v>0</v>
      </c>
      <c r="CD53" s="15">
        <f t="shared" si="34"/>
        <v>0</v>
      </c>
      <c r="CE53" s="14">
        <f t="shared" si="35"/>
        <v>0</v>
      </c>
      <c r="CF53" s="14">
        <f>DISTRIBUSI!M51</f>
        <v>0</v>
      </c>
      <c r="CG53" s="14">
        <f>'PEMAKAIAN UNIT'!M50</f>
        <v>0</v>
      </c>
      <c r="CH53" s="14">
        <f t="shared" si="36"/>
        <v>0</v>
      </c>
      <c r="CI53" s="15">
        <f t="shared" si="37"/>
        <v>0</v>
      </c>
      <c r="CJ53" s="14">
        <f t="shared" si="38"/>
        <v>0</v>
      </c>
      <c r="CK53" s="14" t="e">
        <f>DISTRIBUSI!#REF!</f>
        <v>#REF!</v>
      </c>
      <c r="CL53" s="14">
        <f>'PEMAKAIAN UNIT'!N50</f>
        <v>0</v>
      </c>
      <c r="CM53" s="14" t="e">
        <f t="shared" si="39"/>
        <v>#REF!</v>
      </c>
      <c r="CN53" s="15" t="e">
        <f t="shared" si="40"/>
        <v>#REF!</v>
      </c>
      <c r="CO53" s="14" t="e">
        <f>DL53+DISTRIBUSI!#REF!-'PEMAKAIAN UNIT'!O50</f>
        <v>#REF!</v>
      </c>
      <c r="CP53" s="15" t="e">
        <f t="shared" si="41"/>
        <v>#REF!</v>
      </c>
      <c r="CQ53" s="226">
        <f t="shared" si="42"/>
        <v>0</v>
      </c>
      <c r="CR53" s="226">
        <f>DISTRIBUSI!R51</f>
        <v>0</v>
      </c>
      <c r="CS53" s="226">
        <f>'PEMAKAIAN UNIT'!P50</f>
        <v>0</v>
      </c>
      <c r="CT53" s="14">
        <f t="shared" si="43"/>
        <v>0</v>
      </c>
      <c r="CU53" s="15">
        <f t="shared" si="44"/>
        <v>0</v>
      </c>
      <c r="CV53" s="14" t="e">
        <f>DN53+DISTRIBUSI!#REF!-'PEMAKAIAN UNIT'!Q50</f>
        <v>#REF!</v>
      </c>
      <c r="CW53" s="15" t="e">
        <f t="shared" si="45"/>
        <v>#REF!</v>
      </c>
      <c r="CX53" s="14">
        <f>DO53+'LPLPO GUDANG'!E56-'LPLPO GUDANG'!G56</f>
        <v>0</v>
      </c>
      <c r="CY53" s="15">
        <f t="shared" si="46"/>
        <v>0</v>
      </c>
      <c r="CZ53" s="28"/>
      <c r="DA53" s="14">
        <v>0</v>
      </c>
      <c r="DB53" s="14"/>
      <c r="DC53" s="14">
        <v>0</v>
      </c>
      <c r="DD53" s="14">
        <v>0</v>
      </c>
      <c r="DE53" s="14">
        <v>0</v>
      </c>
      <c r="DF53" s="14"/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3">
        <v>0</v>
      </c>
      <c r="DP53" s="13">
        <f t="shared" si="47"/>
        <v>0</v>
      </c>
      <c r="DR53" t="s">
        <v>38</v>
      </c>
      <c r="DU53" s="20" t="e">
        <f t="shared" si="48"/>
        <v>#REF!</v>
      </c>
    </row>
    <row r="54" spans="1:125" customFormat="1" ht="20.149999999999999" customHeight="1" x14ac:dyDescent="0.35">
      <c r="A54" s="84">
        <f t="shared" si="49"/>
        <v>43</v>
      </c>
      <c r="B54" s="142" t="s">
        <v>37</v>
      </c>
      <c r="C54" s="157" t="s">
        <v>327</v>
      </c>
      <c r="D54" s="109">
        <v>0</v>
      </c>
      <c r="E54" s="110">
        <f>'LPLPO GUDANG'!E57</f>
        <v>0</v>
      </c>
      <c r="F54" s="110">
        <f t="shared" si="0"/>
        <v>0</v>
      </c>
      <c r="G54" s="110">
        <f>'PEMAKAIAN UNIT'!R51</f>
        <v>0</v>
      </c>
      <c r="H54" s="14">
        <v>0</v>
      </c>
      <c r="I54" s="14">
        <v>0</v>
      </c>
      <c r="J54" s="14">
        <v>0</v>
      </c>
      <c r="K54" s="14"/>
      <c r="L54" s="14"/>
      <c r="M54" s="14"/>
      <c r="N54" s="14"/>
      <c r="O54" s="14"/>
      <c r="P54" s="14"/>
      <c r="Q54" s="14"/>
      <c r="R54" s="14"/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09">
        <f t="shared" si="1"/>
        <v>0</v>
      </c>
      <c r="Z54" s="109" t="e">
        <f t="shared" si="2"/>
        <v>#REF!</v>
      </c>
      <c r="AA54" s="109" t="e">
        <f t="shared" si="3"/>
        <v>#REF!</v>
      </c>
      <c r="AB54" s="14">
        <v>8</v>
      </c>
      <c r="AC54" s="109" t="e">
        <f t="shared" si="4"/>
        <v>#REF!</v>
      </c>
      <c r="AD54" s="109">
        <f>'LPLPO GUDANG'!H57</f>
        <v>500</v>
      </c>
      <c r="AE54" s="111" t="e">
        <f t="shared" si="5"/>
        <v>#REF!</v>
      </c>
      <c r="AF54" s="212"/>
      <c r="AG54" s="212"/>
      <c r="AH54" s="20"/>
      <c r="AI54" s="14">
        <f t="shared" si="6"/>
        <v>0</v>
      </c>
      <c r="AJ54" s="209" t="e">
        <f t="shared" si="7"/>
        <v>#REF!</v>
      </c>
      <c r="AL54" s="14">
        <f t="shared" si="8"/>
        <v>0</v>
      </c>
      <c r="AM54" s="14">
        <f>DISTRIBUSI!D52</f>
        <v>0</v>
      </c>
      <c r="AN54" s="14">
        <f>'PEMAKAIAN UNIT'!D51</f>
        <v>0</v>
      </c>
      <c r="AO54" s="14">
        <f t="shared" si="9"/>
        <v>0</v>
      </c>
      <c r="AP54" s="15">
        <f t="shared" si="10"/>
        <v>0</v>
      </c>
      <c r="AQ54" s="14">
        <f t="shared" si="11"/>
        <v>0</v>
      </c>
      <c r="AR54" s="14">
        <f>DISTRIBUSI!E52</f>
        <v>0</v>
      </c>
      <c r="AS54" s="14">
        <f>'PEMAKAIAN UNIT'!E51</f>
        <v>0</v>
      </c>
      <c r="AT54" s="14">
        <f t="shared" si="12"/>
        <v>0</v>
      </c>
      <c r="AU54" s="15">
        <f t="shared" si="13"/>
        <v>0</v>
      </c>
      <c r="AV54" s="14">
        <f t="shared" si="14"/>
        <v>0</v>
      </c>
      <c r="AW54" s="14">
        <f>DISTRIBUSI!F52</f>
        <v>0</v>
      </c>
      <c r="AX54" s="14">
        <f>'PEMAKAIAN UNIT'!F51</f>
        <v>0</v>
      </c>
      <c r="AY54" s="14">
        <f t="shared" si="15"/>
        <v>0</v>
      </c>
      <c r="AZ54" s="15">
        <f t="shared" si="16"/>
        <v>0</v>
      </c>
      <c r="BA54" s="14">
        <f t="shared" si="17"/>
        <v>0</v>
      </c>
      <c r="BB54" s="14">
        <f>DISTRIBUSI!G52</f>
        <v>0</v>
      </c>
      <c r="BC54" s="14">
        <f>'PEMAKAIAN UNIT'!G51</f>
        <v>0</v>
      </c>
      <c r="BD54" s="14">
        <f t="shared" si="18"/>
        <v>0</v>
      </c>
      <c r="BE54" s="15">
        <f t="shared" si="19"/>
        <v>0</v>
      </c>
      <c r="BF54" s="14">
        <f t="shared" si="20"/>
        <v>0</v>
      </c>
      <c r="BG54" s="14">
        <f>DISTRIBUSI!H52</f>
        <v>0</v>
      </c>
      <c r="BH54" s="14">
        <f>'PEMAKAIAN UNIT'!H51</f>
        <v>0</v>
      </c>
      <c r="BI54" s="14">
        <f t="shared" si="21"/>
        <v>0</v>
      </c>
      <c r="BJ54" s="15">
        <f t="shared" si="22"/>
        <v>0</v>
      </c>
      <c r="BK54" s="14">
        <f t="shared" si="23"/>
        <v>0</v>
      </c>
      <c r="BL54" s="14">
        <f>DISTRIBUSI!I52</f>
        <v>0</v>
      </c>
      <c r="BM54" s="14">
        <f>'PEMAKAIAN UNIT'!I51</f>
        <v>0</v>
      </c>
      <c r="BN54" s="14">
        <f t="shared" si="24"/>
        <v>0</v>
      </c>
      <c r="BO54" s="15">
        <f t="shared" si="25"/>
        <v>0</v>
      </c>
      <c r="BP54" s="14">
        <f t="shared" si="26"/>
        <v>0</v>
      </c>
      <c r="BQ54" s="14">
        <f>DISTRIBUSI!J52</f>
        <v>0</v>
      </c>
      <c r="BR54" s="14">
        <f>'PEMAKAIAN UNIT'!J51</f>
        <v>0</v>
      </c>
      <c r="BS54" s="14">
        <f t="shared" si="27"/>
        <v>0</v>
      </c>
      <c r="BT54" s="15">
        <f t="shared" si="28"/>
        <v>0</v>
      </c>
      <c r="BU54" s="14">
        <f t="shared" si="29"/>
        <v>0</v>
      </c>
      <c r="BV54" s="14">
        <f>DISTRIBUSI!K52</f>
        <v>0</v>
      </c>
      <c r="BW54" s="14">
        <f>'PEMAKAIAN UNIT'!K51</f>
        <v>0</v>
      </c>
      <c r="BX54" s="14">
        <f t="shared" si="30"/>
        <v>0</v>
      </c>
      <c r="BY54" s="15">
        <f t="shared" si="31"/>
        <v>0</v>
      </c>
      <c r="BZ54" s="14">
        <f t="shared" si="32"/>
        <v>0</v>
      </c>
      <c r="CA54" s="14">
        <f>DISTRIBUSI!L52</f>
        <v>0</v>
      </c>
      <c r="CB54" s="14">
        <f>'PEMAKAIAN UNIT'!L51</f>
        <v>0</v>
      </c>
      <c r="CC54" s="14">
        <f t="shared" si="33"/>
        <v>0</v>
      </c>
      <c r="CD54" s="15">
        <f t="shared" si="34"/>
        <v>0</v>
      </c>
      <c r="CE54" s="14">
        <f t="shared" si="35"/>
        <v>0</v>
      </c>
      <c r="CF54" s="14">
        <f>DISTRIBUSI!M52</f>
        <v>0</v>
      </c>
      <c r="CG54" s="14">
        <f>'PEMAKAIAN UNIT'!M51</f>
        <v>0</v>
      </c>
      <c r="CH54" s="14">
        <f t="shared" si="36"/>
        <v>0</v>
      </c>
      <c r="CI54" s="15">
        <f t="shared" si="37"/>
        <v>0</v>
      </c>
      <c r="CJ54" s="14">
        <f t="shared" si="38"/>
        <v>0</v>
      </c>
      <c r="CK54" s="14" t="e">
        <f>DISTRIBUSI!#REF!</f>
        <v>#REF!</v>
      </c>
      <c r="CL54" s="14">
        <f>'PEMAKAIAN UNIT'!N51</f>
        <v>0</v>
      </c>
      <c r="CM54" s="14" t="e">
        <f t="shared" si="39"/>
        <v>#REF!</v>
      </c>
      <c r="CN54" s="15" t="e">
        <f t="shared" si="40"/>
        <v>#REF!</v>
      </c>
      <c r="CO54" s="14" t="e">
        <f>DL54+DISTRIBUSI!#REF!-'PEMAKAIAN UNIT'!O51</f>
        <v>#REF!</v>
      </c>
      <c r="CP54" s="15" t="e">
        <f t="shared" si="41"/>
        <v>#REF!</v>
      </c>
      <c r="CQ54" s="226">
        <f t="shared" si="42"/>
        <v>53</v>
      </c>
      <c r="CR54" s="226">
        <f>DISTRIBUSI!R52</f>
        <v>500</v>
      </c>
      <c r="CS54" s="226">
        <f>'PEMAKAIAN UNIT'!P51</f>
        <v>0</v>
      </c>
      <c r="CT54" s="14">
        <f t="shared" si="43"/>
        <v>553</v>
      </c>
      <c r="CU54" s="15">
        <f t="shared" si="44"/>
        <v>545</v>
      </c>
      <c r="CV54" s="14" t="e">
        <f>DN54+DISTRIBUSI!#REF!-'PEMAKAIAN UNIT'!Q51</f>
        <v>#REF!</v>
      </c>
      <c r="CW54" s="15" t="e">
        <f t="shared" si="45"/>
        <v>#REF!</v>
      </c>
      <c r="CX54" s="14">
        <f>DO54+'LPLPO GUDANG'!E57-'LPLPO GUDANG'!G57</f>
        <v>-300</v>
      </c>
      <c r="CY54" s="15">
        <f t="shared" si="46"/>
        <v>-800</v>
      </c>
      <c r="CZ54" s="28"/>
      <c r="DA54" s="14">
        <v>0</v>
      </c>
      <c r="DB54" s="14"/>
      <c r="DC54" s="14">
        <v>0</v>
      </c>
      <c r="DD54" s="14">
        <v>0</v>
      </c>
      <c r="DE54" s="14">
        <v>0</v>
      </c>
      <c r="DF54" s="14"/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53</v>
      </c>
      <c r="DN54" s="14">
        <v>0</v>
      </c>
      <c r="DO54" s="13">
        <v>200</v>
      </c>
      <c r="DP54" s="13">
        <f t="shared" si="47"/>
        <v>253</v>
      </c>
      <c r="DR54" t="s">
        <v>37</v>
      </c>
      <c r="DU54" s="20" t="e">
        <f t="shared" si="48"/>
        <v>#REF!</v>
      </c>
    </row>
    <row r="55" spans="1:125" customFormat="1" ht="20.149999999999999" customHeight="1" x14ac:dyDescent="0.35">
      <c r="A55" s="84">
        <f t="shared" si="49"/>
        <v>44</v>
      </c>
      <c r="B55" s="142" t="s">
        <v>261</v>
      </c>
      <c r="C55" s="157" t="s">
        <v>337</v>
      </c>
      <c r="D55" s="109">
        <v>0</v>
      </c>
      <c r="E55" s="110">
        <f>'LPLPO GUDANG'!E58</f>
        <v>0</v>
      </c>
      <c r="F55" s="110">
        <f t="shared" si="0"/>
        <v>0</v>
      </c>
      <c r="G55" s="110">
        <f>'PEMAKAIAN UNIT'!R52</f>
        <v>0</v>
      </c>
      <c r="H55" s="14">
        <v>0</v>
      </c>
      <c r="I55" s="14">
        <v>0</v>
      </c>
      <c r="J55" s="14">
        <v>0</v>
      </c>
      <c r="K55" s="14"/>
      <c r="L55" s="14"/>
      <c r="M55" s="14"/>
      <c r="N55" s="14"/>
      <c r="O55" s="14"/>
      <c r="P55" s="14"/>
      <c r="Q55" s="14"/>
      <c r="R55" s="14"/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09">
        <f t="shared" si="1"/>
        <v>0</v>
      </c>
      <c r="Z55" s="109" t="e">
        <f t="shared" si="2"/>
        <v>#REF!</v>
      </c>
      <c r="AA55" s="109" t="e">
        <f t="shared" si="3"/>
        <v>#REF!</v>
      </c>
      <c r="AB55" s="14">
        <v>0</v>
      </c>
      <c r="AC55" s="109" t="e">
        <f t="shared" si="4"/>
        <v>#REF!</v>
      </c>
      <c r="AD55" s="109">
        <f>'LPLPO GUDANG'!H58</f>
        <v>0</v>
      </c>
      <c r="AE55" s="111" t="e">
        <f t="shared" si="5"/>
        <v>#REF!</v>
      </c>
      <c r="AF55" s="212"/>
      <c r="AG55" s="212"/>
      <c r="AH55" s="20"/>
      <c r="AI55" s="14">
        <f t="shared" si="6"/>
        <v>0</v>
      </c>
      <c r="AJ55" s="209" t="e">
        <f t="shared" si="7"/>
        <v>#REF!</v>
      </c>
      <c r="AL55" s="14">
        <f t="shared" si="8"/>
        <v>0</v>
      </c>
      <c r="AM55" s="14">
        <f>DISTRIBUSI!D53</f>
        <v>0</v>
      </c>
      <c r="AN55" s="14">
        <f>'PEMAKAIAN UNIT'!D52</f>
        <v>0</v>
      </c>
      <c r="AO55" s="14">
        <f t="shared" si="9"/>
        <v>0</v>
      </c>
      <c r="AP55" s="15">
        <f t="shared" si="10"/>
        <v>0</v>
      </c>
      <c r="AQ55" s="14">
        <f t="shared" si="11"/>
        <v>0</v>
      </c>
      <c r="AR55" s="14">
        <f>DISTRIBUSI!E53</f>
        <v>0</v>
      </c>
      <c r="AS55" s="14">
        <f>'PEMAKAIAN UNIT'!E52</f>
        <v>0</v>
      </c>
      <c r="AT55" s="14">
        <f t="shared" si="12"/>
        <v>0</v>
      </c>
      <c r="AU55" s="15">
        <f t="shared" si="13"/>
        <v>0</v>
      </c>
      <c r="AV55" s="14">
        <f t="shared" si="14"/>
        <v>0</v>
      </c>
      <c r="AW55" s="14">
        <f>DISTRIBUSI!F53</f>
        <v>0</v>
      </c>
      <c r="AX55" s="14">
        <f>'PEMAKAIAN UNIT'!F52</f>
        <v>0</v>
      </c>
      <c r="AY55" s="14">
        <f t="shared" si="15"/>
        <v>0</v>
      </c>
      <c r="AZ55" s="15">
        <f t="shared" si="16"/>
        <v>0</v>
      </c>
      <c r="BA55" s="14">
        <f t="shared" si="17"/>
        <v>0</v>
      </c>
      <c r="BB55" s="14">
        <f>DISTRIBUSI!G53</f>
        <v>0</v>
      </c>
      <c r="BC55" s="14">
        <f>'PEMAKAIAN UNIT'!G52</f>
        <v>0</v>
      </c>
      <c r="BD55" s="14">
        <f t="shared" si="18"/>
        <v>0</v>
      </c>
      <c r="BE55" s="15">
        <f t="shared" si="19"/>
        <v>0</v>
      </c>
      <c r="BF55" s="14">
        <f t="shared" si="20"/>
        <v>0</v>
      </c>
      <c r="BG55" s="14">
        <f>DISTRIBUSI!H53</f>
        <v>0</v>
      </c>
      <c r="BH55" s="14">
        <f>'PEMAKAIAN UNIT'!H52</f>
        <v>0</v>
      </c>
      <c r="BI55" s="14">
        <f t="shared" si="21"/>
        <v>0</v>
      </c>
      <c r="BJ55" s="15">
        <f t="shared" si="22"/>
        <v>0</v>
      </c>
      <c r="BK55" s="14">
        <f t="shared" si="23"/>
        <v>0</v>
      </c>
      <c r="BL55" s="14">
        <f>DISTRIBUSI!I53</f>
        <v>0</v>
      </c>
      <c r="BM55" s="14">
        <f>'PEMAKAIAN UNIT'!I52</f>
        <v>0</v>
      </c>
      <c r="BN55" s="14">
        <f t="shared" si="24"/>
        <v>0</v>
      </c>
      <c r="BO55" s="15">
        <f t="shared" si="25"/>
        <v>0</v>
      </c>
      <c r="BP55" s="14">
        <f t="shared" si="26"/>
        <v>0</v>
      </c>
      <c r="BQ55" s="14">
        <f>DISTRIBUSI!J53</f>
        <v>0</v>
      </c>
      <c r="BR55" s="14">
        <f>'PEMAKAIAN UNIT'!J52</f>
        <v>0</v>
      </c>
      <c r="BS55" s="14">
        <f t="shared" si="27"/>
        <v>0</v>
      </c>
      <c r="BT55" s="15">
        <f t="shared" si="28"/>
        <v>0</v>
      </c>
      <c r="BU55" s="14">
        <f t="shared" si="29"/>
        <v>0</v>
      </c>
      <c r="BV55" s="14">
        <f>DISTRIBUSI!K53</f>
        <v>0</v>
      </c>
      <c r="BW55" s="14">
        <f>'PEMAKAIAN UNIT'!K52</f>
        <v>0</v>
      </c>
      <c r="BX55" s="14">
        <f t="shared" si="30"/>
        <v>0</v>
      </c>
      <c r="BY55" s="15">
        <f t="shared" si="31"/>
        <v>0</v>
      </c>
      <c r="BZ55" s="14">
        <f t="shared" si="32"/>
        <v>0</v>
      </c>
      <c r="CA55" s="14">
        <f>DISTRIBUSI!L53</f>
        <v>0</v>
      </c>
      <c r="CB55" s="14">
        <f>'PEMAKAIAN UNIT'!L52</f>
        <v>0</v>
      </c>
      <c r="CC55" s="14">
        <f t="shared" si="33"/>
        <v>0</v>
      </c>
      <c r="CD55" s="15">
        <f t="shared" si="34"/>
        <v>0</v>
      </c>
      <c r="CE55" s="14">
        <f t="shared" si="35"/>
        <v>0</v>
      </c>
      <c r="CF55" s="14">
        <f>DISTRIBUSI!M53</f>
        <v>0</v>
      </c>
      <c r="CG55" s="14">
        <f>'PEMAKAIAN UNIT'!M52</f>
        <v>0</v>
      </c>
      <c r="CH55" s="14">
        <f t="shared" si="36"/>
        <v>0</v>
      </c>
      <c r="CI55" s="15">
        <f t="shared" si="37"/>
        <v>0</v>
      </c>
      <c r="CJ55" s="14">
        <f t="shared" si="38"/>
        <v>0</v>
      </c>
      <c r="CK55" s="14" t="e">
        <f>DISTRIBUSI!#REF!</f>
        <v>#REF!</v>
      </c>
      <c r="CL55" s="14">
        <f>'PEMAKAIAN UNIT'!N52</f>
        <v>0</v>
      </c>
      <c r="CM55" s="14" t="e">
        <f t="shared" si="39"/>
        <v>#REF!</v>
      </c>
      <c r="CN55" s="15" t="e">
        <f t="shared" si="40"/>
        <v>#REF!</v>
      </c>
      <c r="CO55" s="14" t="e">
        <f>DL55+DISTRIBUSI!#REF!-'PEMAKAIAN UNIT'!O52</f>
        <v>#REF!</v>
      </c>
      <c r="CP55" s="15" t="e">
        <f t="shared" si="41"/>
        <v>#REF!</v>
      </c>
      <c r="CQ55" s="226">
        <f t="shared" si="42"/>
        <v>0</v>
      </c>
      <c r="CR55" s="226">
        <f>DISTRIBUSI!R53</f>
        <v>0</v>
      </c>
      <c r="CS55" s="226">
        <f>'PEMAKAIAN UNIT'!P52</f>
        <v>0</v>
      </c>
      <c r="CT55" s="14">
        <f t="shared" si="43"/>
        <v>0</v>
      </c>
      <c r="CU55" s="15">
        <f t="shared" si="44"/>
        <v>0</v>
      </c>
      <c r="CV55" s="14" t="e">
        <f>DN55+DISTRIBUSI!#REF!-'PEMAKAIAN UNIT'!Q52</f>
        <v>#REF!</v>
      </c>
      <c r="CW55" s="15" t="e">
        <f t="shared" si="45"/>
        <v>#REF!</v>
      </c>
      <c r="CX55" s="14">
        <f>DO55+'LPLPO GUDANG'!E58-'LPLPO GUDANG'!G58</f>
        <v>0</v>
      </c>
      <c r="CY55" s="15">
        <f t="shared" si="46"/>
        <v>0</v>
      </c>
      <c r="CZ55" s="28"/>
      <c r="DA55" s="14">
        <v>0</v>
      </c>
      <c r="DB55" s="14"/>
      <c r="DC55" s="14">
        <v>0</v>
      </c>
      <c r="DD55" s="14">
        <v>0</v>
      </c>
      <c r="DE55" s="14">
        <v>0</v>
      </c>
      <c r="DF55" s="14"/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3">
        <v>0</v>
      </c>
      <c r="DP55" s="13">
        <f t="shared" si="47"/>
        <v>0</v>
      </c>
      <c r="DR55" t="s">
        <v>261</v>
      </c>
      <c r="DU55" s="20" t="e">
        <f t="shared" si="48"/>
        <v>#REF!</v>
      </c>
    </row>
    <row r="56" spans="1:125" customFormat="1" ht="20.149999999999999" customHeight="1" x14ac:dyDescent="0.35">
      <c r="A56" s="84">
        <f t="shared" si="49"/>
        <v>45</v>
      </c>
      <c r="B56" s="142" t="s">
        <v>39</v>
      </c>
      <c r="C56" s="157" t="s">
        <v>342</v>
      </c>
      <c r="D56" s="109">
        <v>0</v>
      </c>
      <c r="E56" s="110">
        <f>'LPLPO GUDANG'!E59</f>
        <v>0</v>
      </c>
      <c r="F56" s="110">
        <f t="shared" si="0"/>
        <v>0</v>
      </c>
      <c r="G56" s="110">
        <f>'PEMAKAIAN UNIT'!R53</f>
        <v>0</v>
      </c>
      <c r="H56" s="14">
        <v>0</v>
      </c>
      <c r="I56" s="14">
        <v>0</v>
      </c>
      <c r="J56" s="14">
        <v>0</v>
      </c>
      <c r="K56" s="14"/>
      <c r="L56" s="14"/>
      <c r="M56" s="14"/>
      <c r="N56" s="14"/>
      <c r="O56" s="14"/>
      <c r="P56" s="14"/>
      <c r="Q56" s="14"/>
      <c r="R56" s="14"/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09">
        <f t="shared" si="1"/>
        <v>0</v>
      </c>
      <c r="Z56" s="109" t="e">
        <f t="shared" si="2"/>
        <v>#REF!</v>
      </c>
      <c r="AA56" s="109" t="e">
        <f t="shared" si="3"/>
        <v>#REF!</v>
      </c>
      <c r="AB56" s="14">
        <v>160</v>
      </c>
      <c r="AC56" s="109" t="e">
        <f t="shared" si="4"/>
        <v>#REF!</v>
      </c>
      <c r="AD56" s="109">
        <f>'LPLPO GUDANG'!H59</f>
        <v>0</v>
      </c>
      <c r="AE56" s="111" t="e">
        <f t="shared" si="5"/>
        <v>#REF!</v>
      </c>
      <c r="AF56" s="212"/>
      <c r="AG56" s="212"/>
      <c r="AH56" s="20"/>
      <c r="AI56" s="14">
        <f t="shared" si="6"/>
        <v>0</v>
      </c>
      <c r="AJ56" s="209" t="e">
        <f t="shared" si="7"/>
        <v>#REF!</v>
      </c>
      <c r="AL56" s="14">
        <f t="shared" si="8"/>
        <v>0</v>
      </c>
      <c r="AM56" s="14">
        <f>DISTRIBUSI!D54</f>
        <v>0</v>
      </c>
      <c r="AN56" s="14">
        <f>'PEMAKAIAN UNIT'!D53</f>
        <v>0</v>
      </c>
      <c r="AO56" s="14">
        <f t="shared" si="9"/>
        <v>0</v>
      </c>
      <c r="AP56" s="15">
        <f t="shared" si="10"/>
        <v>0</v>
      </c>
      <c r="AQ56" s="14">
        <f t="shared" si="11"/>
        <v>0</v>
      </c>
      <c r="AR56" s="14">
        <f>DISTRIBUSI!E54</f>
        <v>0</v>
      </c>
      <c r="AS56" s="14">
        <f>'PEMAKAIAN UNIT'!E53</f>
        <v>0</v>
      </c>
      <c r="AT56" s="14">
        <f t="shared" si="12"/>
        <v>0</v>
      </c>
      <c r="AU56" s="15">
        <f t="shared" si="13"/>
        <v>0</v>
      </c>
      <c r="AV56" s="14">
        <f t="shared" si="14"/>
        <v>0</v>
      </c>
      <c r="AW56" s="14">
        <f>DISTRIBUSI!F54</f>
        <v>0</v>
      </c>
      <c r="AX56" s="14">
        <f>'PEMAKAIAN UNIT'!F53</f>
        <v>0</v>
      </c>
      <c r="AY56" s="14">
        <f t="shared" si="15"/>
        <v>0</v>
      </c>
      <c r="AZ56" s="15">
        <f t="shared" si="16"/>
        <v>0</v>
      </c>
      <c r="BA56" s="14">
        <f t="shared" si="17"/>
        <v>0</v>
      </c>
      <c r="BB56" s="14">
        <f>DISTRIBUSI!G54</f>
        <v>0</v>
      </c>
      <c r="BC56" s="14">
        <f>'PEMAKAIAN UNIT'!G53</f>
        <v>0</v>
      </c>
      <c r="BD56" s="14">
        <f t="shared" si="18"/>
        <v>0</v>
      </c>
      <c r="BE56" s="15">
        <f t="shared" si="19"/>
        <v>0</v>
      </c>
      <c r="BF56" s="14">
        <f t="shared" si="20"/>
        <v>0</v>
      </c>
      <c r="BG56" s="14">
        <f>DISTRIBUSI!H54</f>
        <v>0</v>
      </c>
      <c r="BH56" s="14">
        <f>'PEMAKAIAN UNIT'!H53</f>
        <v>0</v>
      </c>
      <c r="BI56" s="14">
        <f t="shared" si="21"/>
        <v>0</v>
      </c>
      <c r="BJ56" s="15">
        <f t="shared" si="22"/>
        <v>0</v>
      </c>
      <c r="BK56" s="14">
        <f t="shared" si="23"/>
        <v>0</v>
      </c>
      <c r="BL56" s="14">
        <f>DISTRIBUSI!I54</f>
        <v>0</v>
      </c>
      <c r="BM56" s="14">
        <f>'PEMAKAIAN UNIT'!I53</f>
        <v>0</v>
      </c>
      <c r="BN56" s="14">
        <f t="shared" si="24"/>
        <v>0</v>
      </c>
      <c r="BO56" s="15">
        <f t="shared" si="25"/>
        <v>0</v>
      </c>
      <c r="BP56" s="14">
        <f t="shared" si="26"/>
        <v>0</v>
      </c>
      <c r="BQ56" s="14">
        <f>DISTRIBUSI!J54</f>
        <v>0</v>
      </c>
      <c r="BR56" s="14">
        <f>'PEMAKAIAN UNIT'!J53</f>
        <v>0</v>
      </c>
      <c r="BS56" s="14">
        <f t="shared" si="27"/>
        <v>0</v>
      </c>
      <c r="BT56" s="15">
        <f t="shared" si="28"/>
        <v>0</v>
      </c>
      <c r="BU56" s="14">
        <f t="shared" si="29"/>
        <v>0</v>
      </c>
      <c r="BV56" s="14">
        <f>DISTRIBUSI!K54</f>
        <v>0</v>
      </c>
      <c r="BW56" s="14">
        <f>'PEMAKAIAN UNIT'!K53</f>
        <v>0</v>
      </c>
      <c r="BX56" s="14">
        <f t="shared" si="30"/>
        <v>0</v>
      </c>
      <c r="BY56" s="15">
        <f t="shared" si="31"/>
        <v>0</v>
      </c>
      <c r="BZ56" s="14">
        <f t="shared" si="32"/>
        <v>0</v>
      </c>
      <c r="CA56" s="14">
        <f>DISTRIBUSI!L54</f>
        <v>0</v>
      </c>
      <c r="CB56" s="14">
        <f>'PEMAKAIAN UNIT'!L53</f>
        <v>0</v>
      </c>
      <c r="CC56" s="14">
        <f t="shared" si="33"/>
        <v>0</v>
      </c>
      <c r="CD56" s="15">
        <f t="shared" si="34"/>
        <v>0</v>
      </c>
      <c r="CE56" s="14">
        <f t="shared" si="35"/>
        <v>0</v>
      </c>
      <c r="CF56" s="14">
        <f>DISTRIBUSI!M54</f>
        <v>0</v>
      </c>
      <c r="CG56" s="14">
        <f>'PEMAKAIAN UNIT'!M53</f>
        <v>0</v>
      </c>
      <c r="CH56" s="14">
        <f t="shared" si="36"/>
        <v>0</v>
      </c>
      <c r="CI56" s="15">
        <f t="shared" si="37"/>
        <v>0</v>
      </c>
      <c r="CJ56" s="14">
        <f t="shared" si="38"/>
        <v>0</v>
      </c>
      <c r="CK56" s="14" t="e">
        <f>DISTRIBUSI!#REF!</f>
        <v>#REF!</v>
      </c>
      <c r="CL56" s="14">
        <f>'PEMAKAIAN UNIT'!N53</f>
        <v>0</v>
      </c>
      <c r="CM56" s="14" t="e">
        <f t="shared" si="39"/>
        <v>#REF!</v>
      </c>
      <c r="CN56" s="15" t="e">
        <f t="shared" si="40"/>
        <v>#REF!</v>
      </c>
      <c r="CO56" s="14" t="e">
        <f>DL56+DISTRIBUSI!#REF!-'PEMAKAIAN UNIT'!O53</f>
        <v>#REF!</v>
      </c>
      <c r="CP56" s="15" t="e">
        <f t="shared" si="41"/>
        <v>#REF!</v>
      </c>
      <c r="CQ56" s="226">
        <f t="shared" si="42"/>
        <v>160</v>
      </c>
      <c r="CR56" s="226">
        <f>DISTRIBUSI!R54</f>
        <v>200</v>
      </c>
      <c r="CS56" s="226">
        <f>'PEMAKAIAN UNIT'!P53</f>
        <v>0</v>
      </c>
      <c r="CT56" s="14">
        <f t="shared" si="43"/>
        <v>360</v>
      </c>
      <c r="CU56" s="15">
        <f t="shared" si="44"/>
        <v>200</v>
      </c>
      <c r="CV56" s="14" t="e">
        <f>DN56+DISTRIBUSI!#REF!-'PEMAKAIAN UNIT'!Q53</f>
        <v>#REF!</v>
      </c>
      <c r="CW56" s="15" t="e">
        <f t="shared" si="45"/>
        <v>#REF!</v>
      </c>
      <c r="CX56" s="14">
        <f>DO56+'LPLPO GUDANG'!E59-'LPLPO GUDANG'!G59</f>
        <v>0</v>
      </c>
      <c r="CY56" s="15">
        <f t="shared" si="46"/>
        <v>0</v>
      </c>
      <c r="CZ56" s="28"/>
      <c r="DA56" s="14">
        <v>0</v>
      </c>
      <c r="DB56" s="14"/>
      <c r="DC56" s="14">
        <v>0</v>
      </c>
      <c r="DD56" s="14">
        <v>0</v>
      </c>
      <c r="DE56" s="14">
        <v>0</v>
      </c>
      <c r="DF56" s="14"/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290</v>
      </c>
      <c r="DM56" s="14">
        <v>160</v>
      </c>
      <c r="DN56" s="14">
        <v>0</v>
      </c>
      <c r="DO56" s="13">
        <v>200</v>
      </c>
      <c r="DP56" s="13">
        <f t="shared" si="47"/>
        <v>650</v>
      </c>
      <c r="DR56" t="s">
        <v>39</v>
      </c>
      <c r="DU56" s="20" t="e">
        <f t="shared" si="48"/>
        <v>#REF!</v>
      </c>
    </row>
    <row r="57" spans="1:125" customFormat="1" ht="20.149999999999999" customHeight="1" x14ac:dyDescent="0.35">
      <c r="A57" s="84">
        <f t="shared" si="49"/>
        <v>46</v>
      </c>
      <c r="B57" s="142" t="s">
        <v>40</v>
      </c>
      <c r="C57" s="155" t="s">
        <v>177</v>
      </c>
      <c r="D57" s="109">
        <v>0</v>
      </c>
      <c r="E57" s="110">
        <f>'LPLPO GUDANG'!E60</f>
        <v>0</v>
      </c>
      <c r="F57" s="110">
        <f t="shared" si="0"/>
        <v>0</v>
      </c>
      <c r="G57" s="110">
        <f>'PEMAKAIAN UNIT'!R54</f>
        <v>0</v>
      </c>
      <c r="H57" s="14">
        <v>0</v>
      </c>
      <c r="I57" s="14">
        <v>0</v>
      </c>
      <c r="J57" s="14">
        <v>0</v>
      </c>
      <c r="K57" s="14"/>
      <c r="L57" s="14"/>
      <c r="M57" s="14"/>
      <c r="N57" s="14"/>
      <c r="O57" s="14"/>
      <c r="P57" s="14"/>
      <c r="Q57" s="14"/>
      <c r="R57" s="14"/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09">
        <f t="shared" si="1"/>
        <v>0</v>
      </c>
      <c r="Z57" s="109" t="e">
        <f t="shared" si="2"/>
        <v>#REF!</v>
      </c>
      <c r="AA57" s="109" t="e">
        <f t="shared" si="3"/>
        <v>#REF!</v>
      </c>
      <c r="AB57" s="14">
        <v>0</v>
      </c>
      <c r="AC57" s="109" t="e">
        <f t="shared" si="4"/>
        <v>#REF!</v>
      </c>
      <c r="AD57" s="109">
        <f>'LPLPO GUDANG'!H60</f>
        <v>0</v>
      </c>
      <c r="AE57" s="111" t="e">
        <f t="shared" si="5"/>
        <v>#REF!</v>
      </c>
      <c r="AF57" s="212"/>
      <c r="AG57" s="212"/>
      <c r="AH57" s="20"/>
      <c r="AI57" s="14">
        <f t="shared" si="6"/>
        <v>0</v>
      </c>
      <c r="AJ57" s="209" t="e">
        <f t="shared" si="7"/>
        <v>#REF!</v>
      </c>
      <c r="AL57" s="14">
        <f t="shared" si="8"/>
        <v>0</v>
      </c>
      <c r="AM57" s="14">
        <f>DISTRIBUSI!D55</f>
        <v>0</v>
      </c>
      <c r="AN57" s="14">
        <f>'PEMAKAIAN UNIT'!D54</f>
        <v>0</v>
      </c>
      <c r="AO57" s="14">
        <f t="shared" si="9"/>
        <v>0</v>
      </c>
      <c r="AP57" s="15">
        <f t="shared" si="10"/>
        <v>0</v>
      </c>
      <c r="AQ57" s="14">
        <f t="shared" si="11"/>
        <v>0</v>
      </c>
      <c r="AR57" s="14">
        <f>DISTRIBUSI!E55</f>
        <v>0</v>
      </c>
      <c r="AS57" s="14">
        <f>'PEMAKAIAN UNIT'!E54</f>
        <v>0</v>
      </c>
      <c r="AT57" s="14">
        <f t="shared" si="12"/>
        <v>0</v>
      </c>
      <c r="AU57" s="15">
        <f t="shared" si="13"/>
        <v>0</v>
      </c>
      <c r="AV57" s="14">
        <f t="shared" si="14"/>
        <v>0</v>
      </c>
      <c r="AW57" s="14">
        <f>DISTRIBUSI!F55</f>
        <v>0</v>
      </c>
      <c r="AX57" s="14">
        <f>'PEMAKAIAN UNIT'!F54</f>
        <v>0</v>
      </c>
      <c r="AY57" s="14">
        <f t="shared" si="15"/>
        <v>0</v>
      </c>
      <c r="AZ57" s="15">
        <f t="shared" si="16"/>
        <v>0</v>
      </c>
      <c r="BA57" s="14">
        <f t="shared" si="17"/>
        <v>0</v>
      </c>
      <c r="BB57" s="14">
        <f>DISTRIBUSI!G55</f>
        <v>0</v>
      </c>
      <c r="BC57" s="14">
        <f>'PEMAKAIAN UNIT'!G54</f>
        <v>0</v>
      </c>
      <c r="BD57" s="14">
        <f t="shared" si="18"/>
        <v>0</v>
      </c>
      <c r="BE57" s="15">
        <f t="shared" si="19"/>
        <v>0</v>
      </c>
      <c r="BF57" s="14">
        <f t="shared" si="20"/>
        <v>0</v>
      </c>
      <c r="BG57" s="14">
        <f>DISTRIBUSI!H55</f>
        <v>0</v>
      </c>
      <c r="BH57" s="14">
        <f>'PEMAKAIAN UNIT'!H54</f>
        <v>0</v>
      </c>
      <c r="BI57" s="14">
        <f t="shared" si="21"/>
        <v>0</v>
      </c>
      <c r="BJ57" s="15">
        <f t="shared" si="22"/>
        <v>0</v>
      </c>
      <c r="BK57" s="14">
        <f t="shared" si="23"/>
        <v>0</v>
      </c>
      <c r="BL57" s="14">
        <f>DISTRIBUSI!I55</f>
        <v>0</v>
      </c>
      <c r="BM57" s="14">
        <f>'PEMAKAIAN UNIT'!I54</f>
        <v>0</v>
      </c>
      <c r="BN57" s="14">
        <f t="shared" si="24"/>
        <v>0</v>
      </c>
      <c r="BO57" s="15">
        <f t="shared" si="25"/>
        <v>0</v>
      </c>
      <c r="BP57" s="14">
        <f t="shared" si="26"/>
        <v>0</v>
      </c>
      <c r="BQ57" s="14">
        <f>DISTRIBUSI!J55</f>
        <v>0</v>
      </c>
      <c r="BR57" s="14">
        <f>'PEMAKAIAN UNIT'!J54</f>
        <v>0</v>
      </c>
      <c r="BS57" s="14">
        <f t="shared" si="27"/>
        <v>0</v>
      </c>
      <c r="BT57" s="15">
        <f t="shared" si="28"/>
        <v>0</v>
      </c>
      <c r="BU57" s="14">
        <f t="shared" si="29"/>
        <v>0</v>
      </c>
      <c r="BV57" s="14">
        <f>DISTRIBUSI!K55</f>
        <v>0</v>
      </c>
      <c r="BW57" s="14">
        <f>'PEMAKAIAN UNIT'!K54</f>
        <v>0</v>
      </c>
      <c r="BX57" s="14">
        <f t="shared" si="30"/>
        <v>0</v>
      </c>
      <c r="BY57" s="15">
        <f t="shared" si="31"/>
        <v>0</v>
      </c>
      <c r="BZ57" s="14">
        <f t="shared" si="32"/>
        <v>0</v>
      </c>
      <c r="CA57" s="14">
        <f>DISTRIBUSI!L55</f>
        <v>0</v>
      </c>
      <c r="CB57" s="14">
        <f>'PEMAKAIAN UNIT'!L54</f>
        <v>0</v>
      </c>
      <c r="CC57" s="14">
        <f t="shared" si="33"/>
        <v>0</v>
      </c>
      <c r="CD57" s="15">
        <f t="shared" si="34"/>
        <v>0</v>
      </c>
      <c r="CE57" s="14">
        <f t="shared" si="35"/>
        <v>0</v>
      </c>
      <c r="CF57" s="14">
        <f>DISTRIBUSI!M55</f>
        <v>0</v>
      </c>
      <c r="CG57" s="14">
        <f>'PEMAKAIAN UNIT'!M54</f>
        <v>0</v>
      </c>
      <c r="CH57" s="14">
        <f t="shared" si="36"/>
        <v>0</v>
      </c>
      <c r="CI57" s="15">
        <f t="shared" si="37"/>
        <v>0</v>
      </c>
      <c r="CJ57" s="14">
        <f t="shared" si="38"/>
        <v>0</v>
      </c>
      <c r="CK57" s="14" t="e">
        <f>DISTRIBUSI!#REF!</f>
        <v>#REF!</v>
      </c>
      <c r="CL57" s="14">
        <f>'PEMAKAIAN UNIT'!N54</f>
        <v>0</v>
      </c>
      <c r="CM57" s="14" t="e">
        <f t="shared" si="39"/>
        <v>#REF!</v>
      </c>
      <c r="CN57" s="15" t="e">
        <f t="shared" si="40"/>
        <v>#REF!</v>
      </c>
      <c r="CO57" s="14" t="e">
        <f>DL57+DISTRIBUSI!#REF!-'PEMAKAIAN UNIT'!O54</f>
        <v>#REF!</v>
      </c>
      <c r="CP57" s="15" t="e">
        <f t="shared" si="41"/>
        <v>#REF!</v>
      </c>
      <c r="CQ57" s="226">
        <f t="shared" si="42"/>
        <v>0</v>
      </c>
      <c r="CR57" s="226">
        <f>DISTRIBUSI!R55</f>
        <v>0</v>
      </c>
      <c r="CS57" s="226">
        <f>'PEMAKAIAN UNIT'!P54</f>
        <v>0</v>
      </c>
      <c r="CT57" s="14">
        <f t="shared" si="43"/>
        <v>0</v>
      </c>
      <c r="CU57" s="15">
        <f t="shared" si="44"/>
        <v>0</v>
      </c>
      <c r="CV57" s="14" t="e">
        <f>DN57+DISTRIBUSI!#REF!-'PEMAKAIAN UNIT'!Q54</f>
        <v>#REF!</v>
      </c>
      <c r="CW57" s="15" t="e">
        <f t="shared" si="45"/>
        <v>#REF!</v>
      </c>
      <c r="CX57" s="14">
        <f>DO57+'LPLPO GUDANG'!E60-'LPLPO GUDANG'!G60</f>
        <v>0</v>
      </c>
      <c r="CY57" s="15">
        <f t="shared" si="46"/>
        <v>0</v>
      </c>
      <c r="CZ57" s="28"/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/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3">
        <v>0</v>
      </c>
      <c r="DP57" s="13">
        <f t="shared" si="47"/>
        <v>0</v>
      </c>
      <c r="DR57" t="s">
        <v>40</v>
      </c>
      <c r="DU57" s="20" t="e">
        <f t="shared" si="48"/>
        <v>#REF!</v>
      </c>
    </row>
    <row r="58" spans="1:125" customFormat="1" ht="20.149999999999999" customHeight="1" x14ac:dyDescent="0.35">
      <c r="A58" s="84">
        <f t="shared" si="49"/>
        <v>47</v>
      </c>
      <c r="B58" s="142" t="s">
        <v>265</v>
      </c>
      <c r="C58" s="155" t="s">
        <v>343</v>
      </c>
      <c r="D58" s="109">
        <v>0</v>
      </c>
      <c r="E58" s="110">
        <f>'LPLPO GUDANG'!E61</f>
        <v>0</v>
      </c>
      <c r="F58" s="110">
        <f t="shared" si="0"/>
        <v>0</v>
      </c>
      <c r="G58" s="110">
        <f>'PEMAKAIAN UNIT'!R55</f>
        <v>0</v>
      </c>
      <c r="H58" s="14">
        <v>0</v>
      </c>
      <c r="I58" s="14">
        <v>0</v>
      </c>
      <c r="J58" s="14">
        <v>0</v>
      </c>
      <c r="K58" s="14"/>
      <c r="L58" s="14"/>
      <c r="M58" s="14"/>
      <c r="N58" s="14"/>
      <c r="O58" s="14"/>
      <c r="P58" s="14"/>
      <c r="Q58" s="14"/>
      <c r="R58" s="14"/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09">
        <f t="shared" si="1"/>
        <v>0</v>
      </c>
      <c r="Z58" s="109" t="e">
        <f t="shared" si="2"/>
        <v>#REF!</v>
      </c>
      <c r="AA58" s="109" t="e">
        <f t="shared" si="3"/>
        <v>#REF!</v>
      </c>
      <c r="AB58" s="14">
        <v>0</v>
      </c>
      <c r="AC58" s="109" t="e">
        <f t="shared" si="4"/>
        <v>#REF!</v>
      </c>
      <c r="AD58" s="109">
        <f>'LPLPO GUDANG'!H61</f>
        <v>0</v>
      </c>
      <c r="AE58" s="111" t="e">
        <f t="shared" si="5"/>
        <v>#REF!</v>
      </c>
      <c r="AF58" s="212"/>
      <c r="AG58" s="212"/>
      <c r="AH58" s="20"/>
      <c r="AI58" s="14">
        <f t="shared" si="6"/>
        <v>0</v>
      </c>
      <c r="AJ58" s="209" t="e">
        <f t="shared" si="7"/>
        <v>#REF!</v>
      </c>
      <c r="AL58" s="14">
        <f t="shared" si="8"/>
        <v>0</v>
      </c>
      <c r="AM58" s="14">
        <f>DISTRIBUSI!D56</f>
        <v>0</v>
      </c>
      <c r="AN58" s="14">
        <f>'PEMAKAIAN UNIT'!D55</f>
        <v>0</v>
      </c>
      <c r="AO58" s="14">
        <f t="shared" si="9"/>
        <v>0</v>
      </c>
      <c r="AP58" s="15">
        <f t="shared" si="10"/>
        <v>0</v>
      </c>
      <c r="AQ58" s="14">
        <f t="shared" si="11"/>
        <v>0</v>
      </c>
      <c r="AR58" s="14">
        <f>DISTRIBUSI!E56</f>
        <v>0</v>
      </c>
      <c r="AS58" s="14">
        <f>'PEMAKAIAN UNIT'!E55</f>
        <v>0</v>
      </c>
      <c r="AT58" s="14">
        <f t="shared" si="12"/>
        <v>0</v>
      </c>
      <c r="AU58" s="15">
        <f t="shared" si="13"/>
        <v>0</v>
      </c>
      <c r="AV58" s="14">
        <f t="shared" si="14"/>
        <v>0</v>
      </c>
      <c r="AW58" s="14">
        <f>DISTRIBUSI!F56</f>
        <v>0</v>
      </c>
      <c r="AX58" s="14">
        <f>'PEMAKAIAN UNIT'!F55</f>
        <v>0</v>
      </c>
      <c r="AY58" s="14">
        <f t="shared" si="15"/>
        <v>0</v>
      </c>
      <c r="AZ58" s="15">
        <f t="shared" si="16"/>
        <v>0</v>
      </c>
      <c r="BA58" s="14">
        <f t="shared" si="17"/>
        <v>0</v>
      </c>
      <c r="BB58" s="14">
        <f>DISTRIBUSI!G56</f>
        <v>0</v>
      </c>
      <c r="BC58" s="14">
        <f>'PEMAKAIAN UNIT'!G55</f>
        <v>0</v>
      </c>
      <c r="BD58" s="14">
        <f t="shared" si="18"/>
        <v>0</v>
      </c>
      <c r="BE58" s="15">
        <f t="shared" si="19"/>
        <v>0</v>
      </c>
      <c r="BF58" s="14">
        <f t="shared" si="20"/>
        <v>0</v>
      </c>
      <c r="BG58" s="14">
        <f>DISTRIBUSI!H56</f>
        <v>0</v>
      </c>
      <c r="BH58" s="14">
        <f>'PEMAKAIAN UNIT'!H55</f>
        <v>0</v>
      </c>
      <c r="BI58" s="14">
        <f t="shared" si="21"/>
        <v>0</v>
      </c>
      <c r="BJ58" s="15">
        <f t="shared" si="22"/>
        <v>0</v>
      </c>
      <c r="BK58" s="14">
        <f t="shared" si="23"/>
        <v>0</v>
      </c>
      <c r="BL58" s="14">
        <f>DISTRIBUSI!I56</f>
        <v>0</v>
      </c>
      <c r="BM58" s="14">
        <f>'PEMAKAIAN UNIT'!I55</f>
        <v>0</v>
      </c>
      <c r="BN58" s="14">
        <f t="shared" si="24"/>
        <v>0</v>
      </c>
      <c r="BO58" s="15">
        <f t="shared" si="25"/>
        <v>0</v>
      </c>
      <c r="BP58" s="14">
        <f t="shared" si="26"/>
        <v>0</v>
      </c>
      <c r="BQ58" s="14">
        <f>DISTRIBUSI!J56</f>
        <v>0</v>
      </c>
      <c r="BR58" s="14">
        <f>'PEMAKAIAN UNIT'!J55</f>
        <v>0</v>
      </c>
      <c r="BS58" s="14">
        <f t="shared" si="27"/>
        <v>0</v>
      </c>
      <c r="BT58" s="15">
        <f t="shared" si="28"/>
        <v>0</v>
      </c>
      <c r="BU58" s="14">
        <f t="shared" si="29"/>
        <v>0</v>
      </c>
      <c r="BV58" s="14">
        <f>DISTRIBUSI!K56</f>
        <v>0</v>
      </c>
      <c r="BW58" s="14">
        <f>'PEMAKAIAN UNIT'!K55</f>
        <v>0</v>
      </c>
      <c r="BX58" s="14">
        <f t="shared" si="30"/>
        <v>0</v>
      </c>
      <c r="BY58" s="15">
        <f t="shared" si="31"/>
        <v>0</v>
      </c>
      <c r="BZ58" s="14">
        <f t="shared" si="32"/>
        <v>0</v>
      </c>
      <c r="CA58" s="14">
        <f>DISTRIBUSI!L56</f>
        <v>0</v>
      </c>
      <c r="CB58" s="14">
        <f>'PEMAKAIAN UNIT'!L55</f>
        <v>0</v>
      </c>
      <c r="CC58" s="14">
        <f t="shared" si="33"/>
        <v>0</v>
      </c>
      <c r="CD58" s="15">
        <f t="shared" si="34"/>
        <v>0</v>
      </c>
      <c r="CE58" s="14">
        <f t="shared" si="35"/>
        <v>0</v>
      </c>
      <c r="CF58" s="14">
        <f>DISTRIBUSI!M56</f>
        <v>0</v>
      </c>
      <c r="CG58" s="14">
        <f>'PEMAKAIAN UNIT'!M55</f>
        <v>0</v>
      </c>
      <c r="CH58" s="14">
        <f t="shared" si="36"/>
        <v>0</v>
      </c>
      <c r="CI58" s="15">
        <f t="shared" si="37"/>
        <v>0</v>
      </c>
      <c r="CJ58" s="14">
        <f t="shared" si="38"/>
        <v>0</v>
      </c>
      <c r="CK58" s="14" t="e">
        <f>DISTRIBUSI!#REF!</f>
        <v>#REF!</v>
      </c>
      <c r="CL58" s="14">
        <f>'PEMAKAIAN UNIT'!N55</f>
        <v>0</v>
      </c>
      <c r="CM58" s="14" t="e">
        <f t="shared" si="39"/>
        <v>#REF!</v>
      </c>
      <c r="CN58" s="15" t="e">
        <f t="shared" si="40"/>
        <v>#REF!</v>
      </c>
      <c r="CO58" s="14" t="e">
        <f>DL58+DISTRIBUSI!#REF!-'PEMAKAIAN UNIT'!O55</f>
        <v>#REF!</v>
      </c>
      <c r="CP58" s="15" t="e">
        <f t="shared" si="41"/>
        <v>#REF!</v>
      </c>
      <c r="CQ58" s="226">
        <f t="shared" si="42"/>
        <v>0</v>
      </c>
      <c r="CR58" s="226">
        <f>DISTRIBUSI!R56</f>
        <v>0</v>
      </c>
      <c r="CS58" s="226">
        <f>'PEMAKAIAN UNIT'!P55</f>
        <v>0</v>
      </c>
      <c r="CT58" s="14">
        <f t="shared" si="43"/>
        <v>0</v>
      </c>
      <c r="CU58" s="15">
        <f t="shared" si="44"/>
        <v>0</v>
      </c>
      <c r="CV58" s="14" t="e">
        <f>DN58+DISTRIBUSI!#REF!-'PEMAKAIAN UNIT'!Q55</f>
        <v>#REF!</v>
      </c>
      <c r="CW58" s="15" t="e">
        <f t="shared" si="45"/>
        <v>#REF!</v>
      </c>
      <c r="CX58" s="14">
        <f>DO58+'LPLPO GUDANG'!E61-'LPLPO GUDANG'!G61</f>
        <v>0</v>
      </c>
      <c r="CY58" s="15">
        <f t="shared" si="46"/>
        <v>0</v>
      </c>
      <c r="CZ58" s="28"/>
      <c r="DA58" s="14">
        <v>0</v>
      </c>
      <c r="DB58" s="14"/>
      <c r="DC58" s="14">
        <v>0</v>
      </c>
      <c r="DD58" s="14">
        <v>0</v>
      </c>
      <c r="DE58" s="14">
        <v>0</v>
      </c>
      <c r="DF58" s="14"/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3">
        <v>0</v>
      </c>
      <c r="DP58" s="13">
        <f t="shared" si="47"/>
        <v>0</v>
      </c>
      <c r="DR58" t="s">
        <v>265</v>
      </c>
      <c r="DU58" s="20" t="e">
        <f t="shared" si="48"/>
        <v>#REF!</v>
      </c>
    </row>
    <row r="59" spans="1:125" customFormat="1" ht="36" x14ac:dyDescent="0.35">
      <c r="A59" s="84">
        <f t="shared" si="49"/>
        <v>48</v>
      </c>
      <c r="B59" s="142" t="s">
        <v>41</v>
      </c>
      <c r="C59" s="157" t="s">
        <v>327</v>
      </c>
      <c r="D59" s="109">
        <v>0</v>
      </c>
      <c r="E59" s="110">
        <f>'LPLPO GUDANG'!E62</f>
        <v>1000</v>
      </c>
      <c r="F59" s="110">
        <f t="shared" si="0"/>
        <v>1000</v>
      </c>
      <c r="G59" s="110">
        <f>'PEMAKAIAN UNIT'!R56</f>
        <v>0</v>
      </c>
      <c r="H59" s="14">
        <v>0</v>
      </c>
      <c r="I59" s="14">
        <v>0</v>
      </c>
      <c r="J59" s="14">
        <v>0</v>
      </c>
      <c r="K59" s="14"/>
      <c r="L59" s="14"/>
      <c r="M59" s="14"/>
      <c r="N59" s="14"/>
      <c r="O59" s="14"/>
      <c r="P59" s="14"/>
      <c r="Q59" s="14"/>
      <c r="R59" s="14"/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09">
        <f t="shared" si="1"/>
        <v>0</v>
      </c>
      <c r="Z59" s="109" t="e">
        <f t="shared" si="2"/>
        <v>#REF!</v>
      </c>
      <c r="AA59" s="109" t="e">
        <f t="shared" si="3"/>
        <v>#REF!</v>
      </c>
      <c r="AB59" s="14">
        <v>945</v>
      </c>
      <c r="AC59" s="109" t="e">
        <f t="shared" si="4"/>
        <v>#REF!</v>
      </c>
      <c r="AD59" s="109">
        <f>'LPLPO GUDANG'!H62</f>
        <v>500</v>
      </c>
      <c r="AE59" s="111" t="e">
        <f t="shared" si="5"/>
        <v>#REF!</v>
      </c>
      <c r="AF59" s="212"/>
      <c r="AG59" s="212"/>
      <c r="AH59" s="20"/>
      <c r="AI59" s="14">
        <f t="shared" si="6"/>
        <v>1000</v>
      </c>
      <c r="AJ59" s="209" t="e">
        <f t="shared" si="7"/>
        <v>#REF!</v>
      </c>
      <c r="AL59" s="14">
        <f t="shared" si="8"/>
        <v>0</v>
      </c>
      <c r="AM59" s="14">
        <f>DISTRIBUSI!D57</f>
        <v>0</v>
      </c>
      <c r="AN59" s="14">
        <f>'PEMAKAIAN UNIT'!D56</f>
        <v>0</v>
      </c>
      <c r="AO59" s="14">
        <f t="shared" si="9"/>
        <v>0</v>
      </c>
      <c r="AP59" s="15">
        <f t="shared" si="10"/>
        <v>0</v>
      </c>
      <c r="AQ59" s="14">
        <f t="shared" si="11"/>
        <v>0</v>
      </c>
      <c r="AR59" s="14">
        <f>DISTRIBUSI!E57</f>
        <v>0</v>
      </c>
      <c r="AS59" s="14">
        <f>'PEMAKAIAN UNIT'!E56</f>
        <v>0</v>
      </c>
      <c r="AT59" s="14">
        <f t="shared" si="12"/>
        <v>0</v>
      </c>
      <c r="AU59" s="15">
        <f t="shared" si="13"/>
        <v>0</v>
      </c>
      <c r="AV59" s="14">
        <f t="shared" si="14"/>
        <v>0</v>
      </c>
      <c r="AW59" s="14">
        <f>DISTRIBUSI!F57</f>
        <v>0</v>
      </c>
      <c r="AX59" s="14">
        <f>'PEMAKAIAN UNIT'!F56</f>
        <v>0</v>
      </c>
      <c r="AY59" s="14">
        <f t="shared" si="15"/>
        <v>0</v>
      </c>
      <c r="AZ59" s="15">
        <f t="shared" si="16"/>
        <v>0</v>
      </c>
      <c r="BA59" s="14">
        <f t="shared" si="17"/>
        <v>0</v>
      </c>
      <c r="BB59" s="14">
        <f>DISTRIBUSI!G57</f>
        <v>0</v>
      </c>
      <c r="BC59" s="14">
        <f>'PEMAKAIAN UNIT'!G56</f>
        <v>0</v>
      </c>
      <c r="BD59" s="14">
        <f t="shared" si="18"/>
        <v>0</v>
      </c>
      <c r="BE59" s="15">
        <f t="shared" si="19"/>
        <v>0</v>
      </c>
      <c r="BF59" s="14">
        <f t="shared" si="20"/>
        <v>0</v>
      </c>
      <c r="BG59" s="14">
        <f>DISTRIBUSI!H57</f>
        <v>0</v>
      </c>
      <c r="BH59" s="14">
        <f>'PEMAKAIAN UNIT'!H56</f>
        <v>0</v>
      </c>
      <c r="BI59" s="14">
        <f t="shared" si="21"/>
        <v>0</v>
      </c>
      <c r="BJ59" s="15">
        <f t="shared" si="22"/>
        <v>0</v>
      </c>
      <c r="BK59" s="14">
        <f t="shared" si="23"/>
        <v>0</v>
      </c>
      <c r="BL59" s="14">
        <f>DISTRIBUSI!I57</f>
        <v>0</v>
      </c>
      <c r="BM59" s="14">
        <f>'PEMAKAIAN UNIT'!I56</f>
        <v>0</v>
      </c>
      <c r="BN59" s="14">
        <f t="shared" si="24"/>
        <v>0</v>
      </c>
      <c r="BO59" s="15">
        <f t="shared" si="25"/>
        <v>0</v>
      </c>
      <c r="BP59" s="14">
        <f t="shared" si="26"/>
        <v>0</v>
      </c>
      <c r="BQ59" s="14">
        <f>DISTRIBUSI!J57</f>
        <v>0</v>
      </c>
      <c r="BR59" s="14">
        <f>'PEMAKAIAN UNIT'!J56</f>
        <v>0</v>
      </c>
      <c r="BS59" s="14">
        <f t="shared" si="27"/>
        <v>0</v>
      </c>
      <c r="BT59" s="15">
        <f t="shared" si="28"/>
        <v>0</v>
      </c>
      <c r="BU59" s="14">
        <f t="shared" si="29"/>
        <v>0</v>
      </c>
      <c r="BV59" s="14">
        <f>DISTRIBUSI!K57</f>
        <v>0</v>
      </c>
      <c r="BW59" s="14">
        <f>'PEMAKAIAN UNIT'!K56</f>
        <v>0</v>
      </c>
      <c r="BX59" s="14">
        <f t="shared" si="30"/>
        <v>0</v>
      </c>
      <c r="BY59" s="15">
        <f t="shared" si="31"/>
        <v>0</v>
      </c>
      <c r="BZ59" s="14">
        <f t="shared" si="32"/>
        <v>0</v>
      </c>
      <c r="CA59" s="14">
        <f>DISTRIBUSI!L57</f>
        <v>0</v>
      </c>
      <c r="CB59" s="14">
        <f>'PEMAKAIAN UNIT'!L56</f>
        <v>0</v>
      </c>
      <c r="CC59" s="14">
        <f t="shared" si="33"/>
        <v>0</v>
      </c>
      <c r="CD59" s="15">
        <f t="shared" si="34"/>
        <v>0</v>
      </c>
      <c r="CE59" s="14">
        <f t="shared" si="35"/>
        <v>0</v>
      </c>
      <c r="CF59" s="14">
        <f>DISTRIBUSI!M57</f>
        <v>0</v>
      </c>
      <c r="CG59" s="14">
        <f>'PEMAKAIAN UNIT'!M56</f>
        <v>0</v>
      </c>
      <c r="CH59" s="14">
        <f t="shared" si="36"/>
        <v>0</v>
      </c>
      <c r="CI59" s="15">
        <f t="shared" si="37"/>
        <v>0</v>
      </c>
      <c r="CJ59" s="14">
        <f t="shared" si="38"/>
        <v>0</v>
      </c>
      <c r="CK59" s="14" t="e">
        <f>DISTRIBUSI!#REF!</f>
        <v>#REF!</v>
      </c>
      <c r="CL59" s="14">
        <f>'PEMAKAIAN UNIT'!N56</f>
        <v>0</v>
      </c>
      <c r="CM59" s="14" t="e">
        <f t="shared" si="39"/>
        <v>#REF!</v>
      </c>
      <c r="CN59" s="15" t="e">
        <f t="shared" si="40"/>
        <v>#REF!</v>
      </c>
      <c r="CO59" s="14" t="e">
        <f>DL59+DISTRIBUSI!#REF!-'PEMAKAIAN UNIT'!O56</f>
        <v>#REF!</v>
      </c>
      <c r="CP59" s="15" t="e">
        <f t="shared" si="41"/>
        <v>#REF!</v>
      </c>
      <c r="CQ59" s="226">
        <f t="shared" si="42"/>
        <v>585</v>
      </c>
      <c r="CR59" s="226">
        <f>DISTRIBUSI!R57</f>
        <v>1900</v>
      </c>
      <c r="CS59" s="226">
        <f>'PEMAKAIAN UNIT'!P56</f>
        <v>0</v>
      </c>
      <c r="CT59" s="14">
        <f t="shared" si="43"/>
        <v>2485</v>
      </c>
      <c r="CU59" s="15">
        <f t="shared" si="44"/>
        <v>1540</v>
      </c>
      <c r="CV59" s="14" t="e">
        <f>DN59+DISTRIBUSI!#REF!-'PEMAKAIAN UNIT'!Q56</f>
        <v>#REF!</v>
      </c>
      <c r="CW59" s="15" t="e">
        <f t="shared" si="45"/>
        <v>#REF!</v>
      </c>
      <c r="CX59" s="14">
        <f>DO59+'LPLPO GUDANG'!E62-'LPLPO GUDANG'!G62</f>
        <v>-100</v>
      </c>
      <c r="CY59" s="15">
        <f t="shared" si="46"/>
        <v>-600</v>
      </c>
      <c r="CZ59" s="28"/>
      <c r="DA59" s="14">
        <v>0</v>
      </c>
      <c r="DB59" s="14"/>
      <c r="DC59" s="14">
        <v>0</v>
      </c>
      <c r="DD59" s="14">
        <v>0</v>
      </c>
      <c r="DE59" s="14">
        <v>0</v>
      </c>
      <c r="DF59" s="14"/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585</v>
      </c>
      <c r="DN59" s="14">
        <v>0</v>
      </c>
      <c r="DO59" s="13">
        <v>900</v>
      </c>
      <c r="DP59" s="13">
        <f t="shared" si="47"/>
        <v>1485</v>
      </c>
      <c r="DR59" t="s">
        <v>41</v>
      </c>
      <c r="DU59" s="20" t="e">
        <f t="shared" si="48"/>
        <v>#REF!</v>
      </c>
    </row>
    <row r="60" spans="1:125" customFormat="1" ht="20.149999999999999" customHeight="1" x14ac:dyDescent="0.35">
      <c r="A60" s="84">
        <f t="shared" si="49"/>
        <v>49</v>
      </c>
      <c r="B60" s="142" t="s">
        <v>105</v>
      </c>
      <c r="C60" s="163" t="s">
        <v>327</v>
      </c>
      <c r="D60" s="109">
        <v>0</v>
      </c>
      <c r="E60" s="110">
        <f>'LPLPO GUDANG'!E63</f>
        <v>0</v>
      </c>
      <c r="F60" s="110">
        <f t="shared" si="0"/>
        <v>0</v>
      </c>
      <c r="G60" s="110">
        <f>'PEMAKAIAN UNIT'!R57</f>
        <v>0</v>
      </c>
      <c r="H60" s="14">
        <v>100</v>
      </c>
      <c r="I60" s="14">
        <v>143</v>
      </c>
      <c r="J60" s="14">
        <v>0</v>
      </c>
      <c r="K60" s="14"/>
      <c r="L60" s="14"/>
      <c r="M60" s="14"/>
      <c r="N60" s="14"/>
      <c r="O60" s="14"/>
      <c r="P60" s="14"/>
      <c r="Q60" s="14"/>
      <c r="R60" s="14"/>
      <c r="S60" s="14">
        <v>370</v>
      </c>
      <c r="T60" s="14">
        <v>0</v>
      </c>
      <c r="U60" s="14">
        <v>45</v>
      </c>
      <c r="V60" s="14">
        <v>317</v>
      </c>
      <c r="W60" s="14">
        <v>105</v>
      </c>
      <c r="X60" s="14">
        <v>97</v>
      </c>
      <c r="Y60" s="109">
        <f t="shared" si="1"/>
        <v>0</v>
      </c>
      <c r="Z60" s="109" t="e">
        <f t="shared" si="2"/>
        <v>#REF!</v>
      </c>
      <c r="AA60" s="109" t="e">
        <f t="shared" si="3"/>
        <v>#REF!</v>
      </c>
      <c r="AB60" s="14">
        <v>701</v>
      </c>
      <c r="AC60" s="109" t="e">
        <f t="shared" si="4"/>
        <v>#REF!</v>
      </c>
      <c r="AD60" s="109">
        <f>'LPLPO GUDANG'!H63</f>
        <v>0</v>
      </c>
      <c r="AE60" s="111" t="e">
        <f t="shared" si="5"/>
        <v>#REF!</v>
      </c>
      <c r="AF60" s="212"/>
      <c r="AG60" s="212"/>
      <c r="AH60" s="20"/>
      <c r="AI60" s="14">
        <f t="shared" si="6"/>
        <v>0</v>
      </c>
      <c r="AJ60" s="209" t="e">
        <f t="shared" si="7"/>
        <v>#REF!</v>
      </c>
      <c r="AL60" s="14">
        <f t="shared" si="8"/>
        <v>205</v>
      </c>
      <c r="AM60" s="14">
        <f>DISTRIBUSI!D58</f>
        <v>0</v>
      </c>
      <c r="AN60" s="14">
        <f>'PEMAKAIAN UNIT'!D57</f>
        <v>0</v>
      </c>
      <c r="AO60" s="14">
        <f t="shared" si="9"/>
        <v>205</v>
      </c>
      <c r="AP60" s="15">
        <f t="shared" si="10"/>
        <v>105</v>
      </c>
      <c r="AQ60" s="14">
        <f t="shared" si="11"/>
        <v>160</v>
      </c>
      <c r="AR60" s="14">
        <f>DISTRIBUSI!E58</f>
        <v>0</v>
      </c>
      <c r="AS60" s="14">
        <f>'PEMAKAIAN UNIT'!E57</f>
        <v>0</v>
      </c>
      <c r="AT60" s="14">
        <f t="shared" si="12"/>
        <v>160</v>
      </c>
      <c r="AU60" s="15">
        <f t="shared" si="13"/>
        <v>17</v>
      </c>
      <c r="AV60" s="14">
        <f t="shared" si="14"/>
        <v>248</v>
      </c>
      <c r="AW60" s="14">
        <f>DISTRIBUSI!F58</f>
        <v>0</v>
      </c>
      <c r="AX60" s="14">
        <f>'PEMAKAIAN UNIT'!F57</f>
        <v>0</v>
      </c>
      <c r="AY60" s="14">
        <f t="shared" si="15"/>
        <v>248</v>
      </c>
      <c r="AZ60" s="15">
        <f t="shared" si="16"/>
        <v>248</v>
      </c>
      <c r="BA60" s="14">
        <f t="shared" si="17"/>
        <v>330</v>
      </c>
      <c r="BB60" s="14">
        <f>DISTRIBUSI!G58</f>
        <v>0</v>
      </c>
      <c r="BC60" s="14">
        <f>'PEMAKAIAN UNIT'!G57</f>
        <v>0</v>
      </c>
      <c r="BD60" s="14">
        <f t="shared" si="18"/>
        <v>330</v>
      </c>
      <c r="BE60" s="15">
        <f t="shared" si="19"/>
        <v>-40</v>
      </c>
      <c r="BF60" s="14">
        <f t="shared" si="20"/>
        <v>260</v>
      </c>
      <c r="BG60" s="14">
        <f>DISTRIBUSI!H58</f>
        <v>0</v>
      </c>
      <c r="BH60" s="14">
        <f>'PEMAKAIAN UNIT'!H57</f>
        <v>0</v>
      </c>
      <c r="BI60" s="14">
        <f t="shared" si="21"/>
        <v>260</v>
      </c>
      <c r="BJ60" s="15">
        <f t="shared" si="22"/>
        <v>260</v>
      </c>
      <c r="BK60" s="14">
        <f t="shared" si="23"/>
        <v>115</v>
      </c>
      <c r="BL60" s="14">
        <f>DISTRIBUSI!I58</f>
        <v>100</v>
      </c>
      <c r="BM60" s="14">
        <f>'PEMAKAIAN UNIT'!I57</f>
        <v>0</v>
      </c>
      <c r="BN60" s="14">
        <f t="shared" si="24"/>
        <v>215</v>
      </c>
      <c r="BO60" s="15">
        <f t="shared" si="25"/>
        <v>170</v>
      </c>
      <c r="BP60" s="14">
        <f t="shared" si="26"/>
        <v>471</v>
      </c>
      <c r="BQ60" s="14">
        <f>DISTRIBUSI!J58</f>
        <v>0</v>
      </c>
      <c r="BR60" s="14">
        <f>'PEMAKAIAN UNIT'!J57</f>
        <v>0</v>
      </c>
      <c r="BS60" s="14">
        <f t="shared" si="27"/>
        <v>471</v>
      </c>
      <c r="BT60" s="15">
        <f t="shared" si="28"/>
        <v>154</v>
      </c>
      <c r="BU60" s="14">
        <f t="shared" si="29"/>
        <v>335</v>
      </c>
      <c r="BV60" s="14">
        <f>DISTRIBUSI!K58</f>
        <v>100</v>
      </c>
      <c r="BW60" s="14">
        <f>'PEMAKAIAN UNIT'!K57</f>
        <v>0</v>
      </c>
      <c r="BX60" s="14">
        <f t="shared" si="30"/>
        <v>435</v>
      </c>
      <c r="BY60" s="15">
        <f t="shared" si="31"/>
        <v>330</v>
      </c>
      <c r="BZ60" s="14">
        <f t="shared" si="32"/>
        <v>120</v>
      </c>
      <c r="CA60" s="14">
        <f>DISTRIBUSI!L58</f>
        <v>0</v>
      </c>
      <c r="CB60" s="14">
        <f>'PEMAKAIAN UNIT'!L57</f>
        <v>0</v>
      </c>
      <c r="CC60" s="14">
        <f t="shared" si="33"/>
        <v>120</v>
      </c>
      <c r="CD60" s="15">
        <f t="shared" si="34"/>
        <v>23</v>
      </c>
      <c r="CE60" s="14">
        <f t="shared" si="35"/>
        <v>0</v>
      </c>
      <c r="CF60" s="14">
        <f>DISTRIBUSI!M58</f>
        <v>0</v>
      </c>
      <c r="CG60" s="14">
        <f>'PEMAKAIAN UNIT'!M57</f>
        <v>0</v>
      </c>
      <c r="CH60" s="14">
        <f t="shared" si="36"/>
        <v>0</v>
      </c>
      <c r="CI60" s="15">
        <f t="shared" si="37"/>
        <v>0</v>
      </c>
      <c r="CJ60" s="14">
        <f t="shared" si="38"/>
        <v>0</v>
      </c>
      <c r="CK60" s="14" t="e">
        <f>DISTRIBUSI!#REF!</f>
        <v>#REF!</v>
      </c>
      <c r="CL60" s="14">
        <f>'PEMAKAIAN UNIT'!N57</f>
        <v>0</v>
      </c>
      <c r="CM60" s="14" t="e">
        <f t="shared" si="39"/>
        <v>#REF!</v>
      </c>
      <c r="CN60" s="15" t="e">
        <f t="shared" si="40"/>
        <v>#REF!</v>
      </c>
      <c r="CO60" s="14" t="e">
        <f>DL60+DISTRIBUSI!#REF!-'PEMAKAIAN UNIT'!O57</f>
        <v>#REF!</v>
      </c>
      <c r="CP60" s="15" t="e">
        <f t="shared" si="41"/>
        <v>#REF!</v>
      </c>
      <c r="CQ60" s="226">
        <f t="shared" si="42"/>
        <v>720</v>
      </c>
      <c r="CR60" s="226">
        <f>DISTRIBUSI!R58</f>
        <v>2300</v>
      </c>
      <c r="CS60" s="226">
        <f>'PEMAKAIAN UNIT'!P57</f>
        <v>0</v>
      </c>
      <c r="CT60" s="14">
        <f t="shared" si="43"/>
        <v>3020</v>
      </c>
      <c r="CU60" s="15">
        <f t="shared" si="44"/>
        <v>2319</v>
      </c>
      <c r="CV60" s="14" t="e">
        <f>DN60+DISTRIBUSI!#REF!-'PEMAKAIAN UNIT'!Q57</f>
        <v>#REF!</v>
      </c>
      <c r="CW60" s="15" t="e">
        <f t="shared" si="45"/>
        <v>#REF!</v>
      </c>
      <c r="CX60" s="14">
        <f>DO60+'LPLPO GUDANG'!E63-'LPLPO GUDANG'!G63</f>
        <v>-1300</v>
      </c>
      <c r="CY60" s="15">
        <f t="shared" si="46"/>
        <v>-1300</v>
      </c>
      <c r="CZ60" s="28"/>
      <c r="DA60" s="14">
        <v>205</v>
      </c>
      <c r="DB60" s="14">
        <v>160</v>
      </c>
      <c r="DC60" s="14">
        <v>248</v>
      </c>
      <c r="DD60" s="14">
        <v>330</v>
      </c>
      <c r="DE60" s="14">
        <v>260</v>
      </c>
      <c r="DF60" s="14">
        <v>115</v>
      </c>
      <c r="DG60" s="14">
        <v>471</v>
      </c>
      <c r="DH60" s="14">
        <v>335</v>
      </c>
      <c r="DI60" s="14">
        <v>120</v>
      </c>
      <c r="DJ60" s="14">
        <v>0</v>
      </c>
      <c r="DK60" s="14">
        <v>0</v>
      </c>
      <c r="DL60" s="14">
        <v>0</v>
      </c>
      <c r="DM60" s="14">
        <v>720</v>
      </c>
      <c r="DN60" s="14">
        <v>0</v>
      </c>
      <c r="DO60" s="13">
        <v>1400</v>
      </c>
      <c r="DP60" s="13">
        <f t="shared" si="47"/>
        <v>4364</v>
      </c>
      <c r="DR60" t="s">
        <v>105</v>
      </c>
      <c r="DU60" s="20" t="e">
        <f t="shared" si="48"/>
        <v>#REF!</v>
      </c>
    </row>
    <row r="61" spans="1:125" customFormat="1" ht="20.149999999999999" customHeight="1" x14ac:dyDescent="0.35">
      <c r="A61" s="84">
        <f t="shared" si="49"/>
        <v>50</v>
      </c>
      <c r="B61" s="142" t="s">
        <v>42</v>
      </c>
      <c r="C61" s="163" t="s">
        <v>321</v>
      </c>
      <c r="D61" s="109">
        <v>0</v>
      </c>
      <c r="E61" s="110">
        <f>'LPLPO GUDANG'!E64</f>
        <v>0</v>
      </c>
      <c r="F61" s="110">
        <f t="shared" si="0"/>
        <v>0</v>
      </c>
      <c r="G61" s="110">
        <f>'PEMAKAIAN UNIT'!R58</f>
        <v>0</v>
      </c>
      <c r="H61" s="14">
        <v>0</v>
      </c>
      <c r="I61" s="14">
        <v>0</v>
      </c>
      <c r="J61" s="14">
        <v>0</v>
      </c>
      <c r="K61" s="14"/>
      <c r="L61" s="14"/>
      <c r="M61" s="14"/>
      <c r="N61" s="14"/>
      <c r="O61" s="14"/>
      <c r="P61" s="14"/>
      <c r="Q61" s="14"/>
      <c r="R61" s="14"/>
      <c r="S61" s="14">
        <v>0</v>
      </c>
      <c r="T61" s="14">
        <v>0</v>
      </c>
      <c r="U61" s="14">
        <v>0</v>
      </c>
      <c r="V61" s="14">
        <v>0</v>
      </c>
      <c r="W61" s="14">
        <v>1</v>
      </c>
      <c r="X61" s="14">
        <v>0</v>
      </c>
      <c r="Y61" s="109">
        <f t="shared" si="1"/>
        <v>0</v>
      </c>
      <c r="Z61" s="109" t="e">
        <f t="shared" si="2"/>
        <v>#REF!</v>
      </c>
      <c r="AA61" s="109" t="e">
        <f t="shared" si="3"/>
        <v>#REF!</v>
      </c>
      <c r="AB61" s="14">
        <v>0</v>
      </c>
      <c r="AC61" s="109" t="e">
        <f t="shared" si="4"/>
        <v>#REF!</v>
      </c>
      <c r="AD61" s="109">
        <f>'LPLPO GUDANG'!H64</f>
        <v>40</v>
      </c>
      <c r="AE61" s="111" t="e">
        <f t="shared" si="5"/>
        <v>#REF!</v>
      </c>
      <c r="AF61" s="212"/>
      <c r="AG61" s="212"/>
      <c r="AH61" s="20"/>
      <c r="AI61" s="14">
        <f t="shared" si="6"/>
        <v>0</v>
      </c>
      <c r="AJ61" s="209" t="e">
        <f t="shared" si="7"/>
        <v>#REF!</v>
      </c>
      <c r="AL61" s="14">
        <f t="shared" si="8"/>
        <v>0</v>
      </c>
      <c r="AM61" s="14">
        <f>DISTRIBUSI!D59</f>
        <v>0</v>
      </c>
      <c r="AN61" s="14">
        <f>'PEMAKAIAN UNIT'!D58</f>
        <v>0</v>
      </c>
      <c r="AO61" s="14">
        <f t="shared" si="9"/>
        <v>0</v>
      </c>
      <c r="AP61" s="15">
        <f t="shared" si="10"/>
        <v>0</v>
      </c>
      <c r="AQ61" s="14">
        <f t="shared" si="11"/>
        <v>0</v>
      </c>
      <c r="AR61" s="14">
        <f>DISTRIBUSI!E59</f>
        <v>0</v>
      </c>
      <c r="AS61" s="14">
        <f>'PEMAKAIAN UNIT'!E58</f>
        <v>0</v>
      </c>
      <c r="AT61" s="14">
        <f t="shared" si="12"/>
        <v>0</v>
      </c>
      <c r="AU61" s="15">
        <f t="shared" si="13"/>
        <v>0</v>
      </c>
      <c r="AV61" s="14">
        <f t="shared" si="14"/>
        <v>0</v>
      </c>
      <c r="AW61" s="14">
        <f>DISTRIBUSI!F59</f>
        <v>0</v>
      </c>
      <c r="AX61" s="14">
        <f>'PEMAKAIAN UNIT'!F58</f>
        <v>0</v>
      </c>
      <c r="AY61" s="14">
        <f t="shared" si="15"/>
        <v>0</v>
      </c>
      <c r="AZ61" s="15">
        <f t="shared" si="16"/>
        <v>0</v>
      </c>
      <c r="BA61" s="14">
        <f t="shared" si="17"/>
        <v>0</v>
      </c>
      <c r="BB61" s="14">
        <f>DISTRIBUSI!G59</f>
        <v>0</v>
      </c>
      <c r="BC61" s="14">
        <f>'PEMAKAIAN UNIT'!G58</f>
        <v>0</v>
      </c>
      <c r="BD61" s="14">
        <f t="shared" si="18"/>
        <v>0</v>
      </c>
      <c r="BE61" s="15">
        <f t="shared" si="19"/>
        <v>0</v>
      </c>
      <c r="BF61" s="14">
        <f t="shared" si="20"/>
        <v>0</v>
      </c>
      <c r="BG61" s="14">
        <f>DISTRIBUSI!H59</f>
        <v>0</v>
      </c>
      <c r="BH61" s="14">
        <f>'PEMAKAIAN UNIT'!H58</f>
        <v>0</v>
      </c>
      <c r="BI61" s="14">
        <f t="shared" si="21"/>
        <v>0</v>
      </c>
      <c r="BJ61" s="15">
        <f t="shared" si="22"/>
        <v>0</v>
      </c>
      <c r="BK61" s="14">
        <f t="shared" si="23"/>
        <v>0</v>
      </c>
      <c r="BL61" s="14">
        <f>DISTRIBUSI!I59</f>
        <v>0</v>
      </c>
      <c r="BM61" s="14">
        <f>'PEMAKAIAN UNIT'!I58</f>
        <v>0</v>
      </c>
      <c r="BN61" s="14">
        <f t="shared" si="24"/>
        <v>0</v>
      </c>
      <c r="BO61" s="15">
        <f t="shared" si="25"/>
        <v>0</v>
      </c>
      <c r="BP61" s="14">
        <f t="shared" si="26"/>
        <v>0</v>
      </c>
      <c r="BQ61" s="14">
        <f>DISTRIBUSI!J59</f>
        <v>0</v>
      </c>
      <c r="BR61" s="14">
        <f>'PEMAKAIAN UNIT'!J58</f>
        <v>0</v>
      </c>
      <c r="BS61" s="14">
        <f t="shared" si="27"/>
        <v>0</v>
      </c>
      <c r="BT61" s="15">
        <f t="shared" si="28"/>
        <v>0</v>
      </c>
      <c r="BU61" s="14">
        <f t="shared" si="29"/>
        <v>1</v>
      </c>
      <c r="BV61" s="14">
        <f>DISTRIBUSI!K59</f>
        <v>0</v>
      </c>
      <c r="BW61" s="14">
        <f>'PEMAKAIAN UNIT'!K58</f>
        <v>0</v>
      </c>
      <c r="BX61" s="14">
        <f t="shared" si="30"/>
        <v>1</v>
      </c>
      <c r="BY61" s="15">
        <f t="shared" si="31"/>
        <v>0</v>
      </c>
      <c r="BZ61" s="14">
        <f t="shared" si="32"/>
        <v>0</v>
      </c>
      <c r="CA61" s="14">
        <f>DISTRIBUSI!L59</f>
        <v>0</v>
      </c>
      <c r="CB61" s="14">
        <f>'PEMAKAIAN UNIT'!L58</f>
        <v>0</v>
      </c>
      <c r="CC61" s="14">
        <f t="shared" si="33"/>
        <v>0</v>
      </c>
      <c r="CD61" s="15">
        <f t="shared" si="34"/>
        <v>0</v>
      </c>
      <c r="CE61" s="14">
        <f t="shared" si="35"/>
        <v>0</v>
      </c>
      <c r="CF61" s="14">
        <f>DISTRIBUSI!M59</f>
        <v>0</v>
      </c>
      <c r="CG61" s="14">
        <f>'PEMAKAIAN UNIT'!M58</f>
        <v>0</v>
      </c>
      <c r="CH61" s="14">
        <f t="shared" si="36"/>
        <v>0</v>
      </c>
      <c r="CI61" s="15">
        <f t="shared" si="37"/>
        <v>0</v>
      </c>
      <c r="CJ61" s="14">
        <f t="shared" si="38"/>
        <v>0</v>
      </c>
      <c r="CK61" s="14" t="e">
        <f>DISTRIBUSI!#REF!</f>
        <v>#REF!</v>
      </c>
      <c r="CL61" s="14">
        <f>'PEMAKAIAN UNIT'!N58</f>
        <v>0</v>
      </c>
      <c r="CM61" s="14" t="e">
        <f t="shared" si="39"/>
        <v>#REF!</v>
      </c>
      <c r="CN61" s="15" t="e">
        <f t="shared" si="40"/>
        <v>#REF!</v>
      </c>
      <c r="CO61" s="14" t="e">
        <f>DL61+DISTRIBUSI!#REF!-'PEMAKAIAN UNIT'!O58</f>
        <v>#REF!</v>
      </c>
      <c r="CP61" s="15" t="e">
        <f t="shared" si="41"/>
        <v>#REF!</v>
      </c>
      <c r="CQ61" s="226">
        <f t="shared" si="42"/>
        <v>4</v>
      </c>
      <c r="CR61" s="226">
        <f>DISTRIBUSI!R59</f>
        <v>40</v>
      </c>
      <c r="CS61" s="226">
        <f>'PEMAKAIAN UNIT'!P58</f>
        <v>0</v>
      </c>
      <c r="CT61" s="14">
        <f t="shared" si="43"/>
        <v>44</v>
      </c>
      <c r="CU61" s="15">
        <f t="shared" si="44"/>
        <v>44</v>
      </c>
      <c r="CV61" s="14" t="e">
        <f>DN61+DISTRIBUSI!#REF!-'PEMAKAIAN UNIT'!Q58</f>
        <v>#REF!</v>
      </c>
      <c r="CW61" s="15" t="e">
        <f t="shared" si="45"/>
        <v>#REF!</v>
      </c>
      <c r="CX61" s="14">
        <f>DO61+'LPLPO GUDANG'!E64-'LPLPO GUDANG'!G64</f>
        <v>-40</v>
      </c>
      <c r="CY61" s="15">
        <f t="shared" si="46"/>
        <v>-80</v>
      </c>
      <c r="CZ61" s="28"/>
      <c r="DA61" s="14">
        <v>0</v>
      </c>
      <c r="DB61" s="14"/>
      <c r="DC61" s="14">
        <v>0</v>
      </c>
      <c r="DD61" s="14">
        <v>0</v>
      </c>
      <c r="DE61" s="14">
        <v>0</v>
      </c>
      <c r="DF61" s="14"/>
      <c r="DG61" s="14">
        <v>0</v>
      </c>
      <c r="DH61" s="14">
        <v>1</v>
      </c>
      <c r="DI61" s="14">
        <v>0</v>
      </c>
      <c r="DJ61" s="14">
        <v>0</v>
      </c>
      <c r="DK61" s="14">
        <v>0</v>
      </c>
      <c r="DL61" s="14">
        <v>0</v>
      </c>
      <c r="DM61" s="14">
        <v>4</v>
      </c>
      <c r="DN61" s="14">
        <v>0</v>
      </c>
      <c r="DO61" s="13">
        <v>0</v>
      </c>
      <c r="DP61" s="13">
        <f t="shared" si="47"/>
        <v>5</v>
      </c>
      <c r="DR61" t="s">
        <v>42</v>
      </c>
      <c r="DU61" s="20" t="e">
        <f t="shared" si="48"/>
        <v>#REF!</v>
      </c>
    </row>
    <row r="62" spans="1:125" customFormat="1" ht="20.149999999999999" customHeight="1" x14ac:dyDescent="0.35">
      <c r="A62" s="84">
        <f t="shared" si="49"/>
        <v>51</v>
      </c>
      <c r="B62" s="142" t="s">
        <v>43</v>
      </c>
      <c r="C62" s="157" t="s">
        <v>327</v>
      </c>
      <c r="D62" s="109">
        <v>0</v>
      </c>
      <c r="E62" s="110">
        <f>'LPLPO GUDANG'!E65</f>
        <v>0</v>
      </c>
      <c r="F62" s="110">
        <f t="shared" si="0"/>
        <v>0</v>
      </c>
      <c r="G62" s="110">
        <f>'PEMAKAIAN UNIT'!R59</f>
        <v>0</v>
      </c>
      <c r="H62" s="14">
        <v>0</v>
      </c>
      <c r="I62" s="14">
        <v>0</v>
      </c>
      <c r="J62" s="14">
        <v>0</v>
      </c>
      <c r="K62" s="14"/>
      <c r="L62" s="14"/>
      <c r="M62" s="14"/>
      <c r="N62" s="14"/>
      <c r="O62" s="14"/>
      <c r="P62" s="14"/>
      <c r="Q62" s="14"/>
      <c r="R62" s="14"/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09">
        <f t="shared" si="1"/>
        <v>0</v>
      </c>
      <c r="Z62" s="109" t="e">
        <f t="shared" si="2"/>
        <v>#REF!</v>
      </c>
      <c r="AA62" s="109" t="e">
        <f t="shared" si="3"/>
        <v>#REF!</v>
      </c>
      <c r="AB62" s="14">
        <v>0</v>
      </c>
      <c r="AC62" s="109" t="e">
        <f t="shared" si="4"/>
        <v>#REF!</v>
      </c>
      <c r="AD62" s="109">
        <f>'LPLPO GUDANG'!H65</f>
        <v>1000</v>
      </c>
      <c r="AE62" s="111" t="e">
        <f t="shared" si="5"/>
        <v>#REF!</v>
      </c>
      <c r="AF62" s="212"/>
      <c r="AG62" s="212"/>
      <c r="AH62" s="20"/>
      <c r="AI62" s="14">
        <f t="shared" si="6"/>
        <v>0</v>
      </c>
      <c r="AJ62" s="209" t="e">
        <f t="shared" si="7"/>
        <v>#REF!</v>
      </c>
      <c r="AL62" s="14">
        <f t="shared" si="8"/>
        <v>0</v>
      </c>
      <c r="AM62" s="14">
        <f>DISTRIBUSI!D60</f>
        <v>0</v>
      </c>
      <c r="AN62" s="14">
        <f>'PEMAKAIAN UNIT'!D59</f>
        <v>0</v>
      </c>
      <c r="AO62" s="14">
        <f t="shared" si="9"/>
        <v>0</v>
      </c>
      <c r="AP62" s="15">
        <f t="shared" si="10"/>
        <v>0</v>
      </c>
      <c r="AQ62" s="14">
        <f t="shared" si="11"/>
        <v>0</v>
      </c>
      <c r="AR62" s="14">
        <f>DISTRIBUSI!E60</f>
        <v>0</v>
      </c>
      <c r="AS62" s="14">
        <f>'PEMAKAIAN UNIT'!E59</f>
        <v>0</v>
      </c>
      <c r="AT62" s="14">
        <f t="shared" si="12"/>
        <v>0</v>
      </c>
      <c r="AU62" s="15">
        <f t="shared" si="13"/>
        <v>0</v>
      </c>
      <c r="AV62" s="14">
        <f t="shared" si="14"/>
        <v>0</v>
      </c>
      <c r="AW62" s="14">
        <f>DISTRIBUSI!F60</f>
        <v>0</v>
      </c>
      <c r="AX62" s="14">
        <f>'PEMAKAIAN UNIT'!F59</f>
        <v>0</v>
      </c>
      <c r="AY62" s="14">
        <f t="shared" si="15"/>
        <v>0</v>
      </c>
      <c r="AZ62" s="15">
        <f t="shared" si="16"/>
        <v>0</v>
      </c>
      <c r="BA62" s="14">
        <f t="shared" si="17"/>
        <v>0</v>
      </c>
      <c r="BB62" s="14">
        <f>DISTRIBUSI!G60</f>
        <v>0</v>
      </c>
      <c r="BC62" s="14">
        <f>'PEMAKAIAN UNIT'!G59</f>
        <v>0</v>
      </c>
      <c r="BD62" s="14">
        <f t="shared" si="18"/>
        <v>0</v>
      </c>
      <c r="BE62" s="15">
        <f t="shared" si="19"/>
        <v>0</v>
      </c>
      <c r="BF62" s="14">
        <f t="shared" si="20"/>
        <v>0</v>
      </c>
      <c r="BG62" s="14">
        <f>DISTRIBUSI!H60</f>
        <v>0</v>
      </c>
      <c r="BH62" s="14">
        <f>'PEMAKAIAN UNIT'!H59</f>
        <v>0</v>
      </c>
      <c r="BI62" s="14">
        <f t="shared" si="21"/>
        <v>0</v>
      </c>
      <c r="BJ62" s="15">
        <f t="shared" si="22"/>
        <v>0</v>
      </c>
      <c r="BK62" s="14">
        <f t="shared" si="23"/>
        <v>0</v>
      </c>
      <c r="BL62" s="14">
        <f>DISTRIBUSI!I60</f>
        <v>0</v>
      </c>
      <c r="BM62" s="14">
        <f>'PEMAKAIAN UNIT'!I59</f>
        <v>0</v>
      </c>
      <c r="BN62" s="14">
        <f t="shared" si="24"/>
        <v>0</v>
      </c>
      <c r="BO62" s="15">
        <f t="shared" si="25"/>
        <v>0</v>
      </c>
      <c r="BP62" s="14">
        <f t="shared" si="26"/>
        <v>0</v>
      </c>
      <c r="BQ62" s="14">
        <f>DISTRIBUSI!J60</f>
        <v>0</v>
      </c>
      <c r="BR62" s="14">
        <f>'PEMAKAIAN UNIT'!J59</f>
        <v>0</v>
      </c>
      <c r="BS62" s="14">
        <f t="shared" si="27"/>
        <v>0</v>
      </c>
      <c r="BT62" s="15">
        <f t="shared" si="28"/>
        <v>0</v>
      </c>
      <c r="BU62" s="14">
        <f t="shared" si="29"/>
        <v>0</v>
      </c>
      <c r="BV62" s="14">
        <f>DISTRIBUSI!K60</f>
        <v>0</v>
      </c>
      <c r="BW62" s="14">
        <f>'PEMAKAIAN UNIT'!K59</f>
        <v>0</v>
      </c>
      <c r="BX62" s="14">
        <f t="shared" si="30"/>
        <v>0</v>
      </c>
      <c r="BY62" s="15">
        <f t="shared" si="31"/>
        <v>0</v>
      </c>
      <c r="BZ62" s="14">
        <f t="shared" si="32"/>
        <v>0</v>
      </c>
      <c r="CA62" s="14">
        <f>DISTRIBUSI!L60</f>
        <v>0</v>
      </c>
      <c r="CB62" s="14">
        <f>'PEMAKAIAN UNIT'!L59</f>
        <v>0</v>
      </c>
      <c r="CC62" s="14">
        <f t="shared" si="33"/>
        <v>0</v>
      </c>
      <c r="CD62" s="15">
        <f t="shared" si="34"/>
        <v>0</v>
      </c>
      <c r="CE62" s="14">
        <f t="shared" si="35"/>
        <v>0</v>
      </c>
      <c r="CF62" s="14">
        <f>DISTRIBUSI!M60</f>
        <v>0</v>
      </c>
      <c r="CG62" s="14">
        <f>'PEMAKAIAN UNIT'!M59</f>
        <v>0</v>
      </c>
      <c r="CH62" s="14">
        <f t="shared" si="36"/>
        <v>0</v>
      </c>
      <c r="CI62" s="15">
        <f t="shared" si="37"/>
        <v>0</v>
      </c>
      <c r="CJ62" s="14">
        <f t="shared" si="38"/>
        <v>0</v>
      </c>
      <c r="CK62" s="14" t="e">
        <f>DISTRIBUSI!#REF!</f>
        <v>#REF!</v>
      </c>
      <c r="CL62" s="14">
        <f>'PEMAKAIAN UNIT'!N59</f>
        <v>0</v>
      </c>
      <c r="CM62" s="14" t="e">
        <f t="shared" si="39"/>
        <v>#REF!</v>
      </c>
      <c r="CN62" s="15" t="e">
        <f t="shared" si="40"/>
        <v>#REF!</v>
      </c>
      <c r="CO62" s="14" t="e">
        <f>DL62+DISTRIBUSI!#REF!-'PEMAKAIAN UNIT'!O59</f>
        <v>#REF!</v>
      </c>
      <c r="CP62" s="15" t="e">
        <f t="shared" si="41"/>
        <v>#REF!</v>
      </c>
      <c r="CQ62" s="226">
        <f t="shared" si="42"/>
        <v>0</v>
      </c>
      <c r="CR62" s="226">
        <f>DISTRIBUSI!R60</f>
        <v>0</v>
      </c>
      <c r="CS62" s="226">
        <f>'PEMAKAIAN UNIT'!P59</f>
        <v>0</v>
      </c>
      <c r="CT62" s="14">
        <f t="shared" si="43"/>
        <v>0</v>
      </c>
      <c r="CU62" s="15">
        <f t="shared" si="44"/>
        <v>0</v>
      </c>
      <c r="CV62" s="14" t="e">
        <f>DN62+DISTRIBUSI!#REF!-'PEMAKAIAN UNIT'!Q59</f>
        <v>#REF!</v>
      </c>
      <c r="CW62" s="15" t="e">
        <f t="shared" si="45"/>
        <v>#REF!</v>
      </c>
      <c r="CX62" s="14">
        <f>DO62+'LPLPO GUDANG'!E65-'LPLPO GUDANG'!G65</f>
        <v>0</v>
      </c>
      <c r="CY62" s="15">
        <f t="shared" si="46"/>
        <v>-1000</v>
      </c>
      <c r="CZ62" s="28"/>
      <c r="DA62" s="14">
        <v>0</v>
      </c>
      <c r="DB62" s="14"/>
      <c r="DC62" s="14">
        <v>0</v>
      </c>
      <c r="DD62" s="14">
        <v>0</v>
      </c>
      <c r="DE62" s="14">
        <v>0</v>
      </c>
      <c r="DF62" s="14"/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3">
        <v>0</v>
      </c>
      <c r="DP62" s="13">
        <f t="shared" si="47"/>
        <v>0</v>
      </c>
      <c r="DR62" t="s">
        <v>43</v>
      </c>
      <c r="DU62" s="20" t="e">
        <f t="shared" si="48"/>
        <v>#REF!</v>
      </c>
    </row>
    <row r="63" spans="1:125" customFormat="1" ht="20.149999999999999" customHeight="1" x14ac:dyDescent="0.35">
      <c r="A63" s="84">
        <f t="shared" si="49"/>
        <v>52</v>
      </c>
      <c r="B63" s="142" t="s">
        <v>44</v>
      </c>
      <c r="C63" s="155" t="s">
        <v>327</v>
      </c>
      <c r="D63" s="109">
        <v>0</v>
      </c>
      <c r="E63" s="110">
        <f>'LPLPO GUDANG'!E66</f>
        <v>0</v>
      </c>
      <c r="F63" s="110">
        <f t="shared" si="0"/>
        <v>0</v>
      </c>
      <c r="G63" s="110">
        <f>'PEMAKAIAN UNIT'!R60</f>
        <v>0</v>
      </c>
      <c r="H63" s="14">
        <v>0</v>
      </c>
      <c r="I63" s="14">
        <v>0</v>
      </c>
      <c r="J63" s="14">
        <v>0</v>
      </c>
      <c r="K63" s="14"/>
      <c r="L63" s="14"/>
      <c r="M63" s="14"/>
      <c r="N63" s="14"/>
      <c r="O63" s="14"/>
      <c r="P63" s="14"/>
      <c r="Q63" s="14"/>
      <c r="R63" s="14"/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09">
        <f t="shared" si="1"/>
        <v>0</v>
      </c>
      <c r="Z63" s="109" t="e">
        <f t="shared" si="2"/>
        <v>#REF!</v>
      </c>
      <c r="AA63" s="109" t="e">
        <f t="shared" si="3"/>
        <v>#REF!</v>
      </c>
      <c r="AB63" s="14">
        <v>27</v>
      </c>
      <c r="AC63" s="109" t="e">
        <f t="shared" si="4"/>
        <v>#REF!</v>
      </c>
      <c r="AD63" s="109">
        <f>'LPLPO GUDANG'!H66</f>
        <v>0</v>
      </c>
      <c r="AE63" s="111" t="e">
        <f t="shared" si="5"/>
        <v>#REF!</v>
      </c>
      <c r="AF63" s="212"/>
      <c r="AG63" s="212"/>
      <c r="AH63" s="20"/>
      <c r="AI63" s="14">
        <f t="shared" si="6"/>
        <v>0</v>
      </c>
      <c r="AJ63" s="209" t="e">
        <f t="shared" si="7"/>
        <v>#REF!</v>
      </c>
      <c r="AL63" s="14">
        <f t="shared" si="8"/>
        <v>0</v>
      </c>
      <c r="AM63" s="14">
        <f>DISTRIBUSI!D61</f>
        <v>0</v>
      </c>
      <c r="AN63" s="14">
        <f>'PEMAKAIAN UNIT'!D60</f>
        <v>0</v>
      </c>
      <c r="AO63" s="14">
        <f t="shared" si="9"/>
        <v>0</v>
      </c>
      <c r="AP63" s="15">
        <f t="shared" si="10"/>
        <v>0</v>
      </c>
      <c r="AQ63" s="14">
        <f t="shared" si="11"/>
        <v>0</v>
      </c>
      <c r="AR63" s="14">
        <f>DISTRIBUSI!E61</f>
        <v>0</v>
      </c>
      <c r="AS63" s="14">
        <f>'PEMAKAIAN UNIT'!E60</f>
        <v>0</v>
      </c>
      <c r="AT63" s="14">
        <f t="shared" si="12"/>
        <v>0</v>
      </c>
      <c r="AU63" s="15">
        <f t="shared" si="13"/>
        <v>0</v>
      </c>
      <c r="AV63" s="14">
        <f t="shared" si="14"/>
        <v>0</v>
      </c>
      <c r="AW63" s="14">
        <f>DISTRIBUSI!F61</f>
        <v>0</v>
      </c>
      <c r="AX63" s="14">
        <f>'PEMAKAIAN UNIT'!F60</f>
        <v>0</v>
      </c>
      <c r="AY63" s="14">
        <f t="shared" si="15"/>
        <v>0</v>
      </c>
      <c r="AZ63" s="15">
        <f t="shared" si="16"/>
        <v>0</v>
      </c>
      <c r="BA63" s="14">
        <f t="shared" si="17"/>
        <v>0</v>
      </c>
      <c r="BB63" s="14">
        <f>DISTRIBUSI!G61</f>
        <v>0</v>
      </c>
      <c r="BC63" s="14">
        <f>'PEMAKAIAN UNIT'!G60</f>
        <v>0</v>
      </c>
      <c r="BD63" s="14">
        <f t="shared" si="18"/>
        <v>0</v>
      </c>
      <c r="BE63" s="15">
        <f t="shared" si="19"/>
        <v>0</v>
      </c>
      <c r="BF63" s="14">
        <f t="shared" si="20"/>
        <v>0</v>
      </c>
      <c r="BG63" s="14">
        <f>DISTRIBUSI!H61</f>
        <v>0</v>
      </c>
      <c r="BH63" s="14">
        <f>'PEMAKAIAN UNIT'!H60</f>
        <v>0</v>
      </c>
      <c r="BI63" s="14">
        <f t="shared" si="21"/>
        <v>0</v>
      </c>
      <c r="BJ63" s="15">
        <f t="shared" si="22"/>
        <v>0</v>
      </c>
      <c r="BK63" s="14">
        <f t="shared" si="23"/>
        <v>0</v>
      </c>
      <c r="BL63" s="14">
        <f>DISTRIBUSI!I61</f>
        <v>0</v>
      </c>
      <c r="BM63" s="14">
        <f>'PEMAKAIAN UNIT'!I60</f>
        <v>0</v>
      </c>
      <c r="BN63" s="14">
        <f t="shared" si="24"/>
        <v>0</v>
      </c>
      <c r="BO63" s="15">
        <f t="shared" si="25"/>
        <v>0</v>
      </c>
      <c r="BP63" s="14">
        <f t="shared" si="26"/>
        <v>0</v>
      </c>
      <c r="BQ63" s="14">
        <f>DISTRIBUSI!J61</f>
        <v>0</v>
      </c>
      <c r="BR63" s="14">
        <f>'PEMAKAIAN UNIT'!J60</f>
        <v>0</v>
      </c>
      <c r="BS63" s="14">
        <f t="shared" si="27"/>
        <v>0</v>
      </c>
      <c r="BT63" s="15">
        <f t="shared" si="28"/>
        <v>0</v>
      </c>
      <c r="BU63" s="14">
        <f t="shared" si="29"/>
        <v>0</v>
      </c>
      <c r="BV63" s="14">
        <f>DISTRIBUSI!K61</f>
        <v>0</v>
      </c>
      <c r="BW63" s="14">
        <f>'PEMAKAIAN UNIT'!K60</f>
        <v>0</v>
      </c>
      <c r="BX63" s="14">
        <f t="shared" si="30"/>
        <v>0</v>
      </c>
      <c r="BY63" s="15">
        <f t="shared" si="31"/>
        <v>0</v>
      </c>
      <c r="BZ63" s="14">
        <f t="shared" si="32"/>
        <v>0</v>
      </c>
      <c r="CA63" s="14">
        <f>DISTRIBUSI!L61</f>
        <v>0</v>
      </c>
      <c r="CB63" s="14">
        <f>'PEMAKAIAN UNIT'!L60</f>
        <v>0</v>
      </c>
      <c r="CC63" s="14">
        <f t="shared" si="33"/>
        <v>0</v>
      </c>
      <c r="CD63" s="15">
        <f t="shared" si="34"/>
        <v>0</v>
      </c>
      <c r="CE63" s="14">
        <f t="shared" si="35"/>
        <v>0</v>
      </c>
      <c r="CF63" s="14">
        <f>DISTRIBUSI!M61</f>
        <v>0</v>
      </c>
      <c r="CG63" s="14">
        <f>'PEMAKAIAN UNIT'!M60</f>
        <v>0</v>
      </c>
      <c r="CH63" s="14">
        <f t="shared" si="36"/>
        <v>0</v>
      </c>
      <c r="CI63" s="15">
        <f t="shared" si="37"/>
        <v>0</v>
      </c>
      <c r="CJ63" s="14">
        <f t="shared" si="38"/>
        <v>0</v>
      </c>
      <c r="CK63" s="14" t="e">
        <f>DISTRIBUSI!#REF!</f>
        <v>#REF!</v>
      </c>
      <c r="CL63" s="14">
        <f>'PEMAKAIAN UNIT'!N60</f>
        <v>0</v>
      </c>
      <c r="CM63" s="14" t="e">
        <f t="shared" si="39"/>
        <v>#REF!</v>
      </c>
      <c r="CN63" s="15" t="e">
        <f t="shared" si="40"/>
        <v>#REF!</v>
      </c>
      <c r="CO63" s="14" t="e">
        <f>DL63+DISTRIBUSI!#REF!-'PEMAKAIAN UNIT'!O60</f>
        <v>#REF!</v>
      </c>
      <c r="CP63" s="15" t="e">
        <f t="shared" si="41"/>
        <v>#REF!</v>
      </c>
      <c r="CQ63" s="226">
        <f t="shared" si="42"/>
        <v>57</v>
      </c>
      <c r="CR63" s="226">
        <f>DISTRIBUSI!R61</f>
        <v>0</v>
      </c>
      <c r="CS63" s="226">
        <f>'PEMAKAIAN UNIT'!P60</f>
        <v>0</v>
      </c>
      <c r="CT63" s="14">
        <f t="shared" si="43"/>
        <v>57</v>
      </c>
      <c r="CU63" s="15">
        <f t="shared" si="44"/>
        <v>30</v>
      </c>
      <c r="CV63" s="14" t="e">
        <f>DN63+DISTRIBUSI!#REF!-'PEMAKAIAN UNIT'!Q60</f>
        <v>#REF!</v>
      </c>
      <c r="CW63" s="15" t="e">
        <f t="shared" si="45"/>
        <v>#REF!</v>
      </c>
      <c r="CX63" s="14">
        <f>DO63+'LPLPO GUDANG'!E66-'LPLPO GUDANG'!G66</f>
        <v>0</v>
      </c>
      <c r="CY63" s="15">
        <f t="shared" si="46"/>
        <v>0</v>
      </c>
      <c r="CZ63" s="28"/>
      <c r="DA63" s="14">
        <v>0</v>
      </c>
      <c r="DB63" s="14"/>
      <c r="DC63" s="14">
        <v>0</v>
      </c>
      <c r="DD63" s="14">
        <v>0</v>
      </c>
      <c r="DE63" s="14">
        <v>0</v>
      </c>
      <c r="DF63" s="14"/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57</v>
      </c>
      <c r="DN63" s="14">
        <v>0</v>
      </c>
      <c r="DO63" s="13">
        <v>0</v>
      </c>
      <c r="DP63" s="13">
        <f t="shared" si="47"/>
        <v>57</v>
      </c>
      <c r="DR63" t="s">
        <v>44</v>
      </c>
      <c r="DU63" s="20" t="e">
        <f t="shared" si="48"/>
        <v>#REF!</v>
      </c>
    </row>
    <row r="64" spans="1:125" customFormat="1" ht="20.149999999999999" customHeight="1" x14ac:dyDescent="0.35">
      <c r="A64" s="84">
        <f t="shared" si="49"/>
        <v>53</v>
      </c>
      <c r="B64" s="142" t="s">
        <v>45</v>
      </c>
      <c r="C64" s="161" t="s">
        <v>335</v>
      </c>
      <c r="D64" s="109">
        <v>0</v>
      </c>
      <c r="E64" s="110">
        <f>'LPLPO GUDANG'!E67</f>
        <v>0</v>
      </c>
      <c r="F64" s="110">
        <f t="shared" si="0"/>
        <v>0</v>
      </c>
      <c r="G64" s="110">
        <f>'PEMAKAIAN UNIT'!R61</f>
        <v>0</v>
      </c>
      <c r="H64" s="14">
        <v>0</v>
      </c>
      <c r="I64" s="14">
        <v>0</v>
      </c>
      <c r="J64" s="14">
        <v>0</v>
      </c>
      <c r="K64" s="14"/>
      <c r="L64" s="14"/>
      <c r="M64" s="14"/>
      <c r="N64" s="14"/>
      <c r="O64" s="14"/>
      <c r="P64" s="14"/>
      <c r="Q64" s="14"/>
      <c r="R64" s="14"/>
      <c r="S64" s="14">
        <v>0</v>
      </c>
      <c r="T64" s="14">
        <v>0</v>
      </c>
      <c r="U64" s="14">
        <v>1</v>
      </c>
      <c r="V64" s="14">
        <v>0</v>
      </c>
      <c r="W64" s="14">
        <v>0</v>
      </c>
      <c r="X64" s="14">
        <v>0</v>
      </c>
      <c r="Y64" s="109">
        <f t="shared" si="1"/>
        <v>0</v>
      </c>
      <c r="Z64" s="109" t="e">
        <f t="shared" si="2"/>
        <v>#REF!</v>
      </c>
      <c r="AA64" s="109" t="e">
        <f t="shared" si="3"/>
        <v>#REF!</v>
      </c>
      <c r="AB64" s="14">
        <v>24</v>
      </c>
      <c r="AC64" s="109" t="e">
        <f t="shared" si="4"/>
        <v>#REF!</v>
      </c>
      <c r="AD64" s="109">
        <f>'LPLPO GUDANG'!H67</f>
        <v>72</v>
      </c>
      <c r="AE64" s="111" t="e">
        <f t="shared" si="5"/>
        <v>#REF!</v>
      </c>
      <c r="AF64" s="212"/>
      <c r="AG64" s="212"/>
      <c r="AH64" s="20"/>
      <c r="AI64" s="14">
        <f t="shared" si="6"/>
        <v>0</v>
      </c>
      <c r="AJ64" s="209" t="e">
        <f t="shared" si="7"/>
        <v>#REF!</v>
      </c>
      <c r="AL64" s="14">
        <f t="shared" si="8"/>
        <v>0</v>
      </c>
      <c r="AM64" s="14">
        <f>DISTRIBUSI!D62</f>
        <v>0</v>
      </c>
      <c r="AN64" s="14">
        <f>'PEMAKAIAN UNIT'!D61</f>
        <v>0</v>
      </c>
      <c r="AO64" s="14">
        <f t="shared" si="9"/>
        <v>0</v>
      </c>
      <c r="AP64" s="15">
        <f t="shared" si="10"/>
        <v>0</v>
      </c>
      <c r="AQ64" s="14">
        <f t="shared" si="11"/>
        <v>0</v>
      </c>
      <c r="AR64" s="14">
        <f>DISTRIBUSI!E62</f>
        <v>0</v>
      </c>
      <c r="AS64" s="14">
        <f>'PEMAKAIAN UNIT'!E61</f>
        <v>0</v>
      </c>
      <c r="AT64" s="14">
        <f t="shared" si="12"/>
        <v>0</v>
      </c>
      <c r="AU64" s="15">
        <f t="shared" si="13"/>
        <v>0</v>
      </c>
      <c r="AV64" s="14">
        <f t="shared" si="14"/>
        <v>4</v>
      </c>
      <c r="AW64" s="14">
        <f>DISTRIBUSI!F62</f>
        <v>0</v>
      </c>
      <c r="AX64" s="14">
        <f>'PEMAKAIAN UNIT'!F61</f>
        <v>0</v>
      </c>
      <c r="AY64" s="14">
        <f t="shared" si="15"/>
        <v>4</v>
      </c>
      <c r="AZ64" s="15">
        <f t="shared" si="16"/>
        <v>4</v>
      </c>
      <c r="BA64" s="14">
        <f t="shared" si="17"/>
        <v>0</v>
      </c>
      <c r="BB64" s="14">
        <f>DISTRIBUSI!G62</f>
        <v>0</v>
      </c>
      <c r="BC64" s="14">
        <f>'PEMAKAIAN UNIT'!G61</f>
        <v>0</v>
      </c>
      <c r="BD64" s="14">
        <f t="shared" si="18"/>
        <v>0</v>
      </c>
      <c r="BE64" s="15">
        <f t="shared" si="19"/>
        <v>0</v>
      </c>
      <c r="BF64" s="14">
        <f t="shared" si="20"/>
        <v>0</v>
      </c>
      <c r="BG64" s="14">
        <f>DISTRIBUSI!H62</f>
        <v>0</v>
      </c>
      <c r="BH64" s="14">
        <f>'PEMAKAIAN UNIT'!H61</f>
        <v>0</v>
      </c>
      <c r="BI64" s="14">
        <f t="shared" si="21"/>
        <v>0</v>
      </c>
      <c r="BJ64" s="15">
        <f t="shared" si="22"/>
        <v>0</v>
      </c>
      <c r="BK64" s="14">
        <f t="shared" si="23"/>
        <v>2</v>
      </c>
      <c r="BL64" s="14">
        <f>DISTRIBUSI!I62</f>
        <v>0</v>
      </c>
      <c r="BM64" s="14">
        <f>'PEMAKAIAN UNIT'!I61</f>
        <v>0</v>
      </c>
      <c r="BN64" s="14">
        <f t="shared" si="24"/>
        <v>2</v>
      </c>
      <c r="BO64" s="15">
        <f t="shared" si="25"/>
        <v>1</v>
      </c>
      <c r="BP64" s="14">
        <f t="shared" si="26"/>
        <v>0</v>
      </c>
      <c r="BQ64" s="14">
        <f>DISTRIBUSI!J62</f>
        <v>0</v>
      </c>
      <c r="BR64" s="14">
        <f>'PEMAKAIAN UNIT'!J61</f>
        <v>0</v>
      </c>
      <c r="BS64" s="14">
        <f t="shared" si="27"/>
        <v>0</v>
      </c>
      <c r="BT64" s="15">
        <f t="shared" si="28"/>
        <v>0</v>
      </c>
      <c r="BU64" s="14">
        <f t="shared" si="29"/>
        <v>0</v>
      </c>
      <c r="BV64" s="14">
        <f>DISTRIBUSI!K62</f>
        <v>0</v>
      </c>
      <c r="BW64" s="14">
        <f>'PEMAKAIAN UNIT'!K61</f>
        <v>0</v>
      </c>
      <c r="BX64" s="14">
        <f t="shared" si="30"/>
        <v>0</v>
      </c>
      <c r="BY64" s="15">
        <f t="shared" si="31"/>
        <v>0</v>
      </c>
      <c r="BZ64" s="14">
        <f t="shared" si="32"/>
        <v>0</v>
      </c>
      <c r="CA64" s="14">
        <f>DISTRIBUSI!L62</f>
        <v>0</v>
      </c>
      <c r="CB64" s="14">
        <f>'PEMAKAIAN UNIT'!L61</f>
        <v>0</v>
      </c>
      <c r="CC64" s="14">
        <f t="shared" si="33"/>
        <v>0</v>
      </c>
      <c r="CD64" s="15">
        <f t="shared" si="34"/>
        <v>0</v>
      </c>
      <c r="CE64" s="14">
        <f t="shared" si="35"/>
        <v>0</v>
      </c>
      <c r="CF64" s="14">
        <f>DISTRIBUSI!M62</f>
        <v>0</v>
      </c>
      <c r="CG64" s="14">
        <f>'PEMAKAIAN UNIT'!M61</f>
        <v>0</v>
      </c>
      <c r="CH64" s="14">
        <f t="shared" si="36"/>
        <v>0</v>
      </c>
      <c r="CI64" s="15">
        <f t="shared" si="37"/>
        <v>0</v>
      </c>
      <c r="CJ64" s="14">
        <f t="shared" si="38"/>
        <v>0</v>
      </c>
      <c r="CK64" s="14" t="e">
        <f>DISTRIBUSI!#REF!</f>
        <v>#REF!</v>
      </c>
      <c r="CL64" s="14">
        <f>'PEMAKAIAN UNIT'!N61</f>
        <v>0</v>
      </c>
      <c r="CM64" s="14" t="e">
        <f t="shared" si="39"/>
        <v>#REF!</v>
      </c>
      <c r="CN64" s="15" t="e">
        <f t="shared" si="40"/>
        <v>#REF!</v>
      </c>
      <c r="CO64" s="14" t="e">
        <f>DL64+DISTRIBUSI!#REF!-'PEMAKAIAN UNIT'!O61</f>
        <v>#REF!</v>
      </c>
      <c r="CP64" s="15" t="e">
        <f t="shared" si="41"/>
        <v>#REF!</v>
      </c>
      <c r="CQ64" s="226">
        <f t="shared" si="42"/>
        <v>14</v>
      </c>
      <c r="CR64" s="226">
        <f>DISTRIBUSI!R62</f>
        <v>0</v>
      </c>
      <c r="CS64" s="226">
        <f>'PEMAKAIAN UNIT'!P61</f>
        <v>0</v>
      </c>
      <c r="CT64" s="14">
        <f t="shared" si="43"/>
        <v>14</v>
      </c>
      <c r="CU64" s="15">
        <f t="shared" si="44"/>
        <v>-10</v>
      </c>
      <c r="CV64" s="14" t="e">
        <f>DN64+DISTRIBUSI!#REF!-'PEMAKAIAN UNIT'!Q61</f>
        <v>#REF!</v>
      </c>
      <c r="CW64" s="15" t="e">
        <f t="shared" si="45"/>
        <v>#REF!</v>
      </c>
      <c r="CX64" s="14">
        <f>DO64+'LPLPO GUDANG'!E67-'LPLPO GUDANG'!G67</f>
        <v>24</v>
      </c>
      <c r="CY64" s="15">
        <f t="shared" si="46"/>
        <v>-48</v>
      </c>
      <c r="CZ64" s="28"/>
      <c r="DA64" s="14">
        <v>0</v>
      </c>
      <c r="DB64" s="14"/>
      <c r="DC64" s="14">
        <v>4</v>
      </c>
      <c r="DD64" s="14">
        <v>0</v>
      </c>
      <c r="DE64" s="14">
        <v>0</v>
      </c>
      <c r="DF64" s="14">
        <v>2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14</v>
      </c>
      <c r="DN64" s="14">
        <v>0</v>
      </c>
      <c r="DO64" s="14">
        <v>24</v>
      </c>
      <c r="DP64" s="13">
        <f t="shared" si="47"/>
        <v>44</v>
      </c>
      <c r="DR64" t="s">
        <v>45</v>
      </c>
      <c r="DU64" s="20" t="e">
        <f t="shared" si="48"/>
        <v>#REF!</v>
      </c>
    </row>
    <row r="65" spans="1:125" customFormat="1" ht="20.149999999999999" customHeight="1" x14ac:dyDescent="0.35">
      <c r="A65" s="84">
        <f t="shared" si="49"/>
        <v>54</v>
      </c>
      <c r="B65" s="142" t="s">
        <v>46</v>
      </c>
      <c r="C65" s="161" t="s">
        <v>344</v>
      </c>
      <c r="D65" s="109">
        <v>0</v>
      </c>
      <c r="E65" s="110">
        <f>'LPLPO GUDANG'!E68</f>
        <v>300</v>
      </c>
      <c r="F65" s="110">
        <f t="shared" si="0"/>
        <v>300</v>
      </c>
      <c r="G65" s="110">
        <f>'PEMAKAIAN UNIT'!R62</f>
        <v>0</v>
      </c>
      <c r="H65" s="14">
        <v>0</v>
      </c>
      <c r="I65" s="14">
        <v>0</v>
      </c>
      <c r="J65" s="14">
        <v>0</v>
      </c>
      <c r="K65" s="14"/>
      <c r="L65" s="14"/>
      <c r="M65" s="14"/>
      <c r="N65" s="14"/>
      <c r="O65" s="14"/>
      <c r="P65" s="14"/>
      <c r="Q65" s="14"/>
      <c r="R65" s="14"/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09">
        <f t="shared" si="1"/>
        <v>0</v>
      </c>
      <c r="Z65" s="109" t="e">
        <f t="shared" si="2"/>
        <v>#REF!</v>
      </c>
      <c r="AA65" s="109" t="e">
        <f t="shared" si="3"/>
        <v>#REF!</v>
      </c>
      <c r="AB65" s="14">
        <v>376</v>
      </c>
      <c r="AC65" s="109" t="e">
        <f t="shared" si="4"/>
        <v>#REF!</v>
      </c>
      <c r="AD65" s="109">
        <f>'LPLPO GUDANG'!H68</f>
        <v>0</v>
      </c>
      <c r="AE65" s="111" t="e">
        <f t="shared" si="5"/>
        <v>#REF!</v>
      </c>
      <c r="AF65" s="212"/>
      <c r="AG65" s="212"/>
      <c r="AH65" s="20"/>
      <c r="AI65" s="14">
        <f t="shared" si="6"/>
        <v>300</v>
      </c>
      <c r="AJ65" s="209" t="e">
        <f t="shared" si="7"/>
        <v>#REF!</v>
      </c>
      <c r="AL65" s="14">
        <f t="shared" si="8"/>
        <v>0</v>
      </c>
      <c r="AM65" s="14">
        <f>DISTRIBUSI!D63</f>
        <v>0</v>
      </c>
      <c r="AN65" s="14">
        <f>'PEMAKAIAN UNIT'!D62</f>
        <v>0</v>
      </c>
      <c r="AO65" s="14">
        <f t="shared" si="9"/>
        <v>0</v>
      </c>
      <c r="AP65" s="15">
        <f t="shared" si="10"/>
        <v>0</v>
      </c>
      <c r="AQ65" s="14">
        <f t="shared" si="11"/>
        <v>0</v>
      </c>
      <c r="AR65" s="14">
        <f>DISTRIBUSI!E63</f>
        <v>0</v>
      </c>
      <c r="AS65" s="14">
        <f>'PEMAKAIAN UNIT'!E62</f>
        <v>0</v>
      </c>
      <c r="AT65" s="14">
        <f t="shared" si="12"/>
        <v>0</v>
      </c>
      <c r="AU65" s="15">
        <f t="shared" si="13"/>
        <v>0</v>
      </c>
      <c r="AV65" s="14">
        <f t="shared" si="14"/>
        <v>0</v>
      </c>
      <c r="AW65" s="14">
        <f>DISTRIBUSI!F63</f>
        <v>0</v>
      </c>
      <c r="AX65" s="14">
        <f>'PEMAKAIAN UNIT'!F62</f>
        <v>0</v>
      </c>
      <c r="AY65" s="14">
        <f t="shared" si="15"/>
        <v>0</v>
      </c>
      <c r="AZ65" s="15">
        <f t="shared" si="16"/>
        <v>0</v>
      </c>
      <c r="BA65" s="14">
        <f t="shared" si="17"/>
        <v>0</v>
      </c>
      <c r="BB65" s="14">
        <f>DISTRIBUSI!G63</f>
        <v>0</v>
      </c>
      <c r="BC65" s="14">
        <f>'PEMAKAIAN UNIT'!G62</f>
        <v>0</v>
      </c>
      <c r="BD65" s="14">
        <f t="shared" si="18"/>
        <v>0</v>
      </c>
      <c r="BE65" s="15">
        <f t="shared" si="19"/>
        <v>0</v>
      </c>
      <c r="BF65" s="14">
        <f t="shared" si="20"/>
        <v>0</v>
      </c>
      <c r="BG65" s="14">
        <f>DISTRIBUSI!H63</f>
        <v>0</v>
      </c>
      <c r="BH65" s="14">
        <f>'PEMAKAIAN UNIT'!H62</f>
        <v>0</v>
      </c>
      <c r="BI65" s="14">
        <f t="shared" si="21"/>
        <v>0</v>
      </c>
      <c r="BJ65" s="15">
        <f t="shared" si="22"/>
        <v>0</v>
      </c>
      <c r="BK65" s="14">
        <f t="shared" si="23"/>
        <v>0</v>
      </c>
      <c r="BL65" s="14">
        <f>DISTRIBUSI!I63</f>
        <v>0</v>
      </c>
      <c r="BM65" s="14">
        <f>'PEMAKAIAN UNIT'!I62</f>
        <v>0</v>
      </c>
      <c r="BN65" s="14">
        <f t="shared" si="24"/>
        <v>0</v>
      </c>
      <c r="BO65" s="15">
        <f t="shared" si="25"/>
        <v>0</v>
      </c>
      <c r="BP65" s="14">
        <f t="shared" si="26"/>
        <v>0</v>
      </c>
      <c r="BQ65" s="14">
        <f>DISTRIBUSI!J63</f>
        <v>0</v>
      </c>
      <c r="BR65" s="14">
        <f>'PEMAKAIAN UNIT'!J62</f>
        <v>0</v>
      </c>
      <c r="BS65" s="14">
        <f t="shared" si="27"/>
        <v>0</v>
      </c>
      <c r="BT65" s="15">
        <f t="shared" si="28"/>
        <v>0</v>
      </c>
      <c r="BU65" s="14">
        <f t="shared" si="29"/>
        <v>0</v>
      </c>
      <c r="BV65" s="14">
        <f>DISTRIBUSI!K63</f>
        <v>0</v>
      </c>
      <c r="BW65" s="14">
        <f>'PEMAKAIAN UNIT'!K62</f>
        <v>0</v>
      </c>
      <c r="BX65" s="14">
        <f t="shared" si="30"/>
        <v>0</v>
      </c>
      <c r="BY65" s="15">
        <f t="shared" si="31"/>
        <v>0</v>
      </c>
      <c r="BZ65" s="14">
        <f t="shared" si="32"/>
        <v>0</v>
      </c>
      <c r="CA65" s="14">
        <f>DISTRIBUSI!L63</f>
        <v>0</v>
      </c>
      <c r="CB65" s="14">
        <f>'PEMAKAIAN UNIT'!L62</f>
        <v>0</v>
      </c>
      <c r="CC65" s="14">
        <f t="shared" si="33"/>
        <v>0</v>
      </c>
      <c r="CD65" s="15">
        <f t="shared" si="34"/>
        <v>0</v>
      </c>
      <c r="CE65" s="14">
        <f t="shared" si="35"/>
        <v>0</v>
      </c>
      <c r="CF65" s="14">
        <f>DISTRIBUSI!M63</f>
        <v>0</v>
      </c>
      <c r="CG65" s="14">
        <f>'PEMAKAIAN UNIT'!M62</f>
        <v>0</v>
      </c>
      <c r="CH65" s="14">
        <f t="shared" si="36"/>
        <v>0</v>
      </c>
      <c r="CI65" s="15">
        <f t="shared" si="37"/>
        <v>0</v>
      </c>
      <c r="CJ65" s="14">
        <f t="shared" si="38"/>
        <v>0</v>
      </c>
      <c r="CK65" s="14" t="e">
        <f>DISTRIBUSI!#REF!</f>
        <v>#REF!</v>
      </c>
      <c r="CL65" s="14">
        <f>'PEMAKAIAN UNIT'!N62</f>
        <v>0</v>
      </c>
      <c r="CM65" s="14" t="e">
        <f t="shared" si="39"/>
        <v>#REF!</v>
      </c>
      <c r="CN65" s="15" t="e">
        <f t="shared" si="40"/>
        <v>#REF!</v>
      </c>
      <c r="CO65" s="14" t="e">
        <f>DL65+DISTRIBUSI!#REF!-'PEMAKAIAN UNIT'!O62</f>
        <v>#REF!</v>
      </c>
      <c r="CP65" s="15" t="e">
        <f t="shared" si="41"/>
        <v>#REF!</v>
      </c>
      <c r="CQ65" s="226">
        <f t="shared" si="42"/>
        <v>466</v>
      </c>
      <c r="CR65" s="226">
        <f>DISTRIBUSI!R63</f>
        <v>300</v>
      </c>
      <c r="CS65" s="226">
        <f>'PEMAKAIAN UNIT'!P62</f>
        <v>0</v>
      </c>
      <c r="CT65" s="14">
        <f t="shared" si="43"/>
        <v>766</v>
      </c>
      <c r="CU65" s="15">
        <f t="shared" si="44"/>
        <v>390</v>
      </c>
      <c r="CV65" s="14" t="e">
        <f>DN65+DISTRIBUSI!#REF!-'PEMAKAIAN UNIT'!Q62</f>
        <v>#REF!</v>
      </c>
      <c r="CW65" s="15" t="e">
        <f t="shared" si="45"/>
        <v>#REF!</v>
      </c>
      <c r="CX65" s="14">
        <f>DO65+'LPLPO GUDANG'!E68-'LPLPO GUDANG'!G68</f>
        <v>500</v>
      </c>
      <c r="CY65" s="15">
        <f t="shared" si="46"/>
        <v>500</v>
      </c>
      <c r="CZ65" s="28"/>
      <c r="DA65" s="14">
        <v>0</v>
      </c>
      <c r="DB65" s="14"/>
      <c r="DC65" s="14">
        <v>0</v>
      </c>
      <c r="DD65" s="14">
        <v>0</v>
      </c>
      <c r="DE65" s="14">
        <v>0</v>
      </c>
      <c r="DF65" s="14"/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466</v>
      </c>
      <c r="DN65" s="14">
        <v>0</v>
      </c>
      <c r="DO65" s="14">
        <v>500</v>
      </c>
      <c r="DP65" s="13">
        <f t="shared" si="47"/>
        <v>966</v>
      </c>
      <c r="DR65" t="s">
        <v>46</v>
      </c>
      <c r="DU65" s="20" t="e">
        <f t="shared" si="48"/>
        <v>#REF!</v>
      </c>
    </row>
    <row r="66" spans="1:125" customFormat="1" ht="18" x14ac:dyDescent="0.35">
      <c r="A66" s="84">
        <f t="shared" si="49"/>
        <v>55</v>
      </c>
      <c r="B66" s="142" t="s">
        <v>47</v>
      </c>
      <c r="C66" s="157" t="s">
        <v>48</v>
      </c>
      <c r="D66" s="109">
        <v>0</v>
      </c>
      <c r="E66" s="110">
        <f>'LPLPO GUDANG'!E69</f>
        <v>0</v>
      </c>
      <c r="F66" s="110">
        <f t="shared" si="0"/>
        <v>0</v>
      </c>
      <c r="G66" s="110">
        <f>'PEMAKAIAN UNIT'!R63</f>
        <v>0</v>
      </c>
      <c r="H66" s="14">
        <v>0</v>
      </c>
      <c r="I66" s="14">
        <v>0</v>
      </c>
      <c r="J66" s="14">
        <v>0</v>
      </c>
      <c r="K66" s="14"/>
      <c r="L66" s="14"/>
      <c r="M66" s="14"/>
      <c r="N66" s="14"/>
      <c r="O66" s="14"/>
      <c r="P66" s="14"/>
      <c r="Q66" s="14"/>
      <c r="R66" s="14"/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09">
        <f t="shared" si="1"/>
        <v>0</v>
      </c>
      <c r="Z66" s="109" t="e">
        <f t="shared" si="2"/>
        <v>#REF!</v>
      </c>
      <c r="AA66" s="109" t="e">
        <f t="shared" si="3"/>
        <v>#REF!</v>
      </c>
      <c r="AB66" s="14">
        <v>9</v>
      </c>
      <c r="AC66" s="109" t="e">
        <f t="shared" si="4"/>
        <v>#REF!</v>
      </c>
      <c r="AD66" s="109">
        <f>'LPLPO GUDANG'!H69</f>
        <v>90</v>
      </c>
      <c r="AE66" s="111" t="e">
        <f t="shared" si="5"/>
        <v>#REF!</v>
      </c>
      <c r="AF66" s="212"/>
      <c r="AG66" s="212"/>
      <c r="AH66" s="20"/>
      <c r="AI66" s="14">
        <f t="shared" si="6"/>
        <v>0</v>
      </c>
      <c r="AJ66" s="209" t="e">
        <f t="shared" si="7"/>
        <v>#REF!</v>
      </c>
      <c r="AL66" s="14">
        <f t="shared" si="8"/>
        <v>0</v>
      </c>
      <c r="AM66" s="14">
        <f>DISTRIBUSI!D64</f>
        <v>0</v>
      </c>
      <c r="AN66" s="14">
        <f>'PEMAKAIAN UNIT'!D63</f>
        <v>0</v>
      </c>
      <c r="AO66" s="14">
        <f t="shared" si="9"/>
        <v>0</v>
      </c>
      <c r="AP66" s="15">
        <f t="shared" si="10"/>
        <v>0</v>
      </c>
      <c r="AQ66" s="14">
        <f t="shared" si="11"/>
        <v>0</v>
      </c>
      <c r="AR66" s="14">
        <f>DISTRIBUSI!E64</f>
        <v>0</v>
      </c>
      <c r="AS66" s="14">
        <f>'PEMAKAIAN UNIT'!E63</f>
        <v>0</v>
      </c>
      <c r="AT66" s="14">
        <f t="shared" si="12"/>
        <v>0</v>
      </c>
      <c r="AU66" s="15">
        <f t="shared" si="13"/>
        <v>0</v>
      </c>
      <c r="AV66" s="14">
        <f t="shared" si="14"/>
        <v>0</v>
      </c>
      <c r="AW66" s="14">
        <f>DISTRIBUSI!F64</f>
        <v>0</v>
      </c>
      <c r="AX66" s="14">
        <f>'PEMAKAIAN UNIT'!F63</f>
        <v>0</v>
      </c>
      <c r="AY66" s="14">
        <f t="shared" si="15"/>
        <v>0</v>
      </c>
      <c r="AZ66" s="15">
        <f t="shared" si="16"/>
        <v>0</v>
      </c>
      <c r="BA66" s="14">
        <f t="shared" si="17"/>
        <v>0</v>
      </c>
      <c r="BB66" s="14">
        <f>DISTRIBUSI!G64</f>
        <v>0</v>
      </c>
      <c r="BC66" s="14">
        <f>'PEMAKAIAN UNIT'!G63</f>
        <v>0</v>
      </c>
      <c r="BD66" s="14">
        <f t="shared" si="18"/>
        <v>0</v>
      </c>
      <c r="BE66" s="15">
        <f t="shared" si="19"/>
        <v>0</v>
      </c>
      <c r="BF66" s="14">
        <f t="shared" si="20"/>
        <v>0</v>
      </c>
      <c r="BG66" s="14">
        <f>DISTRIBUSI!H64</f>
        <v>0</v>
      </c>
      <c r="BH66" s="14">
        <f>'PEMAKAIAN UNIT'!H63</f>
        <v>0</v>
      </c>
      <c r="BI66" s="14">
        <f t="shared" si="21"/>
        <v>0</v>
      </c>
      <c r="BJ66" s="15">
        <f t="shared" si="22"/>
        <v>0</v>
      </c>
      <c r="BK66" s="14">
        <f t="shared" si="23"/>
        <v>0</v>
      </c>
      <c r="BL66" s="14">
        <f>DISTRIBUSI!I64</f>
        <v>0</v>
      </c>
      <c r="BM66" s="14">
        <f>'PEMAKAIAN UNIT'!I63</f>
        <v>0</v>
      </c>
      <c r="BN66" s="14">
        <f t="shared" si="24"/>
        <v>0</v>
      </c>
      <c r="BO66" s="15">
        <f t="shared" si="25"/>
        <v>0</v>
      </c>
      <c r="BP66" s="14">
        <f t="shared" si="26"/>
        <v>0</v>
      </c>
      <c r="BQ66" s="14">
        <f>DISTRIBUSI!J64</f>
        <v>0</v>
      </c>
      <c r="BR66" s="14">
        <f>'PEMAKAIAN UNIT'!J63</f>
        <v>0</v>
      </c>
      <c r="BS66" s="14">
        <f t="shared" si="27"/>
        <v>0</v>
      </c>
      <c r="BT66" s="15">
        <f t="shared" si="28"/>
        <v>0</v>
      </c>
      <c r="BU66" s="14">
        <f t="shared" si="29"/>
        <v>0</v>
      </c>
      <c r="BV66" s="14">
        <f>DISTRIBUSI!K64</f>
        <v>0</v>
      </c>
      <c r="BW66" s="14">
        <f>'PEMAKAIAN UNIT'!K63</f>
        <v>0</v>
      </c>
      <c r="BX66" s="14">
        <f t="shared" si="30"/>
        <v>0</v>
      </c>
      <c r="BY66" s="15">
        <f t="shared" si="31"/>
        <v>0</v>
      </c>
      <c r="BZ66" s="14">
        <f t="shared" si="32"/>
        <v>0</v>
      </c>
      <c r="CA66" s="14">
        <f>DISTRIBUSI!L64</f>
        <v>0</v>
      </c>
      <c r="CB66" s="14">
        <f>'PEMAKAIAN UNIT'!L63</f>
        <v>0</v>
      </c>
      <c r="CC66" s="14">
        <f t="shared" si="33"/>
        <v>0</v>
      </c>
      <c r="CD66" s="15">
        <f t="shared" si="34"/>
        <v>0</v>
      </c>
      <c r="CE66" s="14">
        <f t="shared" si="35"/>
        <v>0</v>
      </c>
      <c r="CF66" s="14">
        <f>DISTRIBUSI!M64</f>
        <v>0</v>
      </c>
      <c r="CG66" s="14">
        <f>'PEMAKAIAN UNIT'!M63</f>
        <v>0</v>
      </c>
      <c r="CH66" s="14">
        <f t="shared" si="36"/>
        <v>0</v>
      </c>
      <c r="CI66" s="15">
        <f t="shared" si="37"/>
        <v>0</v>
      </c>
      <c r="CJ66" s="14">
        <f t="shared" si="38"/>
        <v>0</v>
      </c>
      <c r="CK66" s="14" t="e">
        <f>DISTRIBUSI!#REF!</f>
        <v>#REF!</v>
      </c>
      <c r="CL66" s="14">
        <f>'PEMAKAIAN UNIT'!N63</f>
        <v>0</v>
      </c>
      <c r="CM66" s="14" t="e">
        <f t="shared" si="39"/>
        <v>#REF!</v>
      </c>
      <c r="CN66" s="15" t="e">
        <f t="shared" si="40"/>
        <v>#REF!</v>
      </c>
      <c r="CO66" s="14" t="e">
        <f>DL66+DISTRIBUSI!#REF!-'PEMAKAIAN UNIT'!O63</f>
        <v>#REF!</v>
      </c>
      <c r="CP66" s="15" t="e">
        <f t="shared" si="41"/>
        <v>#REF!</v>
      </c>
      <c r="CQ66" s="226">
        <f t="shared" si="42"/>
        <v>16</v>
      </c>
      <c r="CR66" s="226">
        <f>DISTRIBUSI!R64</f>
        <v>0</v>
      </c>
      <c r="CS66" s="226">
        <f>'PEMAKAIAN UNIT'!P63</f>
        <v>0</v>
      </c>
      <c r="CT66" s="14">
        <f t="shared" si="43"/>
        <v>16</v>
      </c>
      <c r="CU66" s="15">
        <f t="shared" si="44"/>
        <v>7</v>
      </c>
      <c r="CV66" s="14" t="e">
        <f>DN66+DISTRIBUSI!#REF!-'PEMAKAIAN UNIT'!Q63</f>
        <v>#REF!</v>
      </c>
      <c r="CW66" s="15" t="e">
        <f t="shared" si="45"/>
        <v>#REF!</v>
      </c>
      <c r="CX66" s="14">
        <f>DO66+'LPLPO GUDANG'!E69-'LPLPO GUDANG'!G69</f>
        <v>10</v>
      </c>
      <c r="CY66" s="15">
        <f t="shared" si="46"/>
        <v>-80</v>
      </c>
      <c r="CZ66" s="28"/>
      <c r="DA66" s="14">
        <v>0</v>
      </c>
      <c r="DB66" s="14"/>
      <c r="DC66" s="14">
        <v>0</v>
      </c>
      <c r="DD66" s="14">
        <v>0</v>
      </c>
      <c r="DE66" s="14">
        <v>0</v>
      </c>
      <c r="DF66" s="14"/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16</v>
      </c>
      <c r="DN66" s="14">
        <v>0</v>
      </c>
      <c r="DO66" s="14">
        <v>20</v>
      </c>
      <c r="DP66" s="13">
        <f t="shared" si="47"/>
        <v>36</v>
      </c>
      <c r="DR66" t="s">
        <v>47</v>
      </c>
      <c r="DU66" s="20" t="e">
        <f t="shared" si="48"/>
        <v>#REF!</v>
      </c>
    </row>
    <row r="67" spans="1:125" customFormat="1" ht="20.149999999999999" customHeight="1" x14ac:dyDescent="0.35">
      <c r="A67" s="84">
        <f t="shared" si="49"/>
        <v>56</v>
      </c>
      <c r="B67" s="142" t="s">
        <v>49</v>
      </c>
      <c r="C67" s="157" t="s">
        <v>341</v>
      </c>
      <c r="D67" s="109">
        <v>0</v>
      </c>
      <c r="E67" s="110">
        <f>'LPLPO GUDANG'!E70</f>
        <v>1500</v>
      </c>
      <c r="F67" s="110">
        <f t="shared" si="0"/>
        <v>1500</v>
      </c>
      <c r="G67" s="110">
        <f>'PEMAKAIAN UNIT'!R64</f>
        <v>0</v>
      </c>
      <c r="H67" s="14">
        <v>80</v>
      </c>
      <c r="I67" s="14">
        <v>170</v>
      </c>
      <c r="J67" s="14">
        <v>0</v>
      </c>
      <c r="K67" s="14"/>
      <c r="L67" s="14"/>
      <c r="M67" s="14"/>
      <c r="N67" s="14"/>
      <c r="O67" s="14"/>
      <c r="P67" s="14"/>
      <c r="Q67" s="14"/>
      <c r="R67" s="14"/>
      <c r="S67" s="14">
        <v>150</v>
      </c>
      <c r="T67" s="14">
        <v>0</v>
      </c>
      <c r="U67" s="14">
        <v>10</v>
      </c>
      <c r="V67" s="14">
        <v>230</v>
      </c>
      <c r="W67" s="14">
        <v>90</v>
      </c>
      <c r="X67" s="14">
        <v>40</v>
      </c>
      <c r="Y67" s="109">
        <f t="shared" si="1"/>
        <v>0</v>
      </c>
      <c r="Z67" s="109" t="e">
        <f t="shared" si="2"/>
        <v>#REF!</v>
      </c>
      <c r="AA67" s="109" t="e">
        <f t="shared" si="3"/>
        <v>#REF!</v>
      </c>
      <c r="AB67" s="14">
        <v>562</v>
      </c>
      <c r="AC67" s="109" t="e">
        <f t="shared" si="4"/>
        <v>#REF!</v>
      </c>
      <c r="AD67" s="109">
        <f>'LPLPO GUDANG'!H70</f>
        <v>500</v>
      </c>
      <c r="AE67" s="111" t="e">
        <f t="shared" si="5"/>
        <v>#REF!</v>
      </c>
      <c r="AF67" s="212"/>
      <c r="AG67" s="212"/>
      <c r="AH67" s="20"/>
      <c r="AI67" s="14">
        <f t="shared" si="6"/>
        <v>1500</v>
      </c>
      <c r="AJ67" s="209" t="e">
        <f t="shared" si="7"/>
        <v>#REF!</v>
      </c>
      <c r="AL67" s="14">
        <f t="shared" si="8"/>
        <v>170</v>
      </c>
      <c r="AM67" s="14">
        <f>DISTRIBUSI!D65</f>
        <v>0</v>
      </c>
      <c r="AN67" s="14">
        <f>'PEMAKAIAN UNIT'!D64</f>
        <v>0</v>
      </c>
      <c r="AO67" s="14">
        <f t="shared" si="9"/>
        <v>170</v>
      </c>
      <c r="AP67" s="15">
        <f t="shared" si="10"/>
        <v>90</v>
      </c>
      <c r="AQ67" s="14">
        <f t="shared" si="11"/>
        <v>170</v>
      </c>
      <c r="AR67" s="14">
        <f>DISTRIBUSI!E65</f>
        <v>0</v>
      </c>
      <c r="AS67" s="14">
        <f>'PEMAKAIAN UNIT'!E64</f>
        <v>0</v>
      </c>
      <c r="AT67" s="14">
        <f t="shared" si="12"/>
        <v>170</v>
      </c>
      <c r="AU67" s="15">
        <f t="shared" si="13"/>
        <v>0</v>
      </c>
      <c r="AV67" s="14">
        <f t="shared" si="14"/>
        <v>205</v>
      </c>
      <c r="AW67" s="14">
        <f>DISTRIBUSI!F65</f>
        <v>100</v>
      </c>
      <c r="AX67" s="14">
        <f>'PEMAKAIAN UNIT'!F64</f>
        <v>0</v>
      </c>
      <c r="AY67" s="14">
        <f t="shared" si="15"/>
        <v>305</v>
      </c>
      <c r="AZ67" s="15">
        <f t="shared" si="16"/>
        <v>305</v>
      </c>
      <c r="BA67" s="14">
        <f t="shared" si="17"/>
        <v>170</v>
      </c>
      <c r="BB67" s="14">
        <f>DISTRIBUSI!G65</f>
        <v>0</v>
      </c>
      <c r="BC67" s="14">
        <f>'PEMAKAIAN UNIT'!G64</f>
        <v>0</v>
      </c>
      <c r="BD67" s="14">
        <f t="shared" si="18"/>
        <v>170</v>
      </c>
      <c r="BE67" s="15">
        <f t="shared" si="19"/>
        <v>20</v>
      </c>
      <c r="BF67" s="14">
        <f t="shared" si="20"/>
        <v>340</v>
      </c>
      <c r="BG67" s="14">
        <f>DISTRIBUSI!H65</f>
        <v>0</v>
      </c>
      <c r="BH67" s="14">
        <f>'PEMAKAIAN UNIT'!H64</f>
        <v>0</v>
      </c>
      <c r="BI67" s="14">
        <f t="shared" si="21"/>
        <v>340</v>
      </c>
      <c r="BJ67" s="15">
        <f t="shared" si="22"/>
        <v>340</v>
      </c>
      <c r="BK67" s="14">
        <f t="shared" si="23"/>
        <v>165</v>
      </c>
      <c r="BL67" s="14">
        <f>DISTRIBUSI!I65</f>
        <v>100</v>
      </c>
      <c r="BM67" s="14">
        <f>'PEMAKAIAN UNIT'!I64</f>
        <v>0</v>
      </c>
      <c r="BN67" s="14">
        <f t="shared" si="24"/>
        <v>265</v>
      </c>
      <c r="BO67" s="15">
        <f t="shared" si="25"/>
        <v>255</v>
      </c>
      <c r="BP67" s="14">
        <f t="shared" si="26"/>
        <v>320</v>
      </c>
      <c r="BQ67" s="14">
        <f>DISTRIBUSI!J65</f>
        <v>0</v>
      </c>
      <c r="BR67" s="14">
        <f>'PEMAKAIAN UNIT'!J64</f>
        <v>0</v>
      </c>
      <c r="BS67" s="14">
        <f t="shared" si="27"/>
        <v>320</v>
      </c>
      <c r="BT67" s="15">
        <f t="shared" si="28"/>
        <v>90</v>
      </c>
      <c r="BU67" s="14">
        <f t="shared" si="29"/>
        <v>200</v>
      </c>
      <c r="BV67" s="14">
        <f>DISTRIBUSI!K65</f>
        <v>0</v>
      </c>
      <c r="BW67" s="14">
        <f>'PEMAKAIAN UNIT'!K64</f>
        <v>0</v>
      </c>
      <c r="BX67" s="14">
        <f t="shared" si="30"/>
        <v>200</v>
      </c>
      <c r="BY67" s="15">
        <f t="shared" si="31"/>
        <v>110</v>
      </c>
      <c r="BZ67" s="14">
        <f t="shared" si="32"/>
        <v>90</v>
      </c>
      <c r="CA67" s="14">
        <f>DISTRIBUSI!L65</f>
        <v>0</v>
      </c>
      <c r="CB67" s="14">
        <f>'PEMAKAIAN UNIT'!L64</f>
        <v>0</v>
      </c>
      <c r="CC67" s="14">
        <f t="shared" si="33"/>
        <v>90</v>
      </c>
      <c r="CD67" s="15">
        <f t="shared" si="34"/>
        <v>50</v>
      </c>
      <c r="CE67" s="14">
        <f t="shared" si="35"/>
        <v>0</v>
      </c>
      <c r="CF67" s="14">
        <f>DISTRIBUSI!M65</f>
        <v>0</v>
      </c>
      <c r="CG67" s="14">
        <f>'PEMAKAIAN UNIT'!M64</f>
        <v>0</v>
      </c>
      <c r="CH67" s="14">
        <f t="shared" si="36"/>
        <v>0</v>
      </c>
      <c r="CI67" s="15">
        <f t="shared" si="37"/>
        <v>0</v>
      </c>
      <c r="CJ67" s="14">
        <f t="shared" si="38"/>
        <v>0</v>
      </c>
      <c r="CK67" s="14" t="e">
        <f>DISTRIBUSI!#REF!</f>
        <v>#REF!</v>
      </c>
      <c r="CL67" s="14">
        <f>'PEMAKAIAN UNIT'!N64</f>
        <v>0</v>
      </c>
      <c r="CM67" s="14" t="e">
        <f t="shared" si="39"/>
        <v>#REF!</v>
      </c>
      <c r="CN67" s="15" t="e">
        <f t="shared" si="40"/>
        <v>#REF!</v>
      </c>
      <c r="CO67" s="14" t="e">
        <f>DL67+DISTRIBUSI!#REF!-'PEMAKAIAN UNIT'!O64</f>
        <v>#REF!</v>
      </c>
      <c r="CP67" s="15" t="e">
        <f t="shared" si="41"/>
        <v>#REF!</v>
      </c>
      <c r="CQ67" s="226">
        <f t="shared" si="42"/>
        <v>677</v>
      </c>
      <c r="CR67" s="226">
        <f>DISTRIBUSI!R65</f>
        <v>1200</v>
      </c>
      <c r="CS67" s="226">
        <f>'PEMAKAIAN UNIT'!P64</f>
        <v>0</v>
      </c>
      <c r="CT67" s="14">
        <f t="shared" si="43"/>
        <v>1877</v>
      </c>
      <c r="CU67" s="15">
        <f t="shared" si="44"/>
        <v>1315</v>
      </c>
      <c r="CV67" s="14" t="e">
        <f>DN67+DISTRIBUSI!#REF!-'PEMAKAIAN UNIT'!Q64</f>
        <v>#REF!</v>
      </c>
      <c r="CW67" s="15" t="e">
        <f t="shared" si="45"/>
        <v>#REF!</v>
      </c>
      <c r="CX67" s="14">
        <f>DO67+'LPLPO GUDANG'!E70-'LPLPO GUDANG'!G70</f>
        <v>0</v>
      </c>
      <c r="CY67" s="15">
        <f t="shared" si="46"/>
        <v>-500</v>
      </c>
      <c r="CZ67" s="28"/>
      <c r="DA67" s="14">
        <v>170</v>
      </c>
      <c r="DB67" s="14">
        <v>170</v>
      </c>
      <c r="DC67" s="14">
        <v>205</v>
      </c>
      <c r="DD67" s="14">
        <v>170</v>
      </c>
      <c r="DE67" s="14">
        <v>340</v>
      </c>
      <c r="DF67" s="14">
        <v>165</v>
      </c>
      <c r="DG67" s="14">
        <v>320</v>
      </c>
      <c r="DH67" s="14">
        <v>200</v>
      </c>
      <c r="DI67" s="14">
        <v>90</v>
      </c>
      <c r="DJ67" s="14">
        <v>0</v>
      </c>
      <c r="DK67" s="14">
        <v>0</v>
      </c>
      <c r="DL67" s="14">
        <v>0</v>
      </c>
      <c r="DM67" s="14">
        <v>677</v>
      </c>
      <c r="DN67" s="14">
        <v>0</v>
      </c>
      <c r="DO67" s="14">
        <v>0</v>
      </c>
      <c r="DP67" s="13">
        <f t="shared" si="47"/>
        <v>2507</v>
      </c>
      <c r="DR67" t="s">
        <v>49</v>
      </c>
      <c r="DU67" s="20" t="e">
        <f t="shared" si="48"/>
        <v>#REF!</v>
      </c>
    </row>
    <row r="68" spans="1:125" customFormat="1" ht="20.149999999999999" customHeight="1" x14ac:dyDescent="0.35">
      <c r="A68" s="84">
        <f t="shared" si="49"/>
        <v>57</v>
      </c>
      <c r="B68" s="142" t="s">
        <v>50</v>
      </c>
      <c r="C68" s="157" t="s">
        <v>327</v>
      </c>
      <c r="D68" s="109">
        <v>0</v>
      </c>
      <c r="E68" s="110">
        <f>'LPLPO GUDANG'!E71</f>
        <v>0</v>
      </c>
      <c r="F68" s="110">
        <f t="shared" si="0"/>
        <v>0</v>
      </c>
      <c r="G68" s="110">
        <f>'PEMAKAIAN UNIT'!R65</f>
        <v>0</v>
      </c>
      <c r="H68" s="14">
        <v>0</v>
      </c>
      <c r="I68" s="14">
        <v>0</v>
      </c>
      <c r="J68" s="14">
        <v>0</v>
      </c>
      <c r="K68" s="14"/>
      <c r="L68" s="14"/>
      <c r="M68" s="14"/>
      <c r="N68" s="14"/>
      <c r="O68" s="14"/>
      <c r="P68" s="14"/>
      <c r="Q68" s="14"/>
      <c r="R68" s="14"/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09">
        <f t="shared" si="1"/>
        <v>0</v>
      </c>
      <c r="Z68" s="109" t="e">
        <f t="shared" si="2"/>
        <v>#REF!</v>
      </c>
      <c r="AA68" s="109" t="e">
        <f t="shared" si="3"/>
        <v>#REF!</v>
      </c>
      <c r="AB68" s="14">
        <v>90</v>
      </c>
      <c r="AC68" s="109" t="e">
        <f t="shared" si="4"/>
        <v>#REF!</v>
      </c>
      <c r="AD68" s="109">
        <f>'LPLPO GUDANG'!H71</f>
        <v>0</v>
      </c>
      <c r="AE68" s="111" t="e">
        <f t="shared" si="5"/>
        <v>#REF!</v>
      </c>
      <c r="AF68" s="212"/>
      <c r="AG68" s="212"/>
      <c r="AH68" s="20"/>
      <c r="AI68" s="14">
        <f t="shared" si="6"/>
        <v>0</v>
      </c>
      <c r="AJ68" s="209" t="e">
        <f t="shared" si="7"/>
        <v>#REF!</v>
      </c>
      <c r="AL68" s="14">
        <f t="shared" si="8"/>
        <v>0</v>
      </c>
      <c r="AM68" s="14">
        <f>DISTRIBUSI!D66</f>
        <v>0</v>
      </c>
      <c r="AN68" s="14">
        <f>'PEMAKAIAN UNIT'!D65</f>
        <v>0</v>
      </c>
      <c r="AO68" s="14">
        <f t="shared" si="9"/>
        <v>0</v>
      </c>
      <c r="AP68" s="15">
        <f t="shared" si="10"/>
        <v>0</v>
      </c>
      <c r="AQ68" s="14">
        <f t="shared" si="11"/>
        <v>0</v>
      </c>
      <c r="AR68" s="14">
        <f>DISTRIBUSI!E66</f>
        <v>0</v>
      </c>
      <c r="AS68" s="14">
        <f>'PEMAKAIAN UNIT'!E65</f>
        <v>0</v>
      </c>
      <c r="AT68" s="14">
        <f t="shared" si="12"/>
        <v>0</v>
      </c>
      <c r="AU68" s="15">
        <f t="shared" si="13"/>
        <v>0</v>
      </c>
      <c r="AV68" s="14">
        <f t="shared" si="14"/>
        <v>0</v>
      </c>
      <c r="AW68" s="14">
        <f>DISTRIBUSI!F66</f>
        <v>0</v>
      </c>
      <c r="AX68" s="14">
        <f>'PEMAKAIAN UNIT'!F65</f>
        <v>0</v>
      </c>
      <c r="AY68" s="14">
        <f t="shared" si="15"/>
        <v>0</v>
      </c>
      <c r="AZ68" s="15">
        <f t="shared" si="16"/>
        <v>0</v>
      </c>
      <c r="BA68" s="14">
        <f t="shared" si="17"/>
        <v>0</v>
      </c>
      <c r="BB68" s="14">
        <f>DISTRIBUSI!G66</f>
        <v>0</v>
      </c>
      <c r="BC68" s="14">
        <f>'PEMAKAIAN UNIT'!G65</f>
        <v>0</v>
      </c>
      <c r="BD68" s="14">
        <f t="shared" si="18"/>
        <v>0</v>
      </c>
      <c r="BE68" s="15">
        <f t="shared" si="19"/>
        <v>0</v>
      </c>
      <c r="BF68" s="14">
        <f t="shared" si="20"/>
        <v>0</v>
      </c>
      <c r="BG68" s="14">
        <f>DISTRIBUSI!H66</f>
        <v>0</v>
      </c>
      <c r="BH68" s="14">
        <f>'PEMAKAIAN UNIT'!H65</f>
        <v>0</v>
      </c>
      <c r="BI68" s="14">
        <f t="shared" si="21"/>
        <v>0</v>
      </c>
      <c r="BJ68" s="15">
        <f t="shared" si="22"/>
        <v>0</v>
      </c>
      <c r="BK68" s="14">
        <f t="shared" si="23"/>
        <v>0</v>
      </c>
      <c r="BL68" s="14">
        <f>DISTRIBUSI!I66</f>
        <v>0</v>
      </c>
      <c r="BM68" s="14">
        <f>'PEMAKAIAN UNIT'!I65</f>
        <v>0</v>
      </c>
      <c r="BN68" s="14">
        <f t="shared" si="24"/>
        <v>0</v>
      </c>
      <c r="BO68" s="15">
        <f t="shared" si="25"/>
        <v>0</v>
      </c>
      <c r="BP68" s="14">
        <f t="shared" si="26"/>
        <v>0</v>
      </c>
      <c r="BQ68" s="14">
        <f>DISTRIBUSI!J66</f>
        <v>0</v>
      </c>
      <c r="BR68" s="14">
        <f>'PEMAKAIAN UNIT'!J65</f>
        <v>0</v>
      </c>
      <c r="BS68" s="14">
        <f t="shared" si="27"/>
        <v>0</v>
      </c>
      <c r="BT68" s="15">
        <f t="shared" si="28"/>
        <v>0</v>
      </c>
      <c r="BU68" s="14">
        <f t="shared" si="29"/>
        <v>0</v>
      </c>
      <c r="BV68" s="14">
        <f>DISTRIBUSI!K66</f>
        <v>0</v>
      </c>
      <c r="BW68" s="14">
        <f>'PEMAKAIAN UNIT'!K65</f>
        <v>0</v>
      </c>
      <c r="BX68" s="14">
        <f t="shared" si="30"/>
        <v>0</v>
      </c>
      <c r="BY68" s="15">
        <f t="shared" si="31"/>
        <v>0</v>
      </c>
      <c r="BZ68" s="14">
        <f t="shared" si="32"/>
        <v>0</v>
      </c>
      <c r="CA68" s="14">
        <f>DISTRIBUSI!L66</f>
        <v>0</v>
      </c>
      <c r="CB68" s="14">
        <f>'PEMAKAIAN UNIT'!L65</f>
        <v>0</v>
      </c>
      <c r="CC68" s="14">
        <f t="shared" si="33"/>
        <v>0</v>
      </c>
      <c r="CD68" s="15">
        <f t="shared" si="34"/>
        <v>0</v>
      </c>
      <c r="CE68" s="14">
        <f t="shared" si="35"/>
        <v>0</v>
      </c>
      <c r="CF68" s="14">
        <f>DISTRIBUSI!M66</f>
        <v>0</v>
      </c>
      <c r="CG68" s="14">
        <f>'PEMAKAIAN UNIT'!M65</f>
        <v>0</v>
      </c>
      <c r="CH68" s="14">
        <f t="shared" si="36"/>
        <v>0</v>
      </c>
      <c r="CI68" s="15">
        <f t="shared" si="37"/>
        <v>0</v>
      </c>
      <c r="CJ68" s="14">
        <f t="shared" si="38"/>
        <v>0</v>
      </c>
      <c r="CK68" s="14" t="e">
        <f>DISTRIBUSI!#REF!</f>
        <v>#REF!</v>
      </c>
      <c r="CL68" s="14">
        <f>'PEMAKAIAN UNIT'!N65</f>
        <v>0</v>
      </c>
      <c r="CM68" s="14" t="e">
        <f t="shared" si="39"/>
        <v>#REF!</v>
      </c>
      <c r="CN68" s="15" t="e">
        <f t="shared" si="40"/>
        <v>#REF!</v>
      </c>
      <c r="CO68" s="14" t="e">
        <f>DL68+DISTRIBUSI!#REF!-'PEMAKAIAN UNIT'!O65</f>
        <v>#REF!</v>
      </c>
      <c r="CP68" s="15" t="e">
        <f t="shared" si="41"/>
        <v>#REF!</v>
      </c>
      <c r="CQ68" s="226">
        <f t="shared" si="42"/>
        <v>90</v>
      </c>
      <c r="CR68" s="226">
        <f>DISTRIBUSI!R66</f>
        <v>0</v>
      </c>
      <c r="CS68" s="226">
        <f>'PEMAKAIAN UNIT'!P65</f>
        <v>0</v>
      </c>
      <c r="CT68" s="14">
        <f t="shared" si="43"/>
        <v>90</v>
      </c>
      <c r="CU68" s="15">
        <f t="shared" si="44"/>
        <v>0</v>
      </c>
      <c r="CV68" s="14" t="e">
        <f>DN68+DISTRIBUSI!#REF!-'PEMAKAIAN UNIT'!Q65</f>
        <v>#REF!</v>
      </c>
      <c r="CW68" s="15" t="e">
        <f t="shared" si="45"/>
        <v>#REF!</v>
      </c>
      <c r="CX68" s="14">
        <f>DO68+'LPLPO GUDANG'!E71-'LPLPO GUDANG'!G71</f>
        <v>0</v>
      </c>
      <c r="CY68" s="15">
        <f t="shared" si="46"/>
        <v>0</v>
      </c>
      <c r="CZ68" s="28"/>
      <c r="DA68" s="14">
        <v>0</v>
      </c>
      <c r="DB68" s="14"/>
      <c r="DC68" s="14">
        <v>0</v>
      </c>
      <c r="DD68" s="14">
        <v>0</v>
      </c>
      <c r="DE68" s="14">
        <v>0</v>
      </c>
      <c r="DF68" s="14"/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90</v>
      </c>
      <c r="DN68" s="14">
        <v>0</v>
      </c>
      <c r="DO68" s="14">
        <v>0</v>
      </c>
      <c r="DP68" s="13">
        <f t="shared" si="47"/>
        <v>90</v>
      </c>
      <c r="DR68" t="s">
        <v>50</v>
      </c>
      <c r="DU68" s="20" t="e">
        <f t="shared" si="48"/>
        <v>#REF!</v>
      </c>
    </row>
    <row r="69" spans="1:125" customFormat="1" ht="20.149999999999999" customHeight="1" x14ac:dyDescent="0.35">
      <c r="A69" s="84">
        <f t="shared" si="49"/>
        <v>58</v>
      </c>
      <c r="B69" s="142" t="s">
        <v>51</v>
      </c>
      <c r="C69" s="157" t="s">
        <v>327</v>
      </c>
      <c r="D69" s="109">
        <v>0</v>
      </c>
      <c r="E69" s="110">
        <f>'LPLPO GUDANG'!E72</f>
        <v>0</v>
      </c>
      <c r="F69" s="110">
        <f t="shared" si="0"/>
        <v>0</v>
      </c>
      <c r="G69" s="110">
        <f>'PEMAKAIAN UNIT'!R66</f>
        <v>0</v>
      </c>
      <c r="H69" s="14">
        <v>370</v>
      </c>
      <c r="I69" s="14">
        <v>60</v>
      </c>
      <c r="J69" s="14">
        <v>0</v>
      </c>
      <c r="K69" s="14"/>
      <c r="L69" s="14"/>
      <c r="M69" s="14"/>
      <c r="N69" s="14"/>
      <c r="O69" s="14"/>
      <c r="P69" s="14"/>
      <c r="Q69" s="14"/>
      <c r="R69" s="14"/>
      <c r="S69" s="14">
        <v>0</v>
      </c>
      <c r="T69" s="14">
        <v>0</v>
      </c>
      <c r="U69" s="14">
        <v>90</v>
      </c>
      <c r="V69" s="14">
        <v>230</v>
      </c>
      <c r="W69" s="14">
        <v>290</v>
      </c>
      <c r="X69" s="14">
        <v>30</v>
      </c>
      <c r="Y69" s="109">
        <f t="shared" si="1"/>
        <v>0</v>
      </c>
      <c r="Z69" s="109" t="e">
        <f t="shared" si="2"/>
        <v>#REF!</v>
      </c>
      <c r="AA69" s="109" t="e">
        <f t="shared" si="3"/>
        <v>#REF!</v>
      </c>
      <c r="AB69" s="14">
        <v>434</v>
      </c>
      <c r="AC69" s="109" t="e">
        <f t="shared" si="4"/>
        <v>#REF!</v>
      </c>
      <c r="AD69" s="109">
        <f>'LPLPO GUDANG'!H72</f>
        <v>0</v>
      </c>
      <c r="AE69" s="111" t="e">
        <f t="shared" si="5"/>
        <v>#REF!</v>
      </c>
      <c r="AF69" s="212"/>
      <c r="AG69" s="212"/>
      <c r="AH69" s="20"/>
      <c r="AI69" s="14">
        <f t="shared" si="6"/>
        <v>0</v>
      </c>
      <c r="AJ69" s="209" t="e">
        <f t="shared" si="7"/>
        <v>#REF!</v>
      </c>
      <c r="AL69" s="14">
        <f t="shared" si="8"/>
        <v>370</v>
      </c>
      <c r="AM69" s="14">
        <f>DISTRIBUSI!D67</f>
        <v>0</v>
      </c>
      <c r="AN69" s="14">
        <f>'PEMAKAIAN UNIT'!D66</f>
        <v>0</v>
      </c>
      <c r="AO69" s="14">
        <f t="shared" si="9"/>
        <v>370</v>
      </c>
      <c r="AP69" s="15">
        <f t="shared" si="10"/>
        <v>0</v>
      </c>
      <c r="AQ69" s="14">
        <f t="shared" si="11"/>
        <v>60</v>
      </c>
      <c r="AR69" s="14">
        <f>DISTRIBUSI!E67</f>
        <v>0</v>
      </c>
      <c r="AS69" s="14">
        <f>'PEMAKAIAN UNIT'!E66</f>
        <v>0</v>
      </c>
      <c r="AT69" s="14">
        <f t="shared" si="12"/>
        <v>60</v>
      </c>
      <c r="AU69" s="15">
        <f t="shared" si="13"/>
        <v>0</v>
      </c>
      <c r="AV69" s="14">
        <f t="shared" si="14"/>
        <v>280</v>
      </c>
      <c r="AW69" s="14">
        <f>DISTRIBUSI!F67</f>
        <v>0</v>
      </c>
      <c r="AX69" s="14">
        <f>'PEMAKAIAN UNIT'!F66</f>
        <v>0</v>
      </c>
      <c r="AY69" s="14">
        <f t="shared" si="15"/>
        <v>280</v>
      </c>
      <c r="AZ69" s="15">
        <f t="shared" si="16"/>
        <v>280</v>
      </c>
      <c r="BA69" s="14">
        <f t="shared" si="17"/>
        <v>0</v>
      </c>
      <c r="BB69" s="14">
        <f>DISTRIBUSI!G67</f>
        <v>0</v>
      </c>
      <c r="BC69" s="14">
        <f>'PEMAKAIAN UNIT'!G66</f>
        <v>0</v>
      </c>
      <c r="BD69" s="14">
        <f t="shared" si="18"/>
        <v>0</v>
      </c>
      <c r="BE69" s="15">
        <f t="shared" si="19"/>
        <v>0</v>
      </c>
      <c r="BF69" s="14">
        <f t="shared" si="20"/>
        <v>200</v>
      </c>
      <c r="BG69" s="14">
        <f>DISTRIBUSI!H67</f>
        <v>100</v>
      </c>
      <c r="BH69" s="14">
        <f>'PEMAKAIAN UNIT'!H66</f>
        <v>0</v>
      </c>
      <c r="BI69" s="14">
        <f t="shared" si="21"/>
        <v>300</v>
      </c>
      <c r="BJ69" s="15">
        <f t="shared" si="22"/>
        <v>300</v>
      </c>
      <c r="BK69" s="14">
        <f t="shared" si="23"/>
        <v>100</v>
      </c>
      <c r="BL69" s="14">
        <f>DISTRIBUSI!I67</f>
        <v>0</v>
      </c>
      <c r="BM69" s="14">
        <f>'PEMAKAIAN UNIT'!I66</f>
        <v>0</v>
      </c>
      <c r="BN69" s="14">
        <f t="shared" si="24"/>
        <v>100</v>
      </c>
      <c r="BO69" s="15">
        <f t="shared" si="25"/>
        <v>10</v>
      </c>
      <c r="BP69" s="14">
        <f t="shared" si="26"/>
        <v>330</v>
      </c>
      <c r="BQ69" s="14">
        <f>DISTRIBUSI!J67</f>
        <v>0</v>
      </c>
      <c r="BR69" s="14">
        <f>'PEMAKAIAN UNIT'!J66</f>
        <v>0</v>
      </c>
      <c r="BS69" s="14">
        <f t="shared" si="27"/>
        <v>330</v>
      </c>
      <c r="BT69" s="15">
        <f t="shared" si="28"/>
        <v>100</v>
      </c>
      <c r="BU69" s="14">
        <f t="shared" si="29"/>
        <v>0</v>
      </c>
      <c r="BV69" s="14">
        <f>DISTRIBUSI!K67</f>
        <v>0</v>
      </c>
      <c r="BW69" s="14">
        <f>'PEMAKAIAN UNIT'!K66</f>
        <v>0</v>
      </c>
      <c r="BX69" s="14">
        <f t="shared" si="30"/>
        <v>0</v>
      </c>
      <c r="BY69" s="15">
        <f t="shared" si="31"/>
        <v>-290</v>
      </c>
      <c r="BZ69" s="14">
        <f t="shared" si="32"/>
        <v>100</v>
      </c>
      <c r="CA69" s="14">
        <f>DISTRIBUSI!L67</f>
        <v>0</v>
      </c>
      <c r="CB69" s="14">
        <f>'PEMAKAIAN UNIT'!L66</f>
        <v>0</v>
      </c>
      <c r="CC69" s="14">
        <f t="shared" si="33"/>
        <v>100</v>
      </c>
      <c r="CD69" s="15">
        <f t="shared" si="34"/>
        <v>70</v>
      </c>
      <c r="CE69" s="14">
        <f t="shared" si="35"/>
        <v>0</v>
      </c>
      <c r="CF69" s="14">
        <f>DISTRIBUSI!M67</f>
        <v>0</v>
      </c>
      <c r="CG69" s="14">
        <f>'PEMAKAIAN UNIT'!M66</f>
        <v>0</v>
      </c>
      <c r="CH69" s="14">
        <f t="shared" si="36"/>
        <v>0</v>
      </c>
      <c r="CI69" s="15">
        <f t="shared" si="37"/>
        <v>0</v>
      </c>
      <c r="CJ69" s="14">
        <f t="shared" si="38"/>
        <v>0</v>
      </c>
      <c r="CK69" s="14" t="e">
        <f>DISTRIBUSI!#REF!</f>
        <v>#REF!</v>
      </c>
      <c r="CL69" s="14">
        <f>'PEMAKAIAN UNIT'!N66</f>
        <v>0</v>
      </c>
      <c r="CM69" s="14" t="e">
        <f t="shared" si="39"/>
        <v>#REF!</v>
      </c>
      <c r="CN69" s="15" t="e">
        <f t="shared" si="40"/>
        <v>#REF!</v>
      </c>
      <c r="CO69" s="14" t="e">
        <f>DL69+DISTRIBUSI!#REF!-'PEMAKAIAN UNIT'!O66</f>
        <v>#REF!</v>
      </c>
      <c r="CP69" s="15" t="e">
        <f t="shared" si="41"/>
        <v>#REF!</v>
      </c>
      <c r="CQ69" s="226">
        <f t="shared" si="42"/>
        <v>504</v>
      </c>
      <c r="CR69" s="226">
        <f>DISTRIBUSI!R67</f>
        <v>2200</v>
      </c>
      <c r="CS69" s="226">
        <f>'PEMAKAIAN UNIT'!P66</f>
        <v>0</v>
      </c>
      <c r="CT69" s="14">
        <f t="shared" si="43"/>
        <v>2704</v>
      </c>
      <c r="CU69" s="15">
        <f t="shared" si="44"/>
        <v>2270</v>
      </c>
      <c r="CV69" s="14" t="e">
        <f>DN69+DISTRIBUSI!#REF!-'PEMAKAIAN UNIT'!Q66</f>
        <v>#REF!</v>
      </c>
      <c r="CW69" s="15" t="e">
        <f t="shared" si="45"/>
        <v>#REF!</v>
      </c>
      <c r="CX69" s="14">
        <f>DO69+'LPLPO GUDANG'!E72-'LPLPO GUDANG'!G72</f>
        <v>-2300</v>
      </c>
      <c r="CY69" s="15">
        <f t="shared" si="46"/>
        <v>-2300</v>
      </c>
      <c r="CZ69" s="28"/>
      <c r="DA69" s="14">
        <v>370</v>
      </c>
      <c r="DB69" s="14">
        <v>60</v>
      </c>
      <c r="DC69" s="14">
        <v>280</v>
      </c>
      <c r="DD69" s="14">
        <v>0</v>
      </c>
      <c r="DE69" s="14">
        <v>200</v>
      </c>
      <c r="DF69" s="14">
        <v>100</v>
      </c>
      <c r="DG69" s="14">
        <v>330</v>
      </c>
      <c r="DH69" s="14">
        <v>0</v>
      </c>
      <c r="DI69" s="14">
        <v>100</v>
      </c>
      <c r="DJ69" s="14">
        <v>0</v>
      </c>
      <c r="DK69" s="14">
        <v>0</v>
      </c>
      <c r="DL69" s="14">
        <v>0</v>
      </c>
      <c r="DM69" s="14">
        <v>504</v>
      </c>
      <c r="DN69" s="14">
        <v>0</v>
      </c>
      <c r="DO69" s="14">
        <v>0</v>
      </c>
      <c r="DP69" s="13">
        <f t="shared" si="47"/>
        <v>1944</v>
      </c>
      <c r="DR69" t="s">
        <v>51</v>
      </c>
      <c r="DU69" s="20" t="e">
        <f t="shared" si="48"/>
        <v>#REF!</v>
      </c>
    </row>
    <row r="70" spans="1:125" customFormat="1" ht="20.149999999999999" customHeight="1" x14ac:dyDescent="0.35">
      <c r="A70" s="84">
        <f t="shared" si="49"/>
        <v>59</v>
      </c>
      <c r="B70" s="142" t="s">
        <v>251</v>
      </c>
      <c r="C70" s="157" t="s">
        <v>327</v>
      </c>
      <c r="D70" s="109">
        <v>0</v>
      </c>
      <c r="E70" s="110">
        <f>'LPLPO GUDANG'!E73</f>
        <v>0</v>
      </c>
      <c r="F70" s="110">
        <f t="shared" si="0"/>
        <v>0</v>
      </c>
      <c r="G70" s="110">
        <f>'PEMAKAIAN UNIT'!R67</f>
        <v>0</v>
      </c>
      <c r="H70" s="14">
        <v>200</v>
      </c>
      <c r="I70" s="14">
        <v>120</v>
      </c>
      <c r="J70" s="14">
        <v>0</v>
      </c>
      <c r="K70" s="14"/>
      <c r="L70" s="14"/>
      <c r="M70" s="14"/>
      <c r="N70" s="14"/>
      <c r="O70" s="14"/>
      <c r="P70" s="14"/>
      <c r="Q70" s="14"/>
      <c r="R70" s="14"/>
      <c r="S70" s="14">
        <v>130</v>
      </c>
      <c r="T70" s="14">
        <v>0</v>
      </c>
      <c r="U70" s="14">
        <v>90</v>
      </c>
      <c r="V70" s="14">
        <v>100</v>
      </c>
      <c r="W70" s="14">
        <v>40</v>
      </c>
      <c r="X70" s="14">
        <v>0</v>
      </c>
      <c r="Y70" s="109">
        <f t="shared" si="1"/>
        <v>0</v>
      </c>
      <c r="Z70" s="109" t="e">
        <f t="shared" si="2"/>
        <v>#REF!</v>
      </c>
      <c r="AA70" s="109" t="e">
        <f t="shared" si="3"/>
        <v>#REF!</v>
      </c>
      <c r="AB70" s="14">
        <v>130</v>
      </c>
      <c r="AC70" s="109" t="e">
        <f t="shared" si="4"/>
        <v>#REF!</v>
      </c>
      <c r="AD70" s="109">
        <f>'LPLPO GUDANG'!H73</f>
        <v>0</v>
      </c>
      <c r="AE70" s="111" t="e">
        <f t="shared" si="5"/>
        <v>#REF!</v>
      </c>
      <c r="AF70" s="212"/>
      <c r="AG70" s="212"/>
      <c r="AH70" s="20"/>
      <c r="AI70" s="14">
        <f t="shared" si="6"/>
        <v>0</v>
      </c>
      <c r="AJ70" s="209" t="e">
        <f t="shared" si="7"/>
        <v>#REF!</v>
      </c>
      <c r="AL70" s="14">
        <f t="shared" si="8"/>
        <v>220</v>
      </c>
      <c r="AM70" s="14">
        <f>DISTRIBUSI!D68</f>
        <v>0</v>
      </c>
      <c r="AN70" s="14">
        <f>'PEMAKAIAN UNIT'!D67</f>
        <v>0</v>
      </c>
      <c r="AO70" s="14">
        <f t="shared" si="9"/>
        <v>220</v>
      </c>
      <c r="AP70" s="15">
        <f t="shared" si="10"/>
        <v>20</v>
      </c>
      <c r="AQ70" s="14">
        <f t="shared" si="11"/>
        <v>120</v>
      </c>
      <c r="AR70" s="14">
        <f>DISTRIBUSI!E68</f>
        <v>0</v>
      </c>
      <c r="AS70" s="14">
        <f>'PEMAKAIAN UNIT'!E67</f>
        <v>0</v>
      </c>
      <c r="AT70" s="14">
        <f t="shared" si="12"/>
        <v>120</v>
      </c>
      <c r="AU70" s="15">
        <f t="shared" si="13"/>
        <v>0</v>
      </c>
      <c r="AV70" s="14">
        <f t="shared" si="14"/>
        <v>120</v>
      </c>
      <c r="AW70" s="14">
        <f>DISTRIBUSI!F68</f>
        <v>0</v>
      </c>
      <c r="AX70" s="14">
        <f>'PEMAKAIAN UNIT'!F67</f>
        <v>0</v>
      </c>
      <c r="AY70" s="14">
        <f t="shared" si="15"/>
        <v>120</v>
      </c>
      <c r="AZ70" s="15">
        <f t="shared" si="16"/>
        <v>120</v>
      </c>
      <c r="BA70" s="14">
        <f t="shared" si="17"/>
        <v>50</v>
      </c>
      <c r="BB70" s="14">
        <f>DISTRIBUSI!G68</f>
        <v>0</v>
      </c>
      <c r="BC70" s="14">
        <f>'PEMAKAIAN UNIT'!G67</f>
        <v>0</v>
      </c>
      <c r="BD70" s="14">
        <f t="shared" si="18"/>
        <v>50</v>
      </c>
      <c r="BE70" s="15">
        <f t="shared" si="19"/>
        <v>-80</v>
      </c>
      <c r="BF70" s="14">
        <f t="shared" si="20"/>
        <v>0</v>
      </c>
      <c r="BG70" s="14">
        <f>DISTRIBUSI!H68</f>
        <v>0</v>
      </c>
      <c r="BH70" s="14">
        <f>'PEMAKAIAN UNIT'!H67</f>
        <v>0</v>
      </c>
      <c r="BI70" s="14">
        <f t="shared" si="21"/>
        <v>0</v>
      </c>
      <c r="BJ70" s="15">
        <f t="shared" si="22"/>
        <v>0</v>
      </c>
      <c r="BK70" s="14">
        <f t="shared" si="23"/>
        <v>120</v>
      </c>
      <c r="BL70" s="14">
        <f>DISTRIBUSI!I68</f>
        <v>0</v>
      </c>
      <c r="BM70" s="14">
        <f>'PEMAKAIAN UNIT'!I67</f>
        <v>0</v>
      </c>
      <c r="BN70" s="14">
        <f t="shared" si="24"/>
        <v>120</v>
      </c>
      <c r="BO70" s="15">
        <f t="shared" si="25"/>
        <v>30</v>
      </c>
      <c r="BP70" s="14">
        <f t="shared" si="26"/>
        <v>100</v>
      </c>
      <c r="BQ70" s="14">
        <f>DISTRIBUSI!J68</f>
        <v>0</v>
      </c>
      <c r="BR70" s="14">
        <f>'PEMAKAIAN UNIT'!J67</f>
        <v>0</v>
      </c>
      <c r="BS70" s="14">
        <f t="shared" si="27"/>
        <v>100</v>
      </c>
      <c r="BT70" s="15">
        <f t="shared" si="28"/>
        <v>0</v>
      </c>
      <c r="BU70" s="14">
        <f t="shared" si="29"/>
        <v>60</v>
      </c>
      <c r="BV70" s="14">
        <f>DISTRIBUSI!K68</f>
        <v>0</v>
      </c>
      <c r="BW70" s="14">
        <f>'PEMAKAIAN UNIT'!K67</f>
        <v>0</v>
      </c>
      <c r="BX70" s="14">
        <f t="shared" si="30"/>
        <v>60</v>
      </c>
      <c r="BY70" s="15">
        <f t="shared" si="31"/>
        <v>20</v>
      </c>
      <c r="BZ70" s="14">
        <f t="shared" si="32"/>
        <v>0</v>
      </c>
      <c r="CA70" s="14">
        <f>DISTRIBUSI!L68</f>
        <v>0</v>
      </c>
      <c r="CB70" s="14">
        <f>'PEMAKAIAN UNIT'!L67</f>
        <v>0</v>
      </c>
      <c r="CC70" s="14">
        <f t="shared" si="33"/>
        <v>0</v>
      </c>
      <c r="CD70" s="15">
        <f t="shared" si="34"/>
        <v>0</v>
      </c>
      <c r="CE70" s="14">
        <f t="shared" si="35"/>
        <v>0</v>
      </c>
      <c r="CF70" s="14">
        <f>DISTRIBUSI!M68</f>
        <v>0</v>
      </c>
      <c r="CG70" s="14">
        <f>'PEMAKAIAN UNIT'!M67</f>
        <v>0</v>
      </c>
      <c r="CH70" s="14">
        <f t="shared" si="36"/>
        <v>0</v>
      </c>
      <c r="CI70" s="15">
        <f t="shared" si="37"/>
        <v>0</v>
      </c>
      <c r="CJ70" s="14">
        <f t="shared" si="38"/>
        <v>0</v>
      </c>
      <c r="CK70" s="14" t="e">
        <f>DISTRIBUSI!#REF!</f>
        <v>#REF!</v>
      </c>
      <c r="CL70" s="14">
        <f>'PEMAKAIAN UNIT'!N67</f>
        <v>0</v>
      </c>
      <c r="CM70" s="14" t="e">
        <f t="shared" si="39"/>
        <v>#REF!</v>
      </c>
      <c r="CN70" s="15" t="e">
        <f t="shared" si="40"/>
        <v>#REF!</v>
      </c>
      <c r="CO70" s="14" t="e">
        <f>DL70+DISTRIBUSI!#REF!-'PEMAKAIAN UNIT'!O67</f>
        <v>#REF!</v>
      </c>
      <c r="CP70" s="15" t="e">
        <f t="shared" si="41"/>
        <v>#REF!</v>
      </c>
      <c r="CQ70" s="226">
        <f t="shared" si="42"/>
        <v>200</v>
      </c>
      <c r="CR70" s="226">
        <f>DISTRIBUSI!R68</f>
        <v>800</v>
      </c>
      <c r="CS70" s="226">
        <f>'PEMAKAIAN UNIT'!P67</f>
        <v>0</v>
      </c>
      <c r="CT70" s="14">
        <f t="shared" si="43"/>
        <v>1000</v>
      </c>
      <c r="CU70" s="15">
        <f t="shared" si="44"/>
        <v>870</v>
      </c>
      <c r="CV70" s="14" t="e">
        <f>DN70+DISTRIBUSI!#REF!-'PEMAKAIAN UNIT'!Q67</f>
        <v>#REF!</v>
      </c>
      <c r="CW70" s="15" t="e">
        <f t="shared" si="45"/>
        <v>#REF!</v>
      </c>
      <c r="CX70" s="14">
        <f>DO70+'LPLPO GUDANG'!E73-'LPLPO GUDANG'!G73</f>
        <v>-700</v>
      </c>
      <c r="CY70" s="15">
        <f t="shared" si="46"/>
        <v>-700</v>
      </c>
      <c r="CZ70" s="28"/>
      <c r="DA70" s="14">
        <v>220</v>
      </c>
      <c r="DB70" s="14">
        <v>120</v>
      </c>
      <c r="DC70" s="14">
        <v>120</v>
      </c>
      <c r="DD70" s="14">
        <v>50</v>
      </c>
      <c r="DE70" s="14">
        <v>0</v>
      </c>
      <c r="DF70" s="14">
        <v>120</v>
      </c>
      <c r="DG70" s="14">
        <v>100</v>
      </c>
      <c r="DH70" s="14">
        <v>60</v>
      </c>
      <c r="DI70" s="14">
        <v>0</v>
      </c>
      <c r="DJ70" s="14">
        <v>0</v>
      </c>
      <c r="DK70" s="14">
        <v>0</v>
      </c>
      <c r="DL70" s="14">
        <v>940</v>
      </c>
      <c r="DM70" s="14">
        <v>200</v>
      </c>
      <c r="DN70" s="14">
        <v>0</v>
      </c>
      <c r="DO70" s="14">
        <v>200</v>
      </c>
      <c r="DP70" s="13">
        <f t="shared" si="47"/>
        <v>2130</v>
      </c>
      <c r="DR70" t="s">
        <v>251</v>
      </c>
      <c r="DU70" s="20" t="e">
        <f t="shared" si="48"/>
        <v>#REF!</v>
      </c>
    </row>
    <row r="71" spans="1:125" customFormat="1" ht="20.149999999999999" customHeight="1" x14ac:dyDescent="0.35">
      <c r="A71" s="84">
        <f t="shared" si="49"/>
        <v>60</v>
      </c>
      <c r="B71" s="142" t="s">
        <v>52</v>
      </c>
      <c r="C71" s="157" t="s">
        <v>327</v>
      </c>
      <c r="D71" s="109">
        <v>0</v>
      </c>
      <c r="E71" s="110">
        <f>'LPLPO GUDANG'!E74</f>
        <v>0</v>
      </c>
      <c r="F71" s="110">
        <f t="shared" si="0"/>
        <v>0</v>
      </c>
      <c r="G71" s="110">
        <f>'PEMAKAIAN UNIT'!R68</f>
        <v>0</v>
      </c>
      <c r="H71" s="14">
        <v>0</v>
      </c>
      <c r="I71" s="14">
        <v>0</v>
      </c>
      <c r="J71" s="14">
        <v>0</v>
      </c>
      <c r="K71" s="14"/>
      <c r="L71" s="14"/>
      <c r="M71" s="14"/>
      <c r="N71" s="14"/>
      <c r="O71" s="14"/>
      <c r="P71" s="14"/>
      <c r="Q71" s="14"/>
      <c r="R71" s="14"/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09">
        <f t="shared" si="1"/>
        <v>0</v>
      </c>
      <c r="Z71" s="109" t="e">
        <f t="shared" si="2"/>
        <v>#REF!</v>
      </c>
      <c r="AA71" s="109" t="e">
        <f t="shared" si="3"/>
        <v>#REF!</v>
      </c>
      <c r="AB71" s="14">
        <v>102</v>
      </c>
      <c r="AC71" s="109" t="e">
        <f t="shared" si="4"/>
        <v>#REF!</v>
      </c>
      <c r="AD71" s="109">
        <f>'LPLPO GUDANG'!H74</f>
        <v>500</v>
      </c>
      <c r="AE71" s="111" t="e">
        <f t="shared" si="5"/>
        <v>#REF!</v>
      </c>
      <c r="AF71" s="212"/>
      <c r="AG71" s="212"/>
      <c r="AH71" s="20"/>
      <c r="AI71" s="14">
        <f t="shared" si="6"/>
        <v>0</v>
      </c>
      <c r="AJ71" s="209" t="e">
        <f t="shared" si="7"/>
        <v>#REF!</v>
      </c>
      <c r="AL71" s="14">
        <f t="shared" si="8"/>
        <v>0</v>
      </c>
      <c r="AM71" s="14">
        <f>DISTRIBUSI!D69</f>
        <v>0</v>
      </c>
      <c r="AN71" s="14">
        <f>'PEMAKAIAN UNIT'!D68</f>
        <v>0</v>
      </c>
      <c r="AO71" s="14">
        <f t="shared" si="9"/>
        <v>0</v>
      </c>
      <c r="AP71" s="15">
        <f t="shared" si="10"/>
        <v>0</v>
      </c>
      <c r="AQ71" s="14">
        <f t="shared" si="11"/>
        <v>0</v>
      </c>
      <c r="AR71" s="14">
        <f>DISTRIBUSI!E69</f>
        <v>0</v>
      </c>
      <c r="AS71" s="14">
        <f>'PEMAKAIAN UNIT'!E68</f>
        <v>0</v>
      </c>
      <c r="AT71" s="14">
        <f t="shared" si="12"/>
        <v>0</v>
      </c>
      <c r="AU71" s="15">
        <f t="shared" si="13"/>
        <v>0</v>
      </c>
      <c r="AV71" s="14">
        <f t="shared" si="14"/>
        <v>0</v>
      </c>
      <c r="AW71" s="14">
        <f>DISTRIBUSI!F69</f>
        <v>0</v>
      </c>
      <c r="AX71" s="14">
        <f>'PEMAKAIAN UNIT'!F68</f>
        <v>0</v>
      </c>
      <c r="AY71" s="14">
        <f t="shared" si="15"/>
        <v>0</v>
      </c>
      <c r="AZ71" s="15">
        <f t="shared" si="16"/>
        <v>0</v>
      </c>
      <c r="BA71" s="14">
        <f t="shared" si="17"/>
        <v>0</v>
      </c>
      <c r="BB71" s="14">
        <f>DISTRIBUSI!G69</f>
        <v>0</v>
      </c>
      <c r="BC71" s="14">
        <f>'PEMAKAIAN UNIT'!G68</f>
        <v>0</v>
      </c>
      <c r="BD71" s="14">
        <f t="shared" si="18"/>
        <v>0</v>
      </c>
      <c r="BE71" s="15">
        <f t="shared" si="19"/>
        <v>0</v>
      </c>
      <c r="BF71" s="14">
        <f t="shared" si="20"/>
        <v>0</v>
      </c>
      <c r="BG71" s="14">
        <f>DISTRIBUSI!H69</f>
        <v>0</v>
      </c>
      <c r="BH71" s="14">
        <f>'PEMAKAIAN UNIT'!H68</f>
        <v>0</v>
      </c>
      <c r="BI71" s="14">
        <f t="shared" si="21"/>
        <v>0</v>
      </c>
      <c r="BJ71" s="15">
        <f t="shared" si="22"/>
        <v>0</v>
      </c>
      <c r="BK71" s="14">
        <f t="shared" si="23"/>
        <v>0</v>
      </c>
      <c r="BL71" s="14">
        <f>DISTRIBUSI!I69</f>
        <v>0</v>
      </c>
      <c r="BM71" s="14">
        <f>'PEMAKAIAN UNIT'!I68</f>
        <v>0</v>
      </c>
      <c r="BN71" s="14">
        <f t="shared" si="24"/>
        <v>0</v>
      </c>
      <c r="BO71" s="15">
        <f t="shared" si="25"/>
        <v>0</v>
      </c>
      <c r="BP71" s="14">
        <f t="shared" si="26"/>
        <v>0</v>
      </c>
      <c r="BQ71" s="14">
        <f>DISTRIBUSI!J69</f>
        <v>0</v>
      </c>
      <c r="BR71" s="14">
        <f>'PEMAKAIAN UNIT'!J68</f>
        <v>0</v>
      </c>
      <c r="BS71" s="14">
        <f t="shared" si="27"/>
        <v>0</v>
      </c>
      <c r="BT71" s="15">
        <f t="shared" si="28"/>
        <v>0</v>
      </c>
      <c r="BU71" s="14">
        <f t="shared" si="29"/>
        <v>0</v>
      </c>
      <c r="BV71" s="14">
        <f>DISTRIBUSI!K69</f>
        <v>0</v>
      </c>
      <c r="BW71" s="14">
        <f>'PEMAKAIAN UNIT'!K68</f>
        <v>0</v>
      </c>
      <c r="BX71" s="14">
        <f t="shared" si="30"/>
        <v>0</v>
      </c>
      <c r="BY71" s="15">
        <f t="shared" si="31"/>
        <v>0</v>
      </c>
      <c r="BZ71" s="14">
        <f t="shared" si="32"/>
        <v>0</v>
      </c>
      <c r="CA71" s="14">
        <f>DISTRIBUSI!L69</f>
        <v>0</v>
      </c>
      <c r="CB71" s="14">
        <f>'PEMAKAIAN UNIT'!L68</f>
        <v>0</v>
      </c>
      <c r="CC71" s="14">
        <f t="shared" si="33"/>
        <v>0</v>
      </c>
      <c r="CD71" s="15">
        <f t="shared" si="34"/>
        <v>0</v>
      </c>
      <c r="CE71" s="14">
        <f t="shared" si="35"/>
        <v>0</v>
      </c>
      <c r="CF71" s="14">
        <f>DISTRIBUSI!M69</f>
        <v>0</v>
      </c>
      <c r="CG71" s="14">
        <f>'PEMAKAIAN UNIT'!M68</f>
        <v>0</v>
      </c>
      <c r="CH71" s="14">
        <f t="shared" si="36"/>
        <v>0</v>
      </c>
      <c r="CI71" s="15">
        <f t="shared" si="37"/>
        <v>0</v>
      </c>
      <c r="CJ71" s="14">
        <f t="shared" si="38"/>
        <v>0</v>
      </c>
      <c r="CK71" s="14" t="e">
        <f>DISTRIBUSI!#REF!</f>
        <v>#REF!</v>
      </c>
      <c r="CL71" s="14">
        <f>'PEMAKAIAN UNIT'!N68</f>
        <v>0</v>
      </c>
      <c r="CM71" s="14" t="e">
        <f t="shared" si="39"/>
        <v>#REF!</v>
      </c>
      <c r="CN71" s="15" t="e">
        <f t="shared" si="40"/>
        <v>#REF!</v>
      </c>
      <c r="CO71" s="14" t="e">
        <f>DL71+DISTRIBUSI!#REF!-'PEMAKAIAN UNIT'!O68</f>
        <v>#REF!</v>
      </c>
      <c r="CP71" s="15" t="e">
        <f t="shared" si="41"/>
        <v>#REF!</v>
      </c>
      <c r="CQ71" s="226">
        <f t="shared" si="42"/>
        <v>152</v>
      </c>
      <c r="CR71" s="226">
        <f>DISTRIBUSI!R69</f>
        <v>0</v>
      </c>
      <c r="CS71" s="226">
        <f>'PEMAKAIAN UNIT'!P68</f>
        <v>0</v>
      </c>
      <c r="CT71" s="14">
        <f t="shared" si="43"/>
        <v>152</v>
      </c>
      <c r="CU71" s="15">
        <f t="shared" si="44"/>
        <v>50</v>
      </c>
      <c r="CV71" s="14" t="e">
        <f>DN71+DISTRIBUSI!#REF!-'PEMAKAIAN UNIT'!Q68</f>
        <v>#REF!</v>
      </c>
      <c r="CW71" s="15" t="e">
        <f t="shared" si="45"/>
        <v>#REF!</v>
      </c>
      <c r="CX71" s="14">
        <f>DO71+'LPLPO GUDANG'!E74-'LPLPO GUDANG'!G74</f>
        <v>200</v>
      </c>
      <c r="CY71" s="15">
        <f t="shared" si="46"/>
        <v>-300</v>
      </c>
      <c r="CZ71" s="28"/>
      <c r="DA71" s="14">
        <v>0</v>
      </c>
      <c r="DB71" s="14"/>
      <c r="DC71" s="14">
        <v>0</v>
      </c>
      <c r="DD71" s="14">
        <v>0</v>
      </c>
      <c r="DE71" s="14">
        <v>0</v>
      </c>
      <c r="DF71" s="14"/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152</v>
      </c>
      <c r="DN71" s="14">
        <v>0</v>
      </c>
      <c r="DO71" s="14">
        <v>200</v>
      </c>
      <c r="DP71" s="13">
        <f t="shared" si="47"/>
        <v>352</v>
      </c>
      <c r="DR71" t="s">
        <v>52</v>
      </c>
      <c r="DU71" s="20" t="e">
        <f t="shared" si="48"/>
        <v>#REF!</v>
      </c>
    </row>
    <row r="72" spans="1:125" customFormat="1" ht="20.149999999999999" customHeight="1" x14ac:dyDescent="0.35">
      <c r="A72" s="84">
        <f t="shared" si="49"/>
        <v>61</v>
      </c>
      <c r="B72" s="142" t="s">
        <v>53</v>
      </c>
      <c r="C72" s="160" t="s">
        <v>48</v>
      </c>
      <c r="D72" s="109">
        <v>0</v>
      </c>
      <c r="E72" s="110">
        <f>'LPLPO GUDANG'!E75</f>
        <v>0</v>
      </c>
      <c r="F72" s="110">
        <f t="shared" si="0"/>
        <v>0</v>
      </c>
      <c r="G72" s="110">
        <f>'PEMAKAIAN UNIT'!R69</f>
        <v>0</v>
      </c>
      <c r="H72" s="14">
        <v>0</v>
      </c>
      <c r="I72" s="14">
        <v>0</v>
      </c>
      <c r="J72" s="14">
        <v>0</v>
      </c>
      <c r="K72" s="14"/>
      <c r="L72" s="14"/>
      <c r="M72" s="14"/>
      <c r="N72" s="14"/>
      <c r="O72" s="14"/>
      <c r="P72" s="14"/>
      <c r="Q72" s="14"/>
      <c r="R72" s="14"/>
      <c r="S72" s="14">
        <v>0</v>
      </c>
      <c r="T72" s="14">
        <v>0</v>
      </c>
      <c r="U72" s="14">
        <v>0</v>
      </c>
      <c r="V72" s="14">
        <v>0</v>
      </c>
      <c r="W72" s="14">
        <v>3</v>
      </c>
      <c r="X72" s="14">
        <v>0</v>
      </c>
      <c r="Y72" s="109">
        <f t="shared" si="1"/>
        <v>0</v>
      </c>
      <c r="Z72" s="109" t="e">
        <f t="shared" si="2"/>
        <v>#REF!</v>
      </c>
      <c r="AA72" s="109" t="e">
        <f t="shared" si="3"/>
        <v>#REF!</v>
      </c>
      <c r="AB72" s="14">
        <v>7</v>
      </c>
      <c r="AC72" s="109" t="e">
        <f t="shared" si="4"/>
        <v>#REF!</v>
      </c>
      <c r="AD72" s="109">
        <f>'LPLPO GUDANG'!H75</f>
        <v>24</v>
      </c>
      <c r="AE72" s="111" t="e">
        <f t="shared" si="5"/>
        <v>#REF!</v>
      </c>
      <c r="AF72" s="212"/>
      <c r="AG72" s="212"/>
      <c r="AH72" s="20"/>
      <c r="AI72" s="14">
        <f t="shared" si="6"/>
        <v>0</v>
      </c>
      <c r="AJ72" s="209" t="e">
        <f t="shared" si="7"/>
        <v>#REF!</v>
      </c>
      <c r="AL72" s="14">
        <f t="shared" si="8"/>
        <v>0</v>
      </c>
      <c r="AM72" s="14">
        <f>DISTRIBUSI!D70</f>
        <v>0</v>
      </c>
      <c r="AN72" s="14">
        <f>'PEMAKAIAN UNIT'!D69</f>
        <v>0</v>
      </c>
      <c r="AO72" s="14">
        <f t="shared" si="9"/>
        <v>0</v>
      </c>
      <c r="AP72" s="15">
        <f t="shared" si="10"/>
        <v>0</v>
      </c>
      <c r="AQ72" s="14">
        <f t="shared" si="11"/>
        <v>0</v>
      </c>
      <c r="AR72" s="14">
        <f>DISTRIBUSI!E70</f>
        <v>0</v>
      </c>
      <c r="AS72" s="14">
        <f>'PEMAKAIAN UNIT'!E69</f>
        <v>0</v>
      </c>
      <c r="AT72" s="14">
        <f t="shared" si="12"/>
        <v>0</v>
      </c>
      <c r="AU72" s="15">
        <f t="shared" si="13"/>
        <v>0</v>
      </c>
      <c r="AV72" s="14">
        <f t="shared" si="14"/>
        <v>0</v>
      </c>
      <c r="AW72" s="14">
        <f>DISTRIBUSI!F70</f>
        <v>0</v>
      </c>
      <c r="AX72" s="14">
        <f>'PEMAKAIAN UNIT'!F69</f>
        <v>0</v>
      </c>
      <c r="AY72" s="14">
        <f t="shared" si="15"/>
        <v>0</v>
      </c>
      <c r="AZ72" s="15">
        <f t="shared" si="16"/>
        <v>0</v>
      </c>
      <c r="BA72" s="14">
        <f t="shared" si="17"/>
        <v>0</v>
      </c>
      <c r="BB72" s="14">
        <f>DISTRIBUSI!G70</f>
        <v>0</v>
      </c>
      <c r="BC72" s="14">
        <f>'PEMAKAIAN UNIT'!G69</f>
        <v>0</v>
      </c>
      <c r="BD72" s="14">
        <f t="shared" si="18"/>
        <v>0</v>
      </c>
      <c r="BE72" s="15">
        <f t="shared" si="19"/>
        <v>0</v>
      </c>
      <c r="BF72" s="14">
        <f t="shared" si="20"/>
        <v>0</v>
      </c>
      <c r="BG72" s="14">
        <f>DISTRIBUSI!H70</f>
        <v>0</v>
      </c>
      <c r="BH72" s="14">
        <f>'PEMAKAIAN UNIT'!H69</f>
        <v>0</v>
      </c>
      <c r="BI72" s="14">
        <f t="shared" si="21"/>
        <v>0</v>
      </c>
      <c r="BJ72" s="15">
        <f t="shared" si="22"/>
        <v>0</v>
      </c>
      <c r="BK72" s="14">
        <f t="shared" si="23"/>
        <v>0</v>
      </c>
      <c r="BL72" s="14">
        <f>DISTRIBUSI!I70</f>
        <v>0</v>
      </c>
      <c r="BM72" s="14">
        <f>'PEMAKAIAN UNIT'!I69</f>
        <v>0</v>
      </c>
      <c r="BN72" s="14">
        <f t="shared" si="24"/>
        <v>0</v>
      </c>
      <c r="BO72" s="15">
        <f t="shared" si="25"/>
        <v>0</v>
      </c>
      <c r="BP72" s="14">
        <f t="shared" si="26"/>
        <v>0</v>
      </c>
      <c r="BQ72" s="14">
        <f>DISTRIBUSI!J70</f>
        <v>0</v>
      </c>
      <c r="BR72" s="14">
        <f>'PEMAKAIAN UNIT'!J69</f>
        <v>0</v>
      </c>
      <c r="BS72" s="14">
        <f t="shared" si="27"/>
        <v>0</v>
      </c>
      <c r="BT72" s="15">
        <f t="shared" si="28"/>
        <v>0</v>
      </c>
      <c r="BU72" s="14">
        <f t="shared" si="29"/>
        <v>5</v>
      </c>
      <c r="BV72" s="14">
        <f>DISTRIBUSI!K70</f>
        <v>0</v>
      </c>
      <c r="BW72" s="14">
        <f>'PEMAKAIAN UNIT'!K69</f>
        <v>0</v>
      </c>
      <c r="BX72" s="14">
        <f t="shared" si="30"/>
        <v>5</v>
      </c>
      <c r="BY72" s="15">
        <f t="shared" si="31"/>
        <v>2</v>
      </c>
      <c r="BZ72" s="14">
        <f t="shared" si="32"/>
        <v>0</v>
      </c>
      <c r="CA72" s="14">
        <f>DISTRIBUSI!L70</f>
        <v>0</v>
      </c>
      <c r="CB72" s="14">
        <f>'PEMAKAIAN UNIT'!L69</f>
        <v>0</v>
      </c>
      <c r="CC72" s="14">
        <f t="shared" si="33"/>
        <v>0</v>
      </c>
      <c r="CD72" s="15">
        <f t="shared" si="34"/>
        <v>0</v>
      </c>
      <c r="CE72" s="14">
        <f t="shared" si="35"/>
        <v>0</v>
      </c>
      <c r="CF72" s="14">
        <f>DISTRIBUSI!M70</f>
        <v>0</v>
      </c>
      <c r="CG72" s="14">
        <f>'PEMAKAIAN UNIT'!M69</f>
        <v>0</v>
      </c>
      <c r="CH72" s="14">
        <f t="shared" si="36"/>
        <v>0</v>
      </c>
      <c r="CI72" s="15">
        <f t="shared" si="37"/>
        <v>0</v>
      </c>
      <c r="CJ72" s="14">
        <f t="shared" si="38"/>
        <v>0</v>
      </c>
      <c r="CK72" s="14" t="e">
        <f>DISTRIBUSI!#REF!</f>
        <v>#REF!</v>
      </c>
      <c r="CL72" s="14">
        <f>'PEMAKAIAN UNIT'!N69</f>
        <v>0</v>
      </c>
      <c r="CM72" s="14" t="e">
        <f t="shared" si="39"/>
        <v>#REF!</v>
      </c>
      <c r="CN72" s="15" t="e">
        <f t="shared" si="40"/>
        <v>#REF!</v>
      </c>
      <c r="CO72" s="14" t="e">
        <f>DL72+DISTRIBUSI!#REF!-'PEMAKAIAN UNIT'!O69</f>
        <v>#REF!</v>
      </c>
      <c r="CP72" s="15" t="e">
        <f t="shared" si="41"/>
        <v>#REF!</v>
      </c>
      <c r="CQ72" s="226">
        <f t="shared" si="42"/>
        <v>7</v>
      </c>
      <c r="CR72" s="226">
        <f>DISTRIBUSI!R70</f>
        <v>0</v>
      </c>
      <c r="CS72" s="226">
        <f>'PEMAKAIAN UNIT'!P69</f>
        <v>0</v>
      </c>
      <c r="CT72" s="14">
        <f t="shared" si="43"/>
        <v>7</v>
      </c>
      <c r="CU72" s="15">
        <f t="shared" si="44"/>
        <v>0</v>
      </c>
      <c r="CV72" s="14" t="e">
        <f>DN72+DISTRIBUSI!#REF!-'PEMAKAIAN UNIT'!Q69</f>
        <v>#REF!</v>
      </c>
      <c r="CW72" s="15" t="e">
        <f t="shared" si="45"/>
        <v>#REF!</v>
      </c>
      <c r="CX72" s="14">
        <f>DO72+'LPLPO GUDANG'!E75-'LPLPO GUDANG'!G75</f>
        <v>33</v>
      </c>
      <c r="CY72" s="15">
        <f t="shared" si="46"/>
        <v>9</v>
      </c>
      <c r="CZ72" s="28"/>
      <c r="DA72" s="14">
        <v>0</v>
      </c>
      <c r="DB72" s="14"/>
      <c r="DC72" s="14">
        <v>0</v>
      </c>
      <c r="DD72" s="14">
        <v>0</v>
      </c>
      <c r="DE72" s="14">
        <v>0</v>
      </c>
      <c r="DF72" s="14"/>
      <c r="DG72" s="14">
        <v>0</v>
      </c>
      <c r="DH72" s="14">
        <v>5</v>
      </c>
      <c r="DI72" s="14">
        <v>0</v>
      </c>
      <c r="DJ72" s="14">
        <v>0</v>
      </c>
      <c r="DK72" s="14">
        <v>0</v>
      </c>
      <c r="DL72" s="14">
        <v>0</v>
      </c>
      <c r="DM72" s="14">
        <v>7</v>
      </c>
      <c r="DN72" s="14">
        <v>0</v>
      </c>
      <c r="DO72" s="14">
        <v>33</v>
      </c>
      <c r="DP72" s="13">
        <f t="shared" si="47"/>
        <v>45</v>
      </c>
      <c r="DR72" t="s">
        <v>53</v>
      </c>
      <c r="DU72" s="20" t="e">
        <f t="shared" si="48"/>
        <v>#REF!</v>
      </c>
    </row>
    <row r="73" spans="1:125" customFormat="1" ht="36" x14ac:dyDescent="0.35">
      <c r="A73" s="84">
        <f t="shared" si="49"/>
        <v>62</v>
      </c>
      <c r="B73" s="142" t="s">
        <v>54</v>
      </c>
      <c r="C73" s="157" t="s">
        <v>332</v>
      </c>
      <c r="D73" s="109">
        <v>0</v>
      </c>
      <c r="E73" s="110">
        <f>'LPLPO GUDANG'!E76</f>
        <v>0</v>
      </c>
      <c r="F73" s="110">
        <f t="shared" si="0"/>
        <v>0</v>
      </c>
      <c r="G73" s="110">
        <f>'PEMAKAIAN UNIT'!R70</f>
        <v>0</v>
      </c>
      <c r="H73" s="14">
        <v>0</v>
      </c>
      <c r="I73" s="14">
        <v>0</v>
      </c>
      <c r="J73" s="14">
        <v>0</v>
      </c>
      <c r="K73" s="14"/>
      <c r="L73" s="14"/>
      <c r="M73" s="14"/>
      <c r="N73" s="14"/>
      <c r="O73" s="14"/>
      <c r="P73" s="14"/>
      <c r="Q73" s="14"/>
      <c r="R73" s="14"/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09">
        <f t="shared" si="1"/>
        <v>0</v>
      </c>
      <c r="Z73" s="109" t="e">
        <f t="shared" si="2"/>
        <v>#REF!</v>
      </c>
      <c r="AA73" s="109" t="e">
        <f t="shared" si="3"/>
        <v>#REF!</v>
      </c>
      <c r="AB73" s="14">
        <v>225</v>
      </c>
      <c r="AC73" s="109" t="e">
        <f t="shared" si="4"/>
        <v>#REF!</v>
      </c>
      <c r="AD73" s="109">
        <f>'LPLPO GUDANG'!H76</f>
        <v>400</v>
      </c>
      <c r="AE73" s="111" t="e">
        <f t="shared" si="5"/>
        <v>#REF!</v>
      </c>
      <c r="AF73" s="212"/>
      <c r="AG73" s="212"/>
      <c r="AH73" s="20"/>
      <c r="AI73" s="14">
        <f t="shared" si="6"/>
        <v>0</v>
      </c>
      <c r="AJ73" s="209" t="e">
        <f t="shared" si="7"/>
        <v>#REF!</v>
      </c>
      <c r="AL73" s="14">
        <f t="shared" si="8"/>
        <v>0</v>
      </c>
      <c r="AM73" s="14">
        <f>DISTRIBUSI!D71</f>
        <v>0</v>
      </c>
      <c r="AN73" s="14">
        <f>'PEMAKAIAN UNIT'!D70</f>
        <v>0</v>
      </c>
      <c r="AO73" s="14">
        <f t="shared" si="9"/>
        <v>0</v>
      </c>
      <c r="AP73" s="15">
        <f t="shared" si="10"/>
        <v>0</v>
      </c>
      <c r="AQ73" s="14">
        <f t="shared" si="11"/>
        <v>0</v>
      </c>
      <c r="AR73" s="14">
        <f>DISTRIBUSI!E71</f>
        <v>0</v>
      </c>
      <c r="AS73" s="14">
        <f>'PEMAKAIAN UNIT'!E70</f>
        <v>0</v>
      </c>
      <c r="AT73" s="14">
        <f t="shared" si="12"/>
        <v>0</v>
      </c>
      <c r="AU73" s="15">
        <f t="shared" si="13"/>
        <v>0</v>
      </c>
      <c r="AV73" s="14">
        <f t="shared" si="14"/>
        <v>0</v>
      </c>
      <c r="AW73" s="14">
        <f>DISTRIBUSI!F71</f>
        <v>0</v>
      </c>
      <c r="AX73" s="14">
        <f>'PEMAKAIAN UNIT'!F70</f>
        <v>0</v>
      </c>
      <c r="AY73" s="14">
        <f t="shared" si="15"/>
        <v>0</v>
      </c>
      <c r="AZ73" s="15">
        <f t="shared" si="16"/>
        <v>0</v>
      </c>
      <c r="BA73" s="14">
        <f t="shared" si="17"/>
        <v>0</v>
      </c>
      <c r="BB73" s="14">
        <f>DISTRIBUSI!G71</f>
        <v>0</v>
      </c>
      <c r="BC73" s="14">
        <f>'PEMAKAIAN UNIT'!G70</f>
        <v>0</v>
      </c>
      <c r="BD73" s="14">
        <f t="shared" si="18"/>
        <v>0</v>
      </c>
      <c r="BE73" s="15">
        <f t="shared" si="19"/>
        <v>0</v>
      </c>
      <c r="BF73" s="14">
        <f t="shared" si="20"/>
        <v>0</v>
      </c>
      <c r="BG73" s="14">
        <f>DISTRIBUSI!H71</f>
        <v>0</v>
      </c>
      <c r="BH73" s="14">
        <f>'PEMAKAIAN UNIT'!H70</f>
        <v>0</v>
      </c>
      <c r="BI73" s="14">
        <f t="shared" si="21"/>
        <v>0</v>
      </c>
      <c r="BJ73" s="15">
        <f t="shared" si="22"/>
        <v>0</v>
      </c>
      <c r="BK73" s="14">
        <f t="shared" si="23"/>
        <v>0</v>
      </c>
      <c r="BL73" s="14">
        <f>DISTRIBUSI!I71</f>
        <v>0</v>
      </c>
      <c r="BM73" s="14">
        <f>'PEMAKAIAN UNIT'!I70</f>
        <v>0</v>
      </c>
      <c r="BN73" s="14">
        <f t="shared" si="24"/>
        <v>0</v>
      </c>
      <c r="BO73" s="15">
        <f t="shared" si="25"/>
        <v>0</v>
      </c>
      <c r="BP73" s="14">
        <f t="shared" si="26"/>
        <v>0</v>
      </c>
      <c r="BQ73" s="14">
        <f>DISTRIBUSI!J71</f>
        <v>0</v>
      </c>
      <c r="BR73" s="14">
        <f>'PEMAKAIAN UNIT'!J70</f>
        <v>0</v>
      </c>
      <c r="BS73" s="14">
        <f t="shared" si="27"/>
        <v>0</v>
      </c>
      <c r="BT73" s="15">
        <f t="shared" si="28"/>
        <v>0</v>
      </c>
      <c r="BU73" s="14">
        <f t="shared" si="29"/>
        <v>0</v>
      </c>
      <c r="BV73" s="14">
        <f>DISTRIBUSI!K71</f>
        <v>0</v>
      </c>
      <c r="BW73" s="14">
        <f>'PEMAKAIAN UNIT'!K70</f>
        <v>0</v>
      </c>
      <c r="BX73" s="14">
        <f t="shared" si="30"/>
        <v>0</v>
      </c>
      <c r="BY73" s="15">
        <f t="shared" si="31"/>
        <v>0</v>
      </c>
      <c r="BZ73" s="14">
        <f t="shared" si="32"/>
        <v>0</v>
      </c>
      <c r="CA73" s="14">
        <f>DISTRIBUSI!L71</f>
        <v>0</v>
      </c>
      <c r="CB73" s="14">
        <f>'PEMAKAIAN UNIT'!L70</f>
        <v>0</v>
      </c>
      <c r="CC73" s="14">
        <f t="shared" si="33"/>
        <v>0</v>
      </c>
      <c r="CD73" s="15">
        <f t="shared" si="34"/>
        <v>0</v>
      </c>
      <c r="CE73" s="14">
        <f t="shared" si="35"/>
        <v>0</v>
      </c>
      <c r="CF73" s="14">
        <f>DISTRIBUSI!M71</f>
        <v>0</v>
      </c>
      <c r="CG73" s="14">
        <f>'PEMAKAIAN UNIT'!M70</f>
        <v>0</v>
      </c>
      <c r="CH73" s="14">
        <f t="shared" si="36"/>
        <v>0</v>
      </c>
      <c r="CI73" s="15">
        <f t="shared" si="37"/>
        <v>0</v>
      </c>
      <c r="CJ73" s="14">
        <f t="shared" si="38"/>
        <v>0</v>
      </c>
      <c r="CK73" s="14" t="e">
        <f>DISTRIBUSI!#REF!</f>
        <v>#REF!</v>
      </c>
      <c r="CL73" s="14">
        <f>'PEMAKAIAN UNIT'!N70</f>
        <v>0</v>
      </c>
      <c r="CM73" s="14" t="e">
        <f t="shared" si="39"/>
        <v>#REF!</v>
      </c>
      <c r="CN73" s="15" t="e">
        <f t="shared" si="40"/>
        <v>#REF!</v>
      </c>
      <c r="CO73" s="14" t="e">
        <f>DL73+DISTRIBUSI!#REF!-'PEMAKAIAN UNIT'!O70</f>
        <v>#REF!</v>
      </c>
      <c r="CP73" s="15" t="e">
        <f t="shared" si="41"/>
        <v>#REF!</v>
      </c>
      <c r="CQ73" s="226">
        <f t="shared" si="42"/>
        <v>235</v>
      </c>
      <c r="CR73" s="226">
        <f>DISTRIBUSI!R71</f>
        <v>0</v>
      </c>
      <c r="CS73" s="226">
        <f>'PEMAKAIAN UNIT'!P70</f>
        <v>0</v>
      </c>
      <c r="CT73" s="14">
        <f t="shared" si="43"/>
        <v>235</v>
      </c>
      <c r="CU73" s="15">
        <f t="shared" si="44"/>
        <v>10</v>
      </c>
      <c r="CV73" s="14" t="e">
        <f>DN73+DISTRIBUSI!#REF!-'PEMAKAIAN UNIT'!Q70</f>
        <v>#REF!</v>
      </c>
      <c r="CW73" s="15" t="e">
        <f t="shared" si="45"/>
        <v>#REF!</v>
      </c>
      <c r="CX73" s="14">
        <f>DO73+'LPLPO GUDANG'!E76-'LPLPO GUDANG'!G76</f>
        <v>200</v>
      </c>
      <c r="CY73" s="15">
        <f t="shared" si="46"/>
        <v>-200</v>
      </c>
      <c r="CZ73" s="28"/>
      <c r="DA73" s="14">
        <v>0</v>
      </c>
      <c r="DB73" s="14"/>
      <c r="DC73" s="14">
        <v>0</v>
      </c>
      <c r="DD73" s="14">
        <v>0</v>
      </c>
      <c r="DE73" s="14">
        <v>0</v>
      </c>
      <c r="DF73" s="14"/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235</v>
      </c>
      <c r="DN73" s="14">
        <v>0</v>
      </c>
      <c r="DO73" s="14">
        <v>200</v>
      </c>
      <c r="DP73" s="13">
        <f t="shared" si="47"/>
        <v>435</v>
      </c>
      <c r="DR73" t="s">
        <v>54</v>
      </c>
      <c r="DU73" s="20" t="e">
        <f t="shared" si="48"/>
        <v>#REF!</v>
      </c>
    </row>
    <row r="74" spans="1:125" customFormat="1" ht="20.149999999999999" customHeight="1" x14ac:dyDescent="0.35">
      <c r="A74" s="84">
        <f t="shared" si="49"/>
        <v>63</v>
      </c>
      <c r="B74" s="142" t="s">
        <v>252</v>
      </c>
      <c r="C74" s="155" t="s">
        <v>340</v>
      </c>
      <c r="D74" s="109">
        <v>0</v>
      </c>
      <c r="E74" s="110">
        <f>'LPLPO GUDANG'!E77</f>
        <v>0</v>
      </c>
      <c r="F74" s="110">
        <f t="shared" si="0"/>
        <v>0</v>
      </c>
      <c r="G74" s="110">
        <f>'PEMAKAIAN UNIT'!R71</f>
        <v>0</v>
      </c>
      <c r="H74" s="14">
        <v>0</v>
      </c>
      <c r="I74" s="14">
        <v>0</v>
      </c>
      <c r="J74" s="14">
        <v>0</v>
      </c>
      <c r="K74" s="14"/>
      <c r="L74" s="14"/>
      <c r="M74" s="14"/>
      <c r="N74" s="14"/>
      <c r="O74" s="14"/>
      <c r="P74" s="14"/>
      <c r="Q74" s="14"/>
      <c r="R74" s="14"/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09">
        <f t="shared" si="1"/>
        <v>0</v>
      </c>
      <c r="Z74" s="109" t="e">
        <f t="shared" si="2"/>
        <v>#REF!</v>
      </c>
      <c r="AA74" s="109" t="e">
        <f t="shared" si="3"/>
        <v>#REF!</v>
      </c>
      <c r="AB74" s="14">
        <v>230</v>
      </c>
      <c r="AC74" s="109" t="e">
        <f t="shared" si="4"/>
        <v>#REF!</v>
      </c>
      <c r="AD74" s="109">
        <f>'LPLPO GUDANG'!H77</f>
        <v>200</v>
      </c>
      <c r="AE74" s="111" t="e">
        <f t="shared" si="5"/>
        <v>#REF!</v>
      </c>
      <c r="AF74" s="212"/>
      <c r="AG74" s="212"/>
      <c r="AH74" s="20"/>
      <c r="AI74" s="14">
        <f t="shared" si="6"/>
        <v>0</v>
      </c>
      <c r="AJ74" s="209" t="e">
        <f t="shared" si="7"/>
        <v>#REF!</v>
      </c>
      <c r="AL74" s="14">
        <f t="shared" si="8"/>
        <v>0</v>
      </c>
      <c r="AM74" s="14">
        <f>DISTRIBUSI!D72</f>
        <v>0</v>
      </c>
      <c r="AN74" s="14">
        <f>'PEMAKAIAN UNIT'!D71</f>
        <v>0</v>
      </c>
      <c r="AO74" s="14">
        <f t="shared" si="9"/>
        <v>0</v>
      </c>
      <c r="AP74" s="15">
        <f t="shared" si="10"/>
        <v>0</v>
      </c>
      <c r="AQ74" s="14">
        <f t="shared" si="11"/>
        <v>0</v>
      </c>
      <c r="AR74" s="14">
        <f>DISTRIBUSI!E72</f>
        <v>0</v>
      </c>
      <c r="AS74" s="14">
        <f>'PEMAKAIAN UNIT'!E71</f>
        <v>0</v>
      </c>
      <c r="AT74" s="14">
        <f t="shared" si="12"/>
        <v>0</v>
      </c>
      <c r="AU74" s="15">
        <f t="shared" si="13"/>
        <v>0</v>
      </c>
      <c r="AV74" s="14">
        <f t="shared" si="14"/>
        <v>0</v>
      </c>
      <c r="AW74" s="14">
        <f>DISTRIBUSI!F72</f>
        <v>0</v>
      </c>
      <c r="AX74" s="14">
        <f>'PEMAKAIAN UNIT'!F71</f>
        <v>0</v>
      </c>
      <c r="AY74" s="14">
        <f t="shared" si="15"/>
        <v>0</v>
      </c>
      <c r="AZ74" s="15">
        <f t="shared" si="16"/>
        <v>0</v>
      </c>
      <c r="BA74" s="14">
        <f t="shared" si="17"/>
        <v>0</v>
      </c>
      <c r="BB74" s="14">
        <f>DISTRIBUSI!G72</f>
        <v>0</v>
      </c>
      <c r="BC74" s="14">
        <f>'PEMAKAIAN UNIT'!G71</f>
        <v>0</v>
      </c>
      <c r="BD74" s="14">
        <f t="shared" si="18"/>
        <v>0</v>
      </c>
      <c r="BE74" s="15">
        <f t="shared" si="19"/>
        <v>0</v>
      </c>
      <c r="BF74" s="14">
        <f t="shared" si="20"/>
        <v>0</v>
      </c>
      <c r="BG74" s="14">
        <f>DISTRIBUSI!H72</f>
        <v>0</v>
      </c>
      <c r="BH74" s="14">
        <f>'PEMAKAIAN UNIT'!H71</f>
        <v>0</v>
      </c>
      <c r="BI74" s="14">
        <f t="shared" si="21"/>
        <v>0</v>
      </c>
      <c r="BJ74" s="15">
        <f t="shared" si="22"/>
        <v>0</v>
      </c>
      <c r="BK74" s="14">
        <f t="shared" si="23"/>
        <v>0</v>
      </c>
      <c r="BL74" s="14">
        <f>DISTRIBUSI!I72</f>
        <v>0</v>
      </c>
      <c r="BM74" s="14">
        <f>'PEMAKAIAN UNIT'!I71</f>
        <v>0</v>
      </c>
      <c r="BN74" s="14">
        <f t="shared" si="24"/>
        <v>0</v>
      </c>
      <c r="BO74" s="15">
        <f t="shared" si="25"/>
        <v>0</v>
      </c>
      <c r="BP74" s="14">
        <f t="shared" si="26"/>
        <v>0</v>
      </c>
      <c r="BQ74" s="14">
        <f>DISTRIBUSI!J72</f>
        <v>0</v>
      </c>
      <c r="BR74" s="14">
        <f>'PEMAKAIAN UNIT'!J71</f>
        <v>0</v>
      </c>
      <c r="BS74" s="14">
        <f t="shared" si="27"/>
        <v>0</v>
      </c>
      <c r="BT74" s="15">
        <f t="shared" si="28"/>
        <v>0</v>
      </c>
      <c r="BU74" s="14">
        <f t="shared" si="29"/>
        <v>0</v>
      </c>
      <c r="BV74" s="14">
        <f>DISTRIBUSI!K72</f>
        <v>0</v>
      </c>
      <c r="BW74" s="14">
        <f>'PEMAKAIAN UNIT'!K71</f>
        <v>0</v>
      </c>
      <c r="BX74" s="14">
        <f t="shared" si="30"/>
        <v>0</v>
      </c>
      <c r="BY74" s="15">
        <f t="shared" si="31"/>
        <v>0</v>
      </c>
      <c r="BZ74" s="14">
        <f t="shared" si="32"/>
        <v>0</v>
      </c>
      <c r="CA74" s="14">
        <f>DISTRIBUSI!L72</f>
        <v>0</v>
      </c>
      <c r="CB74" s="14">
        <f>'PEMAKAIAN UNIT'!L71</f>
        <v>0</v>
      </c>
      <c r="CC74" s="14">
        <f t="shared" si="33"/>
        <v>0</v>
      </c>
      <c r="CD74" s="15">
        <f t="shared" si="34"/>
        <v>0</v>
      </c>
      <c r="CE74" s="14">
        <f t="shared" si="35"/>
        <v>0</v>
      </c>
      <c r="CF74" s="14">
        <f>DISTRIBUSI!M72</f>
        <v>0</v>
      </c>
      <c r="CG74" s="14">
        <f>'PEMAKAIAN UNIT'!M71</f>
        <v>0</v>
      </c>
      <c r="CH74" s="14">
        <f t="shared" si="36"/>
        <v>0</v>
      </c>
      <c r="CI74" s="15">
        <f t="shared" si="37"/>
        <v>0</v>
      </c>
      <c r="CJ74" s="14">
        <f t="shared" si="38"/>
        <v>0</v>
      </c>
      <c r="CK74" s="14" t="e">
        <f>DISTRIBUSI!#REF!</f>
        <v>#REF!</v>
      </c>
      <c r="CL74" s="14">
        <f>'PEMAKAIAN UNIT'!N71</f>
        <v>0</v>
      </c>
      <c r="CM74" s="14" t="e">
        <f t="shared" si="39"/>
        <v>#REF!</v>
      </c>
      <c r="CN74" s="15" t="e">
        <f t="shared" si="40"/>
        <v>#REF!</v>
      </c>
      <c r="CO74" s="14" t="e">
        <f>DL74+DISTRIBUSI!#REF!-'PEMAKAIAN UNIT'!O71</f>
        <v>#REF!</v>
      </c>
      <c r="CP74" s="15" t="e">
        <f t="shared" si="41"/>
        <v>#REF!</v>
      </c>
      <c r="CQ74" s="226">
        <f t="shared" si="42"/>
        <v>230</v>
      </c>
      <c r="CR74" s="226">
        <f>DISTRIBUSI!R72</f>
        <v>0</v>
      </c>
      <c r="CS74" s="226">
        <f>'PEMAKAIAN UNIT'!P71</f>
        <v>0</v>
      </c>
      <c r="CT74" s="14">
        <f t="shared" si="43"/>
        <v>230</v>
      </c>
      <c r="CU74" s="15">
        <f t="shared" si="44"/>
        <v>0</v>
      </c>
      <c r="CV74" s="14" t="e">
        <f>DN74+DISTRIBUSI!#REF!-'PEMAKAIAN UNIT'!Q71</f>
        <v>#REF!</v>
      </c>
      <c r="CW74" s="15" t="e">
        <f t="shared" si="45"/>
        <v>#REF!</v>
      </c>
      <c r="CX74" s="14">
        <f>DO74+'LPLPO GUDANG'!E77-'LPLPO GUDANG'!G77</f>
        <v>0</v>
      </c>
      <c r="CY74" s="15">
        <f t="shared" si="46"/>
        <v>-200</v>
      </c>
      <c r="CZ74" s="28"/>
      <c r="DA74" s="14">
        <v>0</v>
      </c>
      <c r="DB74" s="14"/>
      <c r="DC74" s="14">
        <v>0</v>
      </c>
      <c r="DD74" s="14">
        <v>0</v>
      </c>
      <c r="DE74" s="14">
        <v>0</v>
      </c>
      <c r="DF74" s="14"/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230</v>
      </c>
      <c r="DN74" s="14">
        <v>0</v>
      </c>
      <c r="DO74" s="14">
        <v>0</v>
      </c>
      <c r="DP74" s="13">
        <f t="shared" si="47"/>
        <v>230</v>
      </c>
      <c r="DR74" t="s">
        <v>252</v>
      </c>
      <c r="DU74" s="20" t="e">
        <f t="shared" si="48"/>
        <v>#REF!</v>
      </c>
    </row>
    <row r="75" spans="1:125" customFormat="1" ht="20.149999999999999" customHeight="1" x14ac:dyDescent="0.35">
      <c r="A75" s="84">
        <f t="shared" si="49"/>
        <v>64</v>
      </c>
      <c r="B75" s="142" t="s">
        <v>55</v>
      </c>
      <c r="C75" s="153" t="s">
        <v>346</v>
      </c>
      <c r="D75" s="109">
        <v>0</v>
      </c>
      <c r="E75" s="110">
        <f>'LPLPO GUDANG'!E78</f>
        <v>30</v>
      </c>
      <c r="F75" s="110">
        <f t="shared" si="0"/>
        <v>30</v>
      </c>
      <c r="G75" s="110">
        <f>'PEMAKAIAN UNIT'!R72</f>
        <v>0</v>
      </c>
      <c r="H75" s="14">
        <v>0</v>
      </c>
      <c r="I75" s="14">
        <v>0</v>
      </c>
      <c r="J75" s="14">
        <v>0</v>
      </c>
      <c r="K75" s="14"/>
      <c r="L75" s="14"/>
      <c r="M75" s="14"/>
      <c r="N75" s="14"/>
      <c r="O75" s="14"/>
      <c r="P75" s="14"/>
      <c r="Q75" s="14"/>
      <c r="R75" s="14"/>
      <c r="S75" s="14">
        <v>0</v>
      </c>
      <c r="T75" s="14">
        <v>0</v>
      </c>
      <c r="U75" s="14">
        <v>5</v>
      </c>
      <c r="V75" s="14">
        <v>0</v>
      </c>
      <c r="W75" s="14">
        <v>0</v>
      </c>
      <c r="X75" s="14">
        <v>0</v>
      </c>
      <c r="Y75" s="109">
        <f t="shared" si="1"/>
        <v>0</v>
      </c>
      <c r="Z75" s="109" t="e">
        <f t="shared" si="2"/>
        <v>#REF!</v>
      </c>
      <c r="AA75" s="109" t="e">
        <f t="shared" si="3"/>
        <v>#REF!</v>
      </c>
      <c r="AB75" s="14">
        <v>45</v>
      </c>
      <c r="AC75" s="109" t="e">
        <f t="shared" si="4"/>
        <v>#REF!</v>
      </c>
      <c r="AD75" s="109">
        <f>'LPLPO GUDANG'!H78</f>
        <v>65</v>
      </c>
      <c r="AE75" s="111" t="e">
        <f t="shared" si="5"/>
        <v>#REF!</v>
      </c>
      <c r="AF75" s="212"/>
      <c r="AG75" s="212"/>
      <c r="AH75" s="20"/>
      <c r="AI75" s="14">
        <f t="shared" si="6"/>
        <v>30</v>
      </c>
      <c r="AJ75" s="209" t="e">
        <f t="shared" si="7"/>
        <v>#REF!</v>
      </c>
      <c r="AL75" s="14">
        <f t="shared" si="8"/>
        <v>0</v>
      </c>
      <c r="AM75" s="14">
        <f>DISTRIBUSI!D73</f>
        <v>0</v>
      </c>
      <c r="AN75" s="14">
        <f>'PEMAKAIAN UNIT'!D72</f>
        <v>0</v>
      </c>
      <c r="AO75" s="14">
        <f t="shared" si="9"/>
        <v>0</v>
      </c>
      <c r="AP75" s="15">
        <f t="shared" si="10"/>
        <v>0</v>
      </c>
      <c r="AQ75" s="14">
        <f t="shared" si="11"/>
        <v>0</v>
      </c>
      <c r="AR75" s="14">
        <f>DISTRIBUSI!E73</f>
        <v>0</v>
      </c>
      <c r="AS75" s="14">
        <f>'PEMAKAIAN UNIT'!E72</f>
        <v>0</v>
      </c>
      <c r="AT75" s="14">
        <f t="shared" si="12"/>
        <v>0</v>
      </c>
      <c r="AU75" s="15">
        <f t="shared" si="13"/>
        <v>0</v>
      </c>
      <c r="AV75" s="14">
        <f t="shared" si="14"/>
        <v>0</v>
      </c>
      <c r="AW75" s="14">
        <f>DISTRIBUSI!F73</f>
        <v>0</v>
      </c>
      <c r="AX75" s="14">
        <f>'PEMAKAIAN UNIT'!F72</f>
        <v>0</v>
      </c>
      <c r="AY75" s="14">
        <f t="shared" si="15"/>
        <v>0</v>
      </c>
      <c r="AZ75" s="15">
        <f t="shared" si="16"/>
        <v>0</v>
      </c>
      <c r="BA75" s="14">
        <f t="shared" si="17"/>
        <v>0</v>
      </c>
      <c r="BB75" s="14">
        <f>DISTRIBUSI!G73</f>
        <v>0</v>
      </c>
      <c r="BC75" s="14">
        <f>'PEMAKAIAN UNIT'!G72</f>
        <v>0</v>
      </c>
      <c r="BD75" s="14">
        <f t="shared" si="18"/>
        <v>0</v>
      </c>
      <c r="BE75" s="15">
        <f t="shared" si="19"/>
        <v>0</v>
      </c>
      <c r="BF75" s="14">
        <f t="shared" si="20"/>
        <v>4</v>
      </c>
      <c r="BG75" s="14">
        <f>DISTRIBUSI!H73</f>
        <v>0</v>
      </c>
      <c r="BH75" s="14">
        <f>'PEMAKAIAN UNIT'!H72</f>
        <v>0</v>
      </c>
      <c r="BI75" s="14">
        <f t="shared" si="21"/>
        <v>4</v>
      </c>
      <c r="BJ75" s="15">
        <f t="shared" si="22"/>
        <v>4</v>
      </c>
      <c r="BK75" s="14">
        <f t="shared" si="23"/>
        <v>0</v>
      </c>
      <c r="BL75" s="14">
        <f>DISTRIBUSI!I73</f>
        <v>5</v>
      </c>
      <c r="BM75" s="14">
        <f>'PEMAKAIAN UNIT'!I72</f>
        <v>0</v>
      </c>
      <c r="BN75" s="14">
        <f t="shared" si="24"/>
        <v>5</v>
      </c>
      <c r="BO75" s="15">
        <f t="shared" si="25"/>
        <v>0</v>
      </c>
      <c r="BP75" s="14">
        <f t="shared" si="26"/>
        <v>0</v>
      </c>
      <c r="BQ75" s="14">
        <f>DISTRIBUSI!J73</f>
        <v>0</v>
      </c>
      <c r="BR75" s="14">
        <f>'PEMAKAIAN UNIT'!J72</f>
        <v>0</v>
      </c>
      <c r="BS75" s="14">
        <f t="shared" si="27"/>
        <v>0</v>
      </c>
      <c r="BT75" s="15">
        <f t="shared" si="28"/>
        <v>0</v>
      </c>
      <c r="BU75" s="14">
        <f t="shared" si="29"/>
        <v>0</v>
      </c>
      <c r="BV75" s="14">
        <f>DISTRIBUSI!K73</f>
        <v>0</v>
      </c>
      <c r="BW75" s="14">
        <f>'PEMAKAIAN UNIT'!K72</f>
        <v>0</v>
      </c>
      <c r="BX75" s="14">
        <f t="shared" si="30"/>
        <v>0</v>
      </c>
      <c r="BY75" s="15">
        <f t="shared" si="31"/>
        <v>0</v>
      </c>
      <c r="BZ75" s="14">
        <f t="shared" si="32"/>
        <v>0</v>
      </c>
      <c r="CA75" s="14">
        <f>DISTRIBUSI!L73</f>
        <v>0</v>
      </c>
      <c r="CB75" s="14">
        <f>'PEMAKAIAN UNIT'!L72</f>
        <v>0</v>
      </c>
      <c r="CC75" s="14">
        <f t="shared" si="33"/>
        <v>0</v>
      </c>
      <c r="CD75" s="15">
        <f t="shared" si="34"/>
        <v>0</v>
      </c>
      <c r="CE75" s="14">
        <f t="shared" si="35"/>
        <v>0</v>
      </c>
      <c r="CF75" s="14">
        <f>DISTRIBUSI!M73</f>
        <v>0</v>
      </c>
      <c r="CG75" s="14">
        <f>'PEMAKAIAN UNIT'!M72</f>
        <v>0</v>
      </c>
      <c r="CH75" s="14">
        <f t="shared" si="36"/>
        <v>0</v>
      </c>
      <c r="CI75" s="15">
        <f t="shared" si="37"/>
        <v>0</v>
      </c>
      <c r="CJ75" s="14">
        <f t="shared" si="38"/>
        <v>0</v>
      </c>
      <c r="CK75" s="14" t="e">
        <f>DISTRIBUSI!#REF!</f>
        <v>#REF!</v>
      </c>
      <c r="CL75" s="14">
        <f>'PEMAKAIAN UNIT'!N72</f>
        <v>0</v>
      </c>
      <c r="CM75" s="14" t="e">
        <f t="shared" si="39"/>
        <v>#REF!</v>
      </c>
      <c r="CN75" s="15" t="e">
        <f t="shared" si="40"/>
        <v>#REF!</v>
      </c>
      <c r="CO75" s="14" t="e">
        <f>DL75+DISTRIBUSI!#REF!-'PEMAKAIAN UNIT'!O72</f>
        <v>#REF!</v>
      </c>
      <c r="CP75" s="15" t="e">
        <f t="shared" si="41"/>
        <v>#REF!</v>
      </c>
      <c r="CQ75" s="226">
        <f t="shared" si="42"/>
        <v>11</v>
      </c>
      <c r="CR75" s="226">
        <f>DISTRIBUSI!R73</f>
        <v>0</v>
      </c>
      <c r="CS75" s="226">
        <f>'PEMAKAIAN UNIT'!P72</f>
        <v>0</v>
      </c>
      <c r="CT75" s="14">
        <f t="shared" si="43"/>
        <v>11</v>
      </c>
      <c r="CU75" s="15">
        <f t="shared" si="44"/>
        <v>-34</v>
      </c>
      <c r="CV75" s="14" t="e">
        <f>DN75+DISTRIBUSI!#REF!-'PEMAKAIAN UNIT'!Q72</f>
        <v>#REF!</v>
      </c>
      <c r="CW75" s="15" t="e">
        <f t="shared" si="45"/>
        <v>#REF!</v>
      </c>
      <c r="CX75" s="14">
        <f>DO75+'LPLPO GUDANG'!E78-'LPLPO GUDANG'!G78</f>
        <v>15</v>
      </c>
      <c r="CY75" s="15">
        <f t="shared" si="46"/>
        <v>-50</v>
      </c>
      <c r="CZ75" s="28"/>
      <c r="DA75" s="14">
        <v>0</v>
      </c>
      <c r="DB75" s="14"/>
      <c r="DC75" s="14">
        <v>0</v>
      </c>
      <c r="DD75" s="14">
        <v>0</v>
      </c>
      <c r="DE75" s="14">
        <v>4</v>
      </c>
      <c r="DF75" s="14"/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11</v>
      </c>
      <c r="DN75" s="14">
        <v>0</v>
      </c>
      <c r="DO75" s="14">
        <v>0</v>
      </c>
      <c r="DP75" s="13">
        <f t="shared" si="47"/>
        <v>15</v>
      </c>
      <c r="DR75" t="s">
        <v>55</v>
      </c>
      <c r="DU75" s="20" t="e">
        <f t="shared" si="48"/>
        <v>#REF!</v>
      </c>
    </row>
    <row r="76" spans="1:125" customFormat="1" ht="18" x14ac:dyDescent="0.35">
      <c r="A76" s="84">
        <f t="shared" si="49"/>
        <v>65</v>
      </c>
      <c r="B76" s="142" t="s">
        <v>56</v>
      </c>
      <c r="C76" s="162" t="s">
        <v>347</v>
      </c>
      <c r="D76" s="109">
        <v>0</v>
      </c>
      <c r="E76" s="110">
        <f>'LPLPO GUDANG'!E79</f>
        <v>0</v>
      </c>
      <c r="F76" s="110">
        <f t="shared" si="0"/>
        <v>0</v>
      </c>
      <c r="G76" s="110">
        <f>'PEMAKAIAN UNIT'!R73</f>
        <v>0</v>
      </c>
      <c r="H76" s="14">
        <v>0</v>
      </c>
      <c r="I76" s="14">
        <v>0</v>
      </c>
      <c r="J76" s="14">
        <v>0</v>
      </c>
      <c r="K76" s="14"/>
      <c r="L76" s="14"/>
      <c r="M76" s="14"/>
      <c r="N76" s="14"/>
      <c r="O76" s="14"/>
      <c r="P76" s="14"/>
      <c r="Q76" s="14"/>
      <c r="R76" s="14"/>
      <c r="S76" s="14">
        <v>2</v>
      </c>
      <c r="T76" s="14">
        <v>0</v>
      </c>
      <c r="U76" s="14">
        <v>0</v>
      </c>
      <c r="V76" s="14">
        <v>2</v>
      </c>
      <c r="W76" s="14">
        <v>0</v>
      </c>
      <c r="X76" s="14">
        <v>0</v>
      </c>
      <c r="Y76" s="109">
        <f t="shared" si="1"/>
        <v>0</v>
      </c>
      <c r="Z76" s="109" t="e">
        <f t="shared" si="2"/>
        <v>#REF!</v>
      </c>
      <c r="AA76" s="109" t="e">
        <f t="shared" si="3"/>
        <v>#REF!</v>
      </c>
      <c r="AB76" s="14">
        <v>3</v>
      </c>
      <c r="AC76" s="109" t="e">
        <f t="shared" si="4"/>
        <v>#REF!</v>
      </c>
      <c r="AD76" s="109">
        <f>'LPLPO GUDANG'!H79</f>
        <v>24</v>
      </c>
      <c r="AE76" s="111" t="e">
        <f t="shared" si="5"/>
        <v>#REF!</v>
      </c>
      <c r="AF76" s="212"/>
      <c r="AG76" s="212"/>
      <c r="AH76" s="20"/>
      <c r="AI76" s="14">
        <f t="shared" si="6"/>
        <v>0</v>
      </c>
      <c r="AJ76" s="209" t="e">
        <f t="shared" si="7"/>
        <v>#REF!</v>
      </c>
      <c r="AL76" s="14">
        <f t="shared" si="8"/>
        <v>0</v>
      </c>
      <c r="AM76" s="14">
        <f>DISTRIBUSI!D74</f>
        <v>0</v>
      </c>
      <c r="AN76" s="14">
        <f>'PEMAKAIAN UNIT'!D73</f>
        <v>0</v>
      </c>
      <c r="AO76" s="14">
        <f t="shared" si="9"/>
        <v>0</v>
      </c>
      <c r="AP76" s="15">
        <f t="shared" si="10"/>
        <v>0</v>
      </c>
      <c r="AQ76" s="14">
        <f t="shared" si="11"/>
        <v>0</v>
      </c>
      <c r="AR76" s="14">
        <f>DISTRIBUSI!E74</f>
        <v>0</v>
      </c>
      <c r="AS76" s="14">
        <f>'PEMAKAIAN UNIT'!E73</f>
        <v>0</v>
      </c>
      <c r="AT76" s="14">
        <f t="shared" si="12"/>
        <v>0</v>
      </c>
      <c r="AU76" s="15">
        <f t="shared" si="13"/>
        <v>0</v>
      </c>
      <c r="AV76" s="14">
        <f t="shared" si="14"/>
        <v>3</v>
      </c>
      <c r="AW76" s="14">
        <f>DISTRIBUSI!F74</f>
        <v>0</v>
      </c>
      <c r="AX76" s="14">
        <f>'PEMAKAIAN UNIT'!F73</f>
        <v>0</v>
      </c>
      <c r="AY76" s="14">
        <f t="shared" si="15"/>
        <v>3</v>
      </c>
      <c r="AZ76" s="15">
        <f t="shared" si="16"/>
        <v>3</v>
      </c>
      <c r="BA76" s="14">
        <f t="shared" si="17"/>
        <v>2</v>
      </c>
      <c r="BB76" s="14">
        <f>DISTRIBUSI!G74</f>
        <v>0</v>
      </c>
      <c r="BC76" s="14">
        <f>'PEMAKAIAN UNIT'!G73</f>
        <v>0</v>
      </c>
      <c r="BD76" s="14">
        <f t="shared" si="18"/>
        <v>2</v>
      </c>
      <c r="BE76" s="15">
        <f t="shared" si="19"/>
        <v>0</v>
      </c>
      <c r="BF76" s="14">
        <f t="shared" si="20"/>
        <v>0</v>
      </c>
      <c r="BG76" s="14">
        <f>DISTRIBUSI!H74</f>
        <v>0</v>
      </c>
      <c r="BH76" s="14">
        <f>'PEMAKAIAN UNIT'!H73</f>
        <v>0</v>
      </c>
      <c r="BI76" s="14">
        <f t="shared" si="21"/>
        <v>0</v>
      </c>
      <c r="BJ76" s="15">
        <f t="shared" si="22"/>
        <v>0</v>
      </c>
      <c r="BK76" s="14">
        <f t="shared" si="23"/>
        <v>0</v>
      </c>
      <c r="BL76" s="14">
        <f>DISTRIBUSI!I74</f>
        <v>0</v>
      </c>
      <c r="BM76" s="14">
        <f>'PEMAKAIAN UNIT'!I73</f>
        <v>0</v>
      </c>
      <c r="BN76" s="14">
        <f t="shared" si="24"/>
        <v>0</v>
      </c>
      <c r="BO76" s="15">
        <f t="shared" si="25"/>
        <v>0</v>
      </c>
      <c r="BP76" s="14">
        <f t="shared" si="26"/>
        <v>2</v>
      </c>
      <c r="BQ76" s="14">
        <f>DISTRIBUSI!J74</f>
        <v>0</v>
      </c>
      <c r="BR76" s="14">
        <f>'PEMAKAIAN UNIT'!J73</f>
        <v>0</v>
      </c>
      <c r="BS76" s="14">
        <f t="shared" si="27"/>
        <v>2</v>
      </c>
      <c r="BT76" s="15">
        <f t="shared" si="28"/>
        <v>0</v>
      </c>
      <c r="BU76" s="14">
        <f t="shared" si="29"/>
        <v>2</v>
      </c>
      <c r="BV76" s="14">
        <f>DISTRIBUSI!K74</f>
        <v>0</v>
      </c>
      <c r="BW76" s="14">
        <f>'PEMAKAIAN UNIT'!K73</f>
        <v>0</v>
      </c>
      <c r="BX76" s="14">
        <f t="shared" si="30"/>
        <v>2</v>
      </c>
      <c r="BY76" s="15">
        <f t="shared" si="31"/>
        <v>2</v>
      </c>
      <c r="BZ76" s="14">
        <f t="shared" si="32"/>
        <v>0</v>
      </c>
      <c r="CA76" s="14">
        <f>DISTRIBUSI!L74</f>
        <v>0</v>
      </c>
      <c r="CB76" s="14">
        <f>'PEMAKAIAN UNIT'!L73</f>
        <v>0</v>
      </c>
      <c r="CC76" s="14">
        <f t="shared" si="33"/>
        <v>0</v>
      </c>
      <c r="CD76" s="15">
        <f t="shared" si="34"/>
        <v>0</v>
      </c>
      <c r="CE76" s="14">
        <f t="shared" si="35"/>
        <v>0</v>
      </c>
      <c r="CF76" s="14">
        <f>DISTRIBUSI!M74</f>
        <v>0</v>
      </c>
      <c r="CG76" s="14">
        <f>'PEMAKAIAN UNIT'!M73</f>
        <v>0</v>
      </c>
      <c r="CH76" s="14">
        <f t="shared" si="36"/>
        <v>0</v>
      </c>
      <c r="CI76" s="15">
        <f t="shared" si="37"/>
        <v>0</v>
      </c>
      <c r="CJ76" s="14">
        <f t="shared" si="38"/>
        <v>0</v>
      </c>
      <c r="CK76" s="14" t="e">
        <f>DISTRIBUSI!#REF!</f>
        <v>#REF!</v>
      </c>
      <c r="CL76" s="14">
        <f>'PEMAKAIAN UNIT'!N73</f>
        <v>0</v>
      </c>
      <c r="CM76" s="14" t="e">
        <f t="shared" si="39"/>
        <v>#REF!</v>
      </c>
      <c r="CN76" s="15" t="e">
        <f t="shared" si="40"/>
        <v>#REF!</v>
      </c>
      <c r="CO76" s="14" t="e">
        <f>DL76+DISTRIBUSI!#REF!-'PEMAKAIAN UNIT'!O73</f>
        <v>#REF!</v>
      </c>
      <c r="CP76" s="15" t="e">
        <f t="shared" si="41"/>
        <v>#REF!</v>
      </c>
      <c r="CQ76" s="226">
        <f t="shared" si="42"/>
        <v>8</v>
      </c>
      <c r="CR76" s="226">
        <f>DISTRIBUSI!R74</f>
        <v>0</v>
      </c>
      <c r="CS76" s="226">
        <f>'PEMAKAIAN UNIT'!P73</f>
        <v>0</v>
      </c>
      <c r="CT76" s="14">
        <f t="shared" si="43"/>
        <v>8</v>
      </c>
      <c r="CU76" s="15">
        <f t="shared" si="44"/>
        <v>5</v>
      </c>
      <c r="CV76" s="14" t="e">
        <f>DN76+DISTRIBUSI!#REF!-'PEMAKAIAN UNIT'!Q73</f>
        <v>#REF!</v>
      </c>
      <c r="CW76" s="15" t="e">
        <f t="shared" si="45"/>
        <v>#REF!</v>
      </c>
      <c r="CX76" s="14">
        <f>DO76+'LPLPO GUDANG'!E79-'LPLPO GUDANG'!G79</f>
        <v>25</v>
      </c>
      <c r="CY76" s="15">
        <f t="shared" si="46"/>
        <v>1</v>
      </c>
      <c r="CZ76" s="28"/>
      <c r="DA76" s="14">
        <v>0</v>
      </c>
      <c r="DB76" s="14"/>
      <c r="DC76" s="14">
        <v>3</v>
      </c>
      <c r="DD76" s="14">
        <v>2</v>
      </c>
      <c r="DE76" s="14">
        <v>0</v>
      </c>
      <c r="DF76" s="14"/>
      <c r="DG76" s="14">
        <v>2</v>
      </c>
      <c r="DH76" s="14">
        <v>2</v>
      </c>
      <c r="DI76" s="14">
        <v>0</v>
      </c>
      <c r="DJ76" s="14">
        <v>0</v>
      </c>
      <c r="DK76" s="14">
        <v>0</v>
      </c>
      <c r="DL76" s="14">
        <v>0</v>
      </c>
      <c r="DM76" s="14">
        <v>8</v>
      </c>
      <c r="DN76" s="14">
        <v>0</v>
      </c>
      <c r="DO76" s="14">
        <v>25</v>
      </c>
      <c r="DP76" s="13">
        <f t="shared" si="47"/>
        <v>42</v>
      </c>
      <c r="DR76" t="s">
        <v>56</v>
      </c>
      <c r="DU76" s="20" t="e">
        <f t="shared" si="48"/>
        <v>#REF!</v>
      </c>
    </row>
    <row r="77" spans="1:125" customFormat="1" ht="18" x14ac:dyDescent="0.35">
      <c r="A77" s="84">
        <f t="shared" si="49"/>
        <v>66</v>
      </c>
      <c r="B77" s="142" t="s">
        <v>57</v>
      </c>
      <c r="C77" s="161" t="s">
        <v>48</v>
      </c>
      <c r="D77" s="109">
        <v>0</v>
      </c>
      <c r="E77" s="110">
        <f>'LPLPO GUDANG'!E80</f>
        <v>0</v>
      </c>
      <c r="F77" s="110">
        <f t="shared" ref="F77:F140" si="50">SUM(D77:E77)</f>
        <v>0</v>
      </c>
      <c r="G77" s="110">
        <f>'PEMAKAIAN UNIT'!R74</f>
        <v>0</v>
      </c>
      <c r="H77" s="14">
        <v>0</v>
      </c>
      <c r="I77" s="14">
        <v>0</v>
      </c>
      <c r="J77" s="14">
        <v>0</v>
      </c>
      <c r="K77" s="14"/>
      <c r="L77" s="14"/>
      <c r="M77" s="14"/>
      <c r="N77" s="14"/>
      <c r="O77" s="14"/>
      <c r="P77" s="14"/>
      <c r="Q77" s="14"/>
      <c r="R77" s="14"/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09">
        <f t="shared" ref="Y77:Y140" si="51">CH77</f>
        <v>0</v>
      </c>
      <c r="Z77" s="109" t="e">
        <f t="shared" ref="Z77:Z140" si="52">CM77</f>
        <v>#REF!</v>
      </c>
      <c r="AA77" s="109" t="e">
        <f t="shared" ref="AA77:AA140" si="53">CO77</f>
        <v>#REF!</v>
      </c>
      <c r="AB77" s="14">
        <v>0</v>
      </c>
      <c r="AC77" s="109" t="e">
        <f t="shared" ref="AC77:AC140" si="54">CV77</f>
        <v>#REF!</v>
      </c>
      <c r="AD77" s="109">
        <f>'LPLPO GUDANG'!H80</f>
        <v>0</v>
      </c>
      <c r="AE77" s="111" t="e">
        <f t="shared" ref="AE77:AE140" si="55">SUM(H77:AD77)</f>
        <v>#REF!</v>
      </c>
      <c r="AF77" s="212"/>
      <c r="AG77" s="212"/>
      <c r="AH77" s="20"/>
      <c r="AI77" s="14">
        <f t="shared" ref="AI77:AI140" si="56">F77-G77</f>
        <v>0</v>
      </c>
      <c r="AJ77" s="209" t="e">
        <f t="shared" ref="AJ77:AJ140" si="57">AE77-AI77</f>
        <v>#REF!</v>
      </c>
      <c r="AL77" s="14">
        <f t="shared" ref="AL77:AL140" si="58">DA77</f>
        <v>0</v>
      </c>
      <c r="AM77" s="14">
        <f>DISTRIBUSI!D75</f>
        <v>0</v>
      </c>
      <c r="AN77" s="14">
        <f>'PEMAKAIAN UNIT'!D74</f>
        <v>0</v>
      </c>
      <c r="AO77" s="14">
        <f t="shared" ref="AO77:AO140" si="59">AL77+AM77-AN77</f>
        <v>0</v>
      </c>
      <c r="AP77" s="15">
        <f t="shared" ref="AP77:AP140" si="60">AO77-H77</f>
        <v>0</v>
      </c>
      <c r="AQ77" s="14">
        <f t="shared" ref="AQ77:AQ140" si="61">DB77</f>
        <v>0</v>
      </c>
      <c r="AR77" s="14">
        <f>DISTRIBUSI!E75</f>
        <v>0</v>
      </c>
      <c r="AS77" s="14">
        <f>'PEMAKAIAN UNIT'!E74</f>
        <v>0</v>
      </c>
      <c r="AT77" s="14">
        <f t="shared" ref="AT77:AT140" si="62">AQ77+AR77-AS77</f>
        <v>0</v>
      </c>
      <c r="AU77" s="15">
        <f t="shared" ref="AU77:AU140" si="63">AT77-I77</f>
        <v>0</v>
      </c>
      <c r="AV77" s="14">
        <f t="shared" ref="AV77:AV140" si="64">DC77</f>
        <v>0</v>
      </c>
      <c r="AW77" s="14">
        <f>DISTRIBUSI!F75</f>
        <v>0</v>
      </c>
      <c r="AX77" s="14">
        <f>'PEMAKAIAN UNIT'!F74</f>
        <v>0</v>
      </c>
      <c r="AY77" s="14">
        <f t="shared" ref="AY77:AY140" si="65">AV77+AW77-AX77</f>
        <v>0</v>
      </c>
      <c r="AZ77" s="15">
        <f t="shared" ref="AZ77:AZ140" si="66">AY77-J77</f>
        <v>0</v>
      </c>
      <c r="BA77" s="14">
        <f t="shared" ref="BA77:BA140" si="67">DD77</f>
        <v>0</v>
      </c>
      <c r="BB77" s="14">
        <f>DISTRIBUSI!G75</f>
        <v>0</v>
      </c>
      <c r="BC77" s="14">
        <f>'PEMAKAIAN UNIT'!G74</f>
        <v>0</v>
      </c>
      <c r="BD77" s="14">
        <f t="shared" ref="BD77:BD140" si="68">BA77+BB77-BC77</f>
        <v>0</v>
      </c>
      <c r="BE77" s="15">
        <f t="shared" ref="BE77:BE140" si="69">BD77-S77</f>
        <v>0</v>
      </c>
      <c r="BF77" s="14">
        <f t="shared" ref="BF77:BF140" si="70">DE77</f>
        <v>0</v>
      </c>
      <c r="BG77" s="14">
        <f>DISTRIBUSI!H75</f>
        <v>0</v>
      </c>
      <c r="BH77" s="14">
        <f>'PEMAKAIAN UNIT'!H74</f>
        <v>0</v>
      </c>
      <c r="BI77" s="14">
        <f t="shared" ref="BI77:BI140" si="71">BF77+BG77-BH77</f>
        <v>0</v>
      </c>
      <c r="BJ77" s="15">
        <f t="shared" ref="BJ77:BJ140" si="72">BI77-T77</f>
        <v>0</v>
      </c>
      <c r="BK77" s="14">
        <f t="shared" ref="BK77:BK140" si="73">DF77</f>
        <v>0</v>
      </c>
      <c r="BL77" s="14">
        <f>DISTRIBUSI!I75</f>
        <v>0</v>
      </c>
      <c r="BM77" s="14">
        <f>'PEMAKAIAN UNIT'!I74</f>
        <v>0</v>
      </c>
      <c r="BN77" s="14">
        <f t="shared" ref="BN77:BN140" si="74">BK77+BL77-BM77</f>
        <v>0</v>
      </c>
      <c r="BO77" s="15">
        <f t="shared" ref="BO77:BO140" si="75">BN77-U77</f>
        <v>0</v>
      </c>
      <c r="BP77" s="14">
        <f t="shared" ref="BP77:BP140" si="76">DG77</f>
        <v>0</v>
      </c>
      <c r="BQ77" s="14">
        <f>DISTRIBUSI!J75</f>
        <v>0</v>
      </c>
      <c r="BR77" s="14">
        <f>'PEMAKAIAN UNIT'!J74</f>
        <v>0</v>
      </c>
      <c r="BS77" s="14">
        <f t="shared" ref="BS77:BS140" si="77">BP77+BQ77-BR77</f>
        <v>0</v>
      </c>
      <c r="BT77" s="15">
        <f t="shared" ref="BT77:BT140" si="78">BS77-V77</f>
        <v>0</v>
      </c>
      <c r="BU77" s="14">
        <f t="shared" ref="BU77:BU140" si="79">DH77</f>
        <v>0</v>
      </c>
      <c r="BV77" s="14">
        <f>DISTRIBUSI!K75</f>
        <v>0</v>
      </c>
      <c r="BW77" s="14">
        <f>'PEMAKAIAN UNIT'!K74</f>
        <v>0</v>
      </c>
      <c r="BX77" s="14">
        <f t="shared" ref="BX77:BX140" si="80">BU77+BV77-BW77</f>
        <v>0</v>
      </c>
      <c r="BY77" s="15">
        <f t="shared" ref="BY77:BY140" si="81">BX77-W77</f>
        <v>0</v>
      </c>
      <c r="BZ77" s="14">
        <f t="shared" ref="BZ77:BZ140" si="82">DI77</f>
        <v>0</v>
      </c>
      <c r="CA77" s="14">
        <f>DISTRIBUSI!L75</f>
        <v>0</v>
      </c>
      <c r="CB77" s="14">
        <f>'PEMAKAIAN UNIT'!L74</f>
        <v>0</v>
      </c>
      <c r="CC77" s="14">
        <f t="shared" ref="CC77:CC140" si="83">BZ77+CA77-CB77</f>
        <v>0</v>
      </c>
      <c r="CD77" s="15">
        <f t="shared" ref="CD77:CD140" si="84">CC77-X77</f>
        <v>0</v>
      </c>
      <c r="CE77" s="14">
        <f t="shared" ref="CE77:CE140" si="85">DJ77</f>
        <v>0</v>
      </c>
      <c r="CF77" s="14">
        <f>DISTRIBUSI!M75</f>
        <v>0</v>
      </c>
      <c r="CG77" s="14">
        <f>'PEMAKAIAN UNIT'!M74</f>
        <v>0</v>
      </c>
      <c r="CH77" s="14">
        <f t="shared" ref="CH77:CH140" si="86">CE77+CF77-CG77</f>
        <v>0</v>
      </c>
      <c r="CI77" s="15">
        <f t="shared" ref="CI77:CI140" si="87">CH77-Y77</f>
        <v>0</v>
      </c>
      <c r="CJ77" s="14">
        <f t="shared" ref="CJ77:CJ140" si="88">DK77</f>
        <v>0</v>
      </c>
      <c r="CK77" s="14" t="e">
        <f>DISTRIBUSI!#REF!</f>
        <v>#REF!</v>
      </c>
      <c r="CL77" s="14">
        <f>'PEMAKAIAN UNIT'!N74</f>
        <v>0</v>
      </c>
      <c r="CM77" s="14" t="e">
        <f t="shared" ref="CM77:CM140" si="89">CJ77+CK77-CL77</f>
        <v>#REF!</v>
      </c>
      <c r="CN77" s="15" t="e">
        <f t="shared" ref="CN77:CN140" si="90">CM77-Z77</f>
        <v>#REF!</v>
      </c>
      <c r="CO77" s="14" t="e">
        <f>DL77+DISTRIBUSI!#REF!-'PEMAKAIAN UNIT'!O74</f>
        <v>#REF!</v>
      </c>
      <c r="CP77" s="15" t="e">
        <f t="shared" ref="CP77:CP140" si="91">CO77-AA77</f>
        <v>#REF!</v>
      </c>
      <c r="CQ77" s="226">
        <f t="shared" ref="CQ77:CQ140" si="92">DM77</f>
        <v>0</v>
      </c>
      <c r="CR77" s="226">
        <f>DISTRIBUSI!R75</f>
        <v>0</v>
      </c>
      <c r="CS77" s="226">
        <f>'PEMAKAIAN UNIT'!P74</f>
        <v>0</v>
      </c>
      <c r="CT77" s="14">
        <f t="shared" ref="CT77:CT140" si="93">CQ77+CR77-CS77</f>
        <v>0</v>
      </c>
      <c r="CU77" s="15">
        <f t="shared" ref="CU77:CU140" si="94">CT77-AB77</f>
        <v>0</v>
      </c>
      <c r="CV77" s="14" t="e">
        <f>DN77+DISTRIBUSI!#REF!-'PEMAKAIAN UNIT'!Q74</f>
        <v>#REF!</v>
      </c>
      <c r="CW77" s="15" t="e">
        <f t="shared" ref="CW77:CW140" si="95">CV77-AC77</f>
        <v>#REF!</v>
      </c>
      <c r="CX77" s="14">
        <f>DO77+'LPLPO GUDANG'!E80-'LPLPO GUDANG'!G80</f>
        <v>0</v>
      </c>
      <c r="CY77" s="15">
        <f t="shared" ref="CY77:CY140" si="96">CX77-AD77</f>
        <v>0</v>
      </c>
      <c r="CZ77" s="28"/>
      <c r="DA77" s="14">
        <v>0</v>
      </c>
      <c r="DB77" s="14"/>
      <c r="DC77" s="14">
        <v>0</v>
      </c>
      <c r="DD77" s="14">
        <v>0</v>
      </c>
      <c r="DE77" s="14">
        <v>0</v>
      </c>
      <c r="DF77" s="14"/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3">
        <f t="shared" ref="DP77:DP140" si="97">SUM(DA77:DO77)</f>
        <v>0</v>
      </c>
      <c r="DR77" t="s">
        <v>57</v>
      </c>
      <c r="DU77" s="20" t="e">
        <f t="shared" ref="DU77:DU140" si="98">H77+I77+J77+S77+T77+U77+V77+W77+X77+Y77+Z77+AA77+AC77</f>
        <v>#REF!</v>
      </c>
    </row>
    <row r="78" spans="1:125" customFormat="1" ht="18" x14ac:dyDescent="0.35">
      <c r="A78" s="84">
        <f t="shared" ref="A78:A141" si="99">A77+1</f>
        <v>67</v>
      </c>
      <c r="B78" s="142" t="s">
        <v>59</v>
      </c>
      <c r="C78" s="157" t="s">
        <v>48</v>
      </c>
      <c r="D78" s="109">
        <v>0</v>
      </c>
      <c r="E78" s="110">
        <f>'LPLPO GUDANG'!E81</f>
        <v>0</v>
      </c>
      <c r="F78" s="110">
        <f t="shared" si="50"/>
        <v>0</v>
      </c>
      <c r="G78" s="110">
        <f>'PEMAKAIAN UNIT'!R75</f>
        <v>0</v>
      </c>
      <c r="H78" s="14">
        <v>0</v>
      </c>
      <c r="I78" s="14">
        <v>0</v>
      </c>
      <c r="J78" s="14">
        <v>0</v>
      </c>
      <c r="K78" s="14"/>
      <c r="L78" s="14"/>
      <c r="M78" s="14"/>
      <c r="N78" s="14"/>
      <c r="O78" s="14"/>
      <c r="P78" s="14"/>
      <c r="Q78" s="14"/>
      <c r="R78" s="14"/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09">
        <f t="shared" si="51"/>
        <v>0</v>
      </c>
      <c r="Z78" s="109" t="e">
        <f t="shared" si="52"/>
        <v>#REF!</v>
      </c>
      <c r="AA78" s="109" t="e">
        <f t="shared" si="53"/>
        <v>#REF!</v>
      </c>
      <c r="AB78" s="14">
        <v>0</v>
      </c>
      <c r="AC78" s="109" t="e">
        <f t="shared" si="54"/>
        <v>#REF!</v>
      </c>
      <c r="AD78" s="109">
        <f>'LPLPO GUDANG'!H81</f>
        <v>0</v>
      </c>
      <c r="AE78" s="111" t="e">
        <f t="shared" si="55"/>
        <v>#REF!</v>
      </c>
      <c r="AF78" s="212"/>
      <c r="AG78" s="212"/>
      <c r="AH78" s="20"/>
      <c r="AI78" s="14">
        <f t="shared" si="56"/>
        <v>0</v>
      </c>
      <c r="AJ78" s="209" t="e">
        <f t="shared" si="57"/>
        <v>#REF!</v>
      </c>
      <c r="AL78" s="14">
        <f t="shared" si="58"/>
        <v>0</v>
      </c>
      <c r="AM78" s="14">
        <f>DISTRIBUSI!D76</f>
        <v>0</v>
      </c>
      <c r="AN78" s="14">
        <f>'PEMAKAIAN UNIT'!D75</f>
        <v>0</v>
      </c>
      <c r="AO78" s="14">
        <f t="shared" si="59"/>
        <v>0</v>
      </c>
      <c r="AP78" s="15">
        <f t="shared" si="60"/>
        <v>0</v>
      </c>
      <c r="AQ78" s="14">
        <f t="shared" si="61"/>
        <v>0</v>
      </c>
      <c r="AR78" s="14">
        <f>DISTRIBUSI!E76</f>
        <v>0</v>
      </c>
      <c r="AS78" s="14">
        <f>'PEMAKAIAN UNIT'!E75</f>
        <v>0</v>
      </c>
      <c r="AT78" s="14">
        <f t="shared" si="62"/>
        <v>0</v>
      </c>
      <c r="AU78" s="15">
        <f t="shared" si="63"/>
        <v>0</v>
      </c>
      <c r="AV78" s="14">
        <f t="shared" si="64"/>
        <v>0</v>
      </c>
      <c r="AW78" s="14">
        <f>DISTRIBUSI!F76</f>
        <v>0</v>
      </c>
      <c r="AX78" s="14">
        <f>'PEMAKAIAN UNIT'!F75</f>
        <v>0</v>
      </c>
      <c r="AY78" s="14">
        <f t="shared" si="65"/>
        <v>0</v>
      </c>
      <c r="AZ78" s="15">
        <f t="shared" si="66"/>
        <v>0</v>
      </c>
      <c r="BA78" s="14">
        <f t="shared" si="67"/>
        <v>0</v>
      </c>
      <c r="BB78" s="14">
        <f>DISTRIBUSI!G76</f>
        <v>0</v>
      </c>
      <c r="BC78" s="14">
        <f>'PEMAKAIAN UNIT'!G75</f>
        <v>0</v>
      </c>
      <c r="BD78" s="14">
        <f t="shared" si="68"/>
        <v>0</v>
      </c>
      <c r="BE78" s="15">
        <f t="shared" si="69"/>
        <v>0</v>
      </c>
      <c r="BF78" s="14">
        <f t="shared" si="70"/>
        <v>0</v>
      </c>
      <c r="BG78" s="14">
        <f>DISTRIBUSI!H76</f>
        <v>0</v>
      </c>
      <c r="BH78" s="14">
        <f>'PEMAKAIAN UNIT'!H75</f>
        <v>0</v>
      </c>
      <c r="BI78" s="14">
        <f t="shared" si="71"/>
        <v>0</v>
      </c>
      <c r="BJ78" s="15">
        <f t="shared" si="72"/>
        <v>0</v>
      </c>
      <c r="BK78" s="14">
        <f t="shared" si="73"/>
        <v>0</v>
      </c>
      <c r="BL78" s="14">
        <f>DISTRIBUSI!I76</f>
        <v>0</v>
      </c>
      <c r="BM78" s="14">
        <f>'PEMAKAIAN UNIT'!I75</f>
        <v>0</v>
      </c>
      <c r="BN78" s="14">
        <f t="shared" si="74"/>
        <v>0</v>
      </c>
      <c r="BO78" s="15">
        <f t="shared" si="75"/>
        <v>0</v>
      </c>
      <c r="BP78" s="14">
        <f t="shared" si="76"/>
        <v>0</v>
      </c>
      <c r="BQ78" s="14">
        <f>DISTRIBUSI!J76</f>
        <v>0</v>
      </c>
      <c r="BR78" s="14">
        <f>'PEMAKAIAN UNIT'!J75</f>
        <v>0</v>
      </c>
      <c r="BS78" s="14">
        <f t="shared" si="77"/>
        <v>0</v>
      </c>
      <c r="BT78" s="15">
        <f t="shared" si="78"/>
        <v>0</v>
      </c>
      <c r="BU78" s="14">
        <f t="shared" si="79"/>
        <v>0</v>
      </c>
      <c r="BV78" s="14">
        <f>DISTRIBUSI!K76</f>
        <v>0</v>
      </c>
      <c r="BW78" s="14">
        <f>'PEMAKAIAN UNIT'!K75</f>
        <v>0</v>
      </c>
      <c r="BX78" s="14">
        <f t="shared" si="80"/>
        <v>0</v>
      </c>
      <c r="BY78" s="15">
        <f t="shared" si="81"/>
        <v>0</v>
      </c>
      <c r="BZ78" s="14">
        <f t="shared" si="82"/>
        <v>0</v>
      </c>
      <c r="CA78" s="14">
        <f>DISTRIBUSI!L76</f>
        <v>0</v>
      </c>
      <c r="CB78" s="14">
        <f>'PEMAKAIAN UNIT'!L75</f>
        <v>0</v>
      </c>
      <c r="CC78" s="14">
        <f t="shared" si="83"/>
        <v>0</v>
      </c>
      <c r="CD78" s="15">
        <f t="shared" si="84"/>
        <v>0</v>
      </c>
      <c r="CE78" s="14">
        <f t="shared" si="85"/>
        <v>0</v>
      </c>
      <c r="CF78" s="14">
        <f>DISTRIBUSI!M76</f>
        <v>0</v>
      </c>
      <c r="CG78" s="14">
        <f>'PEMAKAIAN UNIT'!M75</f>
        <v>0</v>
      </c>
      <c r="CH78" s="14">
        <f t="shared" si="86"/>
        <v>0</v>
      </c>
      <c r="CI78" s="15">
        <f t="shared" si="87"/>
        <v>0</v>
      </c>
      <c r="CJ78" s="14">
        <f t="shared" si="88"/>
        <v>0</v>
      </c>
      <c r="CK78" s="14" t="e">
        <f>DISTRIBUSI!#REF!</f>
        <v>#REF!</v>
      </c>
      <c r="CL78" s="14">
        <f>'PEMAKAIAN UNIT'!N75</f>
        <v>0</v>
      </c>
      <c r="CM78" s="14" t="e">
        <f t="shared" si="89"/>
        <v>#REF!</v>
      </c>
      <c r="CN78" s="15" t="e">
        <f t="shared" si="90"/>
        <v>#REF!</v>
      </c>
      <c r="CO78" s="14" t="e">
        <f>DL78+DISTRIBUSI!#REF!-'PEMAKAIAN UNIT'!O75</f>
        <v>#REF!</v>
      </c>
      <c r="CP78" s="15" t="e">
        <f t="shared" si="91"/>
        <v>#REF!</v>
      </c>
      <c r="CQ78" s="226">
        <f t="shared" si="92"/>
        <v>22</v>
      </c>
      <c r="CR78" s="226">
        <f>DISTRIBUSI!R76</f>
        <v>0</v>
      </c>
      <c r="CS78" s="226">
        <f>'PEMAKAIAN UNIT'!P75</f>
        <v>0</v>
      </c>
      <c r="CT78" s="14">
        <f t="shared" si="93"/>
        <v>22</v>
      </c>
      <c r="CU78" s="15">
        <f t="shared" si="94"/>
        <v>22</v>
      </c>
      <c r="CV78" s="14" t="e">
        <f>DN78+DISTRIBUSI!#REF!-'PEMAKAIAN UNIT'!Q75</f>
        <v>#REF!</v>
      </c>
      <c r="CW78" s="15" t="e">
        <f t="shared" si="95"/>
        <v>#REF!</v>
      </c>
      <c r="CX78" s="14">
        <f>DO78+'LPLPO GUDANG'!E81-'LPLPO GUDANG'!G81</f>
        <v>0</v>
      </c>
      <c r="CY78" s="15">
        <f t="shared" si="96"/>
        <v>0</v>
      </c>
      <c r="CZ78" s="28"/>
      <c r="DA78" s="14">
        <v>0</v>
      </c>
      <c r="DB78" s="14"/>
      <c r="DC78" s="14">
        <v>0</v>
      </c>
      <c r="DD78" s="14">
        <v>0</v>
      </c>
      <c r="DE78" s="14">
        <v>0</v>
      </c>
      <c r="DF78" s="14"/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22</v>
      </c>
      <c r="DN78" s="14">
        <v>0</v>
      </c>
      <c r="DO78" s="14">
        <v>0</v>
      </c>
      <c r="DP78" s="13">
        <f t="shared" si="97"/>
        <v>22</v>
      </c>
      <c r="DR78" t="s">
        <v>59</v>
      </c>
      <c r="DU78" s="20" t="e">
        <f t="shared" si="98"/>
        <v>#REF!</v>
      </c>
    </row>
    <row r="79" spans="1:125" customFormat="1" ht="20.149999999999999" customHeight="1" x14ac:dyDescent="0.35">
      <c r="A79" s="84">
        <f t="shared" si="99"/>
        <v>68</v>
      </c>
      <c r="B79" s="142" t="s">
        <v>58</v>
      </c>
      <c r="C79" s="157" t="s">
        <v>48</v>
      </c>
      <c r="D79" s="109">
        <v>0</v>
      </c>
      <c r="E79" s="110">
        <f>'LPLPO GUDANG'!E82</f>
        <v>0</v>
      </c>
      <c r="F79" s="110">
        <f t="shared" si="50"/>
        <v>0</v>
      </c>
      <c r="G79" s="110">
        <f>'PEMAKAIAN UNIT'!R76</f>
        <v>0</v>
      </c>
      <c r="H79" s="14">
        <v>0</v>
      </c>
      <c r="I79" s="14">
        <v>0</v>
      </c>
      <c r="J79" s="14">
        <v>0</v>
      </c>
      <c r="K79" s="14"/>
      <c r="L79" s="14"/>
      <c r="M79" s="14"/>
      <c r="N79" s="14"/>
      <c r="O79" s="14"/>
      <c r="P79" s="14"/>
      <c r="Q79" s="14"/>
      <c r="R79" s="14"/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09">
        <f t="shared" si="51"/>
        <v>0</v>
      </c>
      <c r="Z79" s="109" t="e">
        <f t="shared" si="52"/>
        <v>#REF!</v>
      </c>
      <c r="AA79" s="109" t="e">
        <f t="shared" si="53"/>
        <v>#REF!</v>
      </c>
      <c r="AB79" s="14">
        <v>9</v>
      </c>
      <c r="AC79" s="109" t="e">
        <f t="shared" si="54"/>
        <v>#REF!</v>
      </c>
      <c r="AD79" s="109">
        <f>'LPLPO GUDANG'!H82</f>
        <v>0</v>
      </c>
      <c r="AE79" s="111" t="e">
        <f t="shared" si="55"/>
        <v>#REF!</v>
      </c>
      <c r="AF79" s="212"/>
      <c r="AG79" s="212"/>
      <c r="AH79" s="20"/>
      <c r="AI79" s="14">
        <f t="shared" si="56"/>
        <v>0</v>
      </c>
      <c r="AJ79" s="209" t="e">
        <f t="shared" si="57"/>
        <v>#REF!</v>
      </c>
      <c r="AL79" s="14">
        <f t="shared" si="58"/>
        <v>0</v>
      </c>
      <c r="AM79" s="14">
        <f>DISTRIBUSI!D77</f>
        <v>0</v>
      </c>
      <c r="AN79" s="14">
        <f>'PEMAKAIAN UNIT'!D76</f>
        <v>0</v>
      </c>
      <c r="AO79" s="14">
        <f t="shared" si="59"/>
        <v>0</v>
      </c>
      <c r="AP79" s="15">
        <f t="shared" si="60"/>
        <v>0</v>
      </c>
      <c r="AQ79" s="14">
        <f t="shared" si="61"/>
        <v>0</v>
      </c>
      <c r="AR79" s="14">
        <f>DISTRIBUSI!E77</f>
        <v>0</v>
      </c>
      <c r="AS79" s="14">
        <f>'PEMAKAIAN UNIT'!E76</f>
        <v>0</v>
      </c>
      <c r="AT79" s="14">
        <f t="shared" si="62"/>
        <v>0</v>
      </c>
      <c r="AU79" s="15">
        <f t="shared" si="63"/>
        <v>0</v>
      </c>
      <c r="AV79" s="14">
        <f t="shared" si="64"/>
        <v>0</v>
      </c>
      <c r="AW79" s="14">
        <f>DISTRIBUSI!F77</f>
        <v>0</v>
      </c>
      <c r="AX79" s="14">
        <f>'PEMAKAIAN UNIT'!F76</f>
        <v>0</v>
      </c>
      <c r="AY79" s="14">
        <f t="shared" si="65"/>
        <v>0</v>
      </c>
      <c r="AZ79" s="15">
        <f t="shared" si="66"/>
        <v>0</v>
      </c>
      <c r="BA79" s="14">
        <f t="shared" si="67"/>
        <v>0</v>
      </c>
      <c r="BB79" s="14">
        <f>DISTRIBUSI!G77</f>
        <v>0</v>
      </c>
      <c r="BC79" s="14">
        <f>'PEMAKAIAN UNIT'!G76</f>
        <v>0</v>
      </c>
      <c r="BD79" s="14">
        <f t="shared" si="68"/>
        <v>0</v>
      </c>
      <c r="BE79" s="15">
        <f t="shared" si="69"/>
        <v>0</v>
      </c>
      <c r="BF79" s="14">
        <f t="shared" si="70"/>
        <v>0</v>
      </c>
      <c r="BG79" s="14">
        <f>DISTRIBUSI!H77</f>
        <v>0</v>
      </c>
      <c r="BH79" s="14">
        <f>'PEMAKAIAN UNIT'!H76</f>
        <v>0</v>
      </c>
      <c r="BI79" s="14">
        <f t="shared" si="71"/>
        <v>0</v>
      </c>
      <c r="BJ79" s="15">
        <f t="shared" si="72"/>
        <v>0</v>
      </c>
      <c r="BK79" s="14">
        <f t="shared" si="73"/>
        <v>0</v>
      </c>
      <c r="BL79" s="14">
        <f>DISTRIBUSI!I77</f>
        <v>0</v>
      </c>
      <c r="BM79" s="14">
        <f>'PEMAKAIAN UNIT'!I76</f>
        <v>0</v>
      </c>
      <c r="BN79" s="14">
        <f t="shared" si="74"/>
        <v>0</v>
      </c>
      <c r="BO79" s="15">
        <f t="shared" si="75"/>
        <v>0</v>
      </c>
      <c r="BP79" s="14">
        <f t="shared" si="76"/>
        <v>0</v>
      </c>
      <c r="BQ79" s="14">
        <f>DISTRIBUSI!J77</f>
        <v>0</v>
      </c>
      <c r="BR79" s="14">
        <f>'PEMAKAIAN UNIT'!J76</f>
        <v>0</v>
      </c>
      <c r="BS79" s="14">
        <f t="shared" si="77"/>
        <v>0</v>
      </c>
      <c r="BT79" s="15">
        <f t="shared" si="78"/>
        <v>0</v>
      </c>
      <c r="BU79" s="14">
        <f t="shared" si="79"/>
        <v>0</v>
      </c>
      <c r="BV79" s="14">
        <f>DISTRIBUSI!K77</f>
        <v>0</v>
      </c>
      <c r="BW79" s="14">
        <f>'PEMAKAIAN UNIT'!K76</f>
        <v>0</v>
      </c>
      <c r="BX79" s="14">
        <f t="shared" si="80"/>
        <v>0</v>
      </c>
      <c r="BY79" s="15">
        <f t="shared" si="81"/>
        <v>0</v>
      </c>
      <c r="BZ79" s="14">
        <f t="shared" si="82"/>
        <v>0</v>
      </c>
      <c r="CA79" s="14">
        <f>DISTRIBUSI!L77</f>
        <v>0</v>
      </c>
      <c r="CB79" s="14">
        <f>'PEMAKAIAN UNIT'!L76</f>
        <v>0</v>
      </c>
      <c r="CC79" s="14">
        <f t="shared" si="83"/>
        <v>0</v>
      </c>
      <c r="CD79" s="15">
        <f t="shared" si="84"/>
        <v>0</v>
      </c>
      <c r="CE79" s="14">
        <f t="shared" si="85"/>
        <v>0</v>
      </c>
      <c r="CF79" s="14">
        <f>DISTRIBUSI!M77</f>
        <v>0</v>
      </c>
      <c r="CG79" s="14">
        <f>'PEMAKAIAN UNIT'!M76</f>
        <v>0</v>
      </c>
      <c r="CH79" s="14">
        <f t="shared" si="86"/>
        <v>0</v>
      </c>
      <c r="CI79" s="15">
        <f t="shared" si="87"/>
        <v>0</v>
      </c>
      <c r="CJ79" s="14">
        <f t="shared" si="88"/>
        <v>0</v>
      </c>
      <c r="CK79" s="14" t="e">
        <f>DISTRIBUSI!#REF!</f>
        <v>#REF!</v>
      </c>
      <c r="CL79" s="14">
        <f>'PEMAKAIAN UNIT'!N76</f>
        <v>0</v>
      </c>
      <c r="CM79" s="14" t="e">
        <f t="shared" si="89"/>
        <v>#REF!</v>
      </c>
      <c r="CN79" s="15" t="e">
        <f t="shared" si="90"/>
        <v>#REF!</v>
      </c>
      <c r="CO79" s="14" t="e">
        <f>DL79+DISTRIBUSI!#REF!-'PEMAKAIAN UNIT'!O76</f>
        <v>#REF!</v>
      </c>
      <c r="CP79" s="15" t="e">
        <f t="shared" si="91"/>
        <v>#REF!</v>
      </c>
      <c r="CQ79" s="226">
        <f t="shared" si="92"/>
        <v>13</v>
      </c>
      <c r="CR79" s="226">
        <f>DISTRIBUSI!R77</f>
        <v>0</v>
      </c>
      <c r="CS79" s="226">
        <f>'PEMAKAIAN UNIT'!P76</f>
        <v>0</v>
      </c>
      <c r="CT79" s="14">
        <f t="shared" si="93"/>
        <v>13</v>
      </c>
      <c r="CU79" s="15">
        <f t="shared" si="94"/>
        <v>4</v>
      </c>
      <c r="CV79" s="14" t="e">
        <f>DN79+DISTRIBUSI!#REF!-'PEMAKAIAN UNIT'!Q76</f>
        <v>#REF!</v>
      </c>
      <c r="CW79" s="15" t="e">
        <f t="shared" si="95"/>
        <v>#REF!</v>
      </c>
      <c r="CX79" s="14">
        <f>DO79+'LPLPO GUDANG'!E82-'LPLPO GUDANG'!G82</f>
        <v>5</v>
      </c>
      <c r="CY79" s="15">
        <f t="shared" si="96"/>
        <v>5</v>
      </c>
      <c r="CZ79" s="28"/>
      <c r="DA79" s="14">
        <v>0</v>
      </c>
      <c r="DB79" s="14"/>
      <c r="DC79" s="14">
        <v>0</v>
      </c>
      <c r="DD79" s="14">
        <v>0</v>
      </c>
      <c r="DE79" s="14">
        <v>0</v>
      </c>
      <c r="DF79" s="14"/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13</v>
      </c>
      <c r="DN79" s="14">
        <v>0</v>
      </c>
      <c r="DO79" s="14">
        <v>5</v>
      </c>
      <c r="DP79" s="13">
        <f t="shared" si="97"/>
        <v>18</v>
      </c>
      <c r="DR79" t="s">
        <v>58</v>
      </c>
      <c r="DU79" s="20" t="e">
        <f t="shared" si="98"/>
        <v>#REF!</v>
      </c>
    </row>
    <row r="80" spans="1:125" customFormat="1" ht="20.149999999999999" customHeight="1" x14ac:dyDescent="0.35">
      <c r="A80" s="84">
        <f t="shared" si="99"/>
        <v>69</v>
      </c>
      <c r="B80" s="142" t="s">
        <v>60</v>
      </c>
      <c r="C80" s="157" t="s">
        <v>327</v>
      </c>
      <c r="D80" s="109">
        <v>0</v>
      </c>
      <c r="E80" s="110">
        <f>'LPLPO GUDANG'!E83</f>
        <v>1000</v>
      </c>
      <c r="F80" s="110">
        <f t="shared" si="50"/>
        <v>1000</v>
      </c>
      <c r="G80" s="110">
        <f>'PEMAKAIAN UNIT'!R77</f>
        <v>0</v>
      </c>
      <c r="H80" s="14">
        <v>50</v>
      </c>
      <c r="I80" s="14">
        <v>161</v>
      </c>
      <c r="J80" s="14">
        <v>0</v>
      </c>
      <c r="K80" s="14"/>
      <c r="L80" s="14"/>
      <c r="M80" s="14"/>
      <c r="N80" s="14"/>
      <c r="O80" s="14"/>
      <c r="P80" s="14"/>
      <c r="Q80" s="14"/>
      <c r="R80" s="14"/>
      <c r="S80" s="14">
        <v>250</v>
      </c>
      <c r="T80" s="14">
        <v>0</v>
      </c>
      <c r="U80" s="14">
        <v>150</v>
      </c>
      <c r="V80" s="14">
        <v>220</v>
      </c>
      <c r="W80" s="14">
        <v>30</v>
      </c>
      <c r="X80" s="14">
        <v>55</v>
      </c>
      <c r="Y80" s="109">
        <f t="shared" si="51"/>
        <v>100</v>
      </c>
      <c r="Z80" s="109" t="e">
        <f t="shared" si="52"/>
        <v>#REF!</v>
      </c>
      <c r="AA80" s="109" t="e">
        <f t="shared" si="53"/>
        <v>#REF!</v>
      </c>
      <c r="AB80" s="14">
        <v>1066</v>
      </c>
      <c r="AC80" s="109" t="e">
        <f t="shared" si="54"/>
        <v>#REF!</v>
      </c>
      <c r="AD80" s="109">
        <f>'LPLPO GUDANG'!H83</f>
        <v>1000</v>
      </c>
      <c r="AE80" s="111" t="e">
        <f t="shared" si="55"/>
        <v>#REF!</v>
      </c>
      <c r="AF80" s="212"/>
      <c r="AG80" s="212"/>
      <c r="AH80" s="20"/>
      <c r="AI80" s="14">
        <f t="shared" si="56"/>
        <v>1000</v>
      </c>
      <c r="AJ80" s="209" t="e">
        <f t="shared" si="57"/>
        <v>#REF!</v>
      </c>
      <c r="AL80" s="14">
        <f t="shared" si="58"/>
        <v>180</v>
      </c>
      <c r="AM80" s="14">
        <f>DISTRIBUSI!D78</f>
        <v>0</v>
      </c>
      <c r="AN80" s="14">
        <f>'PEMAKAIAN UNIT'!D77</f>
        <v>0</v>
      </c>
      <c r="AO80" s="14">
        <f t="shared" si="59"/>
        <v>180</v>
      </c>
      <c r="AP80" s="15">
        <f t="shared" si="60"/>
        <v>130</v>
      </c>
      <c r="AQ80" s="14">
        <f t="shared" si="61"/>
        <v>185</v>
      </c>
      <c r="AR80" s="14">
        <f>DISTRIBUSI!E78</f>
        <v>0</v>
      </c>
      <c r="AS80" s="14">
        <f>'PEMAKAIAN UNIT'!E77</f>
        <v>0</v>
      </c>
      <c r="AT80" s="14">
        <f t="shared" si="62"/>
        <v>185</v>
      </c>
      <c r="AU80" s="15">
        <f t="shared" si="63"/>
        <v>24</v>
      </c>
      <c r="AV80" s="14">
        <f t="shared" si="64"/>
        <v>184</v>
      </c>
      <c r="AW80" s="14">
        <f>DISTRIBUSI!F78</f>
        <v>0</v>
      </c>
      <c r="AX80" s="14">
        <f>'PEMAKAIAN UNIT'!F77</f>
        <v>0</v>
      </c>
      <c r="AY80" s="14">
        <f t="shared" si="65"/>
        <v>184</v>
      </c>
      <c r="AZ80" s="15">
        <f t="shared" si="66"/>
        <v>184</v>
      </c>
      <c r="BA80" s="14">
        <f t="shared" si="67"/>
        <v>220</v>
      </c>
      <c r="BB80" s="14">
        <f>DISTRIBUSI!G78</f>
        <v>0</v>
      </c>
      <c r="BC80" s="14">
        <f>'PEMAKAIAN UNIT'!G77</f>
        <v>0</v>
      </c>
      <c r="BD80" s="14">
        <f t="shared" si="68"/>
        <v>220</v>
      </c>
      <c r="BE80" s="15">
        <f t="shared" si="69"/>
        <v>-30</v>
      </c>
      <c r="BF80" s="14">
        <f t="shared" si="70"/>
        <v>300</v>
      </c>
      <c r="BG80" s="14">
        <f>DISTRIBUSI!H78</f>
        <v>0</v>
      </c>
      <c r="BH80" s="14">
        <f>'PEMAKAIAN UNIT'!H77</f>
        <v>0</v>
      </c>
      <c r="BI80" s="14">
        <f t="shared" si="71"/>
        <v>300</v>
      </c>
      <c r="BJ80" s="15">
        <f t="shared" si="72"/>
        <v>300</v>
      </c>
      <c r="BK80" s="14">
        <f t="shared" si="73"/>
        <v>190</v>
      </c>
      <c r="BL80" s="14">
        <f>DISTRIBUSI!I78</f>
        <v>100</v>
      </c>
      <c r="BM80" s="14">
        <f>'PEMAKAIAN UNIT'!I77</f>
        <v>0</v>
      </c>
      <c r="BN80" s="14">
        <f t="shared" si="74"/>
        <v>290</v>
      </c>
      <c r="BO80" s="15">
        <f t="shared" si="75"/>
        <v>140</v>
      </c>
      <c r="BP80" s="14">
        <f t="shared" si="76"/>
        <v>456</v>
      </c>
      <c r="BQ80" s="14">
        <f>DISTRIBUSI!J78</f>
        <v>0</v>
      </c>
      <c r="BR80" s="14">
        <f>'PEMAKAIAN UNIT'!J77</f>
        <v>0</v>
      </c>
      <c r="BS80" s="14">
        <f t="shared" si="77"/>
        <v>456</v>
      </c>
      <c r="BT80" s="15">
        <f t="shared" si="78"/>
        <v>236</v>
      </c>
      <c r="BU80" s="14">
        <f t="shared" si="79"/>
        <v>0</v>
      </c>
      <c r="BV80" s="14">
        <f>DISTRIBUSI!K78</f>
        <v>0</v>
      </c>
      <c r="BW80" s="14">
        <f>'PEMAKAIAN UNIT'!K77</f>
        <v>0</v>
      </c>
      <c r="BX80" s="14">
        <f t="shared" si="80"/>
        <v>0</v>
      </c>
      <c r="BY80" s="15">
        <f t="shared" si="81"/>
        <v>-30</v>
      </c>
      <c r="BZ80" s="14">
        <f t="shared" si="82"/>
        <v>15</v>
      </c>
      <c r="CA80" s="14">
        <f>DISTRIBUSI!L78</f>
        <v>0</v>
      </c>
      <c r="CB80" s="14">
        <f>'PEMAKAIAN UNIT'!L77</f>
        <v>0</v>
      </c>
      <c r="CC80" s="14">
        <f t="shared" si="83"/>
        <v>15</v>
      </c>
      <c r="CD80" s="15">
        <f t="shared" si="84"/>
        <v>-40</v>
      </c>
      <c r="CE80" s="14">
        <f t="shared" si="85"/>
        <v>0</v>
      </c>
      <c r="CF80" s="14">
        <f>DISTRIBUSI!M78</f>
        <v>100</v>
      </c>
      <c r="CG80" s="14">
        <f>'PEMAKAIAN UNIT'!M77</f>
        <v>0</v>
      </c>
      <c r="CH80" s="14">
        <f t="shared" si="86"/>
        <v>100</v>
      </c>
      <c r="CI80" s="15">
        <f t="shared" si="87"/>
        <v>0</v>
      </c>
      <c r="CJ80" s="14">
        <f t="shared" si="88"/>
        <v>0</v>
      </c>
      <c r="CK80" s="14" t="e">
        <f>DISTRIBUSI!#REF!</f>
        <v>#REF!</v>
      </c>
      <c r="CL80" s="14">
        <f>'PEMAKAIAN UNIT'!N77</f>
        <v>0</v>
      </c>
      <c r="CM80" s="14" t="e">
        <f t="shared" si="89"/>
        <v>#REF!</v>
      </c>
      <c r="CN80" s="15" t="e">
        <f t="shared" si="90"/>
        <v>#REF!</v>
      </c>
      <c r="CO80" s="14" t="e">
        <f>DL80+DISTRIBUSI!#REF!-'PEMAKAIAN UNIT'!O77</f>
        <v>#REF!</v>
      </c>
      <c r="CP80" s="15" t="e">
        <f t="shared" si="91"/>
        <v>#REF!</v>
      </c>
      <c r="CQ80" s="226">
        <f t="shared" si="92"/>
        <v>460</v>
      </c>
      <c r="CR80" s="226">
        <f>DISTRIBUSI!R78</f>
        <v>2000</v>
      </c>
      <c r="CS80" s="226">
        <f>'PEMAKAIAN UNIT'!P77</f>
        <v>0</v>
      </c>
      <c r="CT80" s="14">
        <f t="shared" si="93"/>
        <v>2460</v>
      </c>
      <c r="CU80" s="15">
        <f t="shared" si="94"/>
        <v>1394</v>
      </c>
      <c r="CV80" s="14" t="e">
        <f>DN80+DISTRIBUSI!#REF!-'PEMAKAIAN UNIT'!Q77</f>
        <v>#REF!</v>
      </c>
      <c r="CW80" s="15" t="e">
        <f t="shared" si="95"/>
        <v>#REF!</v>
      </c>
      <c r="CX80" s="14">
        <f>DO80+'LPLPO GUDANG'!E83-'LPLPO GUDANG'!G83</f>
        <v>-300</v>
      </c>
      <c r="CY80" s="15">
        <f t="shared" si="96"/>
        <v>-1300</v>
      </c>
      <c r="CZ80" s="28"/>
      <c r="DA80" s="14">
        <v>180</v>
      </c>
      <c r="DB80" s="14">
        <v>185</v>
      </c>
      <c r="DC80" s="14">
        <v>184</v>
      </c>
      <c r="DD80" s="14">
        <v>220</v>
      </c>
      <c r="DE80" s="14">
        <v>300</v>
      </c>
      <c r="DF80" s="14">
        <v>190</v>
      </c>
      <c r="DG80" s="14">
        <v>456</v>
      </c>
      <c r="DH80" s="14">
        <v>0</v>
      </c>
      <c r="DI80" s="14">
        <v>15</v>
      </c>
      <c r="DJ80" s="14">
        <v>0</v>
      </c>
      <c r="DK80" s="14">
        <v>0</v>
      </c>
      <c r="DL80" s="14">
        <v>690</v>
      </c>
      <c r="DM80" s="14">
        <v>460</v>
      </c>
      <c r="DN80" s="14">
        <v>0</v>
      </c>
      <c r="DO80" s="14">
        <v>900</v>
      </c>
      <c r="DP80" s="13">
        <f t="shared" si="97"/>
        <v>3780</v>
      </c>
      <c r="DR80" t="s">
        <v>60</v>
      </c>
      <c r="DU80" s="20" t="e">
        <f t="shared" si="98"/>
        <v>#REF!</v>
      </c>
    </row>
    <row r="81" spans="1:125" customFormat="1" ht="20.149999999999999" customHeight="1" x14ac:dyDescent="0.35">
      <c r="A81" s="84">
        <f t="shared" si="99"/>
        <v>70</v>
      </c>
      <c r="B81" s="142" t="s">
        <v>280</v>
      </c>
      <c r="C81" s="157" t="s">
        <v>327</v>
      </c>
      <c r="D81" s="109">
        <v>0</v>
      </c>
      <c r="E81" s="110">
        <f>'LPLPO GUDANG'!E84</f>
        <v>0</v>
      </c>
      <c r="F81" s="110">
        <f t="shared" si="50"/>
        <v>0</v>
      </c>
      <c r="G81" s="110">
        <f>'PEMAKAIAN UNIT'!R78</f>
        <v>0</v>
      </c>
      <c r="H81" s="14">
        <v>0</v>
      </c>
      <c r="I81" s="14">
        <v>0</v>
      </c>
      <c r="J81" s="14">
        <v>0</v>
      </c>
      <c r="K81" s="14"/>
      <c r="L81" s="14"/>
      <c r="M81" s="14"/>
      <c r="N81" s="14"/>
      <c r="O81" s="14"/>
      <c r="P81" s="14"/>
      <c r="Q81" s="14"/>
      <c r="R81" s="14"/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09">
        <f t="shared" si="51"/>
        <v>0</v>
      </c>
      <c r="Z81" s="109" t="e">
        <f t="shared" si="52"/>
        <v>#REF!</v>
      </c>
      <c r="AA81" s="109" t="e">
        <f t="shared" si="53"/>
        <v>#REF!</v>
      </c>
      <c r="AB81" s="14">
        <v>106</v>
      </c>
      <c r="AC81" s="109" t="e">
        <f t="shared" si="54"/>
        <v>#REF!</v>
      </c>
      <c r="AD81" s="109">
        <f>'LPLPO GUDANG'!H84</f>
        <v>1000</v>
      </c>
      <c r="AE81" s="111" t="e">
        <f t="shared" si="55"/>
        <v>#REF!</v>
      </c>
      <c r="AF81" s="212"/>
      <c r="AG81" s="212"/>
      <c r="AH81" s="20"/>
      <c r="AI81" s="14">
        <f t="shared" si="56"/>
        <v>0</v>
      </c>
      <c r="AJ81" s="209" t="e">
        <f t="shared" si="57"/>
        <v>#REF!</v>
      </c>
      <c r="AL81" s="14">
        <f t="shared" si="58"/>
        <v>0</v>
      </c>
      <c r="AM81" s="14">
        <f>DISTRIBUSI!D79</f>
        <v>0</v>
      </c>
      <c r="AN81" s="14">
        <f>'PEMAKAIAN UNIT'!D78</f>
        <v>0</v>
      </c>
      <c r="AO81" s="14">
        <f t="shared" si="59"/>
        <v>0</v>
      </c>
      <c r="AP81" s="15">
        <f t="shared" si="60"/>
        <v>0</v>
      </c>
      <c r="AQ81" s="14">
        <f t="shared" si="61"/>
        <v>0</v>
      </c>
      <c r="AR81" s="14">
        <f>DISTRIBUSI!E79</f>
        <v>0</v>
      </c>
      <c r="AS81" s="14">
        <f>'PEMAKAIAN UNIT'!E78</f>
        <v>0</v>
      </c>
      <c r="AT81" s="14">
        <f t="shared" si="62"/>
        <v>0</v>
      </c>
      <c r="AU81" s="15">
        <f t="shared" si="63"/>
        <v>0</v>
      </c>
      <c r="AV81" s="14">
        <f t="shared" si="64"/>
        <v>0</v>
      </c>
      <c r="AW81" s="14">
        <f>DISTRIBUSI!F79</f>
        <v>0</v>
      </c>
      <c r="AX81" s="14">
        <f>'PEMAKAIAN UNIT'!F78</f>
        <v>0</v>
      </c>
      <c r="AY81" s="14">
        <f t="shared" si="65"/>
        <v>0</v>
      </c>
      <c r="AZ81" s="15">
        <f t="shared" si="66"/>
        <v>0</v>
      </c>
      <c r="BA81" s="14">
        <f t="shared" si="67"/>
        <v>0</v>
      </c>
      <c r="BB81" s="14">
        <f>DISTRIBUSI!G79</f>
        <v>0</v>
      </c>
      <c r="BC81" s="14">
        <f>'PEMAKAIAN UNIT'!G78</f>
        <v>0</v>
      </c>
      <c r="BD81" s="14">
        <f t="shared" si="68"/>
        <v>0</v>
      </c>
      <c r="BE81" s="15">
        <f t="shared" si="69"/>
        <v>0</v>
      </c>
      <c r="BF81" s="14">
        <f t="shared" si="70"/>
        <v>0</v>
      </c>
      <c r="BG81" s="14">
        <f>DISTRIBUSI!H79</f>
        <v>0</v>
      </c>
      <c r="BH81" s="14">
        <f>'PEMAKAIAN UNIT'!H78</f>
        <v>0</v>
      </c>
      <c r="BI81" s="14">
        <f t="shared" si="71"/>
        <v>0</v>
      </c>
      <c r="BJ81" s="15">
        <f t="shared" si="72"/>
        <v>0</v>
      </c>
      <c r="BK81" s="14">
        <f t="shared" si="73"/>
        <v>0</v>
      </c>
      <c r="BL81" s="14">
        <f>DISTRIBUSI!I79</f>
        <v>0</v>
      </c>
      <c r="BM81" s="14">
        <f>'PEMAKAIAN UNIT'!I78</f>
        <v>0</v>
      </c>
      <c r="BN81" s="14">
        <f t="shared" si="74"/>
        <v>0</v>
      </c>
      <c r="BO81" s="15">
        <f t="shared" si="75"/>
        <v>0</v>
      </c>
      <c r="BP81" s="14">
        <f t="shared" si="76"/>
        <v>0</v>
      </c>
      <c r="BQ81" s="14">
        <f>DISTRIBUSI!J79</f>
        <v>0</v>
      </c>
      <c r="BR81" s="14">
        <f>'PEMAKAIAN UNIT'!J78</f>
        <v>0</v>
      </c>
      <c r="BS81" s="14">
        <f t="shared" si="77"/>
        <v>0</v>
      </c>
      <c r="BT81" s="15">
        <f t="shared" si="78"/>
        <v>0</v>
      </c>
      <c r="BU81" s="14">
        <f t="shared" si="79"/>
        <v>0</v>
      </c>
      <c r="BV81" s="14">
        <f>DISTRIBUSI!K79</f>
        <v>0</v>
      </c>
      <c r="BW81" s="14">
        <f>'PEMAKAIAN UNIT'!K78</f>
        <v>0</v>
      </c>
      <c r="BX81" s="14">
        <f t="shared" si="80"/>
        <v>0</v>
      </c>
      <c r="BY81" s="15">
        <f t="shared" si="81"/>
        <v>0</v>
      </c>
      <c r="BZ81" s="14">
        <f t="shared" si="82"/>
        <v>0</v>
      </c>
      <c r="CA81" s="14">
        <f>DISTRIBUSI!L79</f>
        <v>0</v>
      </c>
      <c r="CB81" s="14">
        <f>'PEMAKAIAN UNIT'!L78</f>
        <v>0</v>
      </c>
      <c r="CC81" s="14">
        <f t="shared" si="83"/>
        <v>0</v>
      </c>
      <c r="CD81" s="15">
        <f t="shared" si="84"/>
        <v>0</v>
      </c>
      <c r="CE81" s="14">
        <f t="shared" si="85"/>
        <v>0</v>
      </c>
      <c r="CF81" s="14">
        <f>DISTRIBUSI!M79</f>
        <v>0</v>
      </c>
      <c r="CG81" s="14">
        <f>'PEMAKAIAN UNIT'!M78</f>
        <v>0</v>
      </c>
      <c r="CH81" s="14">
        <f t="shared" si="86"/>
        <v>0</v>
      </c>
      <c r="CI81" s="15">
        <f t="shared" si="87"/>
        <v>0</v>
      </c>
      <c r="CJ81" s="14">
        <f t="shared" si="88"/>
        <v>0</v>
      </c>
      <c r="CK81" s="14" t="e">
        <f>DISTRIBUSI!#REF!</f>
        <v>#REF!</v>
      </c>
      <c r="CL81" s="14">
        <f>'PEMAKAIAN UNIT'!N78</f>
        <v>0</v>
      </c>
      <c r="CM81" s="14" t="e">
        <f t="shared" si="89"/>
        <v>#REF!</v>
      </c>
      <c r="CN81" s="15" t="e">
        <f t="shared" si="90"/>
        <v>#REF!</v>
      </c>
      <c r="CO81" s="14" t="e">
        <f>DL81+DISTRIBUSI!#REF!-'PEMAKAIAN UNIT'!O78</f>
        <v>#REF!</v>
      </c>
      <c r="CP81" s="15" t="e">
        <f t="shared" si="91"/>
        <v>#REF!</v>
      </c>
      <c r="CQ81" s="226">
        <f t="shared" si="92"/>
        <v>106</v>
      </c>
      <c r="CR81" s="226">
        <f>DISTRIBUSI!R79</f>
        <v>0</v>
      </c>
      <c r="CS81" s="226">
        <f>'PEMAKAIAN UNIT'!P78</f>
        <v>0</v>
      </c>
      <c r="CT81" s="14">
        <f t="shared" si="93"/>
        <v>106</v>
      </c>
      <c r="CU81" s="15">
        <f t="shared" si="94"/>
        <v>0</v>
      </c>
      <c r="CV81" s="14" t="e">
        <f>DN81+DISTRIBUSI!#REF!-'PEMAKAIAN UNIT'!Q78</f>
        <v>#REF!</v>
      </c>
      <c r="CW81" s="15" t="e">
        <f t="shared" si="95"/>
        <v>#REF!</v>
      </c>
      <c r="CX81" s="14">
        <f>DO81+'LPLPO GUDANG'!E84-'LPLPO GUDANG'!G84</f>
        <v>400</v>
      </c>
      <c r="CY81" s="15">
        <f t="shared" si="96"/>
        <v>-600</v>
      </c>
      <c r="CZ81" s="28"/>
      <c r="DA81" s="14">
        <v>0</v>
      </c>
      <c r="DB81" s="14"/>
      <c r="DC81" s="14">
        <v>0</v>
      </c>
      <c r="DD81" s="14">
        <v>0</v>
      </c>
      <c r="DE81" s="14">
        <v>0</v>
      </c>
      <c r="DF81" s="14"/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106</v>
      </c>
      <c r="DN81" s="14">
        <v>0</v>
      </c>
      <c r="DO81" s="14">
        <v>400</v>
      </c>
      <c r="DP81" s="13">
        <f t="shared" si="97"/>
        <v>506</v>
      </c>
      <c r="DR81" t="s">
        <v>280</v>
      </c>
      <c r="DU81" s="20" t="e">
        <f t="shared" si="98"/>
        <v>#REF!</v>
      </c>
    </row>
    <row r="82" spans="1:125" customFormat="1" ht="20.149999999999999" customHeight="1" x14ac:dyDescent="0.35">
      <c r="A82" s="84">
        <f t="shared" si="99"/>
        <v>71</v>
      </c>
      <c r="B82" s="142" t="s">
        <v>61</v>
      </c>
      <c r="C82" s="157" t="s">
        <v>327</v>
      </c>
      <c r="D82" s="109">
        <v>0</v>
      </c>
      <c r="E82" s="110">
        <f>'LPLPO GUDANG'!E85</f>
        <v>0</v>
      </c>
      <c r="F82" s="110">
        <f t="shared" si="50"/>
        <v>0</v>
      </c>
      <c r="G82" s="110">
        <f>'PEMAKAIAN UNIT'!R79</f>
        <v>0</v>
      </c>
      <c r="H82" s="14">
        <v>0</v>
      </c>
      <c r="I82" s="14">
        <v>0</v>
      </c>
      <c r="J82" s="14">
        <v>0</v>
      </c>
      <c r="K82" s="14"/>
      <c r="L82" s="14"/>
      <c r="M82" s="14"/>
      <c r="N82" s="14"/>
      <c r="O82" s="14"/>
      <c r="P82" s="14"/>
      <c r="Q82" s="14"/>
      <c r="R82" s="14"/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09">
        <f t="shared" si="51"/>
        <v>0</v>
      </c>
      <c r="Z82" s="109" t="e">
        <f t="shared" si="52"/>
        <v>#REF!</v>
      </c>
      <c r="AA82" s="109" t="e">
        <f t="shared" si="53"/>
        <v>#REF!</v>
      </c>
      <c r="AB82" s="14">
        <v>98</v>
      </c>
      <c r="AC82" s="109" t="e">
        <f t="shared" si="54"/>
        <v>#REF!</v>
      </c>
      <c r="AD82" s="109">
        <f>'LPLPO GUDANG'!H85</f>
        <v>0</v>
      </c>
      <c r="AE82" s="111" t="e">
        <f t="shared" si="55"/>
        <v>#REF!</v>
      </c>
      <c r="AF82" s="212"/>
      <c r="AG82" s="212"/>
      <c r="AH82" s="20"/>
      <c r="AI82" s="14">
        <f t="shared" si="56"/>
        <v>0</v>
      </c>
      <c r="AJ82" s="209" t="e">
        <f t="shared" si="57"/>
        <v>#REF!</v>
      </c>
      <c r="AL82" s="14">
        <f t="shared" si="58"/>
        <v>0</v>
      </c>
      <c r="AM82" s="14">
        <f>DISTRIBUSI!D80</f>
        <v>0</v>
      </c>
      <c r="AN82" s="14">
        <f>'PEMAKAIAN UNIT'!D79</f>
        <v>0</v>
      </c>
      <c r="AO82" s="14">
        <f t="shared" si="59"/>
        <v>0</v>
      </c>
      <c r="AP82" s="15">
        <f t="shared" si="60"/>
        <v>0</v>
      </c>
      <c r="AQ82" s="14">
        <f t="shared" si="61"/>
        <v>0</v>
      </c>
      <c r="AR82" s="14">
        <f>DISTRIBUSI!E80</f>
        <v>0</v>
      </c>
      <c r="AS82" s="14">
        <f>'PEMAKAIAN UNIT'!E79</f>
        <v>0</v>
      </c>
      <c r="AT82" s="14">
        <f t="shared" si="62"/>
        <v>0</v>
      </c>
      <c r="AU82" s="15">
        <f t="shared" si="63"/>
        <v>0</v>
      </c>
      <c r="AV82" s="14">
        <f t="shared" si="64"/>
        <v>0</v>
      </c>
      <c r="AW82" s="14">
        <f>DISTRIBUSI!F80</f>
        <v>0</v>
      </c>
      <c r="AX82" s="14">
        <f>'PEMAKAIAN UNIT'!F79</f>
        <v>0</v>
      </c>
      <c r="AY82" s="14">
        <f t="shared" si="65"/>
        <v>0</v>
      </c>
      <c r="AZ82" s="15">
        <f t="shared" si="66"/>
        <v>0</v>
      </c>
      <c r="BA82" s="14">
        <f t="shared" si="67"/>
        <v>0</v>
      </c>
      <c r="BB82" s="14">
        <f>DISTRIBUSI!G80</f>
        <v>0</v>
      </c>
      <c r="BC82" s="14">
        <f>'PEMAKAIAN UNIT'!G79</f>
        <v>0</v>
      </c>
      <c r="BD82" s="14">
        <f t="shared" si="68"/>
        <v>0</v>
      </c>
      <c r="BE82" s="15">
        <f t="shared" si="69"/>
        <v>0</v>
      </c>
      <c r="BF82" s="14">
        <f t="shared" si="70"/>
        <v>0</v>
      </c>
      <c r="BG82" s="14">
        <f>DISTRIBUSI!H80</f>
        <v>0</v>
      </c>
      <c r="BH82" s="14">
        <f>'PEMAKAIAN UNIT'!H79</f>
        <v>0</v>
      </c>
      <c r="BI82" s="14">
        <f t="shared" si="71"/>
        <v>0</v>
      </c>
      <c r="BJ82" s="15">
        <f t="shared" si="72"/>
        <v>0</v>
      </c>
      <c r="BK82" s="14">
        <f t="shared" si="73"/>
        <v>0</v>
      </c>
      <c r="BL82" s="14">
        <f>DISTRIBUSI!I80</f>
        <v>0</v>
      </c>
      <c r="BM82" s="14">
        <f>'PEMAKAIAN UNIT'!I79</f>
        <v>0</v>
      </c>
      <c r="BN82" s="14">
        <f t="shared" si="74"/>
        <v>0</v>
      </c>
      <c r="BO82" s="15">
        <f t="shared" si="75"/>
        <v>0</v>
      </c>
      <c r="BP82" s="14">
        <f t="shared" si="76"/>
        <v>0</v>
      </c>
      <c r="BQ82" s="14">
        <f>DISTRIBUSI!J80</f>
        <v>0</v>
      </c>
      <c r="BR82" s="14">
        <f>'PEMAKAIAN UNIT'!J79</f>
        <v>0</v>
      </c>
      <c r="BS82" s="14">
        <f t="shared" si="77"/>
        <v>0</v>
      </c>
      <c r="BT82" s="15">
        <f t="shared" si="78"/>
        <v>0</v>
      </c>
      <c r="BU82" s="14">
        <f t="shared" si="79"/>
        <v>0</v>
      </c>
      <c r="BV82" s="14">
        <f>DISTRIBUSI!K80</f>
        <v>0</v>
      </c>
      <c r="BW82" s="14">
        <f>'PEMAKAIAN UNIT'!K79</f>
        <v>0</v>
      </c>
      <c r="BX82" s="14">
        <f t="shared" si="80"/>
        <v>0</v>
      </c>
      <c r="BY82" s="15">
        <f t="shared" si="81"/>
        <v>0</v>
      </c>
      <c r="BZ82" s="14">
        <f t="shared" si="82"/>
        <v>0</v>
      </c>
      <c r="CA82" s="14">
        <f>DISTRIBUSI!L80</f>
        <v>0</v>
      </c>
      <c r="CB82" s="14">
        <f>'PEMAKAIAN UNIT'!L79</f>
        <v>0</v>
      </c>
      <c r="CC82" s="14">
        <f t="shared" si="83"/>
        <v>0</v>
      </c>
      <c r="CD82" s="15">
        <f t="shared" si="84"/>
        <v>0</v>
      </c>
      <c r="CE82" s="14">
        <f t="shared" si="85"/>
        <v>0</v>
      </c>
      <c r="CF82" s="14">
        <f>DISTRIBUSI!M80</f>
        <v>0</v>
      </c>
      <c r="CG82" s="14">
        <f>'PEMAKAIAN UNIT'!M79</f>
        <v>0</v>
      </c>
      <c r="CH82" s="14">
        <f t="shared" si="86"/>
        <v>0</v>
      </c>
      <c r="CI82" s="15">
        <f t="shared" si="87"/>
        <v>0</v>
      </c>
      <c r="CJ82" s="14">
        <f t="shared" si="88"/>
        <v>0</v>
      </c>
      <c r="CK82" s="14" t="e">
        <f>DISTRIBUSI!#REF!</f>
        <v>#REF!</v>
      </c>
      <c r="CL82" s="14">
        <f>'PEMAKAIAN UNIT'!N79</f>
        <v>0</v>
      </c>
      <c r="CM82" s="14" t="e">
        <f t="shared" si="89"/>
        <v>#REF!</v>
      </c>
      <c r="CN82" s="15" t="e">
        <f t="shared" si="90"/>
        <v>#REF!</v>
      </c>
      <c r="CO82" s="14" t="e">
        <f>DL82+DISTRIBUSI!#REF!-'PEMAKAIAN UNIT'!O79</f>
        <v>#REF!</v>
      </c>
      <c r="CP82" s="15" t="e">
        <f t="shared" si="91"/>
        <v>#REF!</v>
      </c>
      <c r="CQ82" s="226">
        <f t="shared" si="92"/>
        <v>138</v>
      </c>
      <c r="CR82" s="226">
        <f>DISTRIBUSI!R80</f>
        <v>0</v>
      </c>
      <c r="CS82" s="226">
        <f>'PEMAKAIAN UNIT'!P79</f>
        <v>0</v>
      </c>
      <c r="CT82" s="14">
        <f t="shared" si="93"/>
        <v>138</v>
      </c>
      <c r="CU82" s="15">
        <f t="shared" si="94"/>
        <v>40</v>
      </c>
      <c r="CV82" s="14" t="e">
        <f>DN82+DISTRIBUSI!#REF!-'PEMAKAIAN UNIT'!Q79</f>
        <v>#REF!</v>
      </c>
      <c r="CW82" s="15" t="e">
        <f t="shared" si="95"/>
        <v>#REF!</v>
      </c>
      <c r="CX82" s="14">
        <f>DO82+'LPLPO GUDANG'!E85-'LPLPO GUDANG'!G85</f>
        <v>100</v>
      </c>
      <c r="CY82" s="15">
        <f t="shared" si="96"/>
        <v>100</v>
      </c>
      <c r="CZ82" s="28"/>
      <c r="DA82" s="14">
        <v>0</v>
      </c>
      <c r="DB82" s="14"/>
      <c r="DC82" s="14">
        <v>0</v>
      </c>
      <c r="DD82" s="14">
        <v>0</v>
      </c>
      <c r="DE82" s="14">
        <v>0</v>
      </c>
      <c r="DF82" s="14"/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138</v>
      </c>
      <c r="DN82" s="14">
        <v>0</v>
      </c>
      <c r="DO82" s="14">
        <v>100</v>
      </c>
      <c r="DP82" s="13">
        <f t="shared" si="97"/>
        <v>238</v>
      </c>
      <c r="DR82" t="s">
        <v>61</v>
      </c>
      <c r="DU82" s="20" t="e">
        <f t="shared" si="98"/>
        <v>#REF!</v>
      </c>
    </row>
    <row r="83" spans="1:125" customFormat="1" ht="45" x14ac:dyDescent="0.35">
      <c r="A83" s="84">
        <f t="shared" si="99"/>
        <v>72</v>
      </c>
      <c r="B83" s="142" t="s">
        <v>253</v>
      </c>
      <c r="C83" s="157" t="s">
        <v>327</v>
      </c>
      <c r="D83" s="109">
        <v>0</v>
      </c>
      <c r="E83" s="110">
        <f>'LPLPO GUDANG'!E86</f>
        <v>0</v>
      </c>
      <c r="F83" s="110">
        <f t="shared" si="50"/>
        <v>0</v>
      </c>
      <c r="G83" s="110">
        <f>'PEMAKAIAN UNIT'!R80</f>
        <v>0</v>
      </c>
      <c r="H83" s="14">
        <v>0</v>
      </c>
      <c r="I83" s="14">
        <v>0</v>
      </c>
      <c r="J83" s="14">
        <v>0</v>
      </c>
      <c r="K83" s="14"/>
      <c r="L83" s="14"/>
      <c r="M83" s="14"/>
      <c r="N83" s="14"/>
      <c r="O83" s="14"/>
      <c r="P83" s="14"/>
      <c r="Q83" s="14"/>
      <c r="R83" s="14"/>
      <c r="S83" s="14">
        <v>0</v>
      </c>
      <c r="T83" s="14">
        <v>0</v>
      </c>
      <c r="U83" s="14">
        <v>30</v>
      </c>
      <c r="V83" s="14">
        <v>85</v>
      </c>
      <c r="W83" s="14">
        <v>0</v>
      </c>
      <c r="X83" s="14">
        <v>0</v>
      </c>
      <c r="Y83" s="109">
        <f t="shared" si="51"/>
        <v>0</v>
      </c>
      <c r="Z83" s="109" t="e">
        <f t="shared" si="52"/>
        <v>#REF!</v>
      </c>
      <c r="AA83" s="109" t="e">
        <f t="shared" si="53"/>
        <v>#REF!</v>
      </c>
      <c r="AB83" s="14">
        <v>338</v>
      </c>
      <c r="AC83" s="109" t="e">
        <f t="shared" si="54"/>
        <v>#REF!</v>
      </c>
      <c r="AD83" s="109">
        <f>'LPLPO GUDANG'!H86</f>
        <v>500</v>
      </c>
      <c r="AE83" s="111" t="e">
        <f t="shared" si="55"/>
        <v>#REF!</v>
      </c>
      <c r="AF83" s="212"/>
      <c r="AG83" s="212"/>
      <c r="AH83" s="20"/>
      <c r="AI83" s="14">
        <f t="shared" si="56"/>
        <v>0</v>
      </c>
      <c r="AJ83" s="209" t="e">
        <f t="shared" si="57"/>
        <v>#REF!</v>
      </c>
      <c r="AL83" s="14">
        <f t="shared" si="58"/>
        <v>0</v>
      </c>
      <c r="AM83" s="14">
        <f>DISTRIBUSI!D81</f>
        <v>0</v>
      </c>
      <c r="AN83" s="14">
        <f>'PEMAKAIAN UNIT'!D80</f>
        <v>0</v>
      </c>
      <c r="AO83" s="14">
        <f t="shared" si="59"/>
        <v>0</v>
      </c>
      <c r="AP83" s="15">
        <f t="shared" si="60"/>
        <v>0</v>
      </c>
      <c r="AQ83" s="14">
        <f t="shared" si="61"/>
        <v>0</v>
      </c>
      <c r="AR83" s="14">
        <f>DISTRIBUSI!E81</f>
        <v>0</v>
      </c>
      <c r="AS83" s="14">
        <f>'PEMAKAIAN UNIT'!E80</f>
        <v>0</v>
      </c>
      <c r="AT83" s="14">
        <f t="shared" si="62"/>
        <v>0</v>
      </c>
      <c r="AU83" s="15">
        <f t="shared" si="63"/>
        <v>0</v>
      </c>
      <c r="AV83" s="14">
        <f t="shared" si="64"/>
        <v>130</v>
      </c>
      <c r="AW83" s="14">
        <f>DISTRIBUSI!F81</f>
        <v>0</v>
      </c>
      <c r="AX83" s="14">
        <f>'PEMAKAIAN UNIT'!F80</f>
        <v>0</v>
      </c>
      <c r="AY83" s="14">
        <f t="shared" si="65"/>
        <v>130</v>
      </c>
      <c r="AZ83" s="15">
        <f t="shared" si="66"/>
        <v>130</v>
      </c>
      <c r="BA83" s="14">
        <f t="shared" si="67"/>
        <v>0</v>
      </c>
      <c r="BB83" s="14">
        <f>DISTRIBUSI!G81</f>
        <v>0</v>
      </c>
      <c r="BC83" s="14">
        <f>'PEMAKAIAN UNIT'!G80</f>
        <v>0</v>
      </c>
      <c r="BD83" s="14">
        <f t="shared" si="68"/>
        <v>0</v>
      </c>
      <c r="BE83" s="15">
        <f t="shared" si="69"/>
        <v>0</v>
      </c>
      <c r="BF83" s="14">
        <f t="shared" si="70"/>
        <v>0</v>
      </c>
      <c r="BG83" s="14">
        <f>DISTRIBUSI!H81</f>
        <v>0</v>
      </c>
      <c r="BH83" s="14">
        <f>'PEMAKAIAN UNIT'!H80</f>
        <v>0</v>
      </c>
      <c r="BI83" s="14">
        <f t="shared" si="71"/>
        <v>0</v>
      </c>
      <c r="BJ83" s="15">
        <f t="shared" si="72"/>
        <v>0</v>
      </c>
      <c r="BK83" s="14">
        <f t="shared" si="73"/>
        <v>60</v>
      </c>
      <c r="BL83" s="14">
        <f>DISTRIBUSI!I81</f>
        <v>0</v>
      </c>
      <c r="BM83" s="14">
        <f>'PEMAKAIAN UNIT'!I80</f>
        <v>0</v>
      </c>
      <c r="BN83" s="14">
        <f t="shared" si="74"/>
        <v>60</v>
      </c>
      <c r="BO83" s="15">
        <f t="shared" si="75"/>
        <v>30</v>
      </c>
      <c r="BP83" s="14">
        <f t="shared" si="76"/>
        <v>90</v>
      </c>
      <c r="BQ83" s="14">
        <f>DISTRIBUSI!J81</f>
        <v>0</v>
      </c>
      <c r="BR83" s="14">
        <f>'PEMAKAIAN UNIT'!J80</f>
        <v>0</v>
      </c>
      <c r="BS83" s="14">
        <f t="shared" si="77"/>
        <v>90</v>
      </c>
      <c r="BT83" s="15">
        <f t="shared" si="78"/>
        <v>5</v>
      </c>
      <c r="BU83" s="14">
        <f t="shared" si="79"/>
        <v>0</v>
      </c>
      <c r="BV83" s="14">
        <f>DISTRIBUSI!K81</f>
        <v>0</v>
      </c>
      <c r="BW83" s="14">
        <f>'PEMAKAIAN UNIT'!K80</f>
        <v>0</v>
      </c>
      <c r="BX83" s="14">
        <f t="shared" si="80"/>
        <v>0</v>
      </c>
      <c r="BY83" s="15">
        <f t="shared" si="81"/>
        <v>0</v>
      </c>
      <c r="BZ83" s="14">
        <f t="shared" si="82"/>
        <v>0</v>
      </c>
      <c r="CA83" s="14">
        <f>DISTRIBUSI!L81</f>
        <v>0</v>
      </c>
      <c r="CB83" s="14">
        <f>'PEMAKAIAN UNIT'!L80</f>
        <v>0</v>
      </c>
      <c r="CC83" s="14">
        <f t="shared" si="83"/>
        <v>0</v>
      </c>
      <c r="CD83" s="15">
        <f t="shared" si="84"/>
        <v>0</v>
      </c>
      <c r="CE83" s="14">
        <f t="shared" si="85"/>
        <v>0</v>
      </c>
      <c r="CF83" s="14">
        <f>DISTRIBUSI!M81</f>
        <v>0</v>
      </c>
      <c r="CG83" s="14">
        <f>'PEMAKAIAN UNIT'!M80</f>
        <v>0</v>
      </c>
      <c r="CH83" s="14">
        <f t="shared" si="86"/>
        <v>0</v>
      </c>
      <c r="CI83" s="15">
        <f t="shared" si="87"/>
        <v>0</v>
      </c>
      <c r="CJ83" s="14">
        <f t="shared" si="88"/>
        <v>0</v>
      </c>
      <c r="CK83" s="14" t="e">
        <f>DISTRIBUSI!#REF!</f>
        <v>#REF!</v>
      </c>
      <c r="CL83" s="14">
        <f>'PEMAKAIAN UNIT'!N80</f>
        <v>0</v>
      </c>
      <c r="CM83" s="14" t="e">
        <f t="shared" si="89"/>
        <v>#REF!</v>
      </c>
      <c r="CN83" s="15" t="e">
        <f t="shared" si="90"/>
        <v>#REF!</v>
      </c>
      <c r="CO83" s="14" t="e">
        <f>DL83+DISTRIBUSI!#REF!-'PEMAKAIAN UNIT'!O80</f>
        <v>#REF!</v>
      </c>
      <c r="CP83" s="15" t="e">
        <f t="shared" si="91"/>
        <v>#REF!</v>
      </c>
      <c r="CQ83" s="226">
        <f t="shared" si="92"/>
        <v>508</v>
      </c>
      <c r="CR83" s="226">
        <f>DISTRIBUSI!R81</f>
        <v>0</v>
      </c>
      <c r="CS83" s="226">
        <f>'PEMAKAIAN UNIT'!P80</f>
        <v>0</v>
      </c>
      <c r="CT83" s="14">
        <f t="shared" si="93"/>
        <v>508</v>
      </c>
      <c r="CU83" s="15">
        <f t="shared" si="94"/>
        <v>170</v>
      </c>
      <c r="CV83" s="14" t="e">
        <f>DN83+DISTRIBUSI!#REF!-'PEMAKAIAN UNIT'!Q80</f>
        <v>#REF!</v>
      </c>
      <c r="CW83" s="15" t="e">
        <f t="shared" si="95"/>
        <v>#REF!</v>
      </c>
      <c r="CX83" s="14">
        <f>DO83+'LPLPO GUDANG'!E86-'LPLPO GUDANG'!G86</f>
        <v>400</v>
      </c>
      <c r="CY83" s="15">
        <f t="shared" si="96"/>
        <v>-100</v>
      </c>
      <c r="CZ83" s="28"/>
      <c r="DA83" s="14">
        <v>0</v>
      </c>
      <c r="DB83" s="14"/>
      <c r="DC83" s="14">
        <v>130</v>
      </c>
      <c r="DD83" s="14">
        <v>0</v>
      </c>
      <c r="DE83" s="14">
        <v>0</v>
      </c>
      <c r="DF83" s="14">
        <v>60</v>
      </c>
      <c r="DG83" s="14">
        <v>90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508</v>
      </c>
      <c r="DN83" s="14">
        <v>0</v>
      </c>
      <c r="DO83" s="14">
        <v>400</v>
      </c>
      <c r="DP83" s="13">
        <f t="shared" si="97"/>
        <v>1188</v>
      </c>
      <c r="DR83" t="s">
        <v>253</v>
      </c>
      <c r="DU83" s="20" t="e">
        <f t="shared" si="98"/>
        <v>#REF!</v>
      </c>
    </row>
    <row r="84" spans="1:125" customFormat="1" ht="45" x14ac:dyDescent="0.35">
      <c r="A84" s="84">
        <f t="shared" si="99"/>
        <v>73</v>
      </c>
      <c r="B84" s="142" t="s">
        <v>62</v>
      </c>
      <c r="C84" s="157" t="s">
        <v>319</v>
      </c>
      <c r="D84" s="109">
        <v>0</v>
      </c>
      <c r="E84" s="110">
        <f>'LPLPO GUDANG'!E87</f>
        <v>0</v>
      </c>
      <c r="F84" s="110">
        <f t="shared" si="50"/>
        <v>0</v>
      </c>
      <c r="G84" s="110">
        <f>'PEMAKAIAN UNIT'!R81</f>
        <v>0</v>
      </c>
      <c r="H84" s="14">
        <v>0</v>
      </c>
      <c r="I84" s="14">
        <v>0</v>
      </c>
      <c r="J84" s="14">
        <v>0</v>
      </c>
      <c r="K84" s="14"/>
      <c r="L84" s="14"/>
      <c r="M84" s="14"/>
      <c r="N84" s="14"/>
      <c r="O84" s="14"/>
      <c r="P84" s="14"/>
      <c r="Q84" s="14"/>
      <c r="R84" s="14"/>
      <c r="S84" s="14">
        <v>0</v>
      </c>
      <c r="T84" s="14">
        <v>0</v>
      </c>
      <c r="U84" s="14">
        <v>4</v>
      </c>
      <c r="V84" s="14">
        <v>0</v>
      </c>
      <c r="W84" s="14">
        <v>0</v>
      </c>
      <c r="X84" s="14">
        <v>0</v>
      </c>
      <c r="Y84" s="109">
        <f t="shared" si="51"/>
        <v>0</v>
      </c>
      <c r="Z84" s="109" t="e">
        <f t="shared" si="52"/>
        <v>#REF!</v>
      </c>
      <c r="AA84" s="109" t="e">
        <f t="shared" si="53"/>
        <v>#REF!</v>
      </c>
      <c r="AB84" s="14">
        <v>0</v>
      </c>
      <c r="AC84" s="109" t="e">
        <f t="shared" si="54"/>
        <v>#REF!</v>
      </c>
      <c r="AD84" s="109">
        <f>'LPLPO GUDANG'!H87</f>
        <v>30</v>
      </c>
      <c r="AE84" s="111" t="e">
        <f t="shared" si="55"/>
        <v>#REF!</v>
      </c>
      <c r="AF84" s="212"/>
      <c r="AG84" s="212"/>
      <c r="AH84" s="20"/>
      <c r="AI84" s="14">
        <f t="shared" si="56"/>
        <v>0</v>
      </c>
      <c r="AJ84" s="209" t="e">
        <f t="shared" si="57"/>
        <v>#REF!</v>
      </c>
      <c r="AL84" s="14">
        <f t="shared" si="58"/>
        <v>0</v>
      </c>
      <c r="AM84" s="14">
        <f>DISTRIBUSI!D82</f>
        <v>0</v>
      </c>
      <c r="AN84" s="14">
        <f>'PEMAKAIAN UNIT'!D81</f>
        <v>0</v>
      </c>
      <c r="AO84" s="14">
        <f t="shared" si="59"/>
        <v>0</v>
      </c>
      <c r="AP84" s="15">
        <f t="shared" si="60"/>
        <v>0</v>
      </c>
      <c r="AQ84" s="14">
        <f t="shared" si="61"/>
        <v>0</v>
      </c>
      <c r="AR84" s="14">
        <f>DISTRIBUSI!E82</f>
        <v>0</v>
      </c>
      <c r="AS84" s="14">
        <f>'PEMAKAIAN UNIT'!E81</f>
        <v>0</v>
      </c>
      <c r="AT84" s="14">
        <f t="shared" si="62"/>
        <v>0</v>
      </c>
      <c r="AU84" s="15">
        <f t="shared" si="63"/>
        <v>0</v>
      </c>
      <c r="AV84" s="14">
        <f t="shared" si="64"/>
        <v>0</v>
      </c>
      <c r="AW84" s="14">
        <f>DISTRIBUSI!F82</f>
        <v>0</v>
      </c>
      <c r="AX84" s="14">
        <f>'PEMAKAIAN UNIT'!F81</f>
        <v>0</v>
      </c>
      <c r="AY84" s="14">
        <f t="shared" si="65"/>
        <v>0</v>
      </c>
      <c r="AZ84" s="15">
        <f t="shared" si="66"/>
        <v>0</v>
      </c>
      <c r="BA84" s="14">
        <f t="shared" si="67"/>
        <v>0</v>
      </c>
      <c r="BB84" s="14">
        <f>DISTRIBUSI!G82</f>
        <v>0</v>
      </c>
      <c r="BC84" s="14">
        <f>'PEMAKAIAN UNIT'!G81</f>
        <v>0</v>
      </c>
      <c r="BD84" s="14">
        <f t="shared" si="68"/>
        <v>0</v>
      </c>
      <c r="BE84" s="15">
        <f t="shared" si="69"/>
        <v>0</v>
      </c>
      <c r="BF84" s="14">
        <f t="shared" si="70"/>
        <v>0</v>
      </c>
      <c r="BG84" s="14">
        <f>DISTRIBUSI!H82</f>
        <v>0</v>
      </c>
      <c r="BH84" s="14">
        <f>'PEMAKAIAN UNIT'!H81</f>
        <v>0</v>
      </c>
      <c r="BI84" s="14">
        <f t="shared" si="71"/>
        <v>0</v>
      </c>
      <c r="BJ84" s="15">
        <f t="shared" si="72"/>
        <v>0</v>
      </c>
      <c r="BK84" s="14">
        <f t="shared" si="73"/>
        <v>1</v>
      </c>
      <c r="BL84" s="14">
        <f>DISTRIBUSI!I82</f>
        <v>0</v>
      </c>
      <c r="BM84" s="14">
        <f>'PEMAKAIAN UNIT'!I81</f>
        <v>0</v>
      </c>
      <c r="BN84" s="14">
        <f t="shared" si="74"/>
        <v>1</v>
      </c>
      <c r="BO84" s="15">
        <f t="shared" si="75"/>
        <v>-3</v>
      </c>
      <c r="BP84" s="14">
        <f t="shared" si="76"/>
        <v>0</v>
      </c>
      <c r="BQ84" s="14">
        <f>DISTRIBUSI!J82</f>
        <v>0</v>
      </c>
      <c r="BR84" s="14">
        <f>'PEMAKAIAN UNIT'!J81</f>
        <v>0</v>
      </c>
      <c r="BS84" s="14">
        <f t="shared" si="77"/>
        <v>0</v>
      </c>
      <c r="BT84" s="15">
        <f t="shared" si="78"/>
        <v>0</v>
      </c>
      <c r="BU84" s="14">
        <f t="shared" si="79"/>
        <v>0</v>
      </c>
      <c r="BV84" s="14">
        <f>DISTRIBUSI!K82</f>
        <v>0</v>
      </c>
      <c r="BW84" s="14">
        <f>'PEMAKAIAN UNIT'!K81</f>
        <v>0</v>
      </c>
      <c r="BX84" s="14">
        <f t="shared" si="80"/>
        <v>0</v>
      </c>
      <c r="BY84" s="15">
        <f t="shared" si="81"/>
        <v>0</v>
      </c>
      <c r="BZ84" s="14">
        <f t="shared" si="82"/>
        <v>0</v>
      </c>
      <c r="CA84" s="14">
        <f>DISTRIBUSI!L82</f>
        <v>0</v>
      </c>
      <c r="CB84" s="14">
        <f>'PEMAKAIAN UNIT'!L81</f>
        <v>0</v>
      </c>
      <c r="CC84" s="14">
        <f t="shared" si="83"/>
        <v>0</v>
      </c>
      <c r="CD84" s="15">
        <f t="shared" si="84"/>
        <v>0</v>
      </c>
      <c r="CE84" s="14">
        <f t="shared" si="85"/>
        <v>0</v>
      </c>
      <c r="CF84" s="14">
        <f>DISTRIBUSI!M82</f>
        <v>0</v>
      </c>
      <c r="CG84" s="14">
        <f>'PEMAKAIAN UNIT'!M81</f>
        <v>0</v>
      </c>
      <c r="CH84" s="14">
        <f t="shared" si="86"/>
        <v>0</v>
      </c>
      <c r="CI84" s="15">
        <f t="shared" si="87"/>
        <v>0</v>
      </c>
      <c r="CJ84" s="14">
        <f t="shared" si="88"/>
        <v>0</v>
      </c>
      <c r="CK84" s="14" t="e">
        <f>DISTRIBUSI!#REF!</f>
        <v>#REF!</v>
      </c>
      <c r="CL84" s="14">
        <f>'PEMAKAIAN UNIT'!N81</f>
        <v>0</v>
      </c>
      <c r="CM84" s="14" t="e">
        <f t="shared" si="89"/>
        <v>#REF!</v>
      </c>
      <c r="CN84" s="15" t="e">
        <f t="shared" si="90"/>
        <v>#REF!</v>
      </c>
      <c r="CO84" s="14" t="e">
        <f>DL84+DISTRIBUSI!#REF!-'PEMAKAIAN UNIT'!O81</f>
        <v>#REF!</v>
      </c>
      <c r="CP84" s="15" t="e">
        <f t="shared" si="91"/>
        <v>#REF!</v>
      </c>
      <c r="CQ84" s="226">
        <f t="shared" si="92"/>
        <v>17</v>
      </c>
      <c r="CR84" s="226">
        <f>DISTRIBUSI!R82</f>
        <v>0</v>
      </c>
      <c r="CS84" s="226">
        <f>'PEMAKAIAN UNIT'!P81</f>
        <v>0</v>
      </c>
      <c r="CT84" s="14">
        <f t="shared" si="93"/>
        <v>17</v>
      </c>
      <c r="CU84" s="15">
        <f t="shared" si="94"/>
        <v>17</v>
      </c>
      <c r="CV84" s="14" t="e">
        <f>DN84+DISTRIBUSI!#REF!-'PEMAKAIAN UNIT'!Q81</f>
        <v>#REF!</v>
      </c>
      <c r="CW84" s="15" t="e">
        <f t="shared" si="95"/>
        <v>#REF!</v>
      </c>
      <c r="CX84" s="14">
        <f>DO84+'LPLPO GUDANG'!E87-'LPLPO GUDANG'!G87</f>
        <v>65</v>
      </c>
      <c r="CY84" s="15">
        <f t="shared" si="96"/>
        <v>35</v>
      </c>
      <c r="CZ84" s="28"/>
      <c r="DA84" s="14">
        <v>0</v>
      </c>
      <c r="DB84" s="14"/>
      <c r="DC84" s="14">
        <v>0</v>
      </c>
      <c r="DD84" s="14">
        <v>0</v>
      </c>
      <c r="DE84" s="14">
        <v>0</v>
      </c>
      <c r="DF84" s="14">
        <v>1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17</v>
      </c>
      <c r="DN84" s="14">
        <v>0</v>
      </c>
      <c r="DO84" s="14">
        <v>65</v>
      </c>
      <c r="DP84" s="13">
        <f t="shared" si="97"/>
        <v>83</v>
      </c>
      <c r="DR84" t="s">
        <v>62</v>
      </c>
      <c r="DU84" s="20" t="e">
        <f t="shared" si="98"/>
        <v>#REF!</v>
      </c>
    </row>
    <row r="85" spans="1:125" customFormat="1" ht="20.149999999999999" customHeight="1" x14ac:dyDescent="0.35">
      <c r="A85" s="84">
        <f t="shared" si="99"/>
        <v>74</v>
      </c>
      <c r="B85" s="142" t="s">
        <v>63</v>
      </c>
      <c r="C85" s="155" t="s">
        <v>348</v>
      </c>
      <c r="D85" s="109">
        <v>0</v>
      </c>
      <c r="E85" s="110">
        <f>'LPLPO GUDANG'!E88</f>
        <v>0</v>
      </c>
      <c r="F85" s="110">
        <f t="shared" si="50"/>
        <v>0</v>
      </c>
      <c r="G85" s="110">
        <f>'PEMAKAIAN UNIT'!R82</f>
        <v>0</v>
      </c>
      <c r="H85" s="14">
        <v>5</v>
      </c>
      <c r="I85" s="14">
        <v>1</v>
      </c>
      <c r="J85" s="14">
        <v>0</v>
      </c>
      <c r="K85" s="14"/>
      <c r="L85" s="14"/>
      <c r="M85" s="14"/>
      <c r="N85" s="14"/>
      <c r="O85" s="14"/>
      <c r="P85" s="14"/>
      <c r="Q85" s="14"/>
      <c r="R85" s="14"/>
      <c r="S85" s="14">
        <v>3</v>
      </c>
      <c r="T85" s="14">
        <v>0</v>
      </c>
      <c r="U85" s="14">
        <v>1</v>
      </c>
      <c r="V85" s="14">
        <v>9</v>
      </c>
      <c r="W85" s="14">
        <v>5</v>
      </c>
      <c r="X85" s="14">
        <v>8</v>
      </c>
      <c r="Y85" s="109">
        <f t="shared" si="51"/>
        <v>0</v>
      </c>
      <c r="Z85" s="109" t="e">
        <f t="shared" si="52"/>
        <v>#REF!</v>
      </c>
      <c r="AA85" s="109" t="e">
        <f t="shared" si="53"/>
        <v>#REF!</v>
      </c>
      <c r="AB85" s="14">
        <v>54</v>
      </c>
      <c r="AC85" s="109" t="e">
        <f t="shared" si="54"/>
        <v>#REF!</v>
      </c>
      <c r="AD85" s="109">
        <f>'LPLPO GUDANG'!H88</f>
        <v>85</v>
      </c>
      <c r="AE85" s="111" t="e">
        <f t="shared" si="55"/>
        <v>#REF!</v>
      </c>
      <c r="AF85" s="212"/>
      <c r="AG85" s="212"/>
      <c r="AH85" s="20"/>
      <c r="AI85" s="14">
        <f t="shared" si="56"/>
        <v>0</v>
      </c>
      <c r="AJ85" s="209" t="e">
        <f t="shared" si="57"/>
        <v>#REF!</v>
      </c>
      <c r="AL85" s="14">
        <f t="shared" si="58"/>
        <v>11</v>
      </c>
      <c r="AM85" s="14">
        <f>DISTRIBUSI!D83</f>
        <v>0</v>
      </c>
      <c r="AN85" s="14">
        <f>'PEMAKAIAN UNIT'!D82</f>
        <v>0</v>
      </c>
      <c r="AO85" s="14">
        <f t="shared" si="59"/>
        <v>11</v>
      </c>
      <c r="AP85" s="15">
        <f t="shared" si="60"/>
        <v>6</v>
      </c>
      <c r="AQ85" s="14">
        <f t="shared" si="61"/>
        <v>4</v>
      </c>
      <c r="AR85" s="14">
        <f>DISTRIBUSI!E83</f>
        <v>0</v>
      </c>
      <c r="AS85" s="14">
        <f>'PEMAKAIAN UNIT'!E82</f>
        <v>0</v>
      </c>
      <c r="AT85" s="14">
        <f t="shared" si="62"/>
        <v>4</v>
      </c>
      <c r="AU85" s="15">
        <f t="shared" si="63"/>
        <v>3</v>
      </c>
      <c r="AV85" s="14">
        <f t="shared" si="64"/>
        <v>1</v>
      </c>
      <c r="AW85" s="14">
        <f>DISTRIBUSI!F83</f>
        <v>0</v>
      </c>
      <c r="AX85" s="14">
        <f>'PEMAKAIAN UNIT'!F82</f>
        <v>0</v>
      </c>
      <c r="AY85" s="14">
        <f t="shared" si="65"/>
        <v>1</v>
      </c>
      <c r="AZ85" s="15">
        <f t="shared" si="66"/>
        <v>1</v>
      </c>
      <c r="BA85" s="14">
        <f t="shared" si="67"/>
        <v>0</v>
      </c>
      <c r="BB85" s="14">
        <f>DISTRIBUSI!G83</f>
        <v>0</v>
      </c>
      <c r="BC85" s="14">
        <f>'PEMAKAIAN UNIT'!G82</f>
        <v>0</v>
      </c>
      <c r="BD85" s="14">
        <f t="shared" si="68"/>
        <v>0</v>
      </c>
      <c r="BE85" s="15">
        <f t="shared" si="69"/>
        <v>-3</v>
      </c>
      <c r="BF85" s="14">
        <f t="shared" si="70"/>
        <v>7</v>
      </c>
      <c r="BG85" s="14">
        <f>DISTRIBUSI!H83</f>
        <v>0</v>
      </c>
      <c r="BH85" s="14">
        <f>'PEMAKAIAN UNIT'!H82</f>
        <v>0</v>
      </c>
      <c r="BI85" s="14">
        <f t="shared" si="71"/>
        <v>7</v>
      </c>
      <c r="BJ85" s="15">
        <f t="shared" si="72"/>
        <v>7</v>
      </c>
      <c r="BK85" s="14">
        <f t="shared" si="73"/>
        <v>9</v>
      </c>
      <c r="BL85" s="14">
        <f>DISTRIBUSI!I83</f>
        <v>0</v>
      </c>
      <c r="BM85" s="14">
        <f>'PEMAKAIAN UNIT'!I82</f>
        <v>0</v>
      </c>
      <c r="BN85" s="14">
        <f t="shared" si="74"/>
        <v>9</v>
      </c>
      <c r="BO85" s="15">
        <f t="shared" si="75"/>
        <v>8</v>
      </c>
      <c r="BP85" s="14">
        <f t="shared" si="76"/>
        <v>11</v>
      </c>
      <c r="BQ85" s="14">
        <f>DISTRIBUSI!J83</f>
        <v>0</v>
      </c>
      <c r="BR85" s="14">
        <f>'PEMAKAIAN UNIT'!J82</f>
        <v>0</v>
      </c>
      <c r="BS85" s="14">
        <f t="shared" si="77"/>
        <v>11</v>
      </c>
      <c r="BT85" s="15">
        <f t="shared" si="78"/>
        <v>2</v>
      </c>
      <c r="BU85" s="14">
        <f t="shared" si="79"/>
        <v>5</v>
      </c>
      <c r="BV85" s="14">
        <f>DISTRIBUSI!K83</f>
        <v>0</v>
      </c>
      <c r="BW85" s="14">
        <f>'PEMAKAIAN UNIT'!K82</f>
        <v>0</v>
      </c>
      <c r="BX85" s="14">
        <f t="shared" si="80"/>
        <v>5</v>
      </c>
      <c r="BY85" s="15">
        <f t="shared" si="81"/>
        <v>0</v>
      </c>
      <c r="BZ85" s="14">
        <f t="shared" si="82"/>
        <v>10</v>
      </c>
      <c r="CA85" s="14">
        <f>DISTRIBUSI!L83</f>
        <v>0</v>
      </c>
      <c r="CB85" s="14">
        <f>'PEMAKAIAN UNIT'!L82</f>
        <v>0</v>
      </c>
      <c r="CC85" s="14">
        <f t="shared" si="83"/>
        <v>10</v>
      </c>
      <c r="CD85" s="15">
        <f t="shared" si="84"/>
        <v>2</v>
      </c>
      <c r="CE85" s="14">
        <f t="shared" si="85"/>
        <v>0</v>
      </c>
      <c r="CF85" s="14">
        <f>DISTRIBUSI!M83</f>
        <v>0</v>
      </c>
      <c r="CG85" s="14">
        <f>'PEMAKAIAN UNIT'!M82</f>
        <v>0</v>
      </c>
      <c r="CH85" s="14">
        <f t="shared" si="86"/>
        <v>0</v>
      </c>
      <c r="CI85" s="15">
        <f t="shared" si="87"/>
        <v>0</v>
      </c>
      <c r="CJ85" s="14">
        <f t="shared" si="88"/>
        <v>0</v>
      </c>
      <c r="CK85" s="14" t="e">
        <f>DISTRIBUSI!#REF!</f>
        <v>#REF!</v>
      </c>
      <c r="CL85" s="14">
        <f>'PEMAKAIAN UNIT'!N82</f>
        <v>0</v>
      </c>
      <c r="CM85" s="14" t="e">
        <f t="shared" si="89"/>
        <v>#REF!</v>
      </c>
      <c r="CN85" s="15" t="e">
        <f t="shared" si="90"/>
        <v>#REF!</v>
      </c>
      <c r="CO85" s="14" t="e">
        <f>DL85+DISTRIBUSI!#REF!-'PEMAKAIAN UNIT'!O82</f>
        <v>#REF!</v>
      </c>
      <c r="CP85" s="15" t="e">
        <f t="shared" si="91"/>
        <v>#REF!</v>
      </c>
      <c r="CQ85" s="226">
        <f t="shared" si="92"/>
        <v>42</v>
      </c>
      <c r="CR85" s="226">
        <f>DISTRIBUSI!R83</f>
        <v>0</v>
      </c>
      <c r="CS85" s="226">
        <f>'PEMAKAIAN UNIT'!P82</f>
        <v>0</v>
      </c>
      <c r="CT85" s="14">
        <f t="shared" si="93"/>
        <v>42</v>
      </c>
      <c r="CU85" s="15">
        <f t="shared" si="94"/>
        <v>-12</v>
      </c>
      <c r="CV85" s="14" t="e">
        <f>DN85+DISTRIBUSI!#REF!-'PEMAKAIAN UNIT'!Q82</f>
        <v>#REF!</v>
      </c>
      <c r="CW85" s="15" t="e">
        <f t="shared" si="95"/>
        <v>#REF!</v>
      </c>
      <c r="CX85" s="14">
        <f>DO85+'LPLPO GUDANG'!E88-'LPLPO GUDANG'!G88</f>
        <v>65</v>
      </c>
      <c r="CY85" s="15">
        <f t="shared" si="96"/>
        <v>-20</v>
      </c>
      <c r="CZ85" s="28"/>
      <c r="DA85" s="14">
        <v>11</v>
      </c>
      <c r="DB85" s="14">
        <v>4</v>
      </c>
      <c r="DC85" s="14">
        <v>1</v>
      </c>
      <c r="DD85" s="14">
        <v>0</v>
      </c>
      <c r="DE85" s="14">
        <v>7</v>
      </c>
      <c r="DF85" s="14">
        <v>9</v>
      </c>
      <c r="DG85" s="14">
        <v>11</v>
      </c>
      <c r="DH85" s="14">
        <v>5</v>
      </c>
      <c r="DI85" s="14">
        <v>10</v>
      </c>
      <c r="DJ85" s="14">
        <v>0</v>
      </c>
      <c r="DK85" s="14">
        <v>0</v>
      </c>
      <c r="DL85" s="14">
        <v>0</v>
      </c>
      <c r="DM85" s="14">
        <v>42</v>
      </c>
      <c r="DN85" s="14">
        <v>0</v>
      </c>
      <c r="DO85" s="14">
        <v>65</v>
      </c>
      <c r="DP85" s="13">
        <f t="shared" si="97"/>
        <v>165</v>
      </c>
      <c r="DR85" t="s">
        <v>63</v>
      </c>
      <c r="DU85" s="20" t="e">
        <f t="shared" si="98"/>
        <v>#REF!</v>
      </c>
    </row>
    <row r="86" spans="1:125" customFormat="1" ht="20.149999999999999" customHeight="1" x14ac:dyDescent="0.35">
      <c r="A86" s="84">
        <f t="shared" si="99"/>
        <v>75</v>
      </c>
      <c r="B86" s="142" t="s">
        <v>106</v>
      </c>
      <c r="C86" s="165" t="s">
        <v>4</v>
      </c>
      <c r="D86" s="109">
        <v>0</v>
      </c>
      <c r="E86" s="110">
        <f>'LPLPO GUDANG'!E89</f>
        <v>100</v>
      </c>
      <c r="F86" s="110">
        <f t="shared" si="50"/>
        <v>100</v>
      </c>
      <c r="G86" s="110">
        <f>'PEMAKAIAN UNIT'!R83</f>
        <v>0</v>
      </c>
      <c r="H86" s="14">
        <v>0</v>
      </c>
      <c r="I86" s="14">
        <v>0</v>
      </c>
      <c r="J86" s="14">
        <v>0</v>
      </c>
      <c r="K86" s="14"/>
      <c r="L86" s="14"/>
      <c r="M86" s="14"/>
      <c r="N86" s="14"/>
      <c r="O86" s="14"/>
      <c r="P86" s="14"/>
      <c r="Q86" s="14"/>
      <c r="R86" s="14"/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09">
        <f t="shared" si="51"/>
        <v>0</v>
      </c>
      <c r="Z86" s="109" t="e">
        <f t="shared" si="52"/>
        <v>#REF!</v>
      </c>
      <c r="AA86" s="109" t="e">
        <f t="shared" si="53"/>
        <v>#REF!</v>
      </c>
      <c r="AB86" s="14">
        <v>0</v>
      </c>
      <c r="AC86" s="109" t="e">
        <f t="shared" si="54"/>
        <v>#REF!</v>
      </c>
      <c r="AD86" s="109">
        <f>'LPLPO GUDANG'!H89</f>
        <v>0</v>
      </c>
      <c r="AE86" s="111" t="e">
        <f t="shared" si="55"/>
        <v>#REF!</v>
      </c>
      <c r="AF86" s="212"/>
      <c r="AG86" s="212"/>
      <c r="AH86" s="20"/>
      <c r="AI86" s="14">
        <f t="shared" si="56"/>
        <v>100</v>
      </c>
      <c r="AJ86" s="209" t="e">
        <f t="shared" si="57"/>
        <v>#REF!</v>
      </c>
      <c r="AL86" s="14">
        <f t="shared" si="58"/>
        <v>0</v>
      </c>
      <c r="AM86" s="14">
        <f>DISTRIBUSI!D84</f>
        <v>0</v>
      </c>
      <c r="AN86" s="14">
        <f>'PEMAKAIAN UNIT'!D83</f>
        <v>0</v>
      </c>
      <c r="AO86" s="14">
        <f t="shared" si="59"/>
        <v>0</v>
      </c>
      <c r="AP86" s="15">
        <f t="shared" si="60"/>
        <v>0</v>
      </c>
      <c r="AQ86" s="14">
        <f t="shared" si="61"/>
        <v>0</v>
      </c>
      <c r="AR86" s="14">
        <f>DISTRIBUSI!E84</f>
        <v>0</v>
      </c>
      <c r="AS86" s="14">
        <f>'PEMAKAIAN UNIT'!E83</f>
        <v>0</v>
      </c>
      <c r="AT86" s="14">
        <f t="shared" si="62"/>
        <v>0</v>
      </c>
      <c r="AU86" s="15">
        <f t="shared" si="63"/>
        <v>0</v>
      </c>
      <c r="AV86" s="14">
        <f t="shared" si="64"/>
        <v>0</v>
      </c>
      <c r="AW86" s="14">
        <f>DISTRIBUSI!F84</f>
        <v>0</v>
      </c>
      <c r="AX86" s="14">
        <f>'PEMAKAIAN UNIT'!F83</f>
        <v>0</v>
      </c>
      <c r="AY86" s="14">
        <f t="shared" si="65"/>
        <v>0</v>
      </c>
      <c r="AZ86" s="15">
        <f t="shared" si="66"/>
        <v>0</v>
      </c>
      <c r="BA86" s="14">
        <f t="shared" si="67"/>
        <v>0</v>
      </c>
      <c r="BB86" s="14">
        <f>DISTRIBUSI!G84</f>
        <v>0</v>
      </c>
      <c r="BC86" s="14">
        <f>'PEMAKAIAN UNIT'!G83</f>
        <v>0</v>
      </c>
      <c r="BD86" s="14">
        <f t="shared" si="68"/>
        <v>0</v>
      </c>
      <c r="BE86" s="15">
        <f t="shared" si="69"/>
        <v>0</v>
      </c>
      <c r="BF86" s="14">
        <f t="shared" si="70"/>
        <v>0</v>
      </c>
      <c r="BG86" s="14">
        <f>DISTRIBUSI!H84</f>
        <v>0</v>
      </c>
      <c r="BH86" s="14">
        <f>'PEMAKAIAN UNIT'!H83</f>
        <v>0</v>
      </c>
      <c r="BI86" s="14">
        <f t="shared" si="71"/>
        <v>0</v>
      </c>
      <c r="BJ86" s="15">
        <f t="shared" si="72"/>
        <v>0</v>
      </c>
      <c r="BK86" s="14">
        <f t="shared" si="73"/>
        <v>0</v>
      </c>
      <c r="BL86" s="14">
        <f>DISTRIBUSI!I84</f>
        <v>0</v>
      </c>
      <c r="BM86" s="14">
        <f>'PEMAKAIAN UNIT'!I83</f>
        <v>0</v>
      </c>
      <c r="BN86" s="14">
        <f t="shared" si="74"/>
        <v>0</v>
      </c>
      <c r="BO86" s="15">
        <f t="shared" si="75"/>
        <v>0</v>
      </c>
      <c r="BP86" s="14">
        <f t="shared" si="76"/>
        <v>0</v>
      </c>
      <c r="BQ86" s="14">
        <f>DISTRIBUSI!J84</f>
        <v>0</v>
      </c>
      <c r="BR86" s="14">
        <f>'PEMAKAIAN UNIT'!J83</f>
        <v>0</v>
      </c>
      <c r="BS86" s="14">
        <f t="shared" si="77"/>
        <v>0</v>
      </c>
      <c r="BT86" s="15">
        <f t="shared" si="78"/>
        <v>0</v>
      </c>
      <c r="BU86" s="14">
        <f t="shared" si="79"/>
        <v>0</v>
      </c>
      <c r="BV86" s="14">
        <f>DISTRIBUSI!K84</f>
        <v>0</v>
      </c>
      <c r="BW86" s="14">
        <f>'PEMAKAIAN UNIT'!K83</f>
        <v>0</v>
      </c>
      <c r="BX86" s="14">
        <f t="shared" si="80"/>
        <v>0</v>
      </c>
      <c r="BY86" s="15">
        <f t="shared" si="81"/>
        <v>0</v>
      </c>
      <c r="BZ86" s="14">
        <f t="shared" si="82"/>
        <v>0</v>
      </c>
      <c r="CA86" s="14">
        <f>DISTRIBUSI!L84</f>
        <v>0</v>
      </c>
      <c r="CB86" s="14">
        <f>'PEMAKAIAN UNIT'!L83</f>
        <v>0</v>
      </c>
      <c r="CC86" s="14">
        <f t="shared" si="83"/>
        <v>0</v>
      </c>
      <c r="CD86" s="15">
        <f t="shared" si="84"/>
        <v>0</v>
      </c>
      <c r="CE86" s="14">
        <f t="shared" si="85"/>
        <v>0</v>
      </c>
      <c r="CF86" s="14">
        <f>DISTRIBUSI!M84</f>
        <v>0</v>
      </c>
      <c r="CG86" s="14">
        <f>'PEMAKAIAN UNIT'!M83</f>
        <v>0</v>
      </c>
      <c r="CH86" s="14">
        <f t="shared" si="86"/>
        <v>0</v>
      </c>
      <c r="CI86" s="15">
        <f t="shared" si="87"/>
        <v>0</v>
      </c>
      <c r="CJ86" s="14">
        <f t="shared" si="88"/>
        <v>0</v>
      </c>
      <c r="CK86" s="14" t="e">
        <f>DISTRIBUSI!#REF!</f>
        <v>#REF!</v>
      </c>
      <c r="CL86" s="14">
        <f>'PEMAKAIAN UNIT'!N83</f>
        <v>0</v>
      </c>
      <c r="CM86" s="14" t="e">
        <f t="shared" si="89"/>
        <v>#REF!</v>
      </c>
      <c r="CN86" s="15" t="e">
        <f t="shared" si="90"/>
        <v>#REF!</v>
      </c>
      <c r="CO86" s="14" t="e">
        <f>DL86+DISTRIBUSI!#REF!-'PEMAKAIAN UNIT'!O83</f>
        <v>#REF!</v>
      </c>
      <c r="CP86" s="15" t="e">
        <f t="shared" si="91"/>
        <v>#REF!</v>
      </c>
      <c r="CQ86" s="226">
        <f t="shared" si="92"/>
        <v>134</v>
      </c>
      <c r="CR86" s="226">
        <f>DISTRIBUSI!R84</f>
        <v>100</v>
      </c>
      <c r="CS86" s="226">
        <f>'PEMAKAIAN UNIT'!P83</f>
        <v>0</v>
      </c>
      <c r="CT86" s="14">
        <f t="shared" si="93"/>
        <v>234</v>
      </c>
      <c r="CU86" s="15">
        <f t="shared" si="94"/>
        <v>234</v>
      </c>
      <c r="CV86" s="14" t="e">
        <f>DN86+DISTRIBUSI!#REF!-'PEMAKAIAN UNIT'!Q83</f>
        <v>#REF!</v>
      </c>
      <c r="CW86" s="15" t="e">
        <f t="shared" si="95"/>
        <v>#REF!</v>
      </c>
      <c r="CX86" s="14">
        <f>DO86+'LPLPO GUDANG'!E89-'LPLPO GUDANG'!G89</f>
        <v>0</v>
      </c>
      <c r="CY86" s="15">
        <f t="shared" si="96"/>
        <v>0</v>
      </c>
      <c r="CZ86" s="28"/>
      <c r="DA86" s="14">
        <v>0</v>
      </c>
      <c r="DB86" s="14"/>
      <c r="DC86" s="14">
        <v>0</v>
      </c>
      <c r="DD86" s="14">
        <v>0</v>
      </c>
      <c r="DE86" s="14">
        <v>0</v>
      </c>
      <c r="DF86" s="14"/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134</v>
      </c>
      <c r="DN86" s="14">
        <v>0</v>
      </c>
      <c r="DO86" s="14">
        <v>0</v>
      </c>
      <c r="DP86" s="13">
        <f t="shared" si="97"/>
        <v>134</v>
      </c>
      <c r="DR86" t="s">
        <v>106</v>
      </c>
      <c r="DU86" s="20" t="e">
        <f t="shared" si="98"/>
        <v>#REF!</v>
      </c>
    </row>
    <row r="87" spans="1:125" customFormat="1" ht="20.149999999999999" customHeight="1" x14ac:dyDescent="0.35">
      <c r="A87" s="84">
        <f t="shared" si="99"/>
        <v>76</v>
      </c>
      <c r="B87" s="142" t="s">
        <v>65</v>
      </c>
      <c r="C87" s="157" t="s">
        <v>344</v>
      </c>
      <c r="D87" s="109">
        <v>0</v>
      </c>
      <c r="E87" s="110">
        <f>'LPLPO GUDANG'!E90</f>
        <v>4000</v>
      </c>
      <c r="F87" s="110">
        <f t="shared" si="50"/>
        <v>4000</v>
      </c>
      <c r="G87" s="110">
        <f>'PEMAKAIAN UNIT'!R84</f>
        <v>0</v>
      </c>
      <c r="H87" s="14">
        <v>0</v>
      </c>
      <c r="I87" s="14">
        <v>0</v>
      </c>
      <c r="J87" s="14">
        <v>0</v>
      </c>
      <c r="K87" s="14"/>
      <c r="L87" s="14"/>
      <c r="M87" s="14"/>
      <c r="N87" s="14"/>
      <c r="O87" s="14"/>
      <c r="P87" s="14"/>
      <c r="Q87" s="14"/>
      <c r="R87" s="14"/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09">
        <f t="shared" si="51"/>
        <v>0</v>
      </c>
      <c r="Z87" s="109" t="e">
        <f t="shared" si="52"/>
        <v>#REF!</v>
      </c>
      <c r="AA87" s="109" t="e">
        <f t="shared" si="53"/>
        <v>#REF!</v>
      </c>
      <c r="AB87" s="14">
        <v>2073</v>
      </c>
      <c r="AC87" s="109" t="e">
        <f t="shared" si="54"/>
        <v>#REF!</v>
      </c>
      <c r="AD87" s="109">
        <f>'LPLPO GUDANG'!H90</f>
        <v>0</v>
      </c>
      <c r="AE87" s="111" t="e">
        <f t="shared" si="55"/>
        <v>#REF!</v>
      </c>
      <c r="AF87" s="212"/>
      <c r="AG87" s="212"/>
      <c r="AH87" s="20"/>
      <c r="AI87" s="14">
        <f t="shared" si="56"/>
        <v>4000</v>
      </c>
      <c r="AJ87" s="209" t="e">
        <f t="shared" si="57"/>
        <v>#REF!</v>
      </c>
      <c r="AL87" s="14">
        <f t="shared" si="58"/>
        <v>0</v>
      </c>
      <c r="AM87" s="14">
        <f>DISTRIBUSI!D85</f>
        <v>0</v>
      </c>
      <c r="AN87" s="14">
        <f>'PEMAKAIAN UNIT'!D84</f>
        <v>0</v>
      </c>
      <c r="AO87" s="14">
        <f t="shared" si="59"/>
        <v>0</v>
      </c>
      <c r="AP87" s="15">
        <f t="shared" si="60"/>
        <v>0</v>
      </c>
      <c r="AQ87" s="14">
        <f t="shared" si="61"/>
        <v>0</v>
      </c>
      <c r="AR87" s="14">
        <f>DISTRIBUSI!E85</f>
        <v>0</v>
      </c>
      <c r="AS87" s="14">
        <f>'PEMAKAIAN UNIT'!E84</f>
        <v>0</v>
      </c>
      <c r="AT87" s="14">
        <f t="shared" si="62"/>
        <v>0</v>
      </c>
      <c r="AU87" s="15">
        <f t="shared" si="63"/>
        <v>0</v>
      </c>
      <c r="AV87" s="14">
        <f t="shared" si="64"/>
        <v>0</v>
      </c>
      <c r="AW87" s="14">
        <f>DISTRIBUSI!F85</f>
        <v>0</v>
      </c>
      <c r="AX87" s="14">
        <f>'PEMAKAIAN UNIT'!F84</f>
        <v>0</v>
      </c>
      <c r="AY87" s="14">
        <f t="shared" si="65"/>
        <v>0</v>
      </c>
      <c r="AZ87" s="15">
        <f t="shared" si="66"/>
        <v>0</v>
      </c>
      <c r="BA87" s="14">
        <f t="shared" si="67"/>
        <v>0</v>
      </c>
      <c r="BB87" s="14">
        <f>DISTRIBUSI!G85</f>
        <v>0</v>
      </c>
      <c r="BC87" s="14">
        <f>'PEMAKAIAN UNIT'!G84</f>
        <v>0</v>
      </c>
      <c r="BD87" s="14">
        <f t="shared" si="68"/>
        <v>0</v>
      </c>
      <c r="BE87" s="15">
        <f t="shared" si="69"/>
        <v>0</v>
      </c>
      <c r="BF87" s="14">
        <f t="shared" si="70"/>
        <v>0</v>
      </c>
      <c r="BG87" s="14">
        <f>DISTRIBUSI!H85</f>
        <v>0</v>
      </c>
      <c r="BH87" s="14">
        <f>'PEMAKAIAN UNIT'!H84</f>
        <v>0</v>
      </c>
      <c r="BI87" s="14">
        <f t="shared" si="71"/>
        <v>0</v>
      </c>
      <c r="BJ87" s="15">
        <f t="shared" si="72"/>
        <v>0</v>
      </c>
      <c r="BK87" s="14">
        <f t="shared" si="73"/>
        <v>0</v>
      </c>
      <c r="BL87" s="14">
        <f>DISTRIBUSI!I85</f>
        <v>0</v>
      </c>
      <c r="BM87" s="14">
        <f>'PEMAKAIAN UNIT'!I84</f>
        <v>0</v>
      </c>
      <c r="BN87" s="14">
        <f t="shared" si="74"/>
        <v>0</v>
      </c>
      <c r="BO87" s="15">
        <f t="shared" si="75"/>
        <v>0</v>
      </c>
      <c r="BP87" s="14">
        <f t="shared" si="76"/>
        <v>0</v>
      </c>
      <c r="BQ87" s="14">
        <f>DISTRIBUSI!J85</f>
        <v>0</v>
      </c>
      <c r="BR87" s="14">
        <f>'PEMAKAIAN UNIT'!J84</f>
        <v>0</v>
      </c>
      <c r="BS87" s="14">
        <f t="shared" si="77"/>
        <v>0</v>
      </c>
      <c r="BT87" s="15">
        <f t="shared" si="78"/>
        <v>0</v>
      </c>
      <c r="BU87" s="14">
        <f t="shared" si="79"/>
        <v>0</v>
      </c>
      <c r="BV87" s="14">
        <f>DISTRIBUSI!K85</f>
        <v>0</v>
      </c>
      <c r="BW87" s="14">
        <f>'PEMAKAIAN UNIT'!K84</f>
        <v>0</v>
      </c>
      <c r="BX87" s="14">
        <f t="shared" si="80"/>
        <v>0</v>
      </c>
      <c r="BY87" s="15">
        <f t="shared" si="81"/>
        <v>0</v>
      </c>
      <c r="BZ87" s="14">
        <f t="shared" si="82"/>
        <v>0</v>
      </c>
      <c r="CA87" s="14">
        <f>DISTRIBUSI!L85</f>
        <v>0</v>
      </c>
      <c r="CB87" s="14">
        <f>'PEMAKAIAN UNIT'!L84</f>
        <v>0</v>
      </c>
      <c r="CC87" s="14">
        <f t="shared" si="83"/>
        <v>0</v>
      </c>
      <c r="CD87" s="15">
        <f t="shared" si="84"/>
        <v>0</v>
      </c>
      <c r="CE87" s="14">
        <f t="shared" si="85"/>
        <v>0</v>
      </c>
      <c r="CF87" s="14">
        <f>DISTRIBUSI!M85</f>
        <v>0</v>
      </c>
      <c r="CG87" s="14">
        <f>'PEMAKAIAN UNIT'!M84</f>
        <v>0</v>
      </c>
      <c r="CH87" s="14">
        <f t="shared" si="86"/>
        <v>0</v>
      </c>
      <c r="CI87" s="15">
        <f t="shared" si="87"/>
        <v>0</v>
      </c>
      <c r="CJ87" s="14">
        <f t="shared" si="88"/>
        <v>0</v>
      </c>
      <c r="CK87" s="14" t="e">
        <f>DISTRIBUSI!#REF!</f>
        <v>#REF!</v>
      </c>
      <c r="CL87" s="14">
        <f>'PEMAKAIAN UNIT'!N84</f>
        <v>0</v>
      </c>
      <c r="CM87" s="14" t="e">
        <f t="shared" si="89"/>
        <v>#REF!</v>
      </c>
      <c r="CN87" s="15" t="e">
        <f t="shared" si="90"/>
        <v>#REF!</v>
      </c>
      <c r="CO87" s="14" t="e">
        <f>DL87+DISTRIBUSI!#REF!-'PEMAKAIAN UNIT'!O84</f>
        <v>#REF!</v>
      </c>
      <c r="CP87" s="15" t="e">
        <f t="shared" si="91"/>
        <v>#REF!</v>
      </c>
      <c r="CQ87" s="226">
        <f t="shared" si="92"/>
        <v>1633</v>
      </c>
      <c r="CR87" s="226">
        <f>DISTRIBUSI!R85</f>
        <v>4000</v>
      </c>
      <c r="CS87" s="226">
        <f>'PEMAKAIAN UNIT'!P84</f>
        <v>0</v>
      </c>
      <c r="CT87" s="14">
        <f t="shared" si="93"/>
        <v>5633</v>
      </c>
      <c r="CU87" s="15">
        <f t="shared" si="94"/>
        <v>3560</v>
      </c>
      <c r="CV87" s="14" t="e">
        <f>DN87+DISTRIBUSI!#REF!-'PEMAKAIAN UNIT'!Q84</f>
        <v>#REF!</v>
      </c>
      <c r="CW87" s="15" t="e">
        <f t="shared" si="95"/>
        <v>#REF!</v>
      </c>
      <c r="CX87" s="14">
        <f>DO87+'LPLPO GUDANG'!E90-'LPLPO GUDANG'!G90</f>
        <v>400</v>
      </c>
      <c r="CY87" s="15">
        <f t="shared" si="96"/>
        <v>400</v>
      </c>
      <c r="CZ87" s="28"/>
      <c r="DA87" s="14">
        <v>0</v>
      </c>
      <c r="DB87" s="14"/>
      <c r="DC87" s="14">
        <v>0</v>
      </c>
      <c r="DD87" s="14">
        <v>0</v>
      </c>
      <c r="DE87" s="14">
        <v>0</v>
      </c>
      <c r="DF87" s="14"/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1633</v>
      </c>
      <c r="DN87" s="14">
        <v>0</v>
      </c>
      <c r="DO87" s="14">
        <v>400</v>
      </c>
      <c r="DP87" s="13">
        <f t="shared" si="97"/>
        <v>2033</v>
      </c>
      <c r="DR87" t="s">
        <v>65</v>
      </c>
      <c r="DU87" s="20" t="e">
        <f t="shared" si="98"/>
        <v>#REF!</v>
      </c>
    </row>
    <row r="88" spans="1:125" customFormat="1" ht="20.149999999999999" customHeight="1" x14ac:dyDescent="0.35">
      <c r="A88" s="84">
        <f t="shared" si="99"/>
        <v>77</v>
      </c>
      <c r="B88" s="142" t="s">
        <v>264</v>
      </c>
      <c r="C88" s="157" t="s">
        <v>4</v>
      </c>
      <c r="D88" s="109">
        <v>0</v>
      </c>
      <c r="E88" s="110">
        <f>'LPLPO GUDANG'!E91</f>
        <v>0</v>
      </c>
      <c r="F88" s="110">
        <f t="shared" si="50"/>
        <v>0</v>
      </c>
      <c r="G88" s="110">
        <f>'PEMAKAIAN UNIT'!R85</f>
        <v>0</v>
      </c>
      <c r="H88" s="14">
        <v>0</v>
      </c>
      <c r="I88" s="14">
        <v>0</v>
      </c>
      <c r="J88" s="14">
        <v>0</v>
      </c>
      <c r="K88" s="14"/>
      <c r="L88" s="14"/>
      <c r="M88" s="14"/>
      <c r="N88" s="14"/>
      <c r="O88" s="14"/>
      <c r="P88" s="14"/>
      <c r="Q88" s="14"/>
      <c r="R88" s="14"/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09">
        <f t="shared" si="51"/>
        <v>0</v>
      </c>
      <c r="Z88" s="109" t="e">
        <f t="shared" si="52"/>
        <v>#REF!</v>
      </c>
      <c r="AA88" s="109" t="e">
        <f t="shared" si="53"/>
        <v>#REF!</v>
      </c>
      <c r="AB88" s="14">
        <v>0</v>
      </c>
      <c r="AC88" s="109" t="e">
        <f t="shared" si="54"/>
        <v>#REF!</v>
      </c>
      <c r="AD88" s="109">
        <f>'LPLPO GUDANG'!H91</f>
        <v>0</v>
      </c>
      <c r="AE88" s="111" t="e">
        <f t="shared" si="55"/>
        <v>#REF!</v>
      </c>
      <c r="AF88" s="212"/>
      <c r="AG88" s="212"/>
      <c r="AH88" s="20"/>
      <c r="AI88" s="14">
        <f t="shared" si="56"/>
        <v>0</v>
      </c>
      <c r="AJ88" s="209" t="e">
        <f t="shared" si="57"/>
        <v>#REF!</v>
      </c>
      <c r="AL88" s="14">
        <f t="shared" si="58"/>
        <v>0</v>
      </c>
      <c r="AM88" s="14">
        <f>DISTRIBUSI!D86</f>
        <v>0</v>
      </c>
      <c r="AN88" s="14">
        <f>'PEMAKAIAN UNIT'!D85</f>
        <v>0</v>
      </c>
      <c r="AO88" s="14">
        <f t="shared" si="59"/>
        <v>0</v>
      </c>
      <c r="AP88" s="15">
        <f t="shared" si="60"/>
        <v>0</v>
      </c>
      <c r="AQ88" s="14">
        <f t="shared" si="61"/>
        <v>0</v>
      </c>
      <c r="AR88" s="14">
        <f>DISTRIBUSI!E86</f>
        <v>0</v>
      </c>
      <c r="AS88" s="14">
        <f>'PEMAKAIAN UNIT'!E85</f>
        <v>0</v>
      </c>
      <c r="AT88" s="14">
        <f t="shared" si="62"/>
        <v>0</v>
      </c>
      <c r="AU88" s="15">
        <f t="shared" si="63"/>
        <v>0</v>
      </c>
      <c r="AV88" s="14">
        <f t="shared" si="64"/>
        <v>0</v>
      </c>
      <c r="AW88" s="14">
        <f>DISTRIBUSI!F86</f>
        <v>0</v>
      </c>
      <c r="AX88" s="14">
        <f>'PEMAKAIAN UNIT'!F85</f>
        <v>0</v>
      </c>
      <c r="AY88" s="14">
        <f t="shared" si="65"/>
        <v>0</v>
      </c>
      <c r="AZ88" s="15">
        <f t="shared" si="66"/>
        <v>0</v>
      </c>
      <c r="BA88" s="14">
        <f t="shared" si="67"/>
        <v>0</v>
      </c>
      <c r="BB88" s="14">
        <f>DISTRIBUSI!G86</f>
        <v>0</v>
      </c>
      <c r="BC88" s="14">
        <f>'PEMAKAIAN UNIT'!G85</f>
        <v>0</v>
      </c>
      <c r="BD88" s="14">
        <f t="shared" si="68"/>
        <v>0</v>
      </c>
      <c r="BE88" s="15">
        <f t="shared" si="69"/>
        <v>0</v>
      </c>
      <c r="BF88" s="14">
        <f t="shared" si="70"/>
        <v>0</v>
      </c>
      <c r="BG88" s="14">
        <f>DISTRIBUSI!H86</f>
        <v>0</v>
      </c>
      <c r="BH88" s="14">
        <f>'PEMAKAIAN UNIT'!H85</f>
        <v>0</v>
      </c>
      <c r="BI88" s="14">
        <f t="shared" si="71"/>
        <v>0</v>
      </c>
      <c r="BJ88" s="15">
        <f t="shared" si="72"/>
        <v>0</v>
      </c>
      <c r="BK88" s="14">
        <f t="shared" si="73"/>
        <v>0</v>
      </c>
      <c r="BL88" s="14">
        <f>DISTRIBUSI!I86</f>
        <v>0</v>
      </c>
      <c r="BM88" s="14">
        <f>'PEMAKAIAN UNIT'!I85</f>
        <v>0</v>
      </c>
      <c r="BN88" s="14">
        <f t="shared" si="74"/>
        <v>0</v>
      </c>
      <c r="BO88" s="15">
        <f t="shared" si="75"/>
        <v>0</v>
      </c>
      <c r="BP88" s="14">
        <f t="shared" si="76"/>
        <v>0</v>
      </c>
      <c r="BQ88" s="14">
        <f>DISTRIBUSI!J86</f>
        <v>0</v>
      </c>
      <c r="BR88" s="14">
        <f>'PEMAKAIAN UNIT'!J85</f>
        <v>0</v>
      </c>
      <c r="BS88" s="14">
        <f t="shared" si="77"/>
        <v>0</v>
      </c>
      <c r="BT88" s="15">
        <f t="shared" si="78"/>
        <v>0</v>
      </c>
      <c r="BU88" s="14">
        <f t="shared" si="79"/>
        <v>0</v>
      </c>
      <c r="BV88" s="14">
        <f>DISTRIBUSI!K86</f>
        <v>0</v>
      </c>
      <c r="BW88" s="14">
        <f>'PEMAKAIAN UNIT'!K85</f>
        <v>0</v>
      </c>
      <c r="BX88" s="14">
        <f t="shared" si="80"/>
        <v>0</v>
      </c>
      <c r="BY88" s="15">
        <f t="shared" si="81"/>
        <v>0</v>
      </c>
      <c r="BZ88" s="14">
        <f t="shared" si="82"/>
        <v>0</v>
      </c>
      <c r="CA88" s="14">
        <f>DISTRIBUSI!L86</f>
        <v>0</v>
      </c>
      <c r="CB88" s="14">
        <f>'PEMAKAIAN UNIT'!L85</f>
        <v>0</v>
      </c>
      <c r="CC88" s="14">
        <f t="shared" si="83"/>
        <v>0</v>
      </c>
      <c r="CD88" s="15">
        <f t="shared" si="84"/>
        <v>0</v>
      </c>
      <c r="CE88" s="14">
        <f t="shared" si="85"/>
        <v>0</v>
      </c>
      <c r="CF88" s="14">
        <f>DISTRIBUSI!M86</f>
        <v>0</v>
      </c>
      <c r="CG88" s="14">
        <f>'PEMAKAIAN UNIT'!M85</f>
        <v>0</v>
      </c>
      <c r="CH88" s="14">
        <f t="shared" si="86"/>
        <v>0</v>
      </c>
      <c r="CI88" s="15">
        <f t="shared" si="87"/>
        <v>0</v>
      </c>
      <c r="CJ88" s="14">
        <f t="shared" si="88"/>
        <v>0</v>
      </c>
      <c r="CK88" s="14" t="e">
        <f>DISTRIBUSI!#REF!</f>
        <v>#REF!</v>
      </c>
      <c r="CL88" s="14">
        <f>'PEMAKAIAN UNIT'!N85</f>
        <v>0</v>
      </c>
      <c r="CM88" s="14" t="e">
        <f t="shared" si="89"/>
        <v>#REF!</v>
      </c>
      <c r="CN88" s="15" t="e">
        <f t="shared" si="90"/>
        <v>#REF!</v>
      </c>
      <c r="CO88" s="14" t="e">
        <f>DL88+DISTRIBUSI!#REF!-'PEMAKAIAN UNIT'!O85</f>
        <v>#REF!</v>
      </c>
      <c r="CP88" s="15" t="e">
        <f t="shared" si="91"/>
        <v>#REF!</v>
      </c>
      <c r="CQ88" s="226">
        <f t="shared" si="92"/>
        <v>0</v>
      </c>
      <c r="CR88" s="226">
        <f>DISTRIBUSI!R86</f>
        <v>0</v>
      </c>
      <c r="CS88" s="226">
        <f>'PEMAKAIAN UNIT'!P85</f>
        <v>0</v>
      </c>
      <c r="CT88" s="14">
        <f t="shared" si="93"/>
        <v>0</v>
      </c>
      <c r="CU88" s="15">
        <f t="shared" si="94"/>
        <v>0</v>
      </c>
      <c r="CV88" s="14" t="e">
        <f>DN88+DISTRIBUSI!#REF!-'PEMAKAIAN UNIT'!Q85</f>
        <v>#REF!</v>
      </c>
      <c r="CW88" s="15" t="e">
        <f t="shared" si="95"/>
        <v>#REF!</v>
      </c>
      <c r="CX88" s="14">
        <f>DO88+'LPLPO GUDANG'!E91-'LPLPO GUDANG'!G91</f>
        <v>0</v>
      </c>
      <c r="CY88" s="15">
        <f t="shared" si="96"/>
        <v>0</v>
      </c>
      <c r="CZ88" s="28"/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/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3">
        <f t="shared" si="97"/>
        <v>0</v>
      </c>
      <c r="DR88" t="s">
        <v>264</v>
      </c>
      <c r="DU88" s="20" t="e">
        <f t="shared" si="98"/>
        <v>#REF!</v>
      </c>
    </row>
    <row r="89" spans="1:125" customFormat="1" ht="20.149999999999999" customHeight="1" x14ac:dyDescent="0.35">
      <c r="A89" s="84">
        <f t="shared" si="99"/>
        <v>78</v>
      </c>
      <c r="B89" s="142" t="s">
        <v>66</v>
      </c>
      <c r="C89" s="161" t="s">
        <v>327</v>
      </c>
      <c r="D89" s="109">
        <v>0</v>
      </c>
      <c r="E89" s="110">
        <f>'LPLPO GUDANG'!E92</f>
        <v>0</v>
      </c>
      <c r="F89" s="110">
        <f t="shared" si="50"/>
        <v>0</v>
      </c>
      <c r="G89" s="110">
        <f>'PEMAKAIAN UNIT'!R86</f>
        <v>0</v>
      </c>
      <c r="H89" s="14">
        <v>0</v>
      </c>
      <c r="I89" s="14">
        <v>0</v>
      </c>
      <c r="J89" s="14">
        <v>0</v>
      </c>
      <c r="K89" s="14"/>
      <c r="L89" s="14"/>
      <c r="M89" s="14"/>
      <c r="N89" s="14"/>
      <c r="O89" s="14"/>
      <c r="P89" s="14"/>
      <c r="Q89" s="14"/>
      <c r="R89" s="14"/>
      <c r="S89" s="14">
        <v>20</v>
      </c>
      <c r="T89" s="14">
        <v>0</v>
      </c>
      <c r="U89" s="14">
        <v>0</v>
      </c>
      <c r="V89" s="14">
        <v>40</v>
      </c>
      <c r="W89" s="14">
        <v>30</v>
      </c>
      <c r="X89" s="14">
        <v>0</v>
      </c>
      <c r="Y89" s="109">
        <f t="shared" si="51"/>
        <v>0</v>
      </c>
      <c r="Z89" s="109" t="e">
        <f t="shared" si="52"/>
        <v>#REF!</v>
      </c>
      <c r="AA89" s="109" t="e">
        <f t="shared" si="53"/>
        <v>#REF!</v>
      </c>
      <c r="AB89" s="14">
        <v>109</v>
      </c>
      <c r="AC89" s="109" t="e">
        <f t="shared" si="54"/>
        <v>#REF!</v>
      </c>
      <c r="AD89" s="109">
        <f>'LPLPO GUDANG'!H92</f>
        <v>400</v>
      </c>
      <c r="AE89" s="111" t="e">
        <f t="shared" si="55"/>
        <v>#REF!</v>
      </c>
      <c r="AF89" s="212"/>
      <c r="AG89" s="212"/>
      <c r="AH89" s="20"/>
      <c r="AI89" s="14">
        <f t="shared" si="56"/>
        <v>0</v>
      </c>
      <c r="AJ89" s="209" t="e">
        <f t="shared" si="57"/>
        <v>#REF!</v>
      </c>
      <c r="AL89" s="14">
        <f t="shared" si="58"/>
        <v>40</v>
      </c>
      <c r="AM89" s="14">
        <f>DISTRIBUSI!D87</f>
        <v>0</v>
      </c>
      <c r="AN89" s="14">
        <f>'PEMAKAIAN UNIT'!D86</f>
        <v>0</v>
      </c>
      <c r="AO89" s="14">
        <f t="shared" si="59"/>
        <v>40</v>
      </c>
      <c r="AP89" s="15">
        <f t="shared" si="60"/>
        <v>40</v>
      </c>
      <c r="AQ89" s="14">
        <f t="shared" si="61"/>
        <v>0</v>
      </c>
      <c r="AR89" s="14">
        <f>DISTRIBUSI!E87</f>
        <v>0</v>
      </c>
      <c r="AS89" s="14">
        <f>'PEMAKAIAN UNIT'!E86</f>
        <v>0</v>
      </c>
      <c r="AT89" s="14">
        <f t="shared" si="62"/>
        <v>0</v>
      </c>
      <c r="AU89" s="15">
        <f t="shared" si="63"/>
        <v>0</v>
      </c>
      <c r="AV89" s="14">
        <f t="shared" si="64"/>
        <v>0</v>
      </c>
      <c r="AW89" s="14">
        <f>DISTRIBUSI!F87</f>
        <v>0</v>
      </c>
      <c r="AX89" s="14">
        <f>'PEMAKAIAN UNIT'!F86</f>
        <v>0</v>
      </c>
      <c r="AY89" s="14">
        <f t="shared" si="65"/>
        <v>0</v>
      </c>
      <c r="AZ89" s="15">
        <f t="shared" si="66"/>
        <v>0</v>
      </c>
      <c r="BA89" s="14">
        <f t="shared" si="67"/>
        <v>20</v>
      </c>
      <c r="BB89" s="14">
        <f>DISTRIBUSI!G87</f>
        <v>0</v>
      </c>
      <c r="BC89" s="14">
        <f>'PEMAKAIAN UNIT'!G86</f>
        <v>0</v>
      </c>
      <c r="BD89" s="14">
        <f t="shared" si="68"/>
        <v>20</v>
      </c>
      <c r="BE89" s="15">
        <f t="shared" si="69"/>
        <v>0</v>
      </c>
      <c r="BF89" s="14">
        <f t="shared" si="70"/>
        <v>0</v>
      </c>
      <c r="BG89" s="14">
        <f>DISTRIBUSI!H87</f>
        <v>0</v>
      </c>
      <c r="BH89" s="14">
        <f>'PEMAKAIAN UNIT'!H86</f>
        <v>0</v>
      </c>
      <c r="BI89" s="14">
        <f t="shared" si="71"/>
        <v>0</v>
      </c>
      <c r="BJ89" s="15">
        <f t="shared" si="72"/>
        <v>0</v>
      </c>
      <c r="BK89" s="14">
        <f t="shared" si="73"/>
        <v>0</v>
      </c>
      <c r="BL89" s="14">
        <f>DISTRIBUSI!I87</f>
        <v>0</v>
      </c>
      <c r="BM89" s="14">
        <f>'PEMAKAIAN UNIT'!I86</f>
        <v>0</v>
      </c>
      <c r="BN89" s="14">
        <f t="shared" si="74"/>
        <v>0</v>
      </c>
      <c r="BO89" s="15">
        <f t="shared" si="75"/>
        <v>0</v>
      </c>
      <c r="BP89" s="14">
        <f t="shared" si="76"/>
        <v>40</v>
      </c>
      <c r="BQ89" s="14">
        <f>DISTRIBUSI!J87</f>
        <v>0</v>
      </c>
      <c r="BR89" s="14">
        <f>'PEMAKAIAN UNIT'!J86</f>
        <v>0</v>
      </c>
      <c r="BS89" s="14">
        <f t="shared" si="77"/>
        <v>40</v>
      </c>
      <c r="BT89" s="15">
        <f t="shared" si="78"/>
        <v>0</v>
      </c>
      <c r="BU89" s="14">
        <f t="shared" si="79"/>
        <v>30</v>
      </c>
      <c r="BV89" s="14">
        <f>DISTRIBUSI!K87</f>
        <v>0</v>
      </c>
      <c r="BW89" s="14">
        <f>'PEMAKAIAN UNIT'!K86</f>
        <v>0</v>
      </c>
      <c r="BX89" s="14">
        <f t="shared" si="80"/>
        <v>30</v>
      </c>
      <c r="BY89" s="15">
        <f t="shared" si="81"/>
        <v>0</v>
      </c>
      <c r="BZ89" s="14">
        <f t="shared" si="82"/>
        <v>0</v>
      </c>
      <c r="CA89" s="14">
        <f>DISTRIBUSI!L87</f>
        <v>0</v>
      </c>
      <c r="CB89" s="14">
        <f>'PEMAKAIAN UNIT'!L86</f>
        <v>0</v>
      </c>
      <c r="CC89" s="14">
        <f t="shared" si="83"/>
        <v>0</v>
      </c>
      <c r="CD89" s="15">
        <f t="shared" si="84"/>
        <v>0</v>
      </c>
      <c r="CE89" s="14">
        <f t="shared" si="85"/>
        <v>0</v>
      </c>
      <c r="CF89" s="14">
        <f>DISTRIBUSI!M87</f>
        <v>0</v>
      </c>
      <c r="CG89" s="14">
        <f>'PEMAKAIAN UNIT'!M86</f>
        <v>0</v>
      </c>
      <c r="CH89" s="14">
        <f t="shared" si="86"/>
        <v>0</v>
      </c>
      <c r="CI89" s="15">
        <f t="shared" si="87"/>
        <v>0</v>
      </c>
      <c r="CJ89" s="14">
        <f t="shared" si="88"/>
        <v>0</v>
      </c>
      <c r="CK89" s="14" t="e">
        <f>DISTRIBUSI!#REF!</f>
        <v>#REF!</v>
      </c>
      <c r="CL89" s="14">
        <f>'PEMAKAIAN UNIT'!N86</f>
        <v>0</v>
      </c>
      <c r="CM89" s="14" t="e">
        <f t="shared" si="89"/>
        <v>#REF!</v>
      </c>
      <c r="CN89" s="15" t="e">
        <f t="shared" si="90"/>
        <v>#REF!</v>
      </c>
      <c r="CO89" s="14" t="e">
        <f>DL89+DISTRIBUSI!#REF!-'PEMAKAIAN UNIT'!O86</f>
        <v>#REF!</v>
      </c>
      <c r="CP89" s="15" t="e">
        <f t="shared" si="91"/>
        <v>#REF!</v>
      </c>
      <c r="CQ89" s="226">
        <f t="shared" si="92"/>
        <v>131</v>
      </c>
      <c r="CR89" s="226">
        <f>DISTRIBUSI!R87</f>
        <v>0</v>
      </c>
      <c r="CS89" s="226">
        <f>'PEMAKAIAN UNIT'!P86</f>
        <v>0</v>
      </c>
      <c r="CT89" s="14">
        <f t="shared" si="93"/>
        <v>131</v>
      </c>
      <c r="CU89" s="15">
        <f t="shared" si="94"/>
        <v>22</v>
      </c>
      <c r="CV89" s="14" t="e">
        <f>DN89+DISTRIBUSI!#REF!-'PEMAKAIAN UNIT'!Q86</f>
        <v>#REF!</v>
      </c>
      <c r="CW89" s="15" t="e">
        <f t="shared" si="95"/>
        <v>#REF!</v>
      </c>
      <c r="CX89" s="14">
        <f>DO89+'LPLPO GUDANG'!E92-'LPLPO GUDANG'!G92</f>
        <v>100</v>
      </c>
      <c r="CY89" s="15">
        <f t="shared" si="96"/>
        <v>-300</v>
      </c>
      <c r="CZ89" s="28"/>
      <c r="DA89" s="14">
        <v>40</v>
      </c>
      <c r="DB89" s="14"/>
      <c r="DC89" s="14">
        <v>0</v>
      </c>
      <c r="DD89" s="14">
        <v>20</v>
      </c>
      <c r="DE89" s="14">
        <v>0</v>
      </c>
      <c r="DF89" s="14"/>
      <c r="DG89" s="14">
        <v>40</v>
      </c>
      <c r="DH89" s="14">
        <v>30</v>
      </c>
      <c r="DI89" s="14">
        <v>0</v>
      </c>
      <c r="DJ89" s="14">
        <v>0</v>
      </c>
      <c r="DK89" s="14">
        <v>0</v>
      </c>
      <c r="DL89" s="14">
        <v>0</v>
      </c>
      <c r="DM89" s="14">
        <v>131</v>
      </c>
      <c r="DN89" s="14">
        <v>0</v>
      </c>
      <c r="DO89" s="14">
        <v>100</v>
      </c>
      <c r="DP89" s="13">
        <f t="shared" si="97"/>
        <v>361</v>
      </c>
      <c r="DR89" t="s">
        <v>66</v>
      </c>
      <c r="DU89" s="20" t="e">
        <f t="shared" si="98"/>
        <v>#REF!</v>
      </c>
    </row>
    <row r="90" spans="1:125" customFormat="1" ht="20.149999999999999" customHeight="1" x14ac:dyDescent="0.35">
      <c r="A90" s="84">
        <f t="shared" si="99"/>
        <v>79</v>
      </c>
      <c r="B90" s="142" t="s">
        <v>67</v>
      </c>
      <c r="C90" s="157" t="s">
        <v>327</v>
      </c>
      <c r="D90" s="109">
        <v>0</v>
      </c>
      <c r="E90" s="110">
        <f>'LPLPO GUDANG'!E93</f>
        <v>1000</v>
      </c>
      <c r="F90" s="110">
        <f t="shared" si="50"/>
        <v>1000</v>
      </c>
      <c r="G90" s="110">
        <f>'PEMAKAIAN UNIT'!R87</f>
        <v>0</v>
      </c>
      <c r="H90" s="14">
        <v>0</v>
      </c>
      <c r="I90" s="14">
        <v>0</v>
      </c>
      <c r="J90" s="14">
        <v>0</v>
      </c>
      <c r="K90" s="14"/>
      <c r="L90" s="14"/>
      <c r="M90" s="14"/>
      <c r="N90" s="14"/>
      <c r="O90" s="14"/>
      <c r="P90" s="14"/>
      <c r="Q90" s="14"/>
      <c r="R90" s="14"/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09">
        <f t="shared" si="51"/>
        <v>0</v>
      </c>
      <c r="Z90" s="109" t="e">
        <f t="shared" si="52"/>
        <v>#REF!</v>
      </c>
      <c r="AA90" s="109" t="e">
        <f t="shared" si="53"/>
        <v>#REF!</v>
      </c>
      <c r="AB90" s="14">
        <v>549</v>
      </c>
      <c r="AC90" s="109" t="e">
        <f t="shared" si="54"/>
        <v>#REF!</v>
      </c>
      <c r="AD90" s="109">
        <f>'LPLPO GUDANG'!H93</f>
        <v>500</v>
      </c>
      <c r="AE90" s="111" t="e">
        <f t="shared" si="55"/>
        <v>#REF!</v>
      </c>
      <c r="AF90" s="212"/>
      <c r="AG90" s="212"/>
      <c r="AH90" s="20"/>
      <c r="AI90" s="14">
        <f t="shared" si="56"/>
        <v>1000</v>
      </c>
      <c r="AJ90" s="209" t="e">
        <f t="shared" si="57"/>
        <v>#REF!</v>
      </c>
      <c r="AL90" s="14">
        <f t="shared" si="58"/>
        <v>0</v>
      </c>
      <c r="AM90" s="14">
        <f>DISTRIBUSI!D88</f>
        <v>0</v>
      </c>
      <c r="AN90" s="14">
        <f>'PEMAKAIAN UNIT'!D87</f>
        <v>0</v>
      </c>
      <c r="AO90" s="14">
        <f t="shared" si="59"/>
        <v>0</v>
      </c>
      <c r="AP90" s="15">
        <f t="shared" si="60"/>
        <v>0</v>
      </c>
      <c r="AQ90" s="14">
        <f t="shared" si="61"/>
        <v>0</v>
      </c>
      <c r="AR90" s="14">
        <f>DISTRIBUSI!E88</f>
        <v>0</v>
      </c>
      <c r="AS90" s="14">
        <f>'PEMAKAIAN UNIT'!E87</f>
        <v>0</v>
      </c>
      <c r="AT90" s="14">
        <f t="shared" si="62"/>
        <v>0</v>
      </c>
      <c r="AU90" s="15">
        <f t="shared" si="63"/>
        <v>0</v>
      </c>
      <c r="AV90" s="14">
        <f t="shared" si="64"/>
        <v>0</v>
      </c>
      <c r="AW90" s="14">
        <f>DISTRIBUSI!F88</f>
        <v>0</v>
      </c>
      <c r="AX90" s="14">
        <f>'PEMAKAIAN UNIT'!F87</f>
        <v>0</v>
      </c>
      <c r="AY90" s="14">
        <f t="shared" si="65"/>
        <v>0</v>
      </c>
      <c r="AZ90" s="15">
        <f t="shared" si="66"/>
        <v>0</v>
      </c>
      <c r="BA90" s="14">
        <f t="shared" si="67"/>
        <v>0</v>
      </c>
      <c r="BB90" s="14">
        <f>DISTRIBUSI!G88</f>
        <v>0</v>
      </c>
      <c r="BC90" s="14">
        <f>'PEMAKAIAN UNIT'!G87</f>
        <v>0</v>
      </c>
      <c r="BD90" s="14">
        <f t="shared" si="68"/>
        <v>0</v>
      </c>
      <c r="BE90" s="15">
        <f t="shared" si="69"/>
        <v>0</v>
      </c>
      <c r="BF90" s="14">
        <f t="shared" si="70"/>
        <v>0</v>
      </c>
      <c r="BG90" s="14">
        <f>DISTRIBUSI!H88</f>
        <v>0</v>
      </c>
      <c r="BH90" s="14">
        <f>'PEMAKAIAN UNIT'!H87</f>
        <v>0</v>
      </c>
      <c r="BI90" s="14">
        <f t="shared" si="71"/>
        <v>0</v>
      </c>
      <c r="BJ90" s="15">
        <f t="shared" si="72"/>
        <v>0</v>
      </c>
      <c r="BK90" s="14">
        <f t="shared" si="73"/>
        <v>0</v>
      </c>
      <c r="BL90" s="14">
        <f>DISTRIBUSI!I88</f>
        <v>0</v>
      </c>
      <c r="BM90" s="14">
        <f>'PEMAKAIAN UNIT'!I87</f>
        <v>0</v>
      </c>
      <c r="BN90" s="14">
        <f t="shared" si="74"/>
        <v>0</v>
      </c>
      <c r="BO90" s="15">
        <f t="shared" si="75"/>
        <v>0</v>
      </c>
      <c r="BP90" s="14">
        <f t="shared" si="76"/>
        <v>0</v>
      </c>
      <c r="BQ90" s="14">
        <f>DISTRIBUSI!J88</f>
        <v>0</v>
      </c>
      <c r="BR90" s="14">
        <f>'PEMAKAIAN UNIT'!J87</f>
        <v>0</v>
      </c>
      <c r="BS90" s="14">
        <f t="shared" si="77"/>
        <v>0</v>
      </c>
      <c r="BT90" s="15">
        <f t="shared" si="78"/>
        <v>0</v>
      </c>
      <c r="BU90" s="14">
        <f t="shared" si="79"/>
        <v>0</v>
      </c>
      <c r="BV90" s="14">
        <f>DISTRIBUSI!K88</f>
        <v>0</v>
      </c>
      <c r="BW90" s="14">
        <f>'PEMAKAIAN UNIT'!K87</f>
        <v>0</v>
      </c>
      <c r="BX90" s="14">
        <f t="shared" si="80"/>
        <v>0</v>
      </c>
      <c r="BY90" s="15">
        <f t="shared" si="81"/>
        <v>0</v>
      </c>
      <c r="BZ90" s="14">
        <f t="shared" si="82"/>
        <v>0</v>
      </c>
      <c r="CA90" s="14">
        <f>DISTRIBUSI!L88</f>
        <v>0</v>
      </c>
      <c r="CB90" s="14">
        <f>'PEMAKAIAN UNIT'!L87</f>
        <v>0</v>
      </c>
      <c r="CC90" s="14">
        <f t="shared" si="83"/>
        <v>0</v>
      </c>
      <c r="CD90" s="15">
        <f t="shared" si="84"/>
        <v>0</v>
      </c>
      <c r="CE90" s="14">
        <f t="shared" si="85"/>
        <v>0</v>
      </c>
      <c r="CF90" s="14">
        <f>DISTRIBUSI!M88</f>
        <v>0</v>
      </c>
      <c r="CG90" s="14">
        <f>'PEMAKAIAN UNIT'!M87</f>
        <v>0</v>
      </c>
      <c r="CH90" s="14">
        <f t="shared" si="86"/>
        <v>0</v>
      </c>
      <c r="CI90" s="15">
        <f t="shared" si="87"/>
        <v>0</v>
      </c>
      <c r="CJ90" s="14">
        <f t="shared" si="88"/>
        <v>0</v>
      </c>
      <c r="CK90" s="14" t="e">
        <f>DISTRIBUSI!#REF!</f>
        <v>#REF!</v>
      </c>
      <c r="CL90" s="14">
        <f>'PEMAKAIAN UNIT'!N87</f>
        <v>0</v>
      </c>
      <c r="CM90" s="14" t="e">
        <f t="shared" si="89"/>
        <v>#REF!</v>
      </c>
      <c r="CN90" s="15" t="e">
        <f t="shared" si="90"/>
        <v>#REF!</v>
      </c>
      <c r="CO90" s="14" t="e">
        <f>DL90+DISTRIBUSI!#REF!-'PEMAKAIAN UNIT'!O87</f>
        <v>#REF!</v>
      </c>
      <c r="CP90" s="15" t="e">
        <f t="shared" si="91"/>
        <v>#REF!</v>
      </c>
      <c r="CQ90" s="226">
        <f t="shared" si="92"/>
        <v>1039</v>
      </c>
      <c r="CR90" s="226">
        <f>DISTRIBUSI!R88</f>
        <v>1000</v>
      </c>
      <c r="CS90" s="226">
        <f>'PEMAKAIAN UNIT'!P87</f>
        <v>0</v>
      </c>
      <c r="CT90" s="14">
        <f t="shared" si="93"/>
        <v>2039</v>
      </c>
      <c r="CU90" s="15">
        <f t="shared" si="94"/>
        <v>1490</v>
      </c>
      <c r="CV90" s="14" t="e">
        <f>DN90+DISTRIBUSI!#REF!-'PEMAKAIAN UNIT'!Q87</f>
        <v>#REF!</v>
      </c>
      <c r="CW90" s="15" t="e">
        <f t="shared" si="95"/>
        <v>#REF!</v>
      </c>
      <c r="CX90" s="14">
        <f>DO90+'LPLPO GUDANG'!E93-'LPLPO GUDANG'!G93</f>
        <v>1200</v>
      </c>
      <c r="CY90" s="15">
        <f t="shared" si="96"/>
        <v>700</v>
      </c>
      <c r="CZ90" s="28"/>
      <c r="DA90" s="14">
        <v>0</v>
      </c>
      <c r="DB90" s="14"/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150</v>
      </c>
      <c r="DM90" s="14">
        <v>1039</v>
      </c>
      <c r="DN90" s="14">
        <v>0</v>
      </c>
      <c r="DO90" s="14">
        <v>1200</v>
      </c>
      <c r="DP90" s="13">
        <f t="shared" si="97"/>
        <v>2389</v>
      </c>
      <c r="DR90" t="s">
        <v>67</v>
      </c>
      <c r="DU90" s="20" t="e">
        <f t="shared" si="98"/>
        <v>#REF!</v>
      </c>
    </row>
    <row r="91" spans="1:125" customFormat="1" ht="20.149999999999999" customHeight="1" x14ac:dyDescent="0.35">
      <c r="A91" s="84">
        <f t="shared" si="99"/>
        <v>80</v>
      </c>
      <c r="B91" s="142" t="s">
        <v>68</v>
      </c>
      <c r="C91" s="157" t="s">
        <v>327</v>
      </c>
      <c r="D91" s="109">
        <v>0</v>
      </c>
      <c r="E91" s="110">
        <f>'LPLPO GUDANG'!E94</f>
        <v>0</v>
      </c>
      <c r="F91" s="110">
        <f t="shared" si="50"/>
        <v>0</v>
      </c>
      <c r="G91" s="110">
        <f>'PEMAKAIAN UNIT'!R88</f>
        <v>0</v>
      </c>
      <c r="H91" s="14">
        <v>0</v>
      </c>
      <c r="I91" s="14">
        <v>0</v>
      </c>
      <c r="J91" s="14">
        <v>0</v>
      </c>
      <c r="K91" s="14"/>
      <c r="L91" s="14"/>
      <c r="M91" s="14"/>
      <c r="N91" s="14"/>
      <c r="O91" s="14"/>
      <c r="P91" s="14"/>
      <c r="Q91" s="14"/>
      <c r="R91" s="14"/>
      <c r="S91" s="14">
        <v>140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09">
        <f t="shared" si="51"/>
        <v>0</v>
      </c>
      <c r="Z91" s="109" t="e">
        <f t="shared" si="52"/>
        <v>#REF!</v>
      </c>
      <c r="AA91" s="109" t="e">
        <f t="shared" si="53"/>
        <v>#REF!</v>
      </c>
      <c r="AB91" s="14">
        <v>0</v>
      </c>
      <c r="AC91" s="109" t="e">
        <f t="shared" si="54"/>
        <v>#REF!</v>
      </c>
      <c r="AD91" s="109">
        <f>'LPLPO GUDANG'!H94</f>
        <v>0</v>
      </c>
      <c r="AE91" s="111" t="e">
        <f t="shared" si="55"/>
        <v>#REF!</v>
      </c>
      <c r="AF91" s="212"/>
      <c r="AG91" s="212"/>
      <c r="AH91" s="20"/>
      <c r="AI91" s="14">
        <f t="shared" si="56"/>
        <v>0</v>
      </c>
      <c r="AJ91" s="209" t="e">
        <f t="shared" si="57"/>
        <v>#REF!</v>
      </c>
      <c r="AL91" s="14">
        <f t="shared" si="58"/>
        <v>0</v>
      </c>
      <c r="AM91" s="14">
        <f>DISTRIBUSI!D89</f>
        <v>0</v>
      </c>
      <c r="AN91" s="14">
        <f>'PEMAKAIAN UNIT'!D88</f>
        <v>0</v>
      </c>
      <c r="AO91" s="14">
        <f t="shared" si="59"/>
        <v>0</v>
      </c>
      <c r="AP91" s="15">
        <f t="shared" si="60"/>
        <v>0</v>
      </c>
      <c r="AQ91" s="14">
        <f t="shared" si="61"/>
        <v>0</v>
      </c>
      <c r="AR91" s="14">
        <f>DISTRIBUSI!E89</f>
        <v>0</v>
      </c>
      <c r="AS91" s="14">
        <f>'PEMAKAIAN UNIT'!E88</f>
        <v>0</v>
      </c>
      <c r="AT91" s="14">
        <f t="shared" si="62"/>
        <v>0</v>
      </c>
      <c r="AU91" s="15">
        <f t="shared" si="63"/>
        <v>0</v>
      </c>
      <c r="AV91" s="14">
        <f t="shared" si="64"/>
        <v>0</v>
      </c>
      <c r="AW91" s="14">
        <f>DISTRIBUSI!F89</f>
        <v>0</v>
      </c>
      <c r="AX91" s="14">
        <f>'PEMAKAIAN UNIT'!F88</f>
        <v>0</v>
      </c>
      <c r="AY91" s="14">
        <f t="shared" si="65"/>
        <v>0</v>
      </c>
      <c r="AZ91" s="15">
        <f t="shared" si="66"/>
        <v>0</v>
      </c>
      <c r="BA91" s="14">
        <f t="shared" si="67"/>
        <v>140</v>
      </c>
      <c r="BB91" s="14">
        <f>DISTRIBUSI!G89</f>
        <v>0</v>
      </c>
      <c r="BC91" s="14">
        <f>'PEMAKAIAN UNIT'!G88</f>
        <v>0</v>
      </c>
      <c r="BD91" s="14">
        <f t="shared" si="68"/>
        <v>140</v>
      </c>
      <c r="BE91" s="15">
        <f t="shared" si="69"/>
        <v>0</v>
      </c>
      <c r="BF91" s="14">
        <f t="shared" si="70"/>
        <v>0</v>
      </c>
      <c r="BG91" s="14">
        <f>DISTRIBUSI!H89</f>
        <v>0</v>
      </c>
      <c r="BH91" s="14">
        <f>'PEMAKAIAN UNIT'!H88</f>
        <v>0</v>
      </c>
      <c r="BI91" s="14">
        <f t="shared" si="71"/>
        <v>0</v>
      </c>
      <c r="BJ91" s="15">
        <f t="shared" si="72"/>
        <v>0</v>
      </c>
      <c r="BK91" s="14">
        <f t="shared" si="73"/>
        <v>0</v>
      </c>
      <c r="BL91" s="14">
        <f>DISTRIBUSI!I89</f>
        <v>0</v>
      </c>
      <c r="BM91" s="14">
        <f>'PEMAKAIAN UNIT'!I88</f>
        <v>0</v>
      </c>
      <c r="BN91" s="14">
        <f t="shared" si="74"/>
        <v>0</v>
      </c>
      <c r="BO91" s="15">
        <f t="shared" si="75"/>
        <v>0</v>
      </c>
      <c r="BP91" s="14">
        <f t="shared" si="76"/>
        <v>0</v>
      </c>
      <c r="BQ91" s="14">
        <f>DISTRIBUSI!J89</f>
        <v>0</v>
      </c>
      <c r="BR91" s="14">
        <f>'PEMAKAIAN UNIT'!J88</f>
        <v>0</v>
      </c>
      <c r="BS91" s="14">
        <f t="shared" si="77"/>
        <v>0</v>
      </c>
      <c r="BT91" s="15">
        <f t="shared" si="78"/>
        <v>0</v>
      </c>
      <c r="BU91" s="14">
        <f t="shared" si="79"/>
        <v>0</v>
      </c>
      <c r="BV91" s="14">
        <f>DISTRIBUSI!K89</f>
        <v>0</v>
      </c>
      <c r="BW91" s="14">
        <f>'PEMAKAIAN UNIT'!K88</f>
        <v>0</v>
      </c>
      <c r="BX91" s="14">
        <f t="shared" si="80"/>
        <v>0</v>
      </c>
      <c r="BY91" s="15">
        <f t="shared" si="81"/>
        <v>0</v>
      </c>
      <c r="BZ91" s="14">
        <f t="shared" si="82"/>
        <v>0</v>
      </c>
      <c r="CA91" s="14">
        <f>DISTRIBUSI!L89</f>
        <v>0</v>
      </c>
      <c r="CB91" s="14">
        <f>'PEMAKAIAN UNIT'!L88</f>
        <v>0</v>
      </c>
      <c r="CC91" s="14">
        <f t="shared" si="83"/>
        <v>0</v>
      </c>
      <c r="CD91" s="15">
        <f t="shared" si="84"/>
        <v>0</v>
      </c>
      <c r="CE91" s="14">
        <f t="shared" si="85"/>
        <v>0</v>
      </c>
      <c r="CF91" s="14">
        <f>DISTRIBUSI!M89</f>
        <v>0</v>
      </c>
      <c r="CG91" s="14">
        <f>'PEMAKAIAN UNIT'!M88</f>
        <v>0</v>
      </c>
      <c r="CH91" s="14">
        <f t="shared" si="86"/>
        <v>0</v>
      </c>
      <c r="CI91" s="15">
        <f t="shared" si="87"/>
        <v>0</v>
      </c>
      <c r="CJ91" s="14">
        <f t="shared" si="88"/>
        <v>0</v>
      </c>
      <c r="CK91" s="14" t="e">
        <f>DISTRIBUSI!#REF!</f>
        <v>#REF!</v>
      </c>
      <c r="CL91" s="14">
        <f>'PEMAKAIAN UNIT'!N88</f>
        <v>0</v>
      </c>
      <c r="CM91" s="14" t="e">
        <f t="shared" si="89"/>
        <v>#REF!</v>
      </c>
      <c r="CN91" s="15" t="e">
        <f t="shared" si="90"/>
        <v>#REF!</v>
      </c>
      <c r="CO91" s="14" t="e">
        <f>DL91+DISTRIBUSI!#REF!-'PEMAKAIAN UNIT'!O88</f>
        <v>#REF!</v>
      </c>
      <c r="CP91" s="15" t="e">
        <f t="shared" si="91"/>
        <v>#REF!</v>
      </c>
      <c r="CQ91" s="226">
        <f t="shared" si="92"/>
        <v>0</v>
      </c>
      <c r="CR91" s="226">
        <f>DISTRIBUSI!R89</f>
        <v>0</v>
      </c>
      <c r="CS91" s="226">
        <f>'PEMAKAIAN UNIT'!P88</f>
        <v>0</v>
      </c>
      <c r="CT91" s="14">
        <f t="shared" si="93"/>
        <v>0</v>
      </c>
      <c r="CU91" s="15">
        <f t="shared" si="94"/>
        <v>0</v>
      </c>
      <c r="CV91" s="14" t="e">
        <f>DN91+DISTRIBUSI!#REF!-'PEMAKAIAN UNIT'!Q88</f>
        <v>#REF!</v>
      </c>
      <c r="CW91" s="15" t="e">
        <f t="shared" si="95"/>
        <v>#REF!</v>
      </c>
      <c r="CX91" s="14">
        <f>DO91+'LPLPO GUDANG'!E94-'LPLPO GUDANG'!G94</f>
        <v>0</v>
      </c>
      <c r="CY91" s="15">
        <f t="shared" si="96"/>
        <v>0</v>
      </c>
      <c r="CZ91" s="28"/>
      <c r="DA91" s="14">
        <v>0</v>
      </c>
      <c r="DB91" s="14"/>
      <c r="DC91" s="14">
        <v>0</v>
      </c>
      <c r="DD91" s="14">
        <v>140</v>
      </c>
      <c r="DE91" s="14">
        <v>0</v>
      </c>
      <c r="DF91" s="14"/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3">
        <f t="shared" si="97"/>
        <v>140</v>
      </c>
      <c r="DR91" t="s">
        <v>68</v>
      </c>
      <c r="DU91" s="20" t="e">
        <f t="shared" si="98"/>
        <v>#REF!</v>
      </c>
    </row>
    <row r="92" spans="1:125" customFormat="1" ht="20.149999999999999" customHeight="1" x14ac:dyDescent="0.35">
      <c r="A92" s="84">
        <f t="shared" si="99"/>
        <v>81</v>
      </c>
      <c r="B92" s="142" t="s">
        <v>69</v>
      </c>
      <c r="C92" s="45" t="s">
        <v>327</v>
      </c>
      <c r="D92" s="109">
        <v>0</v>
      </c>
      <c r="E92" s="110">
        <f>'LPLPO GUDANG'!E95</f>
        <v>0</v>
      </c>
      <c r="F92" s="110">
        <f t="shared" si="50"/>
        <v>0</v>
      </c>
      <c r="G92" s="110">
        <f>'PEMAKAIAN UNIT'!R89</f>
        <v>0</v>
      </c>
      <c r="H92" s="14">
        <v>0</v>
      </c>
      <c r="I92" s="14">
        <v>0</v>
      </c>
      <c r="J92" s="14">
        <v>0</v>
      </c>
      <c r="K92" s="14"/>
      <c r="L92" s="14"/>
      <c r="M92" s="14"/>
      <c r="N92" s="14"/>
      <c r="O92" s="14"/>
      <c r="P92" s="14"/>
      <c r="Q92" s="14"/>
      <c r="R92" s="14"/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09">
        <f t="shared" si="51"/>
        <v>0</v>
      </c>
      <c r="Z92" s="109" t="e">
        <f t="shared" si="52"/>
        <v>#REF!</v>
      </c>
      <c r="AA92" s="109" t="e">
        <f t="shared" si="53"/>
        <v>#REF!</v>
      </c>
      <c r="AB92" s="14">
        <v>258</v>
      </c>
      <c r="AC92" s="109" t="e">
        <f t="shared" si="54"/>
        <v>#REF!</v>
      </c>
      <c r="AD92" s="109">
        <f>'LPLPO GUDANG'!H95</f>
        <v>500</v>
      </c>
      <c r="AE92" s="111" t="e">
        <f t="shared" si="55"/>
        <v>#REF!</v>
      </c>
      <c r="AF92" s="212"/>
      <c r="AG92" s="212"/>
      <c r="AH92" s="20"/>
      <c r="AI92" s="14">
        <f t="shared" si="56"/>
        <v>0</v>
      </c>
      <c r="AJ92" s="209" t="e">
        <f t="shared" si="57"/>
        <v>#REF!</v>
      </c>
      <c r="AL92" s="14">
        <f t="shared" si="58"/>
        <v>0</v>
      </c>
      <c r="AM92" s="14">
        <f>DISTRIBUSI!D90</f>
        <v>0</v>
      </c>
      <c r="AN92" s="14">
        <f>'PEMAKAIAN UNIT'!D89</f>
        <v>0</v>
      </c>
      <c r="AO92" s="14">
        <f t="shared" si="59"/>
        <v>0</v>
      </c>
      <c r="AP92" s="15">
        <f t="shared" si="60"/>
        <v>0</v>
      </c>
      <c r="AQ92" s="14">
        <f t="shared" si="61"/>
        <v>0</v>
      </c>
      <c r="AR92" s="14">
        <f>DISTRIBUSI!E90</f>
        <v>0</v>
      </c>
      <c r="AS92" s="14">
        <f>'PEMAKAIAN UNIT'!E89</f>
        <v>0</v>
      </c>
      <c r="AT92" s="14">
        <f t="shared" si="62"/>
        <v>0</v>
      </c>
      <c r="AU92" s="15">
        <f t="shared" si="63"/>
        <v>0</v>
      </c>
      <c r="AV92" s="14">
        <f t="shared" si="64"/>
        <v>0</v>
      </c>
      <c r="AW92" s="14">
        <f>DISTRIBUSI!F90</f>
        <v>0</v>
      </c>
      <c r="AX92" s="14">
        <f>'PEMAKAIAN UNIT'!F89</f>
        <v>0</v>
      </c>
      <c r="AY92" s="14">
        <f t="shared" si="65"/>
        <v>0</v>
      </c>
      <c r="AZ92" s="15">
        <f t="shared" si="66"/>
        <v>0</v>
      </c>
      <c r="BA92" s="14">
        <f t="shared" si="67"/>
        <v>0</v>
      </c>
      <c r="BB92" s="14">
        <f>DISTRIBUSI!G90</f>
        <v>0</v>
      </c>
      <c r="BC92" s="14">
        <f>'PEMAKAIAN UNIT'!G89</f>
        <v>0</v>
      </c>
      <c r="BD92" s="14">
        <f t="shared" si="68"/>
        <v>0</v>
      </c>
      <c r="BE92" s="15">
        <f t="shared" si="69"/>
        <v>0</v>
      </c>
      <c r="BF92" s="14">
        <f t="shared" si="70"/>
        <v>0</v>
      </c>
      <c r="BG92" s="14">
        <f>DISTRIBUSI!H90</f>
        <v>0</v>
      </c>
      <c r="BH92" s="14">
        <f>'PEMAKAIAN UNIT'!H89</f>
        <v>0</v>
      </c>
      <c r="BI92" s="14">
        <f t="shared" si="71"/>
        <v>0</v>
      </c>
      <c r="BJ92" s="15">
        <f t="shared" si="72"/>
        <v>0</v>
      </c>
      <c r="BK92" s="14">
        <f t="shared" si="73"/>
        <v>0</v>
      </c>
      <c r="BL92" s="14">
        <f>DISTRIBUSI!I90</f>
        <v>0</v>
      </c>
      <c r="BM92" s="14">
        <f>'PEMAKAIAN UNIT'!I89</f>
        <v>0</v>
      </c>
      <c r="BN92" s="14">
        <f t="shared" si="74"/>
        <v>0</v>
      </c>
      <c r="BO92" s="15">
        <f t="shared" si="75"/>
        <v>0</v>
      </c>
      <c r="BP92" s="14">
        <f t="shared" si="76"/>
        <v>0</v>
      </c>
      <c r="BQ92" s="14">
        <f>DISTRIBUSI!J90</f>
        <v>0</v>
      </c>
      <c r="BR92" s="14">
        <f>'PEMAKAIAN UNIT'!J89</f>
        <v>0</v>
      </c>
      <c r="BS92" s="14">
        <f t="shared" si="77"/>
        <v>0</v>
      </c>
      <c r="BT92" s="15">
        <f t="shared" si="78"/>
        <v>0</v>
      </c>
      <c r="BU92" s="14">
        <f t="shared" si="79"/>
        <v>0</v>
      </c>
      <c r="BV92" s="14">
        <f>DISTRIBUSI!K90</f>
        <v>0</v>
      </c>
      <c r="BW92" s="14">
        <f>'PEMAKAIAN UNIT'!K89</f>
        <v>0</v>
      </c>
      <c r="BX92" s="14">
        <f t="shared" si="80"/>
        <v>0</v>
      </c>
      <c r="BY92" s="15">
        <f t="shared" si="81"/>
        <v>0</v>
      </c>
      <c r="BZ92" s="14">
        <f t="shared" si="82"/>
        <v>0</v>
      </c>
      <c r="CA92" s="14">
        <f>DISTRIBUSI!L90</f>
        <v>0</v>
      </c>
      <c r="CB92" s="14">
        <f>'PEMAKAIAN UNIT'!L89</f>
        <v>0</v>
      </c>
      <c r="CC92" s="14">
        <f t="shared" si="83"/>
        <v>0</v>
      </c>
      <c r="CD92" s="15">
        <f t="shared" si="84"/>
        <v>0</v>
      </c>
      <c r="CE92" s="14">
        <f t="shared" si="85"/>
        <v>0</v>
      </c>
      <c r="CF92" s="14">
        <f>DISTRIBUSI!M90</f>
        <v>0</v>
      </c>
      <c r="CG92" s="14">
        <f>'PEMAKAIAN UNIT'!M89</f>
        <v>0</v>
      </c>
      <c r="CH92" s="14">
        <f t="shared" si="86"/>
        <v>0</v>
      </c>
      <c r="CI92" s="15">
        <f t="shared" si="87"/>
        <v>0</v>
      </c>
      <c r="CJ92" s="14">
        <f t="shared" si="88"/>
        <v>0</v>
      </c>
      <c r="CK92" s="14" t="e">
        <f>DISTRIBUSI!#REF!</f>
        <v>#REF!</v>
      </c>
      <c r="CL92" s="14">
        <f>'PEMAKAIAN UNIT'!N89</f>
        <v>0</v>
      </c>
      <c r="CM92" s="14" t="e">
        <f t="shared" si="89"/>
        <v>#REF!</v>
      </c>
      <c r="CN92" s="15" t="e">
        <f t="shared" si="90"/>
        <v>#REF!</v>
      </c>
      <c r="CO92" s="14" t="e">
        <f>DL92+DISTRIBUSI!#REF!-'PEMAKAIAN UNIT'!O89</f>
        <v>#REF!</v>
      </c>
      <c r="CP92" s="15" t="e">
        <f t="shared" si="91"/>
        <v>#REF!</v>
      </c>
      <c r="CQ92" s="226">
        <f t="shared" si="92"/>
        <v>278</v>
      </c>
      <c r="CR92" s="226">
        <f>DISTRIBUSI!R90</f>
        <v>500</v>
      </c>
      <c r="CS92" s="226">
        <f>'PEMAKAIAN UNIT'!P89</f>
        <v>0</v>
      </c>
      <c r="CT92" s="14">
        <f t="shared" si="93"/>
        <v>778</v>
      </c>
      <c r="CU92" s="15">
        <f t="shared" si="94"/>
        <v>520</v>
      </c>
      <c r="CV92" s="14" t="e">
        <f>DN92+DISTRIBUSI!#REF!-'PEMAKAIAN UNIT'!Q89</f>
        <v>#REF!</v>
      </c>
      <c r="CW92" s="15" t="e">
        <f t="shared" si="95"/>
        <v>#REF!</v>
      </c>
      <c r="CX92" s="14">
        <f>DO92+'LPLPO GUDANG'!E95-'LPLPO GUDANG'!G95</f>
        <v>-200</v>
      </c>
      <c r="CY92" s="15">
        <f t="shared" si="96"/>
        <v>-700</v>
      </c>
      <c r="CZ92" s="28"/>
      <c r="DA92" s="14">
        <v>0</v>
      </c>
      <c r="DB92" s="14"/>
      <c r="DC92" s="14">
        <v>0</v>
      </c>
      <c r="DD92" s="14">
        <v>0</v>
      </c>
      <c r="DE92" s="14">
        <v>0</v>
      </c>
      <c r="DF92" s="14"/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278</v>
      </c>
      <c r="DN92" s="14">
        <v>0</v>
      </c>
      <c r="DO92" s="14">
        <v>300</v>
      </c>
      <c r="DP92" s="13">
        <f t="shared" si="97"/>
        <v>578</v>
      </c>
      <c r="DR92" t="s">
        <v>69</v>
      </c>
      <c r="DU92" s="20" t="e">
        <f t="shared" si="98"/>
        <v>#REF!</v>
      </c>
    </row>
    <row r="93" spans="1:125" customFormat="1" ht="20.149999999999999" customHeight="1" x14ac:dyDescent="0.35">
      <c r="A93" s="84">
        <f t="shared" si="99"/>
        <v>82</v>
      </c>
      <c r="B93" s="142" t="s">
        <v>257</v>
      </c>
      <c r="C93" s="157" t="s">
        <v>48</v>
      </c>
      <c r="D93" s="109">
        <v>0</v>
      </c>
      <c r="E93" s="110">
        <f>'LPLPO GUDANG'!E96</f>
        <v>0</v>
      </c>
      <c r="F93" s="110">
        <f t="shared" si="50"/>
        <v>0</v>
      </c>
      <c r="G93" s="110">
        <f>'PEMAKAIAN UNIT'!R90</f>
        <v>0</v>
      </c>
      <c r="H93" s="14">
        <v>0</v>
      </c>
      <c r="I93" s="14">
        <v>0</v>
      </c>
      <c r="J93" s="14">
        <v>0</v>
      </c>
      <c r="K93" s="14"/>
      <c r="L93" s="14"/>
      <c r="M93" s="14"/>
      <c r="N93" s="14"/>
      <c r="O93" s="14"/>
      <c r="P93" s="14"/>
      <c r="Q93" s="14"/>
      <c r="R93" s="14"/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09">
        <f t="shared" si="51"/>
        <v>0</v>
      </c>
      <c r="Z93" s="109" t="e">
        <f t="shared" si="52"/>
        <v>#REF!</v>
      </c>
      <c r="AA93" s="109" t="e">
        <f t="shared" si="53"/>
        <v>#REF!</v>
      </c>
      <c r="AB93" s="14">
        <v>0</v>
      </c>
      <c r="AC93" s="109" t="e">
        <f t="shared" si="54"/>
        <v>#REF!</v>
      </c>
      <c r="AD93" s="109">
        <f>'LPLPO GUDANG'!H96</f>
        <v>0</v>
      </c>
      <c r="AE93" s="111" t="e">
        <f t="shared" si="55"/>
        <v>#REF!</v>
      </c>
      <c r="AF93" s="212"/>
      <c r="AG93" s="212"/>
      <c r="AH93" s="20"/>
      <c r="AI93" s="14">
        <f t="shared" si="56"/>
        <v>0</v>
      </c>
      <c r="AJ93" s="209" t="e">
        <f t="shared" si="57"/>
        <v>#REF!</v>
      </c>
      <c r="AL93" s="14">
        <f t="shared" si="58"/>
        <v>0</v>
      </c>
      <c r="AM93" s="14">
        <f>DISTRIBUSI!D91</f>
        <v>0</v>
      </c>
      <c r="AN93" s="14">
        <f>'PEMAKAIAN UNIT'!D90</f>
        <v>0</v>
      </c>
      <c r="AO93" s="14">
        <f t="shared" si="59"/>
        <v>0</v>
      </c>
      <c r="AP93" s="15">
        <f t="shared" si="60"/>
        <v>0</v>
      </c>
      <c r="AQ93" s="14">
        <f t="shared" si="61"/>
        <v>0</v>
      </c>
      <c r="AR93" s="14">
        <f>DISTRIBUSI!E91</f>
        <v>0</v>
      </c>
      <c r="AS93" s="14">
        <f>'PEMAKAIAN UNIT'!E90</f>
        <v>0</v>
      </c>
      <c r="AT93" s="14">
        <f t="shared" si="62"/>
        <v>0</v>
      </c>
      <c r="AU93" s="15">
        <f t="shared" si="63"/>
        <v>0</v>
      </c>
      <c r="AV93" s="14">
        <f t="shared" si="64"/>
        <v>0</v>
      </c>
      <c r="AW93" s="14">
        <f>DISTRIBUSI!F91</f>
        <v>0</v>
      </c>
      <c r="AX93" s="14">
        <f>'PEMAKAIAN UNIT'!F90</f>
        <v>0</v>
      </c>
      <c r="AY93" s="14">
        <f t="shared" si="65"/>
        <v>0</v>
      </c>
      <c r="AZ93" s="15">
        <f t="shared" si="66"/>
        <v>0</v>
      </c>
      <c r="BA93" s="14">
        <f t="shared" si="67"/>
        <v>0</v>
      </c>
      <c r="BB93" s="14">
        <f>DISTRIBUSI!G91</f>
        <v>0</v>
      </c>
      <c r="BC93" s="14">
        <f>'PEMAKAIAN UNIT'!G90</f>
        <v>0</v>
      </c>
      <c r="BD93" s="14">
        <f t="shared" si="68"/>
        <v>0</v>
      </c>
      <c r="BE93" s="15">
        <f t="shared" si="69"/>
        <v>0</v>
      </c>
      <c r="BF93" s="14">
        <f t="shared" si="70"/>
        <v>0</v>
      </c>
      <c r="BG93" s="14">
        <f>DISTRIBUSI!H91</f>
        <v>0</v>
      </c>
      <c r="BH93" s="14">
        <f>'PEMAKAIAN UNIT'!H90</f>
        <v>0</v>
      </c>
      <c r="BI93" s="14">
        <f t="shared" si="71"/>
        <v>0</v>
      </c>
      <c r="BJ93" s="15">
        <f t="shared" si="72"/>
        <v>0</v>
      </c>
      <c r="BK93" s="14">
        <f t="shared" si="73"/>
        <v>0</v>
      </c>
      <c r="BL93" s="14">
        <f>DISTRIBUSI!I91</f>
        <v>0</v>
      </c>
      <c r="BM93" s="14">
        <f>'PEMAKAIAN UNIT'!I90</f>
        <v>0</v>
      </c>
      <c r="BN93" s="14">
        <f t="shared" si="74"/>
        <v>0</v>
      </c>
      <c r="BO93" s="15">
        <f t="shared" si="75"/>
        <v>0</v>
      </c>
      <c r="BP93" s="14">
        <f t="shared" si="76"/>
        <v>0</v>
      </c>
      <c r="BQ93" s="14">
        <f>DISTRIBUSI!J91</f>
        <v>0</v>
      </c>
      <c r="BR93" s="14">
        <f>'PEMAKAIAN UNIT'!J90</f>
        <v>0</v>
      </c>
      <c r="BS93" s="14">
        <f t="shared" si="77"/>
        <v>0</v>
      </c>
      <c r="BT93" s="15">
        <f t="shared" si="78"/>
        <v>0</v>
      </c>
      <c r="BU93" s="14">
        <f t="shared" si="79"/>
        <v>0</v>
      </c>
      <c r="BV93" s="14">
        <f>DISTRIBUSI!K91</f>
        <v>0</v>
      </c>
      <c r="BW93" s="14">
        <f>'PEMAKAIAN UNIT'!K90</f>
        <v>0</v>
      </c>
      <c r="BX93" s="14">
        <f t="shared" si="80"/>
        <v>0</v>
      </c>
      <c r="BY93" s="15">
        <f t="shared" si="81"/>
        <v>0</v>
      </c>
      <c r="BZ93" s="14">
        <f t="shared" si="82"/>
        <v>0</v>
      </c>
      <c r="CA93" s="14">
        <f>DISTRIBUSI!L91</f>
        <v>0</v>
      </c>
      <c r="CB93" s="14">
        <f>'PEMAKAIAN UNIT'!L90</f>
        <v>0</v>
      </c>
      <c r="CC93" s="14">
        <f t="shared" si="83"/>
        <v>0</v>
      </c>
      <c r="CD93" s="15">
        <f t="shared" si="84"/>
        <v>0</v>
      </c>
      <c r="CE93" s="14">
        <f t="shared" si="85"/>
        <v>0</v>
      </c>
      <c r="CF93" s="14">
        <f>DISTRIBUSI!M91</f>
        <v>0</v>
      </c>
      <c r="CG93" s="14">
        <f>'PEMAKAIAN UNIT'!M90</f>
        <v>0</v>
      </c>
      <c r="CH93" s="14">
        <f t="shared" si="86"/>
        <v>0</v>
      </c>
      <c r="CI93" s="15">
        <f t="shared" si="87"/>
        <v>0</v>
      </c>
      <c r="CJ93" s="14">
        <f t="shared" si="88"/>
        <v>0</v>
      </c>
      <c r="CK93" s="14" t="e">
        <f>DISTRIBUSI!#REF!</f>
        <v>#REF!</v>
      </c>
      <c r="CL93" s="14">
        <f>'PEMAKAIAN UNIT'!N90</f>
        <v>0</v>
      </c>
      <c r="CM93" s="14" t="e">
        <f t="shared" si="89"/>
        <v>#REF!</v>
      </c>
      <c r="CN93" s="15" t="e">
        <f t="shared" si="90"/>
        <v>#REF!</v>
      </c>
      <c r="CO93" s="14" t="e">
        <f>DL93+DISTRIBUSI!#REF!-'PEMAKAIAN UNIT'!O90</f>
        <v>#REF!</v>
      </c>
      <c r="CP93" s="15" t="e">
        <f t="shared" si="91"/>
        <v>#REF!</v>
      </c>
      <c r="CQ93" s="226">
        <f t="shared" si="92"/>
        <v>0</v>
      </c>
      <c r="CR93" s="226">
        <f>DISTRIBUSI!R91</f>
        <v>0</v>
      </c>
      <c r="CS93" s="226">
        <f>'PEMAKAIAN UNIT'!P90</f>
        <v>0</v>
      </c>
      <c r="CT93" s="14">
        <f t="shared" si="93"/>
        <v>0</v>
      </c>
      <c r="CU93" s="15">
        <f t="shared" si="94"/>
        <v>0</v>
      </c>
      <c r="CV93" s="14" t="e">
        <f>DN93+DISTRIBUSI!#REF!-'PEMAKAIAN UNIT'!Q90</f>
        <v>#REF!</v>
      </c>
      <c r="CW93" s="15" t="e">
        <f t="shared" si="95"/>
        <v>#REF!</v>
      </c>
      <c r="CX93" s="14">
        <f>DO93+'LPLPO GUDANG'!E96-'LPLPO GUDANG'!G96</f>
        <v>0</v>
      </c>
      <c r="CY93" s="15">
        <f t="shared" si="96"/>
        <v>0</v>
      </c>
      <c r="CZ93" s="28"/>
      <c r="DA93" s="14">
        <v>0</v>
      </c>
      <c r="DB93" s="14"/>
      <c r="DC93" s="14"/>
      <c r="DD93" s="14">
        <v>0</v>
      </c>
      <c r="DE93" s="14">
        <v>0</v>
      </c>
      <c r="DF93" s="14"/>
      <c r="DG93" s="14">
        <v>0</v>
      </c>
      <c r="DH93" s="14">
        <v>0</v>
      </c>
      <c r="DI93" s="14">
        <v>0</v>
      </c>
      <c r="DJ93" s="14">
        <v>0</v>
      </c>
      <c r="DK93" s="14">
        <v>0</v>
      </c>
      <c r="DL93" s="14">
        <v>0</v>
      </c>
      <c r="DM93" s="14">
        <v>0</v>
      </c>
      <c r="DN93" s="14">
        <v>0</v>
      </c>
      <c r="DO93" s="14">
        <v>0</v>
      </c>
      <c r="DP93" s="13">
        <f t="shared" si="97"/>
        <v>0</v>
      </c>
      <c r="DR93" t="s">
        <v>257</v>
      </c>
      <c r="DU93" s="20" t="e">
        <f t="shared" si="98"/>
        <v>#REF!</v>
      </c>
    </row>
    <row r="94" spans="1:125" customFormat="1" ht="18" x14ac:dyDescent="0.35">
      <c r="A94" s="84">
        <f t="shared" si="99"/>
        <v>83</v>
      </c>
      <c r="B94" s="142" t="s">
        <v>70</v>
      </c>
      <c r="C94" s="160" t="s">
        <v>349</v>
      </c>
      <c r="D94" s="109">
        <v>0</v>
      </c>
      <c r="E94" s="110">
        <f>'LPLPO GUDANG'!E97</f>
        <v>50</v>
      </c>
      <c r="F94" s="110">
        <f t="shared" si="50"/>
        <v>50</v>
      </c>
      <c r="G94" s="110">
        <f>'PEMAKAIAN UNIT'!R91</f>
        <v>0</v>
      </c>
      <c r="H94" s="14">
        <v>0</v>
      </c>
      <c r="I94" s="14">
        <v>0</v>
      </c>
      <c r="J94" s="14">
        <v>0</v>
      </c>
      <c r="K94" s="14"/>
      <c r="L94" s="14"/>
      <c r="M94" s="14"/>
      <c r="N94" s="14"/>
      <c r="O94" s="14"/>
      <c r="P94" s="14"/>
      <c r="Q94" s="14"/>
      <c r="R94" s="14"/>
      <c r="S94" s="14">
        <v>5</v>
      </c>
      <c r="T94" s="14">
        <v>0</v>
      </c>
      <c r="U94" s="14">
        <v>0</v>
      </c>
      <c r="V94" s="14">
        <v>0</v>
      </c>
      <c r="W94" s="14">
        <v>0</v>
      </c>
      <c r="X94" s="14">
        <v>1</v>
      </c>
      <c r="Y94" s="109">
        <f t="shared" si="51"/>
        <v>0</v>
      </c>
      <c r="Z94" s="109" t="e">
        <f t="shared" si="52"/>
        <v>#REF!</v>
      </c>
      <c r="AA94" s="109" t="e">
        <f t="shared" si="53"/>
        <v>#REF!</v>
      </c>
      <c r="AB94" s="14">
        <v>39</v>
      </c>
      <c r="AC94" s="109" t="e">
        <f t="shared" si="54"/>
        <v>#REF!</v>
      </c>
      <c r="AD94" s="109">
        <f>'LPLPO GUDANG'!H97</f>
        <v>40</v>
      </c>
      <c r="AE94" s="111" t="e">
        <f t="shared" si="55"/>
        <v>#REF!</v>
      </c>
      <c r="AF94" s="212"/>
      <c r="AG94" s="212"/>
      <c r="AH94" s="20"/>
      <c r="AI94" s="14">
        <f t="shared" si="56"/>
        <v>50</v>
      </c>
      <c r="AJ94" s="209" t="e">
        <f t="shared" si="57"/>
        <v>#REF!</v>
      </c>
      <c r="AL94" s="14">
        <f t="shared" si="58"/>
        <v>0</v>
      </c>
      <c r="AM94" s="14">
        <f>DISTRIBUSI!D92</f>
        <v>0</v>
      </c>
      <c r="AN94" s="14">
        <f>'PEMAKAIAN UNIT'!D91</f>
        <v>0</v>
      </c>
      <c r="AO94" s="14">
        <f t="shared" si="59"/>
        <v>0</v>
      </c>
      <c r="AP94" s="15">
        <f t="shared" si="60"/>
        <v>0</v>
      </c>
      <c r="AQ94" s="14">
        <f t="shared" si="61"/>
        <v>0</v>
      </c>
      <c r="AR94" s="14">
        <f>DISTRIBUSI!E92</f>
        <v>0</v>
      </c>
      <c r="AS94" s="14">
        <f>'PEMAKAIAN UNIT'!E91</f>
        <v>0</v>
      </c>
      <c r="AT94" s="14">
        <f t="shared" si="62"/>
        <v>0</v>
      </c>
      <c r="AU94" s="15">
        <f t="shared" si="63"/>
        <v>0</v>
      </c>
      <c r="AV94" s="14">
        <f t="shared" si="64"/>
        <v>0</v>
      </c>
      <c r="AW94" s="14">
        <f>DISTRIBUSI!F92</f>
        <v>0</v>
      </c>
      <c r="AX94" s="14">
        <f>'PEMAKAIAN UNIT'!F91</f>
        <v>0</v>
      </c>
      <c r="AY94" s="14">
        <f t="shared" si="65"/>
        <v>0</v>
      </c>
      <c r="AZ94" s="15">
        <f t="shared" si="66"/>
        <v>0</v>
      </c>
      <c r="BA94" s="14">
        <f t="shared" si="67"/>
        <v>5</v>
      </c>
      <c r="BB94" s="14">
        <f>DISTRIBUSI!G92</f>
        <v>0</v>
      </c>
      <c r="BC94" s="14">
        <f>'PEMAKAIAN UNIT'!G91</f>
        <v>0</v>
      </c>
      <c r="BD94" s="14">
        <f t="shared" si="68"/>
        <v>5</v>
      </c>
      <c r="BE94" s="15">
        <f t="shared" si="69"/>
        <v>0</v>
      </c>
      <c r="BF94" s="14">
        <f t="shared" si="70"/>
        <v>0</v>
      </c>
      <c r="BG94" s="14">
        <f>DISTRIBUSI!H92</f>
        <v>0</v>
      </c>
      <c r="BH94" s="14">
        <f>'PEMAKAIAN UNIT'!H91</f>
        <v>0</v>
      </c>
      <c r="BI94" s="14">
        <f t="shared" si="71"/>
        <v>0</v>
      </c>
      <c r="BJ94" s="15">
        <f t="shared" si="72"/>
        <v>0</v>
      </c>
      <c r="BK94" s="14">
        <f t="shared" si="73"/>
        <v>0</v>
      </c>
      <c r="BL94" s="14">
        <f>DISTRIBUSI!I92</f>
        <v>5</v>
      </c>
      <c r="BM94" s="14">
        <f>'PEMAKAIAN UNIT'!I91</f>
        <v>0</v>
      </c>
      <c r="BN94" s="14">
        <f t="shared" si="74"/>
        <v>5</v>
      </c>
      <c r="BO94" s="15">
        <f t="shared" si="75"/>
        <v>5</v>
      </c>
      <c r="BP94" s="14">
        <f t="shared" si="76"/>
        <v>0</v>
      </c>
      <c r="BQ94" s="14">
        <f>DISTRIBUSI!J92</f>
        <v>0</v>
      </c>
      <c r="BR94" s="14">
        <f>'PEMAKAIAN UNIT'!J91</f>
        <v>0</v>
      </c>
      <c r="BS94" s="14">
        <f t="shared" si="77"/>
        <v>0</v>
      </c>
      <c r="BT94" s="15">
        <f t="shared" si="78"/>
        <v>0</v>
      </c>
      <c r="BU94" s="14">
        <f t="shared" si="79"/>
        <v>0</v>
      </c>
      <c r="BV94" s="14">
        <f>DISTRIBUSI!K92</f>
        <v>0</v>
      </c>
      <c r="BW94" s="14">
        <f>'PEMAKAIAN UNIT'!K91</f>
        <v>0</v>
      </c>
      <c r="BX94" s="14">
        <f t="shared" si="80"/>
        <v>0</v>
      </c>
      <c r="BY94" s="15">
        <f t="shared" si="81"/>
        <v>0</v>
      </c>
      <c r="BZ94" s="14">
        <f t="shared" si="82"/>
        <v>3</v>
      </c>
      <c r="CA94" s="14">
        <f>DISTRIBUSI!L92</f>
        <v>0</v>
      </c>
      <c r="CB94" s="14">
        <f>'PEMAKAIAN UNIT'!L91</f>
        <v>0</v>
      </c>
      <c r="CC94" s="14">
        <f t="shared" si="83"/>
        <v>3</v>
      </c>
      <c r="CD94" s="15">
        <f t="shared" si="84"/>
        <v>2</v>
      </c>
      <c r="CE94" s="14">
        <f t="shared" si="85"/>
        <v>0</v>
      </c>
      <c r="CF94" s="14">
        <f>DISTRIBUSI!M92</f>
        <v>0</v>
      </c>
      <c r="CG94" s="14">
        <f>'PEMAKAIAN UNIT'!M91</f>
        <v>0</v>
      </c>
      <c r="CH94" s="14">
        <f t="shared" si="86"/>
        <v>0</v>
      </c>
      <c r="CI94" s="15">
        <f t="shared" si="87"/>
        <v>0</v>
      </c>
      <c r="CJ94" s="14">
        <f t="shared" si="88"/>
        <v>0</v>
      </c>
      <c r="CK94" s="14" t="e">
        <f>DISTRIBUSI!#REF!</f>
        <v>#REF!</v>
      </c>
      <c r="CL94" s="14">
        <f>'PEMAKAIAN UNIT'!N91</f>
        <v>0</v>
      </c>
      <c r="CM94" s="14" t="e">
        <f t="shared" si="89"/>
        <v>#REF!</v>
      </c>
      <c r="CN94" s="15" t="e">
        <f t="shared" si="90"/>
        <v>#REF!</v>
      </c>
      <c r="CO94" s="14" t="e">
        <f>DL94+DISTRIBUSI!#REF!-'PEMAKAIAN UNIT'!O91</f>
        <v>#REF!</v>
      </c>
      <c r="CP94" s="15" t="e">
        <f t="shared" si="91"/>
        <v>#REF!</v>
      </c>
      <c r="CQ94" s="226">
        <f t="shared" si="92"/>
        <v>31</v>
      </c>
      <c r="CR94" s="226">
        <f>DISTRIBUSI!R92</f>
        <v>0</v>
      </c>
      <c r="CS94" s="226">
        <f>'PEMAKAIAN UNIT'!P91</f>
        <v>0</v>
      </c>
      <c r="CT94" s="14">
        <f t="shared" si="93"/>
        <v>31</v>
      </c>
      <c r="CU94" s="15">
        <f t="shared" si="94"/>
        <v>-8</v>
      </c>
      <c r="CV94" s="14" t="e">
        <f>DN94+DISTRIBUSI!#REF!-'PEMAKAIAN UNIT'!Q91</f>
        <v>#REF!</v>
      </c>
      <c r="CW94" s="15" t="e">
        <f t="shared" si="95"/>
        <v>#REF!</v>
      </c>
      <c r="CX94" s="14">
        <f>DO94+'LPLPO GUDANG'!E97-'LPLPO GUDANG'!G97</f>
        <v>95</v>
      </c>
      <c r="CY94" s="15">
        <f t="shared" si="96"/>
        <v>55</v>
      </c>
      <c r="CZ94" s="28"/>
      <c r="DA94" s="14">
        <v>0</v>
      </c>
      <c r="DB94" s="14">
        <v>0</v>
      </c>
      <c r="DC94" s="14">
        <v>0</v>
      </c>
      <c r="DD94" s="14">
        <v>5</v>
      </c>
      <c r="DE94" s="14">
        <v>0</v>
      </c>
      <c r="DF94" s="14"/>
      <c r="DG94" s="14">
        <v>0</v>
      </c>
      <c r="DH94" s="14">
        <v>0</v>
      </c>
      <c r="DI94" s="14">
        <v>3</v>
      </c>
      <c r="DJ94" s="14">
        <v>0</v>
      </c>
      <c r="DK94" s="14">
        <v>0</v>
      </c>
      <c r="DL94" s="14">
        <v>0</v>
      </c>
      <c r="DM94" s="14">
        <v>31</v>
      </c>
      <c r="DN94" s="14">
        <v>0</v>
      </c>
      <c r="DO94" s="14">
        <v>55</v>
      </c>
      <c r="DP94" s="13">
        <f t="shared" si="97"/>
        <v>94</v>
      </c>
      <c r="DR94" t="s">
        <v>70</v>
      </c>
      <c r="DU94" s="20" t="e">
        <f t="shared" si="98"/>
        <v>#REF!</v>
      </c>
    </row>
    <row r="95" spans="1:125" customFormat="1" ht="18" x14ac:dyDescent="0.35">
      <c r="A95" s="84">
        <f t="shared" si="99"/>
        <v>84</v>
      </c>
      <c r="B95" s="142" t="s">
        <v>72</v>
      </c>
      <c r="C95" s="160" t="s">
        <v>321</v>
      </c>
      <c r="D95" s="109">
        <v>0</v>
      </c>
      <c r="E95" s="110">
        <f>'LPLPO GUDANG'!E98</f>
        <v>60</v>
      </c>
      <c r="F95" s="110">
        <f t="shared" si="50"/>
        <v>60</v>
      </c>
      <c r="G95" s="110">
        <f>'PEMAKAIAN UNIT'!R92</f>
        <v>0</v>
      </c>
      <c r="H95" s="14">
        <v>9</v>
      </c>
      <c r="I95" s="14">
        <v>2</v>
      </c>
      <c r="J95" s="14">
        <v>0</v>
      </c>
      <c r="K95" s="14"/>
      <c r="L95" s="14"/>
      <c r="M95" s="14"/>
      <c r="N95" s="14"/>
      <c r="O95" s="14"/>
      <c r="P95" s="14"/>
      <c r="Q95" s="14"/>
      <c r="R95" s="14"/>
      <c r="S95" s="14">
        <v>1</v>
      </c>
      <c r="T95" s="14">
        <v>0</v>
      </c>
      <c r="U95" s="14">
        <v>2</v>
      </c>
      <c r="V95" s="14">
        <v>3</v>
      </c>
      <c r="W95" s="14">
        <v>0</v>
      </c>
      <c r="X95" s="14">
        <v>1</v>
      </c>
      <c r="Y95" s="109">
        <f t="shared" si="51"/>
        <v>0</v>
      </c>
      <c r="Z95" s="109" t="e">
        <f t="shared" si="52"/>
        <v>#REF!</v>
      </c>
      <c r="AA95" s="109" t="e">
        <f t="shared" si="53"/>
        <v>#REF!</v>
      </c>
      <c r="AB95" s="14">
        <v>24</v>
      </c>
      <c r="AC95" s="109" t="e">
        <f t="shared" si="54"/>
        <v>#REF!</v>
      </c>
      <c r="AD95" s="109">
        <f>'LPLPO GUDANG'!H98</f>
        <v>0</v>
      </c>
      <c r="AE95" s="111" t="e">
        <f t="shared" si="55"/>
        <v>#REF!</v>
      </c>
      <c r="AF95" s="212"/>
      <c r="AG95" s="212"/>
      <c r="AH95" s="20"/>
      <c r="AI95" s="14">
        <f t="shared" si="56"/>
        <v>60</v>
      </c>
      <c r="AJ95" s="209" t="e">
        <f t="shared" si="57"/>
        <v>#REF!</v>
      </c>
      <c r="AL95" s="14">
        <f t="shared" si="58"/>
        <v>6</v>
      </c>
      <c r="AM95" s="14">
        <f>DISTRIBUSI!D93</f>
        <v>0</v>
      </c>
      <c r="AN95" s="14">
        <f>'PEMAKAIAN UNIT'!D92</f>
        <v>0</v>
      </c>
      <c r="AO95" s="14">
        <f t="shared" si="59"/>
        <v>6</v>
      </c>
      <c r="AP95" s="15">
        <f t="shared" si="60"/>
        <v>-3</v>
      </c>
      <c r="AQ95" s="14">
        <f t="shared" si="61"/>
        <v>2</v>
      </c>
      <c r="AR95" s="14">
        <f>DISTRIBUSI!E93</f>
        <v>0</v>
      </c>
      <c r="AS95" s="14">
        <f>'PEMAKAIAN UNIT'!E92</f>
        <v>0</v>
      </c>
      <c r="AT95" s="14">
        <f t="shared" si="62"/>
        <v>2</v>
      </c>
      <c r="AU95" s="15">
        <f t="shared" si="63"/>
        <v>0</v>
      </c>
      <c r="AV95" s="14">
        <f t="shared" si="64"/>
        <v>0</v>
      </c>
      <c r="AW95" s="14">
        <f>DISTRIBUSI!F93</f>
        <v>0</v>
      </c>
      <c r="AX95" s="14">
        <f>'PEMAKAIAN UNIT'!F92</f>
        <v>0</v>
      </c>
      <c r="AY95" s="14">
        <f t="shared" si="65"/>
        <v>0</v>
      </c>
      <c r="AZ95" s="15">
        <f t="shared" si="66"/>
        <v>0</v>
      </c>
      <c r="BA95" s="14">
        <f t="shared" si="67"/>
        <v>1</v>
      </c>
      <c r="BB95" s="14">
        <f>DISTRIBUSI!G93</f>
        <v>0</v>
      </c>
      <c r="BC95" s="14">
        <f>'PEMAKAIAN UNIT'!G92</f>
        <v>0</v>
      </c>
      <c r="BD95" s="14">
        <f t="shared" si="68"/>
        <v>1</v>
      </c>
      <c r="BE95" s="15">
        <f t="shared" si="69"/>
        <v>0</v>
      </c>
      <c r="BF95" s="14">
        <f t="shared" si="70"/>
        <v>1</v>
      </c>
      <c r="BG95" s="14">
        <f>DISTRIBUSI!H93</f>
        <v>0</v>
      </c>
      <c r="BH95" s="14">
        <f>'PEMAKAIAN UNIT'!H92</f>
        <v>0</v>
      </c>
      <c r="BI95" s="14">
        <f t="shared" si="71"/>
        <v>1</v>
      </c>
      <c r="BJ95" s="15">
        <f t="shared" si="72"/>
        <v>1</v>
      </c>
      <c r="BK95" s="14">
        <f t="shared" si="73"/>
        <v>3</v>
      </c>
      <c r="BL95" s="14">
        <f>DISTRIBUSI!I93</f>
        <v>0</v>
      </c>
      <c r="BM95" s="14">
        <f>'PEMAKAIAN UNIT'!I92</f>
        <v>0</v>
      </c>
      <c r="BN95" s="14">
        <f t="shared" si="74"/>
        <v>3</v>
      </c>
      <c r="BO95" s="15">
        <f t="shared" si="75"/>
        <v>1</v>
      </c>
      <c r="BP95" s="14">
        <f t="shared" si="76"/>
        <v>3</v>
      </c>
      <c r="BQ95" s="14">
        <f>DISTRIBUSI!J93</f>
        <v>0</v>
      </c>
      <c r="BR95" s="14">
        <f>'PEMAKAIAN UNIT'!J92</f>
        <v>0</v>
      </c>
      <c r="BS95" s="14">
        <f t="shared" si="77"/>
        <v>3</v>
      </c>
      <c r="BT95" s="15">
        <f t="shared" si="78"/>
        <v>0</v>
      </c>
      <c r="BU95" s="14">
        <f t="shared" si="79"/>
        <v>0</v>
      </c>
      <c r="BV95" s="14">
        <f>DISTRIBUSI!K93</f>
        <v>0</v>
      </c>
      <c r="BW95" s="14">
        <f>'PEMAKAIAN UNIT'!K92</f>
        <v>0</v>
      </c>
      <c r="BX95" s="14">
        <f t="shared" si="80"/>
        <v>0</v>
      </c>
      <c r="BY95" s="15">
        <f t="shared" si="81"/>
        <v>0</v>
      </c>
      <c r="BZ95" s="14">
        <f t="shared" si="82"/>
        <v>2</v>
      </c>
      <c r="CA95" s="14">
        <f>DISTRIBUSI!L93</f>
        <v>0</v>
      </c>
      <c r="CB95" s="14">
        <f>'PEMAKAIAN UNIT'!L92</f>
        <v>0</v>
      </c>
      <c r="CC95" s="14">
        <f t="shared" si="83"/>
        <v>2</v>
      </c>
      <c r="CD95" s="15">
        <f t="shared" si="84"/>
        <v>1</v>
      </c>
      <c r="CE95" s="14">
        <f t="shared" si="85"/>
        <v>0</v>
      </c>
      <c r="CF95" s="14">
        <f>DISTRIBUSI!M93</f>
        <v>0</v>
      </c>
      <c r="CG95" s="14">
        <f>'PEMAKAIAN UNIT'!M92</f>
        <v>0</v>
      </c>
      <c r="CH95" s="14">
        <f t="shared" si="86"/>
        <v>0</v>
      </c>
      <c r="CI95" s="15">
        <f t="shared" si="87"/>
        <v>0</v>
      </c>
      <c r="CJ95" s="14">
        <f t="shared" si="88"/>
        <v>0</v>
      </c>
      <c r="CK95" s="14" t="e">
        <f>DISTRIBUSI!#REF!</f>
        <v>#REF!</v>
      </c>
      <c r="CL95" s="14">
        <f>'PEMAKAIAN UNIT'!N92</f>
        <v>0</v>
      </c>
      <c r="CM95" s="14" t="e">
        <f t="shared" si="89"/>
        <v>#REF!</v>
      </c>
      <c r="CN95" s="15" t="e">
        <f t="shared" si="90"/>
        <v>#REF!</v>
      </c>
      <c r="CO95" s="14" t="e">
        <f>DL95+DISTRIBUSI!#REF!-'PEMAKAIAN UNIT'!O92</f>
        <v>#REF!</v>
      </c>
      <c r="CP95" s="15" t="e">
        <f t="shared" si="91"/>
        <v>#REF!</v>
      </c>
      <c r="CQ95" s="226">
        <f t="shared" si="92"/>
        <v>34</v>
      </c>
      <c r="CR95" s="226">
        <f>DISTRIBUSI!R93</f>
        <v>50</v>
      </c>
      <c r="CS95" s="226">
        <f>'PEMAKAIAN UNIT'!P92</f>
        <v>0</v>
      </c>
      <c r="CT95" s="14">
        <f t="shared" si="93"/>
        <v>84</v>
      </c>
      <c r="CU95" s="15">
        <f t="shared" si="94"/>
        <v>60</v>
      </c>
      <c r="CV95" s="14" t="e">
        <f>DN95+DISTRIBUSI!#REF!-'PEMAKAIAN UNIT'!Q92</f>
        <v>#REF!</v>
      </c>
      <c r="CW95" s="15" t="e">
        <f t="shared" si="95"/>
        <v>#REF!</v>
      </c>
      <c r="CX95" s="14">
        <f>DO95+'LPLPO GUDANG'!E98-'LPLPO GUDANG'!G98</f>
        <v>-40</v>
      </c>
      <c r="CY95" s="15">
        <f t="shared" si="96"/>
        <v>-40</v>
      </c>
      <c r="CZ95" s="28"/>
      <c r="DA95" s="14">
        <v>6</v>
      </c>
      <c r="DB95" s="14">
        <v>2</v>
      </c>
      <c r="DC95" s="14">
        <v>0</v>
      </c>
      <c r="DD95" s="14">
        <v>1</v>
      </c>
      <c r="DE95" s="14">
        <v>1</v>
      </c>
      <c r="DF95" s="14">
        <v>3</v>
      </c>
      <c r="DG95" s="14">
        <v>3</v>
      </c>
      <c r="DH95" s="14">
        <v>0</v>
      </c>
      <c r="DI95" s="14">
        <v>2</v>
      </c>
      <c r="DJ95" s="14">
        <v>0</v>
      </c>
      <c r="DK95" s="14">
        <v>0</v>
      </c>
      <c r="DL95" s="14">
        <v>0</v>
      </c>
      <c r="DM95" s="14">
        <v>34</v>
      </c>
      <c r="DN95" s="14">
        <v>0</v>
      </c>
      <c r="DO95" s="14">
        <v>0</v>
      </c>
      <c r="DP95" s="13">
        <f t="shared" si="97"/>
        <v>52</v>
      </c>
      <c r="DR95" t="s">
        <v>72</v>
      </c>
      <c r="DU95" s="20" t="e">
        <f t="shared" si="98"/>
        <v>#REF!</v>
      </c>
    </row>
    <row r="96" spans="1:125" customFormat="1" ht="18" x14ac:dyDescent="0.35">
      <c r="A96" s="84">
        <f t="shared" si="99"/>
        <v>85</v>
      </c>
      <c r="B96" s="142" t="s">
        <v>71</v>
      </c>
      <c r="C96" s="160" t="s">
        <v>340</v>
      </c>
      <c r="D96" s="109">
        <v>0</v>
      </c>
      <c r="E96" s="110">
        <f>'LPLPO GUDANG'!E99</f>
        <v>0</v>
      </c>
      <c r="F96" s="110">
        <f t="shared" si="50"/>
        <v>0</v>
      </c>
      <c r="G96" s="110">
        <f>'PEMAKAIAN UNIT'!R93</f>
        <v>0</v>
      </c>
      <c r="H96" s="14">
        <v>170</v>
      </c>
      <c r="I96" s="14">
        <v>0</v>
      </c>
      <c r="J96" s="14">
        <v>0</v>
      </c>
      <c r="K96" s="14"/>
      <c r="L96" s="14"/>
      <c r="M96" s="14"/>
      <c r="N96" s="14"/>
      <c r="O96" s="14"/>
      <c r="P96" s="14"/>
      <c r="Q96" s="14"/>
      <c r="R96" s="14"/>
      <c r="S96" s="14">
        <v>250</v>
      </c>
      <c r="T96" s="14">
        <v>0</v>
      </c>
      <c r="U96" s="14">
        <v>120</v>
      </c>
      <c r="V96" s="14">
        <v>110</v>
      </c>
      <c r="W96" s="14">
        <v>0</v>
      </c>
      <c r="X96" s="14">
        <v>0</v>
      </c>
      <c r="Y96" s="109">
        <f t="shared" si="51"/>
        <v>0</v>
      </c>
      <c r="Z96" s="109" t="e">
        <f t="shared" si="52"/>
        <v>#REF!</v>
      </c>
      <c r="AA96" s="109" t="e">
        <f t="shared" si="53"/>
        <v>#REF!</v>
      </c>
      <c r="AB96" s="14">
        <v>466</v>
      </c>
      <c r="AC96" s="109" t="e">
        <f t="shared" si="54"/>
        <v>#REF!</v>
      </c>
      <c r="AD96" s="109">
        <f>'LPLPO GUDANG'!H99</f>
        <v>1000</v>
      </c>
      <c r="AE96" s="111" t="e">
        <f t="shared" si="55"/>
        <v>#REF!</v>
      </c>
      <c r="AF96" s="212"/>
      <c r="AG96" s="212"/>
      <c r="AH96" s="20"/>
      <c r="AI96" s="14">
        <f t="shared" si="56"/>
        <v>0</v>
      </c>
      <c r="AJ96" s="209" t="e">
        <f t="shared" si="57"/>
        <v>#REF!</v>
      </c>
      <c r="AL96" s="14">
        <f t="shared" si="58"/>
        <v>120</v>
      </c>
      <c r="AM96" s="14">
        <f>DISTRIBUSI!D94</f>
        <v>0</v>
      </c>
      <c r="AN96" s="14">
        <f>'PEMAKAIAN UNIT'!D93</f>
        <v>0</v>
      </c>
      <c r="AO96" s="14">
        <f t="shared" si="59"/>
        <v>120</v>
      </c>
      <c r="AP96" s="15">
        <f t="shared" si="60"/>
        <v>-50</v>
      </c>
      <c r="AQ96" s="14">
        <f t="shared" si="61"/>
        <v>0</v>
      </c>
      <c r="AR96" s="14">
        <f>DISTRIBUSI!E94</f>
        <v>0</v>
      </c>
      <c r="AS96" s="14">
        <f>'PEMAKAIAN UNIT'!E93</f>
        <v>0</v>
      </c>
      <c r="AT96" s="14">
        <f t="shared" si="62"/>
        <v>0</v>
      </c>
      <c r="AU96" s="15">
        <f t="shared" si="63"/>
        <v>0</v>
      </c>
      <c r="AV96" s="14">
        <f t="shared" si="64"/>
        <v>104</v>
      </c>
      <c r="AW96" s="14">
        <f>DISTRIBUSI!F94</f>
        <v>0</v>
      </c>
      <c r="AX96" s="14">
        <f>'PEMAKAIAN UNIT'!F93</f>
        <v>0</v>
      </c>
      <c r="AY96" s="14">
        <f t="shared" si="65"/>
        <v>104</v>
      </c>
      <c r="AZ96" s="15">
        <f t="shared" si="66"/>
        <v>104</v>
      </c>
      <c r="BA96" s="14">
        <f t="shared" si="67"/>
        <v>260</v>
      </c>
      <c r="BB96" s="14">
        <f>DISTRIBUSI!G94</f>
        <v>0</v>
      </c>
      <c r="BC96" s="14">
        <f>'PEMAKAIAN UNIT'!G93</f>
        <v>0</v>
      </c>
      <c r="BD96" s="14">
        <f t="shared" si="68"/>
        <v>260</v>
      </c>
      <c r="BE96" s="15">
        <f t="shared" si="69"/>
        <v>10</v>
      </c>
      <c r="BF96" s="14">
        <f t="shared" si="70"/>
        <v>290</v>
      </c>
      <c r="BG96" s="14">
        <f>DISTRIBUSI!H94</f>
        <v>0</v>
      </c>
      <c r="BH96" s="14">
        <f>'PEMAKAIAN UNIT'!H93</f>
        <v>0</v>
      </c>
      <c r="BI96" s="14">
        <f t="shared" si="71"/>
        <v>290</v>
      </c>
      <c r="BJ96" s="15">
        <f t="shared" si="72"/>
        <v>290</v>
      </c>
      <c r="BK96" s="14">
        <f t="shared" si="73"/>
        <v>80</v>
      </c>
      <c r="BL96" s="14">
        <f>DISTRIBUSI!I94</f>
        <v>0</v>
      </c>
      <c r="BM96" s="14">
        <f>'PEMAKAIAN UNIT'!I93</f>
        <v>0</v>
      </c>
      <c r="BN96" s="14">
        <f t="shared" si="74"/>
        <v>80</v>
      </c>
      <c r="BO96" s="15">
        <f t="shared" si="75"/>
        <v>-40</v>
      </c>
      <c r="BP96" s="14">
        <f t="shared" si="76"/>
        <v>140</v>
      </c>
      <c r="BQ96" s="14">
        <f>DISTRIBUSI!J94</f>
        <v>0</v>
      </c>
      <c r="BR96" s="14">
        <f>'PEMAKAIAN UNIT'!J93</f>
        <v>0</v>
      </c>
      <c r="BS96" s="14">
        <f t="shared" si="77"/>
        <v>140</v>
      </c>
      <c r="BT96" s="15">
        <f t="shared" si="78"/>
        <v>30</v>
      </c>
      <c r="BU96" s="14">
        <f t="shared" si="79"/>
        <v>30</v>
      </c>
      <c r="BV96" s="14">
        <f>DISTRIBUSI!K94</f>
        <v>0</v>
      </c>
      <c r="BW96" s="14">
        <f>'PEMAKAIAN UNIT'!K93</f>
        <v>0</v>
      </c>
      <c r="BX96" s="14">
        <f t="shared" si="80"/>
        <v>30</v>
      </c>
      <c r="BY96" s="15">
        <f t="shared" si="81"/>
        <v>30</v>
      </c>
      <c r="BZ96" s="14">
        <f t="shared" si="82"/>
        <v>0</v>
      </c>
      <c r="CA96" s="14">
        <f>DISTRIBUSI!L94</f>
        <v>0</v>
      </c>
      <c r="CB96" s="14">
        <f>'PEMAKAIAN UNIT'!L93</f>
        <v>0</v>
      </c>
      <c r="CC96" s="14">
        <f t="shared" si="83"/>
        <v>0</v>
      </c>
      <c r="CD96" s="15">
        <f t="shared" si="84"/>
        <v>0</v>
      </c>
      <c r="CE96" s="14">
        <f t="shared" si="85"/>
        <v>0</v>
      </c>
      <c r="CF96" s="14">
        <f>DISTRIBUSI!M94</f>
        <v>0</v>
      </c>
      <c r="CG96" s="14">
        <f>'PEMAKAIAN UNIT'!M93</f>
        <v>0</v>
      </c>
      <c r="CH96" s="14">
        <f t="shared" si="86"/>
        <v>0</v>
      </c>
      <c r="CI96" s="15">
        <f t="shared" si="87"/>
        <v>0</v>
      </c>
      <c r="CJ96" s="14">
        <f t="shared" si="88"/>
        <v>0</v>
      </c>
      <c r="CK96" s="14" t="e">
        <f>DISTRIBUSI!#REF!</f>
        <v>#REF!</v>
      </c>
      <c r="CL96" s="14">
        <f>'PEMAKAIAN UNIT'!N93</f>
        <v>0</v>
      </c>
      <c r="CM96" s="14" t="e">
        <f t="shared" si="89"/>
        <v>#REF!</v>
      </c>
      <c r="CN96" s="15" t="e">
        <f t="shared" si="90"/>
        <v>#REF!</v>
      </c>
      <c r="CO96" s="14" t="e">
        <f>DL96+DISTRIBUSI!#REF!-'PEMAKAIAN UNIT'!O93</f>
        <v>#REF!</v>
      </c>
      <c r="CP96" s="15" t="e">
        <f t="shared" si="91"/>
        <v>#REF!</v>
      </c>
      <c r="CQ96" s="226">
        <f t="shared" si="92"/>
        <v>871</v>
      </c>
      <c r="CR96" s="226">
        <f>DISTRIBUSI!R94</f>
        <v>1000</v>
      </c>
      <c r="CS96" s="226">
        <f>'PEMAKAIAN UNIT'!P93</f>
        <v>0</v>
      </c>
      <c r="CT96" s="14">
        <f t="shared" si="93"/>
        <v>1871</v>
      </c>
      <c r="CU96" s="15">
        <f t="shared" si="94"/>
        <v>1405</v>
      </c>
      <c r="CV96" s="14" t="e">
        <f>DN96+DISTRIBUSI!#REF!-'PEMAKAIAN UNIT'!Q93</f>
        <v>#REF!</v>
      </c>
      <c r="CW96" s="15" t="e">
        <f t="shared" si="95"/>
        <v>#REF!</v>
      </c>
      <c r="CX96" s="14">
        <f>DO96+'LPLPO GUDANG'!E99-'LPLPO GUDANG'!G99</f>
        <v>-1000</v>
      </c>
      <c r="CY96" s="15">
        <f t="shared" si="96"/>
        <v>-2000</v>
      </c>
      <c r="CZ96" s="28"/>
      <c r="DA96" s="14">
        <v>120</v>
      </c>
      <c r="DB96" s="14"/>
      <c r="DC96" s="14">
        <v>104</v>
      </c>
      <c r="DD96" s="14">
        <v>260</v>
      </c>
      <c r="DE96" s="14">
        <v>290</v>
      </c>
      <c r="DF96" s="14">
        <v>80</v>
      </c>
      <c r="DG96" s="14">
        <v>140</v>
      </c>
      <c r="DH96" s="14">
        <v>30</v>
      </c>
      <c r="DI96" s="14">
        <v>0</v>
      </c>
      <c r="DJ96" s="14">
        <v>0</v>
      </c>
      <c r="DK96" s="14">
        <v>0</v>
      </c>
      <c r="DL96" s="14">
        <v>724</v>
      </c>
      <c r="DM96" s="14">
        <v>871</v>
      </c>
      <c r="DN96" s="14">
        <v>0</v>
      </c>
      <c r="DO96" s="14">
        <v>0</v>
      </c>
      <c r="DP96" s="13">
        <f t="shared" si="97"/>
        <v>2619</v>
      </c>
      <c r="DR96" t="s">
        <v>71</v>
      </c>
      <c r="DU96" s="20" t="e">
        <f t="shared" si="98"/>
        <v>#REF!</v>
      </c>
    </row>
    <row r="97" spans="1:125" customFormat="1" ht="20.149999999999999" customHeight="1" x14ac:dyDescent="0.35">
      <c r="A97" s="84">
        <f t="shared" si="99"/>
        <v>86</v>
      </c>
      <c r="B97" s="142" t="s">
        <v>73</v>
      </c>
      <c r="C97" s="159" t="s">
        <v>332</v>
      </c>
      <c r="D97" s="109">
        <v>0</v>
      </c>
      <c r="E97" s="110">
        <f>'LPLPO GUDANG'!E100</f>
        <v>1500</v>
      </c>
      <c r="F97" s="110">
        <f t="shared" si="50"/>
        <v>1500</v>
      </c>
      <c r="G97" s="110">
        <f>'PEMAKAIAN UNIT'!R94</f>
        <v>0</v>
      </c>
      <c r="H97" s="14">
        <v>0</v>
      </c>
      <c r="I97" s="14">
        <v>0</v>
      </c>
      <c r="J97" s="14">
        <v>0</v>
      </c>
      <c r="K97" s="14"/>
      <c r="L97" s="14"/>
      <c r="M97" s="14"/>
      <c r="N97" s="14"/>
      <c r="O97" s="14"/>
      <c r="P97" s="14"/>
      <c r="Q97" s="14"/>
      <c r="R97" s="14"/>
      <c r="S97" s="14">
        <v>180</v>
      </c>
      <c r="T97" s="14">
        <v>0</v>
      </c>
      <c r="U97" s="14">
        <v>90</v>
      </c>
      <c r="V97" s="14">
        <v>0</v>
      </c>
      <c r="W97" s="14">
        <v>120</v>
      </c>
      <c r="X97" s="14">
        <v>0</v>
      </c>
      <c r="Y97" s="109">
        <f t="shared" si="51"/>
        <v>0</v>
      </c>
      <c r="Z97" s="109" t="e">
        <f t="shared" si="52"/>
        <v>#REF!</v>
      </c>
      <c r="AA97" s="109" t="e">
        <f t="shared" si="53"/>
        <v>#REF!</v>
      </c>
      <c r="AB97" s="14">
        <v>985</v>
      </c>
      <c r="AC97" s="109" t="e">
        <f t="shared" si="54"/>
        <v>#REF!</v>
      </c>
      <c r="AD97" s="109">
        <f>'LPLPO GUDANG'!H100</f>
        <v>800</v>
      </c>
      <c r="AE97" s="111" t="e">
        <f t="shared" si="55"/>
        <v>#REF!</v>
      </c>
      <c r="AF97" s="212"/>
      <c r="AG97" s="212"/>
      <c r="AH97" s="20"/>
      <c r="AI97" s="14">
        <f t="shared" si="56"/>
        <v>1500</v>
      </c>
      <c r="AJ97" s="209" t="e">
        <f t="shared" si="57"/>
        <v>#REF!</v>
      </c>
      <c r="AL97" s="14">
        <f t="shared" si="58"/>
        <v>0</v>
      </c>
      <c r="AM97" s="14">
        <f>DISTRIBUSI!D95</f>
        <v>0</v>
      </c>
      <c r="AN97" s="14">
        <f>'PEMAKAIAN UNIT'!D94</f>
        <v>0</v>
      </c>
      <c r="AO97" s="14">
        <f t="shared" si="59"/>
        <v>0</v>
      </c>
      <c r="AP97" s="15">
        <f t="shared" si="60"/>
        <v>0</v>
      </c>
      <c r="AQ97" s="14">
        <f t="shared" si="61"/>
        <v>0</v>
      </c>
      <c r="AR97" s="14">
        <f>DISTRIBUSI!E95</f>
        <v>0</v>
      </c>
      <c r="AS97" s="14">
        <f>'PEMAKAIAN UNIT'!E94</f>
        <v>0</v>
      </c>
      <c r="AT97" s="14">
        <f t="shared" si="62"/>
        <v>0</v>
      </c>
      <c r="AU97" s="15">
        <f t="shared" si="63"/>
        <v>0</v>
      </c>
      <c r="AV97" s="14">
        <f t="shared" si="64"/>
        <v>0</v>
      </c>
      <c r="AW97" s="14">
        <f>DISTRIBUSI!F95</f>
        <v>0</v>
      </c>
      <c r="AX97" s="14">
        <f>'PEMAKAIAN UNIT'!F94</f>
        <v>0</v>
      </c>
      <c r="AY97" s="14">
        <f t="shared" si="65"/>
        <v>0</v>
      </c>
      <c r="AZ97" s="15">
        <f t="shared" si="66"/>
        <v>0</v>
      </c>
      <c r="BA97" s="14">
        <f t="shared" si="67"/>
        <v>100</v>
      </c>
      <c r="BB97" s="14">
        <f>DISTRIBUSI!G95</f>
        <v>0</v>
      </c>
      <c r="BC97" s="14">
        <f>'PEMAKAIAN UNIT'!G94</f>
        <v>0</v>
      </c>
      <c r="BD97" s="14">
        <f t="shared" si="68"/>
        <v>100</v>
      </c>
      <c r="BE97" s="15">
        <f t="shared" si="69"/>
        <v>-80</v>
      </c>
      <c r="BF97" s="14">
        <f t="shared" si="70"/>
        <v>0</v>
      </c>
      <c r="BG97" s="14">
        <f>DISTRIBUSI!H95</f>
        <v>0</v>
      </c>
      <c r="BH97" s="14">
        <f>'PEMAKAIAN UNIT'!H94</f>
        <v>0</v>
      </c>
      <c r="BI97" s="14">
        <f t="shared" si="71"/>
        <v>0</v>
      </c>
      <c r="BJ97" s="15">
        <f t="shared" si="72"/>
        <v>0</v>
      </c>
      <c r="BK97" s="14">
        <f t="shared" si="73"/>
        <v>110</v>
      </c>
      <c r="BL97" s="14">
        <f>DISTRIBUSI!I95</f>
        <v>0</v>
      </c>
      <c r="BM97" s="14">
        <f>'PEMAKAIAN UNIT'!I94</f>
        <v>0</v>
      </c>
      <c r="BN97" s="14">
        <f t="shared" si="74"/>
        <v>110</v>
      </c>
      <c r="BO97" s="15">
        <f t="shared" si="75"/>
        <v>20</v>
      </c>
      <c r="BP97" s="14">
        <f t="shared" si="76"/>
        <v>0</v>
      </c>
      <c r="BQ97" s="14">
        <f>DISTRIBUSI!J95</f>
        <v>0</v>
      </c>
      <c r="BR97" s="14">
        <f>'PEMAKAIAN UNIT'!J94</f>
        <v>0</v>
      </c>
      <c r="BS97" s="14">
        <f t="shared" si="77"/>
        <v>0</v>
      </c>
      <c r="BT97" s="15">
        <f t="shared" si="78"/>
        <v>0</v>
      </c>
      <c r="BU97" s="14">
        <f t="shared" si="79"/>
        <v>70</v>
      </c>
      <c r="BV97" s="14">
        <f>DISTRIBUSI!K95</f>
        <v>0</v>
      </c>
      <c r="BW97" s="14">
        <f>'PEMAKAIAN UNIT'!K94</f>
        <v>0</v>
      </c>
      <c r="BX97" s="14">
        <f t="shared" si="80"/>
        <v>70</v>
      </c>
      <c r="BY97" s="15">
        <f t="shared" si="81"/>
        <v>-50</v>
      </c>
      <c r="BZ97" s="14">
        <f t="shared" si="82"/>
        <v>0</v>
      </c>
      <c r="CA97" s="14">
        <f>DISTRIBUSI!L95</f>
        <v>0</v>
      </c>
      <c r="CB97" s="14">
        <f>'PEMAKAIAN UNIT'!L94</f>
        <v>0</v>
      </c>
      <c r="CC97" s="14">
        <f t="shared" si="83"/>
        <v>0</v>
      </c>
      <c r="CD97" s="15">
        <f t="shared" si="84"/>
        <v>0</v>
      </c>
      <c r="CE97" s="14">
        <f t="shared" si="85"/>
        <v>0</v>
      </c>
      <c r="CF97" s="14">
        <f>DISTRIBUSI!M95</f>
        <v>0</v>
      </c>
      <c r="CG97" s="14">
        <f>'PEMAKAIAN UNIT'!M94</f>
        <v>0</v>
      </c>
      <c r="CH97" s="14">
        <f t="shared" si="86"/>
        <v>0</v>
      </c>
      <c r="CI97" s="15">
        <f t="shared" si="87"/>
        <v>0</v>
      </c>
      <c r="CJ97" s="14">
        <f t="shared" si="88"/>
        <v>0</v>
      </c>
      <c r="CK97" s="14" t="e">
        <f>DISTRIBUSI!#REF!</f>
        <v>#REF!</v>
      </c>
      <c r="CL97" s="14">
        <f>'PEMAKAIAN UNIT'!N94</f>
        <v>0</v>
      </c>
      <c r="CM97" s="14" t="e">
        <f t="shared" si="89"/>
        <v>#REF!</v>
      </c>
      <c r="CN97" s="15" t="e">
        <f t="shared" si="90"/>
        <v>#REF!</v>
      </c>
      <c r="CO97" s="14" t="e">
        <f>DL97+DISTRIBUSI!#REF!-'PEMAKAIAN UNIT'!O94</f>
        <v>#REF!</v>
      </c>
      <c r="CP97" s="15" t="e">
        <f t="shared" si="91"/>
        <v>#REF!</v>
      </c>
      <c r="CQ97" s="226">
        <f t="shared" si="92"/>
        <v>885</v>
      </c>
      <c r="CR97" s="226">
        <f>DISTRIBUSI!R95</f>
        <v>2000</v>
      </c>
      <c r="CS97" s="226">
        <f>'PEMAKAIAN UNIT'!P94</f>
        <v>0</v>
      </c>
      <c r="CT97" s="14">
        <f t="shared" si="93"/>
        <v>2885</v>
      </c>
      <c r="CU97" s="15">
        <f t="shared" si="94"/>
        <v>1900</v>
      </c>
      <c r="CV97" s="14" t="e">
        <f>DN97+DISTRIBUSI!#REF!-'PEMAKAIAN UNIT'!Q94</f>
        <v>#REF!</v>
      </c>
      <c r="CW97" s="15" t="e">
        <f t="shared" si="95"/>
        <v>#REF!</v>
      </c>
      <c r="CX97" s="14">
        <f>DO97+'LPLPO GUDANG'!E100-'LPLPO GUDANG'!G100</f>
        <v>500</v>
      </c>
      <c r="CY97" s="15">
        <f t="shared" si="96"/>
        <v>-300</v>
      </c>
      <c r="CZ97" s="28"/>
      <c r="DA97" s="14">
        <v>0</v>
      </c>
      <c r="DB97" s="14"/>
      <c r="DC97" s="14">
        <v>0</v>
      </c>
      <c r="DD97" s="14">
        <v>100</v>
      </c>
      <c r="DE97" s="14">
        <v>0</v>
      </c>
      <c r="DF97" s="14">
        <v>110</v>
      </c>
      <c r="DG97" s="14">
        <v>0</v>
      </c>
      <c r="DH97" s="14">
        <v>70</v>
      </c>
      <c r="DI97" s="14">
        <v>0</v>
      </c>
      <c r="DJ97" s="14">
        <v>0</v>
      </c>
      <c r="DK97" s="14">
        <v>0</v>
      </c>
      <c r="DL97" s="14">
        <v>780</v>
      </c>
      <c r="DM97" s="14">
        <v>885</v>
      </c>
      <c r="DN97" s="14">
        <v>0</v>
      </c>
      <c r="DO97" s="14">
        <v>1200</v>
      </c>
      <c r="DP97" s="13">
        <f t="shared" si="97"/>
        <v>3145</v>
      </c>
      <c r="DR97" t="s">
        <v>73</v>
      </c>
      <c r="DU97" s="20" t="e">
        <f t="shared" si="98"/>
        <v>#REF!</v>
      </c>
    </row>
    <row r="98" spans="1:125" customFormat="1" ht="20.149999999999999" customHeight="1" x14ac:dyDescent="0.35">
      <c r="A98" s="84">
        <f t="shared" si="99"/>
        <v>87</v>
      </c>
      <c r="B98" s="142" t="s">
        <v>74</v>
      </c>
      <c r="C98" s="157" t="s">
        <v>327</v>
      </c>
      <c r="D98" s="109">
        <v>0</v>
      </c>
      <c r="E98" s="110">
        <f>'LPLPO GUDANG'!E101</f>
        <v>0</v>
      </c>
      <c r="F98" s="110">
        <f t="shared" si="50"/>
        <v>0</v>
      </c>
      <c r="G98" s="110">
        <f>'PEMAKAIAN UNIT'!R95</f>
        <v>0</v>
      </c>
      <c r="H98" s="14">
        <v>0</v>
      </c>
      <c r="I98" s="14">
        <v>0</v>
      </c>
      <c r="J98" s="14">
        <v>0</v>
      </c>
      <c r="K98" s="14"/>
      <c r="L98" s="14"/>
      <c r="M98" s="14"/>
      <c r="N98" s="14"/>
      <c r="O98" s="14"/>
      <c r="P98" s="14"/>
      <c r="Q98" s="14"/>
      <c r="R98" s="14"/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09">
        <f t="shared" si="51"/>
        <v>0</v>
      </c>
      <c r="Z98" s="109" t="e">
        <f t="shared" si="52"/>
        <v>#REF!</v>
      </c>
      <c r="AA98" s="109" t="e">
        <f t="shared" si="53"/>
        <v>#REF!</v>
      </c>
      <c r="AB98" s="14">
        <v>152</v>
      </c>
      <c r="AC98" s="109" t="e">
        <f t="shared" si="54"/>
        <v>#REF!</v>
      </c>
      <c r="AD98" s="109">
        <f>'LPLPO GUDANG'!H101</f>
        <v>300</v>
      </c>
      <c r="AE98" s="111" t="e">
        <f t="shared" si="55"/>
        <v>#REF!</v>
      </c>
      <c r="AF98" s="212"/>
      <c r="AG98" s="212"/>
      <c r="AH98" s="20"/>
      <c r="AI98" s="14">
        <f t="shared" si="56"/>
        <v>0</v>
      </c>
      <c r="AJ98" s="209" t="e">
        <f t="shared" si="57"/>
        <v>#REF!</v>
      </c>
      <c r="AL98" s="14">
        <f t="shared" si="58"/>
        <v>0</v>
      </c>
      <c r="AM98" s="14">
        <f>DISTRIBUSI!D96</f>
        <v>0</v>
      </c>
      <c r="AN98" s="14">
        <f>'PEMAKAIAN UNIT'!D95</f>
        <v>0</v>
      </c>
      <c r="AO98" s="14">
        <f t="shared" si="59"/>
        <v>0</v>
      </c>
      <c r="AP98" s="15">
        <f t="shared" si="60"/>
        <v>0</v>
      </c>
      <c r="AQ98" s="14">
        <f t="shared" si="61"/>
        <v>0</v>
      </c>
      <c r="AR98" s="14">
        <f>DISTRIBUSI!E96</f>
        <v>0</v>
      </c>
      <c r="AS98" s="14">
        <f>'PEMAKAIAN UNIT'!E95</f>
        <v>0</v>
      </c>
      <c r="AT98" s="14">
        <f t="shared" si="62"/>
        <v>0</v>
      </c>
      <c r="AU98" s="15">
        <f t="shared" si="63"/>
        <v>0</v>
      </c>
      <c r="AV98" s="14">
        <f t="shared" si="64"/>
        <v>0</v>
      </c>
      <c r="AW98" s="14">
        <f>DISTRIBUSI!F96</f>
        <v>0</v>
      </c>
      <c r="AX98" s="14">
        <f>'PEMAKAIAN UNIT'!F95</f>
        <v>0</v>
      </c>
      <c r="AY98" s="14">
        <f t="shared" si="65"/>
        <v>0</v>
      </c>
      <c r="AZ98" s="15">
        <f t="shared" si="66"/>
        <v>0</v>
      </c>
      <c r="BA98" s="14">
        <f t="shared" si="67"/>
        <v>0</v>
      </c>
      <c r="BB98" s="14">
        <f>DISTRIBUSI!G96</f>
        <v>0</v>
      </c>
      <c r="BC98" s="14">
        <f>'PEMAKAIAN UNIT'!G95</f>
        <v>0</v>
      </c>
      <c r="BD98" s="14">
        <f t="shared" si="68"/>
        <v>0</v>
      </c>
      <c r="BE98" s="15">
        <f t="shared" si="69"/>
        <v>0</v>
      </c>
      <c r="BF98" s="14">
        <f t="shared" si="70"/>
        <v>0</v>
      </c>
      <c r="BG98" s="14">
        <f>DISTRIBUSI!H96</f>
        <v>0</v>
      </c>
      <c r="BH98" s="14">
        <f>'PEMAKAIAN UNIT'!H95</f>
        <v>0</v>
      </c>
      <c r="BI98" s="14">
        <f t="shared" si="71"/>
        <v>0</v>
      </c>
      <c r="BJ98" s="15">
        <f t="shared" si="72"/>
        <v>0</v>
      </c>
      <c r="BK98" s="14">
        <f t="shared" si="73"/>
        <v>0</v>
      </c>
      <c r="BL98" s="14">
        <f>DISTRIBUSI!I96</f>
        <v>0</v>
      </c>
      <c r="BM98" s="14">
        <f>'PEMAKAIAN UNIT'!I95</f>
        <v>0</v>
      </c>
      <c r="BN98" s="14">
        <f t="shared" si="74"/>
        <v>0</v>
      </c>
      <c r="BO98" s="15">
        <f t="shared" si="75"/>
        <v>0</v>
      </c>
      <c r="BP98" s="14">
        <f t="shared" si="76"/>
        <v>0</v>
      </c>
      <c r="BQ98" s="14">
        <f>DISTRIBUSI!J96</f>
        <v>0</v>
      </c>
      <c r="BR98" s="14">
        <f>'PEMAKAIAN UNIT'!J95</f>
        <v>0</v>
      </c>
      <c r="BS98" s="14">
        <f t="shared" si="77"/>
        <v>0</v>
      </c>
      <c r="BT98" s="15">
        <f t="shared" si="78"/>
        <v>0</v>
      </c>
      <c r="BU98" s="14">
        <f t="shared" si="79"/>
        <v>0</v>
      </c>
      <c r="BV98" s="14">
        <f>DISTRIBUSI!K96</f>
        <v>0</v>
      </c>
      <c r="BW98" s="14">
        <f>'PEMAKAIAN UNIT'!K95</f>
        <v>0</v>
      </c>
      <c r="BX98" s="14">
        <f t="shared" si="80"/>
        <v>0</v>
      </c>
      <c r="BY98" s="15">
        <f t="shared" si="81"/>
        <v>0</v>
      </c>
      <c r="BZ98" s="14">
        <f t="shared" si="82"/>
        <v>0</v>
      </c>
      <c r="CA98" s="14">
        <f>DISTRIBUSI!L96</f>
        <v>0</v>
      </c>
      <c r="CB98" s="14">
        <f>'PEMAKAIAN UNIT'!L95</f>
        <v>0</v>
      </c>
      <c r="CC98" s="14">
        <f t="shared" si="83"/>
        <v>0</v>
      </c>
      <c r="CD98" s="15">
        <f t="shared" si="84"/>
        <v>0</v>
      </c>
      <c r="CE98" s="14">
        <f t="shared" si="85"/>
        <v>0</v>
      </c>
      <c r="CF98" s="14">
        <f>DISTRIBUSI!M96</f>
        <v>0</v>
      </c>
      <c r="CG98" s="14">
        <f>'PEMAKAIAN UNIT'!M95</f>
        <v>0</v>
      </c>
      <c r="CH98" s="14">
        <f t="shared" si="86"/>
        <v>0</v>
      </c>
      <c r="CI98" s="15">
        <f t="shared" si="87"/>
        <v>0</v>
      </c>
      <c r="CJ98" s="14">
        <f t="shared" si="88"/>
        <v>0</v>
      </c>
      <c r="CK98" s="14" t="e">
        <f>DISTRIBUSI!#REF!</f>
        <v>#REF!</v>
      </c>
      <c r="CL98" s="14">
        <f>'PEMAKAIAN UNIT'!N95</f>
        <v>0</v>
      </c>
      <c r="CM98" s="14" t="e">
        <f t="shared" si="89"/>
        <v>#REF!</v>
      </c>
      <c r="CN98" s="15" t="e">
        <f t="shared" si="90"/>
        <v>#REF!</v>
      </c>
      <c r="CO98" s="14" t="e">
        <f>DL98+DISTRIBUSI!#REF!-'PEMAKAIAN UNIT'!O95</f>
        <v>#REF!</v>
      </c>
      <c r="CP98" s="15" t="e">
        <f t="shared" si="91"/>
        <v>#REF!</v>
      </c>
      <c r="CQ98" s="226">
        <f t="shared" si="92"/>
        <v>152</v>
      </c>
      <c r="CR98" s="226">
        <f>DISTRIBUSI!R96</f>
        <v>0</v>
      </c>
      <c r="CS98" s="226">
        <f>'PEMAKAIAN UNIT'!P95</f>
        <v>0</v>
      </c>
      <c r="CT98" s="14">
        <f t="shared" si="93"/>
        <v>152</v>
      </c>
      <c r="CU98" s="15">
        <f t="shared" si="94"/>
        <v>0</v>
      </c>
      <c r="CV98" s="14" t="e">
        <f>DN98+DISTRIBUSI!#REF!-'PEMAKAIAN UNIT'!Q95</f>
        <v>#REF!</v>
      </c>
      <c r="CW98" s="15" t="e">
        <f t="shared" si="95"/>
        <v>#REF!</v>
      </c>
      <c r="CX98" s="14">
        <f>DO98+'LPLPO GUDANG'!E101-'LPLPO GUDANG'!G101</f>
        <v>0</v>
      </c>
      <c r="CY98" s="15">
        <f t="shared" si="96"/>
        <v>-300</v>
      </c>
      <c r="CZ98" s="28"/>
      <c r="DA98" s="14">
        <v>0</v>
      </c>
      <c r="DB98" s="14"/>
      <c r="DC98" s="14">
        <v>0</v>
      </c>
      <c r="DD98" s="14">
        <v>0</v>
      </c>
      <c r="DE98" s="14">
        <v>0</v>
      </c>
      <c r="DF98" s="14"/>
      <c r="DG98" s="14">
        <v>0</v>
      </c>
      <c r="DH98" s="14">
        <v>0</v>
      </c>
      <c r="DI98" s="14">
        <v>0</v>
      </c>
      <c r="DJ98" s="14">
        <v>0</v>
      </c>
      <c r="DK98" s="14">
        <v>0</v>
      </c>
      <c r="DL98" s="14">
        <v>0</v>
      </c>
      <c r="DM98" s="14">
        <v>152</v>
      </c>
      <c r="DN98" s="14">
        <v>0</v>
      </c>
      <c r="DO98" s="14">
        <v>0</v>
      </c>
      <c r="DP98" s="13">
        <f t="shared" si="97"/>
        <v>152</v>
      </c>
      <c r="DR98" t="s">
        <v>74</v>
      </c>
      <c r="DU98" s="20" t="e">
        <f t="shared" si="98"/>
        <v>#REF!</v>
      </c>
    </row>
    <row r="99" spans="1:125" customFormat="1" ht="20.149999999999999" customHeight="1" x14ac:dyDescent="0.35">
      <c r="A99" s="84">
        <f t="shared" si="99"/>
        <v>88</v>
      </c>
      <c r="B99" s="142" t="s">
        <v>75</v>
      </c>
      <c r="C99" s="166" t="s">
        <v>327</v>
      </c>
      <c r="D99" s="109">
        <v>0</v>
      </c>
      <c r="E99" s="110">
        <f>'LPLPO GUDANG'!E102</f>
        <v>0</v>
      </c>
      <c r="F99" s="110">
        <f t="shared" si="50"/>
        <v>0</v>
      </c>
      <c r="G99" s="110">
        <f>'PEMAKAIAN UNIT'!R96</f>
        <v>0</v>
      </c>
      <c r="H99" s="14">
        <v>0</v>
      </c>
      <c r="I99" s="14">
        <v>0</v>
      </c>
      <c r="J99" s="14">
        <v>0</v>
      </c>
      <c r="K99" s="14"/>
      <c r="L99" s="14"/>
      <c r="M99" s="14"/>
      <c r="N99" s="14"/>
      <c r="O99" s="14"/>
      <c r="P99" s="14"/>
      <c r="Q99" s="14"/>
      <c r="R99" s="14"/>
      <c r="S99" s="14">
        <v>16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09">
        <f t="shared" si="51"/>
        <v>0</v>
      </c>
      <c r="Z99" s="109" t="e">
        <f t="shared" si="52"/>
        <v>#REF!</v>
      </c>
      <c r="AA99" s="109" t="e">
        <f t="shared" si="53"/>
        <v>#REF!</v>
      </c>
      <c r="AB99" s="14">
        <v>10</v>
      </c>
      <c r="AC99" s="109" t="e">
        <f t="shared" si="54"/>
        <v>#REF!</v>
      </c>
      <c r="AD99" s="109">
        <f>'LPLPO GUDANG'!H102</f>
        <v>0</v>
      </c>
      <c r="AE99" s="111" t="e">
        <f t="shared" si="55"/>
        <v>#REF!</v>
      </c>
      <c r="AF99" s="212"/>
      <c r="AG99" s="212"/>
      <c r="AH99" s="20"/>
      <c r="AI99" s="14">
        <f t="shared" si="56"/>
        <v>0</v>
      </c>
      <c r="AJ99" s="209" t="e">
        <f t="shared" si="57"/>
        <v>#REF!</v>
      </c>
      <c r="AL99" s="14">
        <f t="shared" si="58"/>
        <v>0</v>
      </c>
      <c r="AM99" s="14">
        <f>DISTRIBUSI!D97</f>
        <v>0</v>
      </c>
      <c r="AN99" s="14">
        <f>'PEMAKAIAN UNIT'!D96</f>
        <v>0</v>
      </c>
      <c r="AO99" s="14">
        <f t="shared" si="59"/>
        <v>0</v>
      </c>
      <c r="AP99" s="15">
        <f t="shared" si="60"/>
        <v>0</v>
      </c>
      <c r="AQ99" s="14">
        <f t="shared" si="61"/>
        <v>0</v>
      </c>
      <c r="AR99" s="14">
        <f>DISTRIBUSI!E97</f>
        <v>0</v>
      </c>
      <c r="AS99" s="14">
        <f>'PEMAKAIAN UNIT'!E96</f>
        <v>0</v>
      </c>
      <c r="AT99" s="14">
        <f t="shared" si="62"/>
        <v>0</v>
      </c>
      <c r="AU99" s="15">
        <f t="shared" si="63"/>
        <v>0</v>
      </c>
      <c r="AV99" s="14">
        <f t="shared" si="64"/>
        <v>0</v>
      </c>
      <c r="AW99" s="14">
        <f>DISTRIBUSI!F97</f>
        <v>0</v>
      </c>
      <c r="AX99" s="14">
        <f>'PEMAKAIAN UNIT'!F96</f>
        <v>0</v>
      </c>
      <c r="AY99" s="14">
        <f t="shared" si="65"/>
        <v>0</v>
      </c>
      <c r="AZ99" s="15">
        <f t="shared" si="66"/>
        <v>0</v>
      </c>
      <c r="BA99" s="14">
        <f t="shared" si="67"/>
        <v>16</v>
      </c>
      <c r="BB99" s="14">
        <f>DISTRIBUSI!G97</f>
        <v>0</v>
      </c>
      <c r="BC99" s="14">
        <f>'PEMAKAIAN UNIT'!G96</f>
        <v>0</v>
      </c>
      <c r="BD99" s="14">
        <f t="shared" si="68"/>
        <v>16</v>
      </c>
      <c r="BE99" s="15">
        <f t="shared" si="69"/>
        <v>0</v>
      </c>
      <c r="BF99" s="14">
        <f t="shared" si="70"/>
        <v>0</v>
      </c>
      <c r="BG99" s="14">
        <f>DISTRIBUSI!H97</f>
        <v>0</v>
      </c>
      <c r="BH99" s="14">
        <f>'PEMAKAIAN UNIT'!H96</f>
        <v>0</v>
      </c>
      <c r="BI99" s="14">
        <f t="shared" si="71"/>
        <v>0</v>
      </c>
      <c r="BJ99" s="15">
        <f t="shared" si="72"/>
        <v>0</v>
      </c>
      <c r="BK99" s="14">
        <f t="shared" si="73"/>
        <v>0</v>
      </c>
      <c r="BL99" s="14">
        <f>DISTRIBUSI!I97</f>
        <v>0</v>
      </c>
      <c r="BM99" s="14">
        <f>'PEMAKAIAN UNIT'!I96</f>
        <v>0</v>
      </c>
      <c r="BN99" s="14">
        <f t="shared" si="74"/>
        <v>0</v>
      </c>
      <c r="BO99" s="15">
        <f t="shared" si="75"/>
        <v>0</v>
      </c>
      <c r="BP99" s="14">
        <f t="shared" si="76"/>
        <v>0</v>
      </c>
      <c r="BQ99" s="14">
        <f>DISTRIBUSI!J97</f>
        <v>0</v>
      </c>
      <c r="BR99" s="14">
        <f>'PEMAKAIAN UNIT'!J96</f>
        <v>0</v>
      </c>
      <c r="BS99" s="14">
        <f t="shared" si="77"/>
        <v>0</v>
      </c>
      <c r="BT99" s="15">
        <f t="shared" si="78"/>
        <v>0</v>
      </c>
      <c r="BU99" s="14">
        <f t="shared" si="79"/>
        <v>0</v>
      </c>
      <c r="BV99" s="14">
        <f>DISTRIBUSI!K97</f>
        <v>0</v>
      </c>
      <c r="BW99" s="14">
        <f>'PEMAKAIAN UNIT'!K96</f>
        <v>0</v>
      </c>
      <c r="BX99" s="14">
        <f t="shared" si="80"/>
        <v>0</v>
      </c>
      <c r="BY99" s="15">
        <f t="shared" si="81"/>
        <v>0</v>
      </c>
      <c r="BZ99" s="14">
        <f t="shared" si="82"/>
        <v>0</v>
      </c>
      <c r="CA99" s="14">
        <f>DISTRIBUSI!L97</f>
        <v>0</v>
      </c>
      <c r="CB99" s="14">
        <f>'PEMAKAIAN UNIT'!L96</f>
        <v>0</v>
      </c>
      <c r="CC99" s="14">
        <f t="shared" si="83"/>
        <v>0</v>
      </c>
      <c r="CD99" s="15">
        <f t="shared" si="84"/>
        <v>0</v>
      </c>
      <c r="CE99" s="14">
        <f t="shared" si="85"/>
        <v>0</v>
      </c>
      <c r="CF99" s="14">
        <f>DISTRIBUSI!M97</f>
        <v>0</v>
      </c>
      <c r="CG99" s="14">
        <f>'PEMAKAIAN UNIT'!M96</f>
        <v>0</v>
      </c>
      <c r="CH99" s="14">
        <f t="shared" si="86"/>
        <v>0</v>
      </c>
      <c r="CI99" s="15">
        <f t="shared" si="87"/>
        <v>0</v>
      </c>
      <c r="CJ99" s="14">
        <f t="shared" si="88"/>
        <v>0</v>
      </c>
      <c r="CK99" s="14" t="e">
        <f>DISTRIBUSI!#REF!</f>
        <v>#REF!</v>
      </c>
      <c r="CL99" s="14">
        <f>'PEMAKAIAN UNIT'!N96</f>
        <v>0</v>
      </c>
      <c r="CM99" s="14" t="e">
        <f t="shared" si="89"/>
        <v>#REF!</v>
      </c>
      <c r="CN99" s="15" t="e">
        <f t="shared" si="90"/>
        <v>#REF!</v>
      </c>
      <c r="CO99" s="14" t="e">
        <f>DL99+DISTRIBUSI!#REF!-'PEMAKAIAN UNIT'!O96</f>
        <v>#REF!</v>
      </c>
      <c r="CP99" s="15" t="e">
        <f t="shared" si="91"/>
        <v>#REF!</v>
      </c>
      <c r="CQ99" s="226">
        <f t="shared" si="92"/>
        <v>19</v>
      </c>
      <c r="CR99" s="226">
        <f>DISTRIBUSI!R97</f>
        <v>0</v>
      </c>
      <c r="CS99" s="226">
        <f>'PEMAKAIAN UNIT'!P96</f>
        <v>0</v>
      </c>
      <c r="CT99" s="14">
        <f t="shared" si="93"/>
        <v>19</v>
      </c>
      <c r="CU99" s="15">
        <f t="shared" si="94"/>
        <v>9</v>
      </c>
      <c r="CV99" s="14" t="e">
        <f>DN99+DISTRIBUSI!#REF!-'PEMAKAIAN UNIT'!Q96</f>
        <v>#REF!</v>
      </c>
      <c r="CW99" s="15" t="e">
        <f t="shared" si="95"/>
        <v>#REF!</v>
      </c>
      <c r="CX99" s="14">
        <f>DO99+'LPLPO GUDANG'!E102-'LPLPO GUDANG'!G102</f>
        <v>80</v>
      </c>
      <c r="CY99" s="15">
        <f t="shared" si="96"/>
        <v>80</v>
      </c>
      <c r="CZ99" s="28"/>
      <c r="DA99" s="14">
        <v>0</v>
      </c>
      <c r="DB99" s="14"/>
      <c r="DC99" s="14">
        <v>0</v>
      </c>
      <c r="DD99" s="14">
        <v>16</v>
      </c>
      <c r="DE99" s="14">
        <v>0</v>
      </c>
      <c r="DF99" s="14"/>
      <c r="DG99" s="14">
        <v>0</v>
      </c>
      <c r="DH99" s="14">
        <v>0</v>
      </c>
      <c r="DI99" s="14">
        <v>0</v>
      </c>
      <c r="DJ99" s="14">
        <v>0</v>
      </c>
      <c r="DK99" s="14">
        <v>0</v>
      </c>
      <c r="DL99" s="14">
        <v>0</v>
      </c>
      <c r="DM99" s="14">
        <v>19</v>
      </c>
      <c r="DN99" s="14">
        <v>0</v>
      </c>
      <c r="DO99" s="14">
        <v>80</v>
      </c>
      <c r="DP99" s="13">
        <f t="shared" si="97"/>
        <v>115</v>
      </c>
      <c r="DR99" t="s">
        <v>75</v>
      </c>
      <c r="DU99" s="20" t="e">
        <f t="shared" si="98"/>
        <v>#REF!</v>
      </c>
    </row>
    <row r="100" spans="1:125" customFormat="1" ht="20.149999999999999" customHeight="1" x14ac:dyDescent="0.35">
      <c r="A100" s="84">
        <f t="shared" si="99"/>
        <v>89</v>
      </c>
      <c r="B100" s="142" t="s">
        <v>281</v>
      </c>
      <c r="C100" s="154" t="s">
        <v>188</v>
      </c>
      <c r="D100" s="109">
        <v>0</v>
      </c>
      <c r="E100" s="110">
        <f>'LPLPO GUDANG'!E103</f>
        <v>0</v>
      </c>
      <c r="F100" s="110">
        <f t="shared" si="50"/>
        <v>0</v>
      </c>
      <c r="G100" s="110">
        <f>'PEMAKAIAN UNIT'!R97</f>
        <v>0</v>
      </c>
      <c r="H100" s="14">
        <v>0</v>
      </c>
      <c r="I100" s="14">
        <v>0</v>
      </c>
      <c r="J100" s="14">
        <v>0</v>
      </c>
      <c r="K100" s="14"/>
      <c r="L100" s="14"/>
      <c r="M100" s="14"/>
      <c r="N100" s="14"/>
      <c r="O100" s="14"/>
      <c r="P100" s="14"/>
      <c r="Q100" s="14"/>
      <c r="R100" s="14"/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09">
        <f t="shared" si="51"/>
        <v>0</v>
      </c>
      <c r="Z100" s="109" t="e">
        <f t="shared" si="52"/>
        <v>#REF!</v>
      </c>
      <c r="AA100" s="109" t="e">
        <f t="shared" si="53"/>
        <v>#REF!</v>
      </c>
      <c r="AB100" s="14">
        <v>0</v>
      </c>
      <c r="AC100" s="109" t="e">
        <f t="shared" si="54"/>
        <v>#REF!</v>
      </c>
      <c r="AD100" s="109">
        <f>'LPLPO GUDANG'!H103</f>
        <v>0</v>
      </c>
      <c r="AE100" s="111" t="e">
        <f t="shared" si="55"/>
        <v>#REF!</v>
      </c>
      <c r="AF100" s="212"/>
      <c r="AG100" s="212"/>
      <c r="AH100" s="20"/>
      <c r="AI100" s="14">
        <f t="shared" si="56"/>
        <v>0</v>
      </c>
      <c r="AJ100" s="209" t="e">
        <f t="shared" si="57"/>
        <v>#REF!</v>
      </c>
      <c r="AL100" s="14">
        <f t="shared" si="58"/>
        <v>0</v>
      </c>
      <c r="AM100" s="14">
        <f>DISTRIBUSI!D98</f>
        <v>0</v>
      </c>
      <c r="AN100" s="14">
        <f>'PEMAKAIAN UNIT'!D97</f>
        <v>0</v>
      </c>
      <c r="AO100" s="14">
        <f t="shared" si="59"/>
        <v>0</v>
      </c>
      <c r="AP100" s="15">
        <f t="shared" si="60"/>
        <v>0</v>
      </c>
      <c r="AQ100" s="14">
        <f t="shared" si="61"/>
        <v>0</v>
      </c>
      <c r="AR100" s="14">
        <f>DISTRIBUSI!E98</f>
        <v>0</v>
      </c>
      <c r="AS100" s="14">
        <f>'PEMAKAIAN UNIT'!E97</f>
        <v>0</v>
      </c>
      <c r="AT100" s="14">
        <f t="shared" si="62"/>
        <v>0</v>
      </c>
      <c r="AU100" s="15">
        <f t="shared" si="63"/>
        <v>0</v>
      </c>
      <c r="AV100" s="14">
        <f t="shared" si="64"/>
        <v>0</v>
      </c>
      <c r="AW100" s="14">
        <f>DISTRIBUSI!F98</f>
        <v>0</v>
      </c>
      <c r="AX100" s="14">
        <f>'PEMAKAIAN UNIT'!F97</f>
        <v>0</v>
      </c>
      <c r="AY100" s="14">
        <f t="shared" si="65"/>
        <v>0</v>
      </c>
      <c r="AZ100" s="15">
        <f t="shared" si="66"/>
        <v>0</v>
      </c>
      <c r="BA100" s="14">
        <f t="shared" si="67"/>
        <v>0</v>
      </c>
      <c r="BB100" s="14">
        <f>DISTRIBUSI!G98</f>
        <v>0</v>
      </c>
      <c r="BC100" s="14">
        <f>'PEMAKAIAN UNIT'!G97</f>
        <v>0</v>
      </c>
      <c r="BD100" s="14">
        <f t="shared" si="68"/>
        <v>0</v>
      </c>
      <c r="BE100" s="15">
        <f t="shared" si="69"/>
        <v>0</v>
      </c>
      <c r="BF100" s="14">
        <f t="shared" si="70"/>
        <v>0</v>
      </c>
      <c r="BG100" s="14">
        <f>DISTRIBUSI!H98</f>
        <v>0</v>
      </c>
      <c r="BH100" s="14">
        <f>'PEMAKAIAN UNIT'!H97</f>
        <v>0</v>
      </c>
      <c r="BI100" s="14">
        <f t="shared" si="71"/>
        <v>0</v>
      </c>
      <c r="BJ100" s="15">
        <f t="shared" si="72"/>
        <v>0</v>
      </c>
      <c r="BK100" s="14">
        <f t="shared" si="73"/>
        <v>0</v>
      </c>
      <c r="BL100" s="14">
        <f>DISTRIBUSI!I98</f>
        <v>0</v>
      </c>
      <c r="BM100" s="14">
        <f>'PEMAKAIAN UNIT'!I97</f>
        <v>0</v>
      </c>
      <c r="BN100" s="14">
        <f t="shared" si="74"/>
        <v>0</v>
      </c>
      <c r="BO100" s="15">
        <f t="shared" si="75"/>
        <v>0</v>
      </c>
      <c r="BP100" s="14">
        <f t="shared" si="76"/>
        <v>0</v>
      </c>
      <c r="BQ100" s="14">
        <f>DISTRIBUSI!J98</f>
        <v>0</v>
      </c>
      <c r="BR100" s="14">
        <f>'PEMAKAIAN UNIT'!J97</f>
        <v>0</v>
      </c>
      <c r="BS100" s="14">
        <f t="shared" si="77"/>
        <v>0</v>
      </c>
      <c r="BT100" s="15">
        <f t="shared" si="78"/>
        <v>0</v>
      </c>
      <c r="BU100" s="14">
        <f t="shared" si="79"/>
        <v>0</v>
      </c>
      <c r="BV100" s="14">
        <f>DISTRIBUSI!K98</f>
        <v>0</v>
      </c>
      <c r="BW100" s="14">
        <f>'PEMAKAIAN UNIT'!K97</f>
        <v>0</v>
      </c>
      <c r="BX100" s="14">
        <f t="shared" si="80"/>
        <v>0</v>
      </c>
      <c r="BY100" s="15">
        <f t="shared" si="81"/>
        <v>0</v>
      </c>
      <c r="BZ100" s="14">
        <f t="shared" si="82"/>
        <v>0</v>
      </c>
      <c r="CA100" s="14">
        <f>DISTRIBUSI!L98</f>
        <v>0</v>
      </c>
      <c r="CB100" s="14">
        <f>'PEMAKAIAN UNIT'!L97</f>
        <v>0</v>
      </c>
      <c r="CC100" s="14">
        <f t="shared" si="83"/>
        <v>0</v>
      </c>
      <c r="CD100" s="15">
        <f t="shared" si="84"/>
        <v>0</v>
      </c>
      <c r="CE100" s="14">
        <f t="shared" si="85"/>
        <v>0</v>
      </c>
      <c r="CF100" s="14">
        <f>DISTRIBUSI!M98</f>
        <v>0</v>
      </c>
      <c r="CG100" s="14">
        <f>'PEMAKAIAN UNIT'!M97</f>
        <v>0</v>
      </c>
      <c r="CH100" s="14">
        <f t="shared" si="86"/>
        <v>0</v>
      </c>
      <c r="CI100" s="15">
        <f t="shared" si="87"/>
        <v>0</v>
      </c>
      <c r="CJ100" s="14">
        <f t="shared" si="88"/>
        <v>0</v>
      </c>
      <c r="CK100" s="14" t="e">
        <f>DISTRIBUSI!#REF!</f>
        <v>#REF!</v>
      </c>
      <c r="CL100" s="14">
        <f>'PEMAKAIAN UNIT'!N97</f>
        <v>0</v>
      </c>
      <c r="CM100" s="14" t="e">
        <f t="shared" si="89"/>
        <v>#REF!</v>
      </c>
      <c r="CN100" s="15" t="e">
        <f t="shared" si="90"/>
        <v>#REF!</v>
      </c>
      <c r="CO100" s="14" t="e">
        <f>DL100+DISTRIBUSI!#REF!-'PEMAKAIAN UNIT'!O97</f>
        <v>#REF!</v>
      </c>
      <c r="CP100" s="15" t="e">
        <f t="shared" si="91"/>
        <v>#REF!</v>
      </c>
      <c r="CQ100" s="226">
        <f t="shared" si="92"/>
        <v>0</v>
      </c>
      <c r="CR100" s="226">
        <f>DISTRIBUSI!R98</f>
        <v>0</v>
      </c>
      <c r="CS100" s="226">
        <f>'PEMAKAIAN UNIT'!P97</f>
        <v>0</v>
      </c>
      <c r="CT100" s="14">
        <f t="shared" si="93"/>
        <v>0</v>
      </c>
      <c r="CU100" s="15">
        <f t="shared" si="94"/>
        <v>0</v>
      </c>
      <c r="CV100" s="14" t="e">
        <f>DN100+DISTRIBUSI!#REF!-'PEMAKAIAN UNIT'!Q97</f>
        <v>#REF!</v>
      </c>
      <c r="CW100" s="15" t="e">
        <f t="shared" si="95"/>
        <v>#REF!</v>
      </c>
      <c r="CX100" s="14">
        <f>DO100+'LPLPO GUDANG'!E103-'LPLPO GUDANG'!G103</f>
        <v>0</v>
      </c>
      <c r="CY100" s="15">
        <f t="shared" si="96"/>
        <v>0</v>
      </c>
      <c r="CZ100" s="28"/>
      <c r="DA100" s="14">
        <v>0</v>
      </c>
      <c r="DB100" s="14"/>
      <c r="DC100" s="14">
        <v>0</v>
      </c>
      <c r="DD100" s="14">
        <v>0</v>
      </c>
      <c r="DE100" s="14">
        <v>0</v>
      </c>
      <c r="DF100" s="14"/>
      <c r="DG100" s="14">
        <v>0</v>
      </c>
      <c r="DH100" s="14">
        <v>0</v>
      </c>
      <c r="DI100" s="14"/>
      <c r="DJ100" s="14">
        <v>0</v>
      </c>
      <c r="DK100" s="14">
        <v>0</v>
      </c>
      <c r="DL100" s="14">
        <v>0</v>
      </c>
      <c r="DM100" s="14">
        <v>0</v>
      </c>
      <c r="DN100" s="14">
        <v>0</v>
      </c>
      <c r="DO100" s="14">
        <v>0</v>
      </c>
      <c r="DP100" s="13">
        <f t="shared" si="97"/>
        <v>0</v>
      </c>
      <c r="DR100" t="s">
        <v>281</v>
      </c>
      <c r="DU100" s="20" t="e">
        <f t="shared" si="98"/>
        <v>#REF!</v>
      </c>
    </row>
    <row r="101" spans="1:125" customFormat="1" ht="20.149999999999999" customHeight="1" x14ac:dyDescent="0.35">
      <c r="A101" s="84">
        <f t="shared" si="99"/>
        <v>90</v>
      </c>
      <c r="B101" s="142" t="s">
        <v>76</v>
      </c>
      <c r="C101" s="154" t="s">
        <v>4</v>
      </c>
      <c r="D101" s="109">
        <v>0</v>
      </c>
      <c r="E101" s="110">
        <f>'LPLPO GUDANG'!E104</f>
        <v>0</v>
      </c>
      <c r="F101" s="110">
        <f t="shared" si="50"/>
        <v>0</v>
      </c>
      <c r="G101" s="110">
        <f>'PEMAKAIAN UNIT'!R98</f>
        <v>0</v>
      </c>
      <c r="H101" s="14">
        <v>0</v>
      </c>
      <c r="I101" s="14">
        <v>0</v>
      </c>
      <c r="J101" s="14">
        <v>0</v>
      </c>
      <c r="K101" s="14"/>
      <c r="L101" s="14"/>
      <c r="M101" s="14"/>
      <c r="N101" s="14"/>
      <c r="O101" s="14"/>
      <c r="P101" s="14"/>
      <c r="Q101" s="14"/>
      <c r="R101" s="14"/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09">
        <f t="shared" si="51"/>
        <v>0</v>
      </c>
      <c r="Z101" s="109" t="e">
        <f t="shared" si="52"/>
        <v>#REF!</v>
      </c>
      <c r="AA101" s="109" t="e">
        <f t="shared" si="53"/>
        <v>#REF!</v>
      </c>
      <c r="AB101" s="14">
        <v>0</v>
      </c>
      <c r="AC101" s="109" t="e">
        <f t="shared" si="54"/>
        <v>#REF!</v>
      </c>
      <c r="AD101" s="109">
        <f>'LPLPO GUDANG'!H104</f>
        <v>0</v>
      </c>
      <c r="AE101" s="111" t="e">
        <f t="shared" si="55"/>
        <v>#REF!</v>
      </c>
      <c r="AF101" s="212"/>
      <c r="AG101" s="212"/>
      <c r="AH101" s="20"/>
      <c r="AI101" s="14">
        <f t="shared" si="56"/>
        <v>0</v>
      </c>
      <c r="AJ101" s="209" t="e">
        <f t="shared" si="57"/>
        <v>#REF!</v>
      </c>
      <c r="AL101" s="14">
        <f t="shared" si="58"/>
        <v>0</v>
      </c>
      <c r="AM101" s="14">
        <f>DISTRIBUSI!D99</f>
        <v>0</v>
      </c>
      <c r="AN101" s="14">
        <f>'PEMAKAIAN UNIT'!D98</f>
        <v>0</v>
      </c>
      <c r="AO101" s="14">
        <f t="shared" si="59"/>
        <v>0</v>
      </c>
      <c r="AP101" s="15">
        <f t="shared" si="60"/>
        <v>0</v>
      </c>
      <c r="AQ101" s="14">
        <f t="shared" si="61"/>
        <v>0</v>
      </c>
      <c r="AR101" s="14">
        <f>DISTRIBUSI!E99</f>
        <v>0</v>
      </c>
      <c r="AS101" s="14">
        <f>'PEMAKAIAN UNIT'!E98</f>
        <v>0</v>
      </c>
      <c r="AT101" s="14">
        <f t="shared" si="62"/>
        <v>0</v>
      </c>
      <c r="AU101" s="15">
        <f t="shared" si="63"/>
        <v>0</v>
      </c>
      <c r="AV101" s="14">
        <f t="shared" si="64"/>
        <v>1</v>
      </c>
      <c r="AW101" s="14">
        <f>DISTRIBUSI!F99</f>
        <v>0</v>
      </c>
      <c r="AX101" s="14">
        <f>'PEMAKAIAN UNIT'!F98</f>
        <v>0</v>
      </c>
      <c r="AY101" s="14">
        <f t="shared" si="65"/>
        <v>1</v>
      </c>
      <c r="AZ101" s="15">
        <f t="shared" si="66"/>
        <v>1</v>
      </c>
      <c r="BA101" s="14">
        <f t="shared" si="67"/>
        <v>0</v>
      </c>
      <c r="BB101" s="14">
        <f>DISTRIBUSI!G99</f>
        <v>0</v>
      </c>
      <c r="BC101" s="14">
        <f>'PEMAKAIAN UNIT'!G98</f>
        <v>0</v>
      </c>
      <c r="BD101" s="14">
        <f t="shared" si="68"/>
        <v>0</v>
      </c>
      <c r="BE101" s="15">
        <f t="shared" si="69"/>
        <v>0</v>
      </c>
      <c r="BF101" s="14">
        <f t="shared" si="70"/>
        <v>0</v>
      </c>
      <c r="BG101" s="14">
        <f>DISTRIBUSI!H99</f>
        <v>0</v>
      </c>
      <c r="BH101" s="14">
        <f>'PEMAKAIAN UNIT'!H98</f>
        <v>0</v>
      </c>
      <c r="BI101" s="14">
        <f t="shared" si="71"/>
        <v>0</v>
      </c>
      <c r="BJ101" s="15">
        <f t="shared" si="72"/>
        <v>0</v>
      </c>
      <c r="BK101" s="14">
        <f t="shared" si="73"/>
        <v>0</v>
      </c>
      <c r="BL101" s="14">
        <f>DISTRIBUSI!I99</f>
        <v>0</v>
      </c>
      <c r="BM101" s="14">
        <f>'PEMAKAIAN UNIT'!I98</f>
        <v>0</v>
      </c>
      <c r="BN101" s="14">
        <f t="shared" si="74"/>
        <v>0</v>
      </c>
      <c r="BO101" s="15">
        <f t="shared" si="75"/>
        <v>0</v>
      </c>
      <c r="BP101" s="14">
        <f t="shared" si="76"/>
        <v>0</v>
      </c>
      <c r="BQ101" s="14">
        <f>DISTRIBUSI!J99</f>
        <v>0</v>
      </c>
      <c r="BR101" s="14">
        <f>'PEMAKAIAN UNIT'!J98</f>
        <v>0</v>
      </c>
      <c r="BS101" s="14">
        <f t="shared" si="77"/>
        <v>0</v>
      </c>
      <c r="BT101" s="15">
        <f t="shared" si="78"/>
        <v>0</v>
      </c>
      <c r="BU101" s="14">
        <f t="shared" si="79"/>
        <v>0</v>
      </c>
      <c r="BV101" s="14">
        <f>DISTRIBUSI!K99</f>
        <v>0</v>
      </c>
      <c r="BW101" s="14">
        <f>'PEMAKAIAN UNIT'!K98</f>
        <v>0</v>
      </c>
      <c r="BX101" s="14">
        <f t="shared" si="80"/>
        <v>0</v>
      </c>
      <c r="BY101" s="15">
        <f t="shared" si="81"/>
        <v>0</v>
      </c>
      <c r="BZ101" s="14">
        <f t="shared" si="82"/>
        <v>0</v>
      </c>
      <c r="CA101" s="14">
        <f>DISTRIBUSI!L99</f>
        <v>0</v>
      </c>
      <c r="CB101" s="14">
        <f>'PEMAKAIAN UNIT'!L98</f>
        <v>0</v>
      </c>
      <c r="CC101" s="14">
        <f t="shared" si="83"/>
        <v>0</v>
      </c>
      <c r="CD101" s="15">
        <f t="shared" si="84"/>
        <v>0</v>
      </c>
      <c r="CE101" s="14">
        <f t="shared" si="85"/>
        <v>0</v>
      </c>
      <c r="CF101" s="14">
        <f>DISTRIBUSI!M99</f>
        <v>0</v>
      </c>
      <c r="CG101" s="14">
        <f>'PEMAKAIAN UNIT'!M98</f>
        <v>0</v>
      </c>
      <c r="CH101" s="14">
        <f t="shared" si="86"/>
        <v>0</v>
      </c>
      <c r="CI101" s="15">
        <f t="shared" si="87"/>
        <v>0</v>
      </c>
      <c r="CJ101" s="14">
        <f t="shared" si="88"/>
        <v>0</v>
      </c>
      <c r="CK101" s="14" t="e">
        <f>DISTRIBUSI!#REF!</f>
        <v>#REF!</v>
      </c>
      <c r="CL101" s="14">
        <f>'PEMAKAIAN UNIT'!N98</f>
        <v>0</v>
      </c>
      <c r="CM101" s="14" t="e">
        <f t="shared" si="89"/>
        <v>#REF!</v>
      </c>
      <c r="CN101" s="15" t="e">
        <f t="shared" si="90"/>
        <v>#REF!</v>
      </c>
      <c r="CO101" s="14" t="e">
        <f>DL101+DISTRIBUSI!#REF!-'PEMAKAIAN UNIT'!O98</f>
        <v>#REF!</v>
      </c>
      <c r="CP101" s="15" t="e">
        <f t="shared" si="91"/>
        <v>#REF!</v>
      </c>
      <c r="CQ101" s="226">
        <f t="shared" si="92"/>
        <v>0</v>
      </c>
      <c r="CR101" s="226">
        <f>DISTRIBUSI!R99</f>
        <v>0</v>
      </c>
      <c r="CS101" s="226">
        <f>'PEMAKAIAN UNIT'!P98</f>
        <v>0</v>
      </c>
      <c r="CT101" s="14">
        <f t="shared" si="93"/>
        <v>0</v>
      </c>
      <c r="CU101" s="15">
        <f t="shared" si="94"/>
        <v>0</v>
      </c>
      <c r="CV101" s="14" t="e">
        <f>DN101+DISTRIBUSI!#REF!-'PEMAKAIAN UNIT'!Q98</f>
        <v>#REF!</v>
      </c>
      <c r="CW101" s="15" t="e">
        <f t="shared" si="95"/>
        <v>#REF!</v>
      </c>
      <c r="CX101" s="14">
        <f>DO101+'LPLPO GUDANG'!E104-'LPLPO GUDANG'!G104</f>
        <v>0</v>
      </c>
      <c r="CY101" s="15">
        <f t="shared" si="96"/>
        <v>0</v>
      </c>
      <c r="CZ101" s="28"/>
      <c r="DA101" s="14">
        <v>0</v>
      </c>
      <c r="DB101" s="14"/>
      <c r="DC101" s="14">
        <v>1</v>
      </c>
      <c r="DD101" s="14">
        <v>0</v>
      </c>
      <c r="DE101" s="14">
        <v>0</v>
      </c>
      <c r="DF101" s="14"/>
      <c r="DG101" s="14">
        <v>0</v>
      </c>
      <c r="DH101" s="14">
        <v>0</v>
      </c>
      <c r="DI101" s="14">
        <v>0</v>
      </c>
      <c r="DJ101" s="14">
        <v>0</v>
      </c>
      <c r="DK101" s="14">
        <v>0</v>
      </c>
      <c r="DL101" s="14">
        <v>0</v>
      </c>
      <c r="DM101" s="14">
        <v>0</v>
      </c>
      <c r="DN101" s="14">
        <v>0</v>
      </c>
      <c r="DO101" s="14">
        <v>0</v>
      </c>
      <c r="DP101" s="13">
        <f t="shared" si="97"/>
        <v>1</v>
      </c>
      <c r="DR101" t="s">
        <v>76</v>
      </c>
      <c r="DU101" s="20" t="e">
        <f t="shared" si="98"/>
        <v>#REF!</v>
      </c>
    </row>
    <row r="102" spans="1:125" customFormat="1" ht="20.149999999999999" customHeight="1" x14ac:dyDescent="0.35">
      <c r="A102" s="84">
        <f t="shared" si="99"/>
        <v>91</v>
      </c>
      <c r="B102" s="142" t="s">
        <v>77</v>
      </c>
      <c r="C102" s="154" t="s">
        <v>64</v>
      </c>
      <c r="D102" s="109">
        <v>0</v>
      </c>
      <c r="E102" s="110">
        <f>'LPLPO GUDANG'!E105</f>
        <v>250</v>
      </c>
      <c r="F102" s="110">
        <f t="shared" si="50"/>
        <v>250</v>
      </c>
      <c r="G102" s="110">
        <f>'PEMAKAIAN UNIT'!R99</f>
        <v>0</v>
      </c>
      <c r="H102" s="14">
        <v>0</v>
      </c>
      <c r="I102" s="14">
        <v>0</v>
      </c>
      <c r="J102" s="14">
        <v>0</v>
      </c>
      <c r="K102" s="14"/>
      <c r="L102" s="14"/>
      <c r="M102" s="14"/>
      <c r="N102" s="14"/>
      <c r="O102" s="14"/>
      <c r="P102" s="14"/>
      <c r="Q102" s="14"/>
      <c r="R102" s="14"/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09">
        <f t="shared" si="51"/>
        <v>0</v>
      </c>
      <c r="Z102" s="109" t="e">
        <f t="shared" si="52"/>
        <v>#REF!</v>
      </c>
      <c r="AA102" s="109" t="e">
        <f t="shared" si="53"/>
        <v>#REF!</v>
      </c>
      <c r="AB102" s="14">
        <v>64</v>
      </c>
      <c r="AC102" s="109" t="e">
        <f t="shared" si="54"/>
        <v>#REF!</v>
      </c>
      <c r="AD102" s="109">
        <f>'LPLPO GUDANG'!H105</f>
        <v>0</v>
      </c>
      <c r="AE102" s="111" t="e">
        <f t="shared" si="55"/>
        <v>#REF!</v>
      </c>
      <c r="AF102" s="212"/>
      <c r="AG102" s="212"/>
      <c r="AH102" s="20"/>
      <c r="AI102" s="14">
        <f t="shared" si="56"/>
        <v>250</v>
      </c>
      <c r="AJ102" s="209" t="e">
        <f t="shared" si="57"/>
        <v>#REF!</v>
      </c>
      <c r="AL102" s="14">
        <f t="shared" si="58"/>
        <v>0</v>
      </c>
      <c r="AM102" s="14">
        <f>DISTRIBUSI!D100</f>
        <v>0</v>
      </c>
      <c r="AN102" s="14">
        <f>'PEMAKAIAN UNIT'!D99</f>
        <v>0</v>
      </c>
      <c r="AO102" s="14">
        <f t="shared" si="59"/>
        <v>0</v>
      </c>
      <c r="AP102" s="15">
        <f t="shared" si="60"/>
        <v>0</v>
      </c>
      <c r="AQ102" s="14">
        <f t="shared" si="61"/>
        <v>0</v>
      </c>
      <c r="AR102" s="14">
        <f>DISTRIBUSI!E100</f>
        <v>0</v>
      </c>
      <c r="AS102" s="14">
        <f>'PEMAKAIAN UNIT'!E99</f>
        <v>0</v>
      </c>
      <c r="AT102" s="14">
        <f t="shared" si="62"/>
        <v>0</v>
      </c>
      <c r="AU102" s="15">
        <f t="shared" si="63"/>
        <v>0</v>
      </c>
      <c r="AV102" s="14">
        <f t="shared" si="64"/>
        <v>0</v>
      </c>
      <c r="AW102" s="14">
        <f>DISTRIBUSI!F100</f>
        <v>0</v>
      </c>
      <c r="AX102" s="14">
        <f>'PEMAKAIAN UNIT'!F99</f>
        <v>0</v>
      </c>
      <c r="AY102" s="14">
        <f t="shared" si="65"/>
        <v>0</v>
      </c>
      <c r="AZ102" s="15">
        <f t="shared" si="66"/>
        <v>0</v>
      </c>
      <c r="BA102" s="14">
        <f t="shared" si="67"/>
        <v>0</v>
      </c>
      <c r="BB102" s="14">
        <f>DISTRIBUSI!G100</f>
        <v>0</v>
      </c>
      <c r="BC102" s="14">
        <f>'PEMAKAIAN UNIT'!G99</f>
        <v>0</v>
      </c>
      <c r="BD102" s="14">
        <f t="shared" si="68"/>
        <v>0</v>
      </c>
      <c r="BE102" s="15">
        <f t="shared" si="69"/>
        <v>0</v>
      </c>
      <c r="BF102" s="14">
        <f t="shared" si="70"/>
        <v>0</v>
      </c>
      <c r="BG102" s="14">
        <f>DISTRIBUSI!H100</f>
        <v>0</v>
      </c>
      <c r="BH102" s="14">
        <f>'PEMAKAIAN UNIT'!H99</f>
        <v>0</v>
      </c>
      <c r="BI102" s="14">
        <f t="shared" si="71"/>
        <v>0</v>
      </c>
      <c r="BJ102" s="15">
        <f t="shared" si="72"/>
        <v>0</v>
      </c>
      <c r="BK102" s="14">
        <f t="shared" si="73"/>
        <v>0</v>
      </c>
      <c r="BL102" s="14">
        <f>DISTRIBUSI!I100</f>
        <v>0</v>
      </c>
      <c r="BM102" s="14">
        <f>'PEMAKAIAN UNIT'!I99</f>
        <v>0</v>
      </c>
      <c r="BN102" s="14">
        <f t="shared" si="74"/>
        <v>0</v>
      </c>
      <c r="BO102" s="15">
        <f t="shared" si="75"/>
        <v>0</v>
      </c>
      <c r="BP102" s="14">
        <f t="shared" si="76"/>
        <v>0</v>
      </c>
      <c r="BQ102" s="14">
        <f>DISTRIBUSI!J100</f>
        <v>0</v>
      </c>
      <c r="BR102" s="14">
        <f>'PEMAKAIAN UNIT'!J99</f>
        <v>0</v>
      </c>
      <c r="BS102" s="14">
        <f t="shared" si="77"/>
        <v>0</v>
      </c>
      <c r="BT102" s="15">
        <f t="shared" si="78"/>
        <v>0</v>
      </c>
      <c r="BU102" s="14">
        <f t="shared" si="79"/>
        <v>0</v>
      </c>
      <c r="BV102" s="14">
        <f>DISTRIBUSI!K100</f>
        <v>0</v>
      </c>
      <c r="BW102" s="14">
        <f>'PEMAKAIAN UNIT'!K99</f>
        <v>0</v>
      </c>
      <c r="BX102" s="14">
        <f t="shared" si="80"/>
        <v>0</v>
      </c>
      <c r="BY102" s="15">
        <f t="shared" si="81"/>
        <v>0</v>
      </c>
      <c r="BZ102" s="14">
        <f t="shared" si="82"/>
        <v>0</v>
      </c>
      <c r="CA102" s="14">
        <f>DISTRIBUSI!L100</f>
        <v>0</v>
      </c>
      <c r="CB102" s="14">
        <f>'PEMAKAIAN UNIT'!L99</f>
        <v>0</v>
      </c>
      <c r="CC102" s="14">
        <f t="shared" si="83"/>
        <v>0</v>
      </c>
      <c r="CD102" s="15">
        <f t="shared" si="84"/>
        <v>0</v>
      </c>
      <c r="CE102" s="14">
        <f t="shared" si="85"/>
        <v>0</v>
      </c>
      <c r="CF102" s="14">
        <f>DISTRIBUSI!M100</f>
        <v>0</v>
      </c>
      <c r="CG102" s="14">
        <f>'PEMAKAIAN UNIT'!M99</f>
        <v>0</v>
      </c>
      <c r="CH102" s="14">
        <f t="shared" si="86"/>
        <v>0</v>
      </c>
      <c r="CI102" s="15">
        <f t="shared" si="87"/>
        <v>0</v>
      </c>
      <c r="CJ102" s="14">
        <f t="shared" si="88"/>
        <v>0</v>
      </c>
      <c r="CK102" s="14" t="e">
        <f>DISTRIBUSI!#REF!</f>
        <v>#REF!</v>
      </c>
      <c r="CL102" s="14">
        <f>'PEMAKAIAN UNIT'!N99</f>
        <v>0</v>
      </c>
      <c r="CM102" s="14" t="e">
        <f t="shared" si="89"/>
        <v>#REF!</v>
      </c>
      <c r="CN102" s="15" t="e">
        <f t="shared" si="90"/>
        <v>#REF!</v>
      </c>
      <c r="CO102" s="14" t="e">
        <f>DL102+DISTRIBUSI!#REF!-'PEMAKAIAN UNIT'!O99</f>
        <v>#REF!</v>
      </c>
      <c r="CP102" s="15" t="e">
        <f t="shared" si="91"/>
        <v>#REF!</v>
      </c>
      <c r="CQ102" s="226">
        <f t="shared" si="92"/>
        <v>124</v>
      </c>
      <c r="CR102" s="226">
        <f>DISTRIBUSI!R100</f>
        <v>250</v>
      </c>
      <c r="CS102" s="226">
        <f>'PEMAKAIAN UNIT'!P99</f>
        <v>0</v>
      </c>
      <c r="CT102" s="14">
        <f t="shared" si="93"/>
        <v>374</v>
      </c>
      <c r="CU102" s="15">
        <f t="shared" si="94"/>
        <v>310</v>
      </c>
      <c r="CV102" s="14" t="e">
        <f>DN102+DISTRIBUSI!#REF!-'PEMAKAIAN UNIT'!Q99</f>
        <v>#REF!</v>
      </c>
      <c r="CW102" s="15" t="e">
        <f t="shared" si="95"/>
        <v>#REF!</v>
      </c>
      <c r="CX102" s="14">
        <f>DO102+'LPLPO GUDANG'!E105-'LPLPO GUDANG'!G105</f>
        <v>0</v>
      </c>
      <c r="CY102" s="15">
        <f t="shared" si="96"/>
        <v>0</v>
      </c>
      <c r="CZ102" s="28"/>
      <c r="DA102" s="14">
        <v>0</v>
      </c>
      <c r="DB102" s="14"/>
      <c r="DC102" s="14">
        <v>0</v>
      </c>
      <c r="DD102" s="14">
        <v>0</v>
      </c>
      <c r="DE102" s="14">
        <v>0</v>
      </c>
      <c r="DF102" s="14"/>
      <c r="DG102" s="14">
        <v>0</v>
      </c>
      <c r="DH102" s="14">
        <v>0</v>
      </c>
      <c r="DI102" s="14">
        <v>0</v>
      </c>
      <c r="DJ102" s="14">
        <v>0</v>
      </c>
      <c r="DK102" s="14">
        <v>0</v>
      </c>
      <c r="DL102" s="14">
        <v>0</v>
      </c>
      <c r="DM102" s="14">
        <v>124</v>
      </c>
      <c r="DN102" s="14">
        <v>0</v>
      </c>
      <c r="DO102" s="14">
        <v>0</v>
      </c>
      <c r="DP102" s="13">
        <f t="shared" si="97"/>
        <v>124</v>
      </c>
      <c r="DR102" t="s">
        <v>77</v>
      </c>
      <c r="DU102" s="20" t="e">
        <f t="shared" si="98"/>
        <v>#REF!</v>
      </c>
    </row>
    <row r="103" spans="1:125" customFormat="1" ht="20.149999999999999" customHeight="1" x14ac:dyDescent="0.35">
      <c r="A103" s="84">
        <f t="shared" si="99"/>
        <v>92</v>
      </c>
      <c r="B103" s="142" t="s">
        <v>78</v>
      </c>
      <c r="C103" s="157" t="s">
        <v>345</v>
      </c>
      <c r="D103" s="109">
        <v>0</v>
      </c>
      <c r="E103" s="110">
        <f>'LPLPO GUDANG'!E106</f>
        <v>0</v>
      </c>
      <c r="F103" s="110">
        <f t="shared" si="50"/>
        <v>0</v>
      </c>
      <c r="G103" s="110">
        <f>'PEMAKAIAN UNIT'!R100</f>
        <v>0</v>
      </c>
      <c r="H103" s="14">
        <v>0</v>
      </c>
      <c r="I103" s="14">
        <v>0</v>
      </c>
      <c r="J103" s="14">
        <v>0</v>
      </c>
      <c r="K103" s="14"/>
      <c r="L103" s="14"/>
      <c r="M103" s="14"/>
      <c r="N103" s="14"/>
      <c r="O103" s="14"/>
      <c r="P103" s="14"/>
      <c r="Q103" s="14"/>
      <c r="R103" s="14"/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09">
        <f t="shared" si="51"/>
        <v>0</v>
      </c>
      <c r="Z103" s="109" t="e">
        <f t="shared" si="52"/>
        <v>#REF!</v>
      </c>
      <c r="AA103" s="109" t="e">
        <f t="shared" si="53"/>
        <v>#REF!</v>
      </c>
      <c r="AB103" s="14">
        <v>1231</v>
      </c>
      <c r="AC103" s="109" t="e">
        <f t="shared" si="54"/>
        <v>#REF!</v>
      </c>
      <c r="AD103" s="109">
        <f>'LPLPO GUDANG'!H106</f>
        <v>1100</v>
      </c>
      <c r="AE103" s="111" t="e">
        <f t="shared" si="55"/>
        <v>#REF!</v>
      </c>
      <c r="AF103" s="212"/>
      <c r="AG103" s="212"/>
      <c r="AH103" s="20"/>
      <c r="AI103" s="14">
        <f t="shared" si="56"/>
        <v>0</v>
      </c>
      <c r="AJ103" s="209" t="e">
        <f t="shared" si="57"/>
        <v>#REF!</v>
      </c>
      <c r="AL103" s="14">
        <f t="shared" si="58"/>
        <v>0</v>
      </c>
      <c r="AM103" s="14">
        <f>DISTRIBUSI!D101</f>
        <v>0</v>
      </c>
      <c r="AN103" s="14">
        <f>'PEMAKAIAN UNIT'!D100</f>
        <v>0</v>
      </c>
      <c r="AO103" s="14">
        <f t="shared" si="59"/>
        <v>0</v>
      </c>
      <c r="AP103" s="15">
        <f t="shared" si="60"/>
        <v>0</v>
      </c>
      <c r="AQ103" s="14">
        <f t="shared" si="61"/>
        <v>0</v>
      </c>
      <c r="AR103" s="14">
        <f>DISTRIBUSI!E101</f>
        <v>0</v>
      </c>
      <c r="AS103" s="14">
        <f>'PEMAKAIAN UNIT'!E100</f>
        <v>0</v>
      </c>
      <c r="AT103" s="14">
        <f t="shared" si="62"/>
        <v>0</v>
      </c>
      <c r="AU103" s="15">
        <f t="shared" si="63"/>
        <v>0</v>
      </c>
      <c r="AV103" s="14">
        <f t="shared" si="64"/>
        <v>0</v>
      </c>
      <c r="AW103" s="14">
        <f>DISTRIBUSI!F101</f>
        <v>0</v>
      </c>
      <c r="AX103" s="14">
        <f>'PEMAKAIAN UNIT'!F100</f>
        <v>0</v>
      </c>
      <c r="AY103" s="14">
        <f t="shared" si="65"/>
        <v>0</v>
      </c>
      <c r="AZ103" s="15">
        <f t="shared" si="66"/>
        <v>0</v>
      </c>
      <c r="BA103" s="14">
        <f t="shared" si="67"/>
        <v>0</v>
      </c>
      <c r="BB103" s="14">
        <f>DISTRIBUSI!G101</f>
        <v>0</v>
      </c>
      <c r="BC103" s="14">
        <f>'PEMAKAIAN UNIT'!G100</f>
        <v>0</v>
      </c>
      <c r="BD103" s="14">
        <f t="shared" si="68"/>
        <v>0</v>
      </c>
      <c r="BE103" s="15">
        <f t="shared" si="69"/>
        <v>0</v>
      </c>
      <c r="BF103" s="14">
        <f t="shared" si="70"/>
        <v>0</v>
      </c>
      <c r="BG103" s="14">
        <f>DISTRIBUSI!H101</f>
        <v>0</v>
      </c>
      <c r="BH103" s="14">
        <f>'PEMAKAIAN UNIT'!H100</f>
        <v>0</v>
      </c>
      <c r="BI103" s="14">
        <f t="shared" si="71"/>
        <v>0</v>
      </c>
      <c r="BJ103" s="15">
        <f t="shared" si="72"/>
        <v>0</v>
      </c>
      <c r="BK103" s="14">
        <f t="shared" si="73"/>
        <v>0</v>
      </c>
      <c r="BL103" s="14">
        <f>DISTRIBUSI!I101</f>
        <v>0</v>
      </c>
      <c r="BM103" s="14">
        <f>'PEMAKAIAN UNIT'!I100</f>
        <v>0</v>
      </c>
      <c r="BN103" s="14">
        <f t="shared" si="74"/>
        <v>0</v>
      </c>
      <c r="BO103" s="15">
        <f t="shared" si="75"/>
        <v>0</v>
      </c>
      <c r="BP103" s="14">
        <f t="shared" si="76"/>
        <v>0</v>
      </c>
      <c r="BQ103" s="14">
        <f>DISTRIBUSI!J101</f>
        <v>0</v>
      </c>
      <c r="BR103" s="14">
        <f>'PEMAKAIAN UNIT'!J100</f>
        <v>0</v>
      </c>
      <c r="BS103" s="14">
        <f t="shared" si="77"/>
        <v>0</v>
      </c>
      <c r="BT103" s="15">
        <f t="shared" si="78"/>
        <v>0</v>
      </c>
      <c r="BU103" s="14">
        <f t="shared" si="79"/>
        <v>0</v>
      </c>
      <c r="BV103" s="14">
        <f>DISTRIBUSI!K101</f>
        <v>0</v>
      </c>
      <c r="BW103" s="14">
        <f>'PEMAKAIAN UNIT'!K100</f>
        <v>0</v>
      </c>
      <c r="BX103" s="14">
        <f t="shared" si="80"/>
        <v>0</v>
      </c>
      <c r="BY103" s="15">
        <f t="shared" si="81"/>
        <v>0</v>
      </c>
      <c r="BZ103" s="14">
        <f t="shared" si="82"/>
        <v>0</v>
      </c>
      <c r="CA103" s="14">
        <f>DISTRIBUSI!L101</f>
        <v>0</v>
      </c>
      <c r="CB103" s="14">
        <f>'PEMAKAIAN UNIT'!L100</f>
        <v>0</v>
      </c>
      <c r="CC103" s="14">
        <f t="shared" si="83"/>
        <v>0</v>
      </c>
      <c r="CD103" s="15">
        <f t="shared" si="84"/>
        <v>0</v>
      </c>
      <c r="CE103" s="14">
        <f t="shared" si="85"/>
        <v>0</v>
      </c>
      <c r="CF103" s="14">
        <f>DISTRIBUSI!M101</f>
        <v>0</v>
      </c>
      <c r="CG103" s="14">
        <f>'PEMAKAIAN UNIT'!M100</f>
        <v>0</v>
      </c>
      <c r="CH103" s="14">
        <f t="shared" si="86"/>
        <v>0</v>
      </c>
      <c r="CI103" s="15">
        <f t="shared" si="87"/>
        <v>0</v>
      </c>
      <c r="CJ103" s="14">
        <f t="shared" si="88"/>
        <v>0</v>
      </c>
      <c r="CK103" s="14" t="e">
        <f>DISTRIBUSI!#REF!</f>
        <v>#REF!</v>
      </c>
      <c r="CL103" s="14">
        <f>'PEMAKAIAN UNIT'!N100</f>
        <v>0</v>
      </c>
      <c r="CM103" s="14" t="e">
        <f t="shared" si="89"/>
        <v>#REF!</v>
      </c>
      <c r="CN103" s="15" t="e">
        <f t="shared" si="90"/>
        <v>#REF!</v>
      </c>
      <c r="CO103" s="14" t="e">
        <f>DL103+DISTRIBUSI!#REF!-'PEMAKAIAN UNIT'!O100</f>
        <v>#REF!</v>
      </c>
      <c r="CP103" s="15" t="e">
        <f t="shared" si="91"/>
        <v>#REF!</v>
      </c>
      <c r="CQ103" s="226">
        <f t="shared" si="92"/>
        <v>1001</v>
      </c>
      <c r="CR103" s="226">
        <f>DISTRIBUSI!R101</f>
        <v>1000</v>
      </c>
      <c r="CS103" s="226">
        <f>'PEMAKAIAN UNIT'!P100</f>
        <v>0</v>
      </c>
      <c r="CT103" s="14">
        <f t="shared" si="93"/>
        <v>2001</v>
      </c>
      <c r="CU103" s="15">
        <f t="shared" si="94"/>
        <v>770</v>
      </c>
      <c r="CV103" s="14" t="e">
        <f>DN103+DISTRIBUSI!#REF!-'PEMAKAIAN UNIT'!Q100</f>
        <v>#REF!</v>
      </c>
      <c r="CW103" s="15" t="e">
        <f t="shared" si="95"/>
        <v>#REF!</v>
      </c>
      <c r="CX103" s="14">
        <f>DO103+'LPLPO GUDANG'!E106-'LPLPO GUDANG'!G106</f>
        <v>-200</v>
      </c>
      <c r="CY103" s="15">
        <f t="shared" si="96"/>
        <v>-1300</v>
      </c>
      <c r="CZ103" s="28"/>
      <c r="DA103" s="14">
        <v>0</v>
      </c>
      <c r="DB103" s="14"/>
      <c r="DC103" s="14">
        <v>0</v>
      </c>
      <c r="DD103" s="14">
        <v>0</v>
      </c>
      <c r="DE103" s="14">
        <v>0</v>
      </c>
      <c r="DF103" s="14"/>
      <c r="DG103" s="14">
        <v>0</v>
      </c>
      <c r="DH103" s="14">
        <v>0</v>
      </c>
      <c r="DI103" s="14">
        <v>0</v>
      </c>
      <c r="DJ103" s="14">
        <v>0</v>
      </c>
      <c r="DK103" s="14">
        <v>0</v>
      </c>
      <c r="DL103" s="14">
        <v>0</v>
      </c>
      <c r="DM103" s="14">
        <v>1001</v>
      </c>
      <c r="DN103" s="14">
        <v>0</v>
      </c>
      <c r="DO103" s="14">
        <v>800</v>
      </c>
      <c r="DP103" s="13">
        <f t="shared" si="97"/>
        <v>1801</v>
      </c>
      <c r="DR103" t="s">
        <v>78</v>
      </c>
      <c r="DU103" s="20" t="e">
        <f t="shared" si="98"/>
        <v>#REF!</v>
      </c>
    </row>
    <row r="104" spans="1:125" customFormat="1" ht="20.149999999999999" customHeight="1" x14ac:dyDescent="0.5">
      <c r="A104" s="84">
        <f t="shared" si="99"/>
        <v>93</v>
      </c>
      <c r="B104" s="142" t="s">
        <v>79</v>
      </c>
      <c r="C104" s="167" t="s">
        <v>4</v>
      </c>
      <c r="D104" s="109">
        <v>0</v>
      </c>
      <c r="E104" s="110">
        <f>'LPLPO GUDANG'!E107</f>
        <v>250</v>
      </c>
      <c r="F104" s="110">
        <f t="shared" si="50"/>
        <v>250</v>
      </c>
      <c r="G104" s="110">
        <f>'PEMAKAIAN UNIT'!R101</f>
        <v>0</v>
      </c>
      <c r="H104" s="14">
        <v>0</v>
      </c>
      <c r="I104" s="14">
        <v>0</v>
      </c>
      <c r="J104" s="14">
        <v>0</v>
      </c>
      <c r="K104" s="14"/>
      <c r="L104" s="14"/>
      <c r="M104" s="14"/>
      <c r="N104" s="14"/>
      <c r="O104" s="14"/>
      <c r="P104" s="14"/>
      <c r="Q104" s="14"/>
      <c r="R104" s="14"/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09">
        <f t="shared" si="51"/>
        <v>0</v>
      </c>
      <c r="Z104" s="109" t="e">
        <f t="shared" si="52"/>
        <v>#REF!</v>
      </c>
      <c r="AA104" s="109" t="e">
        <f t="shared" si="53"/>
        <v>#REF!</v>
      </c>
      <c r="AB104" s="14">
        <v>141</v>
      </c>
      <c r="AC104" s="109" t="e">
        <f t="shared" si="54"/>
        <v>#REF!</v>
      </c>
      <c r="AD104" s="109">
        <f>'LPLPO GUDANG'!H107</f>
        <v>0</v>
      </c>
      <c r="AE104" s="111" t="e">
        <f t="shared" si="55"/>
        <v>#REF!</v>
      </c>
      <c r="AF104" s="212"/>
      <c r="AG104" s="212"/>
      <c r="AH104" s="20"/>
      <c r="AI104" s="14">
        <f t="shared" si="56"/>
        <v>250</v>
      </c>
      <c r="AJ104" s="209" t="e">
        <f t="shared" si="57"/>
        <v>#REF!</v>
      </c>
      <c r="AL104" s="14">
        <f t="shared" si="58"/>
        <v>0</v>
      </c>
      <c r="AM104" s="14">
        <f>DISTRIBUSI!D102</f>
        <v>0</v>
      </c>
      <c r="AN104" s="14">
        <f>'PEMAKAIAN UNIT'!D101</f>
        <v>0</v>
      </c>
      <c r="AO104" s="14">
        <f t="shared" si="59"/>
        <v>0</v>
      </c>
      <c r="AP104" s="15">
        <f t="shared" si="60"/>
        <v>0</v>
      </c>
      <c r="AQ104" s="14">
        <f t="shared" si="61"/>
        <v>0</v>
      </c>
      <c r="AR104" s="14">
        <f>DISTRIBUSI!E102</f>
        <v>0</v>
      </c>
      <c r="AS104" s="14">
        <f>'PEMAKAIAN UNIT'!E101</f>
        <v>0</v>
      </c>
      <c r="AT104" s="14">
        <f t="shared" si="62"/>
        <v>0</v>
      </c>
      <c r="AU104" s="15">
        <f t="shared" si="63"/>
        <v>0</v>
      </c>
      <c r="AV104" s="14">
        <f t="shared" si="64"/>
        <v>0</v>
      </c>
      <c r="AW104" s="14">
        <f>DISTRIBUSI!F102</f>
        <v>0</v>
      </c>
      <c r="AX104" s="14">
        <f>'PEMAKAIAN UNIT'!F101</f>
        <v>0</v>
      </c>
      <c r="AY104" s="14">
        <f t="shared" si="65"/>
        <v>0</v>
      </c>
      <c r="AZ104" s="15">
        <f t="shared" si="66"/>
        <v>0</v>
      </c>
      <c r="BA104" s="14">
        <f t="shared" si="67"/>
        <v>0</v>
      </c>
      <c r="BB104" s="14">
        <f>DISTRIBUSI!G102</f>
        <v>0</v>
      </c>
      <c r="BC104" s="14">
        <f>'PEMAKAIAN UNIT'!G101</f>
        <v>0</v>
      </c>
      <c r="BD104" s="14">
        <f t="shared" si="68"/>
        <v>0</v>
      </c>
      <c r="BE104" s="15">
        <f t="shared" si="69"/>
        <v>0</v>
      </c>
      <c r="BF104" s="14">
        <f t="shared" si="70"/>
        <v>0</v>
      </c>
      <c r="BG104" s="14">
        <f>DISTRIBUSI!H102</f>
        <v>0</v>
      </c>
      <c r="BH104" s="14">
        <f>'PEMAKAIAN UNIT'!H101</f>
        <v>0</v>
      </c>
      <c r="BI104" s="14">
        <f t="shared" si="71"/>
        <v>0</v>
      </c>
      <c r="BJ104" s="15">
        <f t="shared" si="72"/>
        <v>0</v>
      </c>
      <c r="BK104" s="14">
        <f t="shared" si="73"/>
        <v>0</v>
      </c>
      <c r="BL104" s="14">
        <f>DISTRIBUSI!I102</f>
        <v>0</v>
      </c>
      <c r="BM104" s="14">
        <f>'PEMAKAIAN UNIT'!I101</f>
        <v>0</v>
      </c>
      <c r="BN104" s="14">
        <f t="shared" si="74"/>
        <v>0</v>
      </c>
      <c r="BO104" s="15">
        <f t="shared" si="75"/>
        <v>0</v>
      </c>
      <c r="BP104" s="14">
        <f t="shared" si="76"/>
        <v>0</v>
      </c>
      <c r="BQ104" s="14">
        <f>DISTRIBUSI!J102</f>
        <v>0</v>
      </c>
      <c r="BR104" s="14">
        <f>'PEMAKAIAN UNIT'!J101</f>
        <v>0</v>
      </c>
      <c r="BS104" s="14">
        <f t="shared" si="77"/>
        <v>0</v>
      </c>
      <c r="BT104" s="15">
        <f t="shared" si="78"/>
        <v>0</v>
      </c>
      <c r="BU104" s="14">
        <f t="shared" si="79"/>
        <v>0</v>
      </c>
      <c r="BV104" s="14">
        <f>DISTRIBUSI!K102</f>
        <v>0</v>
      </c>
      <c r="BW104" s="14">
        <f>'PEMAKAIAN UNIT'!K101</f>
        <v>0</v>
      </c>
      <c r="BX104" s="14">
        <f t="shared" si="80"/>
        <v>0</v>
      </c>
      <c r="BY104" s="15">
        <f t="shared" si="81"/>
        <v>0</v>
      </c>
      <c r="BZ104" s="14">
        <f t="shared" si="82"/>
        <v>0</v>
      </c>
      <c r="CA104" s="14">
        <f>DISTRIBUSI!L102</f>
        <v>0</v>
      </c>
      <c r="CB104" s="14">
        <f>'PEMAKAIAN UNIT'!L101</f>
        <v>0</v>
      </c>
      <c r="CC104" s="14">
        <f t="shared" si="83"/>
        <v>0</v>
      </c>
      <c r="CD104" s="15">
        <f t="shared" si="84"/>
        <v>0</v>
      </c>
      <c r="CE104" s="14">
        <f t="shared" si="85"/>
        <v>0</v>
      </c>
      <c r="CF104" s="14">
        <f>DISTRIBUSI!M102</f>
        <v>0</v>
      </c>
      <c r="CG104" s="14">
        <f>'PEMAKAIAN UNIT'!M101</f>
        <v>0</v>
      </c>
      <c r="CH104" s="14">
        <f t="shared" si="86"/>
        <v>0</v>
      </c>
      <c r="CI104" s="15">
        <f t="shared" si="87"/>
        <v>0</v>
      </c>
      <c r="CJ104" s="14">
        <f t="shared" si="88"/>
        <v>0</v>
      </c>
      <c r="CK104" s="14" t="e">
        <f>DISTRIBUSI!#REF!</f>
        <v>#REF!</v>
      </c>
      <c r="CL104" s="14">
        <f>'PEMAKAIAN UNIT'!N101</f>
        <v>0</v>
      </c>
      <c r="CM104" s="14" t="e">
        <f t="shared" si="89"/>
        <v>#REF!</v>
      </c>
      <c r="CN104" s="15" t="e">
        <f t="shared" si="90"/>
        <v>#REF!</v>
      </c>
      <c r="CO104" s="14" t="e">
        <f>DL104+DISTRIBUSI!#REF!-'PEMAKAIAN UNIT'!O101</f>
        <v>#REF!</v>
      </c>
      <c r="CP104" s="15" t="e">
        <f t="shared" si="91"/>
        <v>#REF!</v>
      </c>
      <c r="CQ104" s="226">
        <f t="shared" si="92"/>
        <v>149</v>
      </c>
      <c r="CR104" s="226">
        <f>DISTRIBUSI!R102</f>
        <v>300</v>
      </c>
      <c r="CS104" s="226">
        <f>'PEMAKAIAN UNIT'!P101</f>
        <v>0</v>
      </c>
      <c r="CT104" s="14">
        <f t="shared" si="93"/>
        <v>449</v>
      </c>
      <c r="CU104" s="15">
        <f t="shared" si="94"/>
        <v>308</v>
      </c>
      <c r="CV104" s="14" t="e">
        <f>DN104+DISTRIBUSI!#REF!-'PEMAKAIAN UNIT'!Q101</f>
        <v>#REF!</v>
      </c>
      <c r="CW104" s="15" t="e">
        <f t="shared" si="95"/>
        <v>#REF!</v>
      </c>
      <c r="CX104" s="14">
        <f>DO104+'LPLPO GUDANG'!E107-'LPLPO GUDANG'!G107</f>
        <v>-50</v>
      </c>
      <c r="CY104" s="15">
        <f t="shared" si="96"/>
        <v>-50</v>
      </c>
      <c r="CZ104" s="28"/>
      <c r="DA104" s="14">
        <v>0</v>
      </c>
      <c r="DB104" s="14"/>
      <c r="DC104" s="14">
        <v>0</v>
      </c>
      <c r="DD104" s="14">
        <v>0</v>
      </c>
      <c r="DE104" s="14">
        <v>0</v>
      </c>
      <c r="DF104" s="14"/>
      <c r="DG104" s="14">
        <v>0</v>
      </c>
      <c r="DH104" s="14">
        <v>0</v>
      </c>
      <c r="DI104" s="14">
        <v>0</v>
      </c>
      <c r="DJ104" s="14">
        <v>0</v>
      </c>
      <c r="DK104" s="14">
        <v>0</v>
      </c>
      <c r="DL104" s="14">
        <v>0</v>
      </c>
      <c r="DM104" s="14">
        <v>149</v>
      </c>
      <c r="DN104" s="14">
        <v>0</v>
      </c>
      <c r="DO104" s="14">
        <v>0</v>
      </c>
      <c r="DP104" s="13">
        <f t="shared" si="97"/>
        <v>149</v>
      </c>
      <c r="DR104" t="s">
        <v>79</v>
      </c>
      <c r="DU104" s="20" t="e">
        <f t="shared" si="98"/>
        <v>#REF!</v>
      </c>
    </row>
    <row r="105" spans="1:125" customFormat="1" ht="20.149999999999999" customHeight="1" x14ac:dyDescent="0.35">
      <c r="A105" s="84">
        <f t="shared" si="99"/>
        <v>94</v>
      </c>
      <c r="B105" s="142" t="s">
        <v>80</v>
      </c>
      <c r="C105" s="157" t="s">
        <v>350</v>
      </c>
      <c r="D105" s="109">
        <v>0</v>
      </c>
      <c r="E105" s="110">
        <f>'LPLPO GUDANG'!E108</f>
        <v>0</v>
      </c>
      <c r="F105" s="110">
        <f t="shared" si="50"/>
        <v>0</v>
      </c>
      <c r="G105" s="110">
        <f>'PEMAKAIAN UNIT'!R102</f>
        <v>0</v>
      </c>
      <c r="H105" s="14">
        <v>0</v>
      </c>
      <c r="I105" s="14">
        <v>0</v>
      </c>
      <c r="J105" s="14">
        <v>0</v>
      </c>
      <c r="K105" s="14"/>
      <c r="L105" s="14"/>
      <c r="M105" s="14"/>
      <c r="N105" s="14"/>
      <c r="O105" s="14"/>
      <c r="P105" s="14"/>
      <c r="Q105" s="14"/>
      <c r="R105" s="14"/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09">
        <f t="shared" si="51"/>
        <v>0</v>
      </c>
      <c r="Z105" s="109" t="e">
        <f t="shared" si="52"/>
        <v>#REF!</v>
      </c>
      <c r="AA105" s="109" t="e">
        <f t="shared" si="53"/>
        <v>#REF!</v>
      </c>
      <c r="AB105" s="14">
        <v>31</v>
      </c>
      <c r="AC105" s="109" t="e">
        <f t="shared" si="54"/>
        <v>#REF!</v>
      </c>
      <c r="AD105" s="109">
        <f>'LPLPO GUDANG'!H108</f>
        <v>750</v>
      </c>
      <c r="AE105" s="111" t="e">
        <f t="shared" si="55"/>
        <v>#REF!</v>
      </c>
      <c r="AF105" s="212"/>
      <c r="AG105" s="212"/>
      <c r="AH105" s="20"/>
      <c r="AI105" s="14">
        <f t="shared" si="56"/>
        <v>0</v>
      </c>
      <c r="AJ105" s="209" t="e">
        <f t="shared" si="57"/>
        <v>#REF!</v>
      </c>
      <c r="AL105" s="14">
        <f t="shared" si="58"/>
        <v>0</v>
      </c>
      <c r="AM105" s="14">
        <f>DISTRIBUSI!D103</f>
        <v>0</v>
      </c>
      <c r="AN105" s="14">
        <f>'PEMAKAIAN UNIT'!D102</f>
        <v>0</v>
      </c>
      <c r="AO105" s="14">
        <f t="shared" si="59"/>
        <v>0</v>
      </c>
      <c r="AP105" s="15">
        <f t="shared" si="60"/>
        <v>0</v>
      </c>
      <c r="AQ105" s="14">
        <f t="shared" si="61"/>
        <v>0</v>
      </c>
      <c r="AR105" s="14">
        <f>DISTRIBUSI!E103</f>
        <v>0</v>
      </c>
      <c r="AS105" s="14">
        <f>'PEMAKAIAN UNIT'!E102</f>
        <v>0</v>
      </c>
      <c r="AT105" s="14">
        <f t="shared" si="62"/>
        <v>0</v>
      </c>
      <c r="AU105" s="15">
        <f t="shared" si="63"/>
        <v>0</v>
      </c>
      <c r="AV105" s="14">
        <f t="shared" si="64"/>
        <v>0</v>
      </c>
      <c r="AW105" s="14">
        <f>DISTRIBUSI!F103</f>
        <v>0</v>
      </c>
      <c r="AX105" s="14">
        <f>'PEMAKAIAN UNIT'!F102</f>
        <v>0</v>
      </c>
      <c r="AY105" s="14">
        <f t="shared" si="65"/>
        <v>0</v>
      </c>
      <c r="AZ105" s="15">
        <f t="shared" si="66"/>
        <v>0</v>
      </c>
      <c r="BA105" s="14">
        <f t="shared" si="67"/>
        <v>0</v>
      </c>
      <c r="BB105" s="14">
        <f>DISTRIBUSI!G103</f>
        <v>0</v>
      </c>
      <c r="BC105" s="14">
        <f>'PEMAKAIAN UNIT'!G102</f>
        <v>0</v>
      </c>
      <c r="BD105" s="14">
        <f t="shared" si="68"/>
        <v>0</v>
      </c>
      <c r="BE105" s="15">
        <f t="shared" si="69"/>
        <v>0</v>
      </c>
      <c r="BF105" s="14">
        <f t="shared" si="70"/>
        <v>0</v>
      </c>
      <c r="BG105" s="14">
        <f>DISTRIBUSI!H103</f>
        <v>0</v>
      </c>
      <c r="BH105" s="14">
        <f>'PEMAKAIAN UNIT'!H102</f>
        <v>0</v>
      </c>
      <c r="BI105" s="14">
        <f t="shared" si="71"/>
        <v>0</v>
      </c>
      <c r="BJ105" s="15">
        <f t="shared" si="72"/>
        <v>0</v>
      </c>
      <c r="BK105" s="14">
        <f t="shared" si="73"/>
        <v>0</v>
      </c>
      <c r="BL105" s="14">
        <f>DISTRIBUSI!I103</f>
        <v>0</v>
      </c>
      <c r="BM105" s="14">
        <f>'PEMAKAIAN UNIT'!I102</f>
        <v>0</v>
      </c>
      <c r="BN105" s="14">
        <f t="shared" si="74"/>
        <v>0</v>
      </c>
      <c r="BO105" s="15">
        <f t="shared" si="75"/>
        <v>0</v>
      </c>
      <c r="BP105" s="14">
        <f t="shared" si="76"/>
        <v>0</v>
      </c>
      <c r="BQ105" s="14">
        <f>DISTRIBUSI!J103</f>
        <v>0</v>
      </c>
      <c r="BR105" s="14">
        <f>'PEMAKAIAN UNIT'!J102</f>
        <v>0</v>
      </c>
      <c r="BS105" s="14">
        <f t="shared" si="77"/>
        <v>0</v>
      </c>
      <c r="BT105" s="15">
        <f t="shared" si="78"/>
        <v>0</v>
      </c>
      <c r="BU105" s="14">
        <f t="shared" si="79"/>
        <v>0</v>
      </c>
      <c r="BV105" s="14">
        <f>DISTRIBUSI!K103</f>
        <v>0</v>
      </c>
      <c r="BW105" s="14">
        <f>'PEMAKAIAN UNIT'!K102</f>
        <v>0</v>
      </c>
      <c r="BX105" s="14">
        <f t="shared" si="80"/>
        <v>0</v>
      </c>
      <c r="BY105" s="15">
        <f t="shared" si="81"/>
        <v>0</v>
      </c>
      <c r="BZ105" s="14">
        <f t="shared" si="82"/>
        <v>0</v>
      </c>
      <c r="CA105" s="14">
        <f>DISTRIBUSI!L103</f>
        <v>0</v>
      </c>
      <c r="CB105" s="14">
        <f>'PEMAKAIAN UNIT'!L102</f>
        <v>0</v>
      </c>
      <c r="CC105" s="14">
        <f t="shared" si="83"/>
        <v>0</v>
      </c>
      <c r="CD105" s="15">
        <f t="shared" si="84"/>
        <v>0</v>
      </c>
      <c r="CE105" s="14">
        <f t="shared" si="85"/>
        <v>0</v>
      </c>
      <c r="CF105" s="14">
        <f>DISTRIBUSI!M103</f>
        <v>0</v>
      </c>
      <c r="CG105" s="14">
        <f>'PEMAKAIAN UNIT'!M102</f>
        <v>0</v>
      </c>
      <c r="CH105" s="14">
        <f t="shared" si="86"/>
        <v>0</v>
      </c>
      <c r="CI105" s="15">
        <f t="shared" si="87"/>
        <v>0</v>
      </c>
      <c r="CJ105" s="14">
        <f t="shared" si="88"/>
        <v>0</v>
      </c>
      <c r="CK105" s="14" t="e">
        <f>DISTRIBUSI!#REF!</f>
        <v>#REF!</v>
      </c>
      <c r="CL105" s="14">
        <f>'PEMAKAIAN UNIT'!N102</f>
        <v>0</v>
      </c>
      <c r="CM105" s="14" t="e">
        <f t="shared" si="89"/>
        <v>#REF!</v>
      </c>
      <c r="CN105" s="15" t="e">
        <f t="shared" si="90"/>
        <v>#REF!</v>
      </c>
      <c r="CO105" s="14" t="e">
        <f>DL105+DISTRIBUSI!#REF!-'PEMAKAIAN UNIT'!O102</f>
        <v>#REF!</v>
      </c>
      <c r="CP105" s="15" t="e">
        <f t="shared" si="91"/>
        <v>#REF!</v>
      </c>
      <c r="CQ105" s="226">
        <f t="shared" si="92"/>
        <v>256</v>
      </c>
      <c r="CR105" s="226">
        <f>DISTRIBUSI!R103</f>
        <v>0</v>
      </c>
      <c r="CS105" s="226">
        <f>'PEMAKAIAN UNIT'!P102</f>
        <v>0</v>
      </c>
      <c r="CT105" s="14">
        <f t="shared" si="93"/>
        <v>256</v>
      </c>
      <c r="CU105" s="15">
        <f t="shared" si="94"/>
        <v>225</v>
      </c>
      <c r="CV105" s="14" t="e">
        <f>DN105+DISTRIBUSI!#REF!-'PEMAKAIAN UNIT'!Q102</f>
        <v>#REF!</v>
      </c>
      <c r="CW105" s="15" t="e">
        <f t="shared" si="95"/>
        <v>#REF!</v>
      </c>
      <c r="CX105" s="14">
        <f>DO105+'LPLPO GUDANG'!E108-'LPLPO GUDANG'!G108</f>
        <v>390</v>
      </c>
      <c r="CY105" s="15">
        <f t="shared" si="96"/>
        <v>-360</v>
      </c>
      <c r="CZ105" s="28"/>
      <c r="DA105" s="14">
        <v>0</v>
      </c>
      <c r="DB105" s="14"/>
      <c r="DC105" s="14">
        <v>0</v>
      </c>
      <c r="DD105" s="14">
        <v>0</v>
      </c>
      <c r="DE105" s="14">
        <v>0</v>
      </c>
      <c r="DF105" s="14"/>
      <c r="DG105" s="14">
        <v>0</v>
      </c>
      <c r="DH105" s="14">
        <v>0</v>
      </c>
      <c r="DI105" s="14">
        <v>0</v>
      </c>
      <c r="DJ105" s="14">
        <v>0</v>
      </c>
      <c r="DK105" s="14">
        <v>0</v>
      </c>
      <c r="DL105" s="14">
        <v>0</v>
      </c>
      <c r="DM105" s="14">
        <v>256</v>
      </c>
      <c r="DN105" s="14">
        <v>0</v>
      </c>
      <c r="DO105" s="14">
        <v>390</v>
      </c>
      <c r="DP105" s="13">
        <f t="shared" si="97"/>
        <v>646</v>
      </c>
      <c r="DR105" t="s">
        <v>80</v>
      </c>
      <c r="DU105" s="20" t="e">
        <f t="shared" si="98"/>
        <v>#REF!</v>
      </c>
    </row>
    <row r="106" spans="1:125" customFormat="1" ht="20.149999999999999" customHeight="1" x14ac:dyDescent="0.35">
      <c r="A106" s="84">
        <f t="shared" si="99"/>
        <v>95</v>
      </c>
      <c r="B106" s="142" t="s">
        <v>263</v>
      </c>
      <c r="C106" s="168" t="s">
        <v>48</v>
      </c>
      <c r="D106" s="109">
        <v>0</v>
      </c>
      <c r="E106" s="110">
        <f>'LPLPO GUDANG'!E109</f>
        <v>0</v>
      </c>
      <c r="F106" s="110">
        <f t="shared" si="50"/>
        <v>0</v>
      </c>
      <c r="G106" s="110">
        <f>'PEMAKAIAN UNIT'!R103</f>
        <v>0</v>
      </c>
      <c r="H106" s="14">
        <v>0</v>
      </c>
      <c r="I106" s="14">
        <v>0</v>
      </c>
      <c r="J106" s="14">
        <v>0</v>
      </c>
      <c r="K106" s="14"/>
      <c r="L106" s="14"/>
      <c r="M106" s="14"/>
      <c r="N106" s="14"/>
      <c r="O106" s="14"/>
      <c r="P106" s="14"/>
      <c r="Q106" s="14"/>
      <c r="R106" s="14"/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09">
        <f t="shared" si="51"/>
        <v>0</v>
      </c>
      <c r="Z106" s="109" t="e">
        <f t="shared" si="52"/>
        <v>#REF!</v>
      </c>
      <c r="AA106" s="109" t="e">
        <f t="shared" si="53"/>
        <v>#REF!</v>
      </c>
      <c r="AB106" s="14">
        <v>0</v>
      </c>
      <c r="AC106" s="109" t="e">
        <f t="shared" si="54"/>
        <v>#REF!</v>
      </c>
      <c r="AD106" s="109">
        <f>'LPLPO GUDANG'!H109</f>
        <v>0</v>
      </c>
      <c r="AE106" s="111" t="e">
        <f t="shared" si="55"/>
        <v>#REF!</v>
      </c>
      <c r="AF106" s="212"/>
      <c r="AG106" s="212"/>
      <c r="AH106" s="20"/>
      <c r="AI106" s="14">
        <f t="shared" si="56"/>
        <v>0</v>
      </c>
      <c r="AJ106" s="209" t="e">
        <f t="shared" si="57"/>
        <v>#REF!</v>
      </c>
      <c r="AL106" s="14">
        <f t="shared" si="58"/>
        <v>0</v>
      </c>
      <c r="AM106" s="14">
        <f>DISTRIBUSI!D104</f>
        <v>0</v>
      </c>
      <c r="AN106" s="14">
        <f>'PEMAKAIAN UNIT'!D103</f>
        <v>0</v>
      </c>
      <c r="AO106" s="14">
        <f t="shared" si="59"/>
        <v>0</v>
      </c>
      <c r="AP106" s="15">
        <f t="shared" si="60"/>
        <v>0</v>
      </c>
      <c r="AQ106" s="14">
        <f t="shared" si="61"/>
        <v>0</v>
      </c>
      <c r="AR106" s="14">
        <f>DISTRIBUSI!E104</f>
        <v>0</v>
      </c>
      <c r="AS106" s="14">
        <f>'PEMAKAIAN UNIT'!E103</f>
        <v>0</v>
      </c>
      <c r="AT106" s="14">
        <f t="shared" si="62"/>
        <v>0</v>
      </c>
      <c r="AU106" s="15">
        <f t="shared" si="63"/>
        <v>0</v>
      </c>
      <c r="AV106" s="14">
        <f t="shared" si="64"/>
        <v>0</v>
      </c>
      <c r="AW106" s="14">
        <f>DISTRIBUSI!F104</f>
        <v>0</v>
      </c>
      <c r="AX106" s="14">
        <f>'PEMAKAIAN UNIT'!F103</f>
        <v>0</v>
      </c>
      <c r="AY106" s="14">
        <f t="shared" si="65"/>
        <v>0</v>
      </c>
      <c r="AZ106" s="15">
        <f t="shared" si="66"/>
        <v>0</v>
      </c>
      <c r="BA106" s="14">
        <f t="shared" si="67"/>
        <v>0</v>
      </c>
      <c r="BB106" s="14">
        <f>DISTRIBUSI!G104</f>
        <v>0</v>
      </c>
      <c r="BC106" s="14">
        <f>'PEMAKAIAN UNIT'!G103</f>
        <v>0</v>
      </c>
      <c r="BD106" s="14">
        <f t="shared" si="68"/>
        <v>0</v>
      </c>
      <c r="BE106" s="15">
        <f t="shared" si="69"/>
        <v>0</v>
      </c>
      <c r="BF106" s="14">
        <f t="shared" si="70"/>
        <v>0</v>
      </c>
      <c r="BG106" s="14">
        <f>DISTRIBUSI!H104</f>
        <v>0</v>
      </c>
      <c r="BH106" s="14">
        <f>'PEMAKAIAN UNIT'!H103</f>
        <v>0</v>
      </c>
      <c r="BI106" s="14">
        <f t="shared" si="71"/>
        <v>0</v>
      </c>
      <c r="BJ106" s="15">
        <f t="shared" si="72"/>
        <v>0</v>
      </c>
      <c r="BK106" s="14">
        <f t="shared" si="73"/>
        <v>0</v>
      </c>
      <c r="BL106" s="14">
        <f>DISTRIBUSI!I104</f>
        <v>0</v>
      </c>
      <c r="BM106" s="14">
        <f>'PEMAKAIAN UNIT'!I103</f>
        <v>0</v>
      </c>
      <c r="BN106" s="14">
        <f t="shared" si="74"/>
        <v>0</v>
      </c>
      <c r="BO106" s="15">
        <f t="shared" si="75"/>
        <v>0</v>
      </c>
      <c r="BP106" s="14">
        <f t="shared" si="76"/>
        <v>0</v>
      </c>
      <c r="BQ106" s="14">
        <f>DISTRIBUSI!J104</f>
        <v>0</v>
      </c>
      <c r="BR106" s="14">
        <f>'PEMAKAIAN UNIT'!J103</f>
        <v>0</v>
      </c>
      <c r="BS106" s="14">
        <f t="shared" si="77"/>
        <v>0</v>
      </c>
      <c r="BT106" s="15">
        <f t="shared" si="78"/>
        <v>0</v>
      </c>
      <c r="BU106" s="14">
        <f t="shared" si="79"/>
        <v>0</v>
      </c>
      <c r="BV106" s="14">
        <f>DISTRIBUSI!K104</f>
        <v>0</v>
      </c>
      <c r="BW106" s="14">
        <f>'PEMAKAIAN UNIT'!K103</f>
        <v>0</v>
      </c>
      <c r="BX106" s="14">
        <f t="shared" si="80"/>
        <v>0</v>
      </c>
      <c r="BY106" s="15">
        <f t="shared" si="81"/>
        <v>0</v>
      </c>
      <c r="BZ106" s="14">
        <f t="shared" si="82"/>
        <v>0</v>
      </c>
      <c r="CA106" s="14">
        <f>DISTRIBUSI!L104</f>
        <v>0</v>
      </c>
      <c r="CB106" s="14">
        <f>'PEMAKAIAN UNIT'!L103</f>
        <v>0</v>
      </c>
      <c r="CC106" s="14">
        <f t="shared" si="83"/>
        <v>0</v>
      </c>
      <c r="CD106" s="15">
        <f t="shared" si="84"/>
        <v>0</v>
      </c>
      <c r="CE106" s="14">
        <f t="shared" si="85"/>
        <v>0</v>
      </c>
      <c r="CF106" s="14">
        <f>DISTRIBUSI!M104</f>
        <v>0</v>
      </c>
      <c r="CG106" s="14">
        <f>'PEMAKAIAN UNIT'!M103</f>
        <v>0</v>
      </c>
      <c r="CH106" s="14">
        <f t="shared" si="86"/>
        <v>0</v>
      </c>
      <c r="CI106" s="15">
        <f t="shared" si="87"/>
        <v>0</v>
      </c>
      <c r="CJ106" s="14">
        <f t="shared" si="88"/>
        <v>0</v>
      </c>
      <c r="CK106" s="14" t="e">
        <f>DISTRIBUSI!#REF!</f>
        <v>#REF!</v>
      </c>
      <c r="CL106" s="14">
        <f>'PEMAKAIAN UNIT'!N103</f>
        <v>0</v>
      </c>
      <c r="CM106" s="14" t="e">
        <f t="shared" si="89"/>
        <v>#REF!</v>
      </c>
      <c r="CN106" s="15" t="e">
        <f t="shared" si="90"/>
        <v>#REF!</v>
      </c>
      <c r="CO106" s="14" t="e">
        <f>DL106+DISTRIBUSI!#REF!-'PEMAKAIAN UNIT'!O103</f>
        <v>#REF!</v>
      </c>
      <c r="CP106" s="15" t="e">
        <f t="shared" si="91"/>
        <v>#REF!</v>
      </c>
      <c r="CQ106" s="226">
        <f t="shared" si="92"/>
        <v>5</v>
      </c>
      <c r="CR106" s="226">
        <f>DISTRIBUSI!R104</f>
        <v>0</v>
      </c>
      <c r="CS106" s="226">
        <f>'PEMAKAIAN UNIT'!P103</f>
        <v>0</v>
      </c>
      <c r="CT106" s="14">
        <f t="shared" si="93"/>
        <v>5</v>
      </c>
      <c r="CU106" s="15">
        <f t="shared" si="94"/>
        <v>5</v>
      </c>
      <c r="CV106" s="14" t="e">
        <f>DN106+DISTRIBUSI!#REF!-'PEMAKAIAN UNIT'!Q103</f>
        <v>#REF!</v>
      </c>
      <c r="CW106" s="15" t="e">
        <f t="shared" si="95"/>
        <v>#REF!</v>
      </c>
      <c r="CX106" s="14">
        <f>DO106+'LPLPO GUDANG'!E109-'LPLPO GUDANG'!G109</f>
        <v>0</v>
      </c>
      <c r="CY106" s="15">
        <f t="shared" si="96"/>
        <v>0</v>
      </c>
      <c r="CZ106" s="28"/>
      <c r="DA106" s="14">
        <v>0</v>
      </c>
      <c r="DB106" s="14"/>
      <c r="DC106" s="14">
        <v>0</v>
      </c>
      <c r="DD106" s="14">
        <v>0</v>
      </c>
      <c r="DE106" s="14">
        <v>0</v>
      </c>
      <c r="DF106" s="14"/>
      <c r="DG106" s="14">
        <v>0</v>
      </c>
      <c r="DH106" s="14">
        <v>0</v>
      </c>
      <c r="DI106" s="14">
        <v>0</v>
      </c>
      <c r="DJ106" s="14">
        <v>0</v>
      </c>
      <c r="DK106" s="14">
        <v>0</v>
      </c>
      <c r="DL106" s="14">
        <v>0</v>
      </c>
      <c r="DM106" s="14">
        <v>5</v>
      </c>
      <c r="DN106" s="14">
        <v>0</v>
      </c>
      <c r="DO106" s="14">
        <v>0</v>
      </c>
      <c r="DP106" s="13">
        <f t="shared" si="97"/>
        <v>5</v>
      </c>
      <c r="DR106" t="s">
        <v>263</v>
      </c>
      <c r="DU106" s="20" t="e">
        <f t="shared" si="98"/>
        <v>#REF!</v>
      </c>
    </row>
    <row r="107" spans="1:125" customFormat="1" ht="20.149999999999999" customHeight="1" x14ac:dyDescent="0.35">
      <c r="A107" s="84">
        <f t="shared" si="99"/>
        <v>96</v>
      </c>
      <c r="B107" s="142" t="s">
        <v>81</v>
      </c>
      <c r="C107" s="157" t="s">
        <v>48</v>
      </c>
      <c r="D107" s="109">
        <v>0</v>
      </c>
      <c r="E107" s="110">
        <f>'LPLPO GUDANG'!E110</f>
        <v>100</v>
      </c>
      <c r="F107" s="110">
        <f t="shared" si="50"/>
        <v>100</v>
      </c>
      <c r="G107" s="110">
        <f>'PEMAKAIAN UNIT'!R104</f>
        <v>0</v>
      </c>
      <c r="H107" s="14">
        <v>24</v>
      </c>
      <c r="I107" s="14">
        <v>1</v>
      </c>
      <c r="J107" s="14">
        <v>0</v>
      </c>
      <c r="K107" s="14"/>
      <c r="L107" s="14"/>
      <c r="M107" s="14"/>
      <c r="N107" s="14"/>
      <c r="O107" s="14"/>
      <c r="P107" s="14"/>
      <c r="Q107" s="14"/>
      <c r="R107" s="14"/>
      <c r="S107" s="14">
        <v>10</v>
      </c>
      <c r="T107" s="14">
        <v>0</v>
      </c>
      <c r="U107" s="14">
        <v>6</v>
      </c>
      <c r="V107" s="14">
        <v>5</v>
      </c>
      <c r="W107" s="14">
        <v>0</v>
      </c>
      <c r="X107" s="14">
        <v>9</v>
      </c>
      <c r="Y107" s="109">
        <f t="shared" si="51"/>
        <v>0</v>
      </c>
      <c r="Z107" s="109" t="e">
        <f t="shared" si="52"/>
        <v>#REF!</v>
      </c>
      <c r="AA107" s="109" t="e">
        <f t="shared" si="53"/>
        <v>#REF!</v>
      </c>
      <c r="AB107" s="14">
        <v>58</v>
      </c>
      <c r="AC107" s="109" t="e">
        <f t="shared" si="54"/>
        <v>#REF!</v>
      </c>
      <c r="AD107" s="109">
        <f>'LPLPO GUDANG'!H110</f>
        <v>40</v>
      </c>
      <c r="AE107" s="111" t="e">
        <f t="shared" si="55"/>
        <v>#REF!</v>
      </c>
      <c r="AF107" s="212"/>
      <c r="AG107" s="212"/>
      <c r="AH107" s="20"/>
      <c r="AI107" s="14">
        <f t="shared" si="56"/>
        <v>100</v>
      </c>
      <c r="AJ107" s="209" t="e">
        <f t="shared" si="57"/>
        <v>#REF!</v>
      </c>
      <c r="AL107" s="14">
        <f t="shared" si="58"/>
        <v>19</v>
      </c>
      <c r="AM107" s="14">
        <f>DISTRIBUSI!D105</f>
        <v>0</v>
      </c>
      <c r="AN107" s="14">
        <f>'PEMAKAIAN UNIT'!D104</f>
        <v>0</v>
      </c>
      <c r="AO107" s="14">
        <f t="shared" si="59"/>
        <v>19</v>
      </c>
      <c r="AP107" s="15">
        <f t="shared" si="60"/>
        <v>-5</v>
      </c>
      <c r="AQ107" s="14">
        <f t="shared" si="61"/>
        <v>5</v>
      </c>
      <c r="AR107" s="14">
        <f>DISTRIBUSI!E105</f>
        <v>0</v>
      </c>
      <c r="AS107" s="14">
        <f>'PEMAKAIAN UNIT'!E104</f>
        <v>0</v>
      </c>
      <c r="AT107" s="14">
        <f t="shared" si="62"/>
        <v>5</v>
      </c>
      <c r="AU107" s="15">
        <f t="shared" si="63"/>
        <v>4</v>
      </c>
      <c r="AV107" s="14">
        <f t="shared" si="64"/>
        <v>11</v>
      </c>
      <c r="AW107" s="14">
        <f>DISTRIBUSI!F105</f>
        <v>5</v>
      </c>
      <c r="AX107" s="14">
        <f>'PEMAKAIAN UNIT'!F104</f>
        <v>0</v>
      </c>
      <c r="AY107" s="14">
        <f t="shared" si="65"/>
        <v>16</v>
      </c>
      <c r="AZ107" s="15">
        <f t="shared" si="66"/>
        <v>16</v>
      </c>
      <c r="BA107" s="14">
        <f t="shared" si="67"/>
        <v>2</v>
      </c>
      <c r="BB107" s="14">
        <f>DISTRIBUSI!G105</f>
        <v>0</v>
      </c>
      <c r="BC107" s="14">
        <f>'PEMAKAIAN UNIT'!G104</f>
        <v>0</v>
      </c>
      <c r="BD107" s="14">
        <f t="shared" si="68"/>
        <v>2</v>
      </c>
      <c r="BE107" s="15">
        <f t="shared" si="69"/>
        <v>-8</v>
      </c>
      <c r="BF107" s="14">
        <f t="shared" si="70"/>
        <v>5</v>
      </c>
      <c r="BG107" s="14">
        <f>DISTRIBUSI!H105</f>
        <v>0</v>
      </c>
      <c r="BH107" s="14">
        <f>'PEMAKAIAN UNIT'!H104</f>
        <v>0</v>
      </c>
      <c r="BI107" s="14">
        <f t="shared" si="71"/>
        <v>5</v>
      </c>
      <c r="BJ107" s="15">
        <f t="shared" si="72"/>
        <v>5</v>
      </c>
      <c r="BK107" s="14">
        <f t="shared" si="73"/>
        <v>8</v>
      </c>
      <c r="BL107" s="14">
        <f>DISTRIBUSI!I105</f>
        <v>5</v>
      </c>
      <c r="BM107" s="14">
        <f>'PEMAKAIAN UNIT'!I104</f>
        <v>0</v>
      </c>
      <c r="BN107" s="14">
        <f t="shared" si="74"/>
        <v>13</v>
      </c>
      <c r="BO107" s="15">
        <f t="shared" si="75"/>
        <v>7</v>
      </c>
      <c r="BP107" s="14">
        <f t="shared" si="76"/>
        <v>13</v>
      </c>
      <c r="BQ107" s="14">
        <f>DISTRIBUSI!J105</f>
        <v>0</v>
      </c>
      <c r="BR107" s="14">
        <f>'PEMAKAIAN UNIT'!J104</f>
        <v>0</v>
      </c>
      <c r="BS107" s="14">
        <f t="shared" si="77"/>
        <v>13</v>
      </c>
      <c r="BT107" s="15">
        <f t="shared" si="78"/>
        <v>8</v>
      </c>
      <c r="BU107" s="14">
        <f t="shared" si="79"/>
        <v>9</v>
      </c>
      <c r="BV107" s="14">
        <f>DISTRIBUSI!K105</f>
        <v>0</v>
      </c>
      <c r="BW107" s="14">
        <f>'PEMAKAIAN UNIT'!K104</f>
        <v>0</v>
      </c>
      <c r="BX107" s="14">
        <f t="shared" si="80"/>
        <v>9</v>
      </c>
      <c r="BY107" s="15">
        <f t="shared" si="81"/>
        <v>9</v>
      </c>
      <c r="BZ107" s="14">
        <f t="shared" si="82"/>
        <v>8</v>
      </c>
      <c r="CA107" s="14">
        <f>DISTRIBUSI!L105</f>
        <v>0</v>
      </c>
      <c r="CB107" s="14">
        <f>'PEMAKAIAN UNIT'!L104</f>
        <v>0</v>
      </c>
      <c r="CC107" s="14">
        <f t="shared" si="83"/>
        <v>8</v>
      </c>
      <c r="CD107" s="15">
        <f t="shared" si="84"/>
        <v>-1</v>
      </c>
      <c r="CE107" s="14">
        <f t="shared" si="85"/>
        <v>0</v>
      </c>
      <c r="CF107" s="14">
        <f>DISTRIBUSI!M105</f>
        <v>0</v>
      </c>
      <c r="CG107" s="14">
        <f>'PEMAKAIAN UNIT'!M104</f>
        <v>0</v>
      </c>
      <c r="CH107" s="14">
        <f t="shared" si="86"/>
        <v>0</v>
      </c>
      <c r="CI107" s="15">
        <f t="shared" si="87"/>
        <v>0</v>
      </c>
      <c r="CJ107" s="14">
        <f t="shared" si="88"/>
        <v>0</v>
      </c>
      <c r="CK107" s="14" t="e">
        <f>DISTRIBUSI!#REF!</f>
        <v>#REF!</v>
      </c>
      <c r="CL107" s="14">
        <f>'PEMAKAIAN UNIT'!N104</f>
        <v>0</v>
      </c>
      <c r="CM107" s="14" t="e">
        <f t="shared" si="89"/>
        <v>#REF!</v>
      </c>
      <c r="CN107" s="15" t="e">
        <f t="shared" si="90"/>
        <v>#REF!</v>
      </c>
      <c r="CO107" s="14" t="e">
        <f>DL107+DISTRIBUSI!#REF!-'PEMAKAIAN UNIT'!O104</f>
        <v>#REF!</v>
      </c>
      <c r="CP107" s="15" t="e">
        <f t="shared" si="91"/>
        <v>#REF!</v>
      </c>
      <c r="CQ107" s="226">
        <f t="shared" si="92"/>
        <v>47</v>
      </c>
      <c r="CR107" s="226">
        <f>DISTRIBUSI!R105</f>
        <v>100</v>
      </c>
      <c r="CS107" s="226">
        <f>'PEMAKAIAN UNIT'!P104</f>
        <v>0</v>
      </c>
      <c r="CT107" s="14">
        <f t="shared" si="93"/>
        <v>147</v>
      </c>
      <c r="CU107" s="15">
        <f t="shared" si="94"/>
        <v>89</v>
      </c>
      <c r="CV107" s="14" t="e">
        <f>DN107+DISTRIBUSI!#REF!-'PEMAKAIAN UNIT'!Q104</f>
        <v>#REF!</v>
      </c>
      <c r="CW107" s="15" t="e">
        <f t="shared" si="95"/>
        <v>#REF!</v>
      </c>
      <c r="CX107" s="14">
        <f>DO107+'LPLPO GUDANG'!E110-'LPLPO GUDANG'!G110</f>
        <v>-35</v>
      </c>
      <c r="CY107" s="15">
        <f t="shared" si="96"/>
        <v>-75</v>
      </c>
      <c r="CZ107" s="28"/>
      <c r="DA107" s="14">
        <v>19</v>
      </c>
      <c r="DB107" s="14">
        <v>5</v>
      </c>
      <c r="DC107" s="14">
        <v>11</v>
      </c>
      <c r="DD107" s="14">
        <v>2</v>
      </c>
      <c r="DE107" s="14">
        <v>5</v>
      </c>
      <c r="DF107" s="14">
        <v>8</v>
      </c>
      <c r="DG107" s="14">
        <v>13</v>
      </c>
      <c r="DH107" s="14">
        <v>9</v>
      </c>
      <c r="DI107" s="14">
        <v>8</v>
      </c>
      <c r="DJ107" s="14">
        <v>0</v>
      </c>
      <c r="DK107" s="14">
        <v>0</v>
      </c>
      <c r="DL107" s="14">
        <v>5</v>
      </c>
      <c r="DM107" s="14">
        <v>47</v>
      </c>
      <c r="DN107" s="14">
        <v>0</v>
      </c>
      <c r="DO107" s="14">
        <v>5</v>
      </c>
      <c r="DP107" s="13">
        <f t="shared" si="97"/>
        <v>137</v>
      </c>
      <c r="DR107" t="s">
        <v>81</v>
      </c>
      <c r="DU107" s="20" t="e">
        <f t="shared" si="98"/>
        <v>#REF!</v>
      </c>
    </row>
    <row r="108" spans="1:125" customFormat="1" ht="20.149999999999999" customHeight="1" x14ac:dyDescent="0.35">
      <c r="A108" s="84">
        <f t="shared" si="99"/>
        <v>97</v>
      </c>
      <c r="B108" s="142" t="s">
        <v>82</v>
      </c>
      <c r="C108" s="154" t="s">
        <v>327</v>
      </c>
      <c r="D108" s="109">
        <v>0</v>
      </c>
      <c r="E108" s="110">
        <f>'LPLPO GUDANG'!E111</f>
        <v>0</v>
      </c>
      <c r="F108" s="110">
        <f t="shared" si="50"/>
        <v>0</v>
      </c>
      <c r="G108" s="110">
        <f>'PEMAKAIAN UNIT'!R105</f>
        <v>0</v>
      </c>
      <c r="H108" s="14">
        <v>135</v>
      </c>
      <c r="I108" s="14">
        <v>21</v>
      </c>
      <c r="J108" s="14">
        <v>0</v>
      </c>
      <c r="K108" s="14"/>
      <c r="L108" s="14"/>
      <c r="M108" s="14"/>
      <c r="N108" s="14"/>
      <c r="O108" s="14"/>
      <c r="P108" s="14"/>
      <c r="Q108" s="14"/>
      <c r="R108" s="14"/>
      <c r="S108" s="14">
        <v>800</v>
      </c>
      <c r="T108" s="14">
        <v>0</v>
      </c>
      <c r="U108" s="14">
        <v>160</v>
      </c>
      <c r="V108" s="14">
        <v>320</v>
      </c>
      <c r="W108" s="14">
        <v>305</v>
      </c>
      <c r="X108" s="14">
        <v>100</v>
      </c>
      <c r="Y108" s="109">
        <f t="shared" si="51"/>
        <v>0</v>
      </c>
      <c r="Z108" s="109" t="e">
        <f t="shared" si="52"/>
        <v>#REF!</v>
      </c>
      <c r="AA108" s="109" t="e">
        <f t="shared" si="53"/>
        <v>#REF!</v>
      </c>
      <c r="AB108" s="14">
        <v>1349</v>
      </c>
      <c r="AC108" s="109" t="e">
        <f t="shared" si="54"/>
        <v>#REF!</v>
      </c>
      <c r="AD108" s="109">
        <f>'LPLPO GUDANG'!H111</f>
        <v>0</v>
      </c>
      <c r="AE108" s="111" t="e">
        <f t="shared" si="55"/>
        <v>#REF!</v>
      </c>
      <c r="AF108" s="212"/>
      <c r="AG108" s="212"/>
      <c r="AH108" s="20"/>
      <c r="AI108" s="14">
        <f t="shared" si="56"/>
        <v>0</v>
      </c>
      <c r="AJ108" s="209" t="e">
        <f t="shared" si="57"/>
        <v>#REF!</v>
      </c>
      <c r="AL108" s="14">
        <f t="shared" si="58"/>
        <v>220</v>
      </c>
      <c r="AM108" s="14">
        <f>DISTRIBUSI!D106</f>
        <v>0</v>
      </c>
      <c r="AN108" s="14">
        <f>'PEMAKAIAN UNIT'!D105</f>
        <v>0</v>
      </c>
      <c r="AO108" s="14">
        <f t="shared" si="59"/>
        <v>220</v>
      </c>
      <c r="AP108" s="15">
        <f t="shared" si="60"/>
        <v>85</v>
      </c>
      <c r="AQ108" s="14">
        <f t="shared" si="61"/>
        <v>89</v>
      </c>
      <c r="AR108" s="14">
        <f>DISTRIBUSI!E106</f>
        <v>0</v>
      </c>
      <c r="AS108" s="14">
        <f>'PEMAKAIAN UNIT'!E105</f>
        <v>0</v>
      </c>
      <c r="AT108" s="14">
        <f t="shared" si="62"/>
        <v>89</v>
      </c>
      <c r="AU108" s="15">
        <f t="shared" si="63"/>
        <v>68</v>
      </c>
      <c r="AV108" s="14">
        <f t="shared" si="64"/>
        <v>120</v>
      </c>
      <c r="AW108" s="14">
        <f>DISTRIBUSI!F106</f>
        <v>100</v>
      </c>
      <c r="AX108" s="14">
        <f>'PEMAKAIAN UNIT'!F105</f>
        <v>0</v>
      </c>
      <c r="AY108" s="14">
        <f t="shared" si="65"/>
        <v>220</v>
      </c>
      <c r="AZ108" s="15">
        <f t="shared" si="66"/>
        <v>220</v>
      </c>
      <c r="BA108" s="14">
        <f t="shared" si="67"/>
        <v>410</v>
      </c>
      <c r="BB108" s="14">
        <f>DISTRIBUSI!G106</f>
        <v>0</v>
      </c>
      <c r="BC108" s="14">
        <f>'PEMAKAIAN UNIT'!G105</f>
        <v>0</v>
      </c>
      <c r="BD108" s="14">
        <f t="shared" si="68"/>
        <v>410</v>
      </c>
      <c r="BE108" s="15">
        <f t="shared" si="69"/>
        <v>-390</v>
      </c>
      <c r="BF108" s="14">
        <f t="shared" si="70"/>
        <v>280</v>
      </c>
      <c r="BG108" s="14">
        <f>DISTRIBUSI!H106</f>
        <v>0</v>
      </c>
      <c r="BH108" s="14">
        <f>'PEMAKAIAN UNIT'!H105</f>
        <v>0</v>
      </c>
      <c r="BI108" s="14">
        <f t="shared" si="71"/>
        <v>280</v>
      </c>
      <c r="BJ108" s="15">
        <f t="shared" si="72"/>
        <v>280</v>
      </c>
      <c r="BK108" s="14">
        <f t="shared" si="73"/>
        <v>310</v>
      </c>
      <c r="BL108" s="14">
        <f>DISTRIBUSI!I106</f>
        <v>0</v>
      </c>
      <c r="BM108" s="14">
        <f>'PEMAKAIAN UNIT'!I105</f>
        <v>0</v>
      </c>
      <c r="BN108" s="14">
        <f t="shared" si="74"/>
        <v>310</v>
      </c>
      <c r="BO108" s="15">
        <f t="shared" si="75"/>
        <v>150</v>
      </c>
      <c r="BP108" s="14">
        <f t="shared" si="76"/>
        <v>260</v>
      </c>
      <c r="BQ108" s="14">
        <f>DISTRIBUSI!J106</f>
        <v>100</v>
      </c>
      <c r="BR108" s="14">
        <f>'PEMAKAIAN UNIT'!J105</f>
        <v>0</v>
      </c>
      <c r="BS108" s="14">
        <f t="shared" si="77"/>
        <v>360</v>
      </c>
      <c r="BT108" s="15">
        <f t="shared" si="78"/>
        <v>40</v>
      </c>
      <c r="BU108" s="14">
        <f t="shared" si="79"/>
        <v>195</v>
      </c>
      <c r="BV108" s="14">
        <f>DISTRIBUSI!K106</f>
        <v>0</v>
      </c>
      <c r="BW108" s="14">
        <f>'PEMAKAIAN UNIT'!K105</f>
        <v>0</v>
      </c>
      <c r="BX108" s="14">
        <f t="shared" si="80"/>
        <v>195</v>
      </c>
      <c r="BY108" s="15">
        <f t="shared" si="81"/>
        <v>-110</v>
      </c>
      <c r="BZ108" s="14">
        <f t="shared" si="82"/>
        <v>90</v>
      </c>
      <c r="CA108" s="14">
        <f>DISTRIBUSI!L106</f>
        <v>0</v>
      </c>
      <c r="CB108" s="14">
        <f>'PEMAKAIAN UNIT'!L105</f>
        <v>0</v>
      </c>
      <c r="CC108" s="14">
        <f t="shared" si="83"/>
        <v>90</v>
      </c>
      <c r="CD108" s="15">
        <f t="shared" si="84"/>
        <v>-10</v>
      </c>
      <c r="CE108" s="14">
        <f t="shared" si="85"/>
        <v>0</v>
      </c>
      <c r="CF108" s="14">
        <f>DISTRIBUSI!M106</f>
        <v>0</v>
      </c>
      <c r="CG108" s="14">
        <f>'PEMAKAIAN UNIT'!M105</f>
        <v>0</v>
      </c>
      <c r="CH108" s="14">
        <f t="shared" si="86"/>
        <v>0</v>
      </c>
      <c r="CI108" s="15">
        <f t="shared" si="87"/>
        <v>0</v>
      </c>
      <c r="CJ108" s="14">
        <f t="shared" si="88"/>
        <v>0</v>
      </c>
      <c r="CK108" s="14" t="e">
        <f>DISTRIBUSI!#REF!</f>
        <v>#REF!</v>
      </c>
      <c r="CL108" s="14">
        <f>'PEMAKAIAN UNIT'!N105</f>
        <v>0</v>
      </c>
      <c r="CM108" s="14" t="e">
        <f t="shared" si="89"/>
        <v>#REF!</v>
      </c>
      <c r="CN108" s="15" t="e">
        <f t="shared" si="90"/>
        <v>#REF!</v>
      </c>
      <c r="CO108" s="14" t="e">
        <f>DL108+DISTRIBUSI!#REF!-'PEMAKAIAN UNIT'!O105</f>
        <v>#REF!</v>
      </c>
      <c r="CP108" s="15" t="e">
        <f t="shared" si="91"/>
        <v>#REF!</v>
      </c>
      <c r="CQ108" s="226">
        <f t="shared" si="92"/>
        <v>1464</v>
      </c>
      <c r="CR108" s="226">
        <f>DISTRIBUSI!R106</f>
        <v>3900</v>
      </c>
      <c r="CS108" s="226">
        <f>'PEMAKAIAN UNIT'!P105</f>
        <v>0</v>
      </c>
      <c r="CT108" s="14">
        <f t="shared" si="93"/>
        <v>5364</v>
      </c>
      <c r="CU108" s="15">
        <f t="shared" si="94"/>
        <v>4015</v>
      </c>
      <c r="CV108" s="14" t="e">
        <f>DN108+DISTRIBUSI!#REF!-'PEMAKAIAN UNIT'!Q105</f>
        <v>#REF!</v>
      </c>
      <c r="CW108" s="15" t="e">
        <f t="shared" si="95"/>
        <v>#REF!</v>
      </c>
      <c r="CX108" s="14">
        <f>DO108+'LPLPO GUDANG'!E111-'LPLPO GUDANG'!G111</f>
        <v>-4300</v>
      </c>
      <c r="CY108" s="15">
        <f t="shared" si="96"/>
        <v>-4300</v>
      </c>
      <c r="CZ108" s="28"/>
      <c r="DA108" s="14">
        <v>220</v>
      </c>
      <c r="DB108" s="14">
        <v>89</v>
      </c>
      <c r="DC108" s="14">
        <v>120</v>
      </c>
      <c r="DD108" s="14">
        <v>410</v>
      </c>
      <c r="DE108" s="14">
        <v>280</v>
      </c>
      <c r="DF108" s="14">
        <v>310</v>
      </c>
      <c r="DG108" s="14">
        <v>260</v>
      </c>
      <c r="DH108" s="14">
        <v>195</v>
      </c>
      <c r="DI108" s="14">
        <v>90</v>
      </c>
      <c r="DJ108" s="14">
        <v>0</v>
      </c>
      <c r="DK108" s="14">
        <v>0</v>
      </c>
      <c r="DL108" s="14">
        <v>615</v>
      </c>
      <c r="DM108" s="14">
        <v>1464</v>
      </c>
      <c r="DN108" s="14">
        <v>0</v>
      </c>
      <c r="DO108" s="14">
        <v>0</v>
      </c>
      <c r="DP108" s="13">
        <f t="shared" si="97"/>
        <v>4053</v>
      </c>
      <c r="DR108" t="s">
        <v>82</v>
      </c>
      <c r="DU108" s="20" t="e">
        <f t="shared" si="98"/>
        <v>#REF!</v>
      </c>
    </row>
    <row r="109" spans="1:125" customFormat="1" ht="20.149999999999999" customHeight="1" x14ac:dyDescent="0.35">
      <c r="A109" s="84">
        <f t="shared" si="99"/>
        <v>98</v>
      </c>
      <c r="B109" s="142" t="s">
        <v>83</v>
      </c>
      <c r="C109" s="154" t="s">
        <v>188</v>
      </c>
      <c r="D109" s="109">
        <v>0</v>
      </c>
      <c r="E109" s="110">
        <f>'LPLPO GUDANG'!E112</f>
        <v>2</v>
      </c>
      <c r="F109" s="110">
        <f t="shared" si="50"/>
        <v>2</v>
      </c>
      <c r="G109" s="110">
        <f>'PEMAKAIAN UNIT'!R106</f>
        <v>0</v>
      </c>
      <c r="H109" s="14">
        <v>0</v>
      </c>
      <c r="I109" s="14">
        <v>0</v>
      </c>
      <c r="J109" s="14">
        <v>0</v>
      </c>
      <c r="K109" s="14"/>
      <c r="L109" s="14"/>
      <c r="M109" s="14"/>
      <c r="N109" s="14"/>
      <c r="O109" s="14"/>
      <c r="P109" s="14"/>
      <c r="Q109" s="14"/>
      <c r="R109" s="14"/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09">
        <f t="shared" si="51"/>
        <v>0</v>
      </c>
      <c r="Z109" s="109" t="e">
        <f t="shared" si="52"/>
        <v>#REF!</v>
      </c>
      <c r="AA109" s="109" t="e">
        <f t="shared" si="53"/>
        <v>#REF!</v>
      </c>
      <c r="AB109" s="14">
        <v>0</v>
      </c>
      <c r="AC109" s="109" t="e">
        <f t="shared" si="54"/>
        <v>#REF!</v>
      </c>
      <c r="AD109" s="109">
        <f>'LPLPO GUDANG'!H112</f>
        <v>2</v>
      </c>
      <c r="AE109" s="111" t="e">
        <f t="shared" si="55"/>
        <v>#REF!</v>
      </c>
      <c r="AF109" s="212"/>
      <c r="AG109" s="212"/>
      <c r="AH109" s="20"/>
      <c r="AI109" s="14">
        <f t="shared" si="56"/>
        <v>2</v>
      </c>
      <c r="AJ109" s="209" t="e">
        <f t="shared" si="57"/>
        <v>#REF!</v>
      </c>
      <c r="AL109" s="14">
        <f t="shared" si="58"/>
        <v>0</v>
      </c>
      <c r="AM109" s="14">
        <f>DISTRIBUSI!D107</f>
        <v>0</v>
      </c>
      <c r="AN109" s="14">
        <f>'PEMAKAIAN UNIT'!D106</f>
        <v>0</v>
      </c>
      <c r="AO109" s="14">
        <f t="shared" si="59"/>
        <v>0</v>
      </c>
      <c r="AP109" s="15">
        <f t="shared" si="60"/>
        <v>0</v>
      </c>
      <c r="AQ109" s="14">
        <f t="shared" si="61"/>
        <v>0</v>
      </c>
      <c r="AR109" s="14">
        <f>DISTRIBUSI!E107</f>
        <v>0</v>
      </c>
      <c r="AS109" s="14">
        <f>'PEMAKAIAN UNIT'!E106</f>
        <v>0</v>
      </c>
      <c r="AT109" s="14">
        <f t="shared" si="62"/>
        <v>0</v>
      </c>
      <c r="AU109" s="15">
        <f t="shared" si="63"/>
        <v>0</v>
      </c>
      <c r="AV109" s="14">
        <f t="shared" si="64"/>
        <v>0</v>
      </c>
      <c r="AW109" s="14">
        <f>DISTRIBUSI!F107</f>
        <v>0</v>
      </c>
      <c r="AX109" s="14">
        <f>'PEMAKAIAN UNIT'!F106</f>
        <v>0</v>
      </c>
      <c r="AY109" s="14">
        <f t="shared" si="65"/>
        <v>0</v>
      </c>
      <c r="AZ109" s="15">
        <f t="shared" si="66"/>
        <v>0</v>
      </c>
      <c r="BA109" s="14">
        <f t="shared" si="67"/>
        <v>0</v>
      </c>
      <c r="BB109" s="14">
        <f>DISTRIBUSI!G107</f>
        <v>0</v>
      </c>
      <c r="BC109" s="14">
        <f>'PEMAKAIAN UNIT'!G106</f>
        <v>0</v>
      </c>
      <c r="BD109" s="14">
        <f t="shared" si="68"/>
        <v>0</v>
      </c>
      <c r="BE109" s="15">
        <f t="shared" si="69"/>
        <v>0</v>
      </c>
      <c r="BF109" s="14">
        <f t="shared" si="70"/>
        <v>0</v>
      </c>
      <c r="BG109" s="14">
        <f>DISTRIBUSI!H107</f>
        <v>0</v>
      </c>
      <c r="BH109" s="14">
        <f>'PEMAKAIAN UNIT'!H106</f>
        <v>0</v>
      </c>
      <c r="BI109" s="14">
        <f t="shared" si="71"/>
        <v>0</v>
      </c>
      <c r="BJ109" s="15">
        <f t="shared" si="72"/>
        <v>0</v>
      </c>
      <c r="BK109" s="14">
        <f t="shared" si="73"/>
        <v>0</v>
      </c>
      <c r="BL109" s="14">
        <f>DISTRIBUSI!I107</f>
        <v>0</v>
      </c>
      <c r="BM109" s="14">
        <f>'PEMAKAIAN UNIT'!I106</f>
        <v>0</v>
      </c>
      <c r="BN109" s="14">
        <f t="shared" si="74"/>
        <v>0</v>
      </c>
      <c r="BO109" s="15">
        <f t="shared" si="75"/>
        <v>0</v>
      </c>
      <c r="BP109" s="14">
        <f t="shared" si="76"/>
        <v>0</v>
      </c>
      <c r="BQ109" s="14">
        <f>DISTRIBUSI!J107</f>
        <v>0</v>
      </c>
      <c r="BR109" s="14">
        <f>'PEMAKAIAN UNIT'!J106</f>
        <v>0</v>
      </c>
      <c r="BS109" s="14">
        <f t="shared" si="77"/>
        <v>0</v>
      </c>
      <c r="BT109" s="15">
        <f t="shared" si="78"/>
        <v>0</v>
      </c>
      <c r="BU109" s="14">
        <f t="shared" si="79"/>
        <v>0</v>
      </c>
      <c r="BV109" s="14">
        <f>DISTRIBUSI!K107</f>
        <v>0</v>
      </c>
      <c r="BW109" s="14">
        <f>'PEMAKAIAN UNIT'!K106</f>
        <v>0</v>
      </c>
      <c r="BX109" s="14">
        <f t="shared" si="80"/>
        <v>0</v>
      </c>
      <c r="BY109" s="15">
        <f t="shared" si="81"/>
        <v>0</v>
      </c>
      <c r="BZ109" s="14">
        <f t="shared" si="82"/>
        <v>0</v>
      </c>
      <c r="CA109" s="14">
        <f>DISTRIBUSI!L107</f>
        <v>0</v>
      </c>
      <c r="CB109" s="14">
        <f>'PEMAKAIAN UNIT'!L106</f>
        <v>0</v>
      </c>
      <c r="CC109" s="14">
        <f t="shared" si="83"/>
        <v>0</v>
      </c>
      <c r="CD109" s="15">
        <f t="shared" si="84"/>
        <v>0</v>
      </c>
      <c r="CE109" s="14">
        <f t="shared" si="85"/>
        <v>0</v>
      </c>
      <c r="CF109" s="14">
        <f>DISTRIBUSI!M107</f>
        <v>0</v>
      </c>
      <c r="CG109" s="14">
        <f>'PEMAKAIAN UNIT'!M106</f>
        <v>0</v>
      </c>
      <c r="CH109" s="14">
        <f t="shared" si="86"/>
        <v>0</v>
      </c>
      <c r="CI109" s="15">
        <f t="shared" si="87"/>
        <v>0</v>
      </c>
      <c r="CJ109" s="14">
        <f t="shared" si="88"/>
        <v>0</v>
      </c>
      <c r="CK109" s="14" t="e">
        <f>DISTRIBUSI!#REF!</f>
        <v>#REF!</v>
      </c>
      <c r="CL109" s="14">
        <f>'PEMAKAIAN UNIT'!N106</f>
        <v>0</v>
      </c>
      <c r="CM109" s="14" t="e">
        <f t="shared" si="89"/>
        <v>#REF!</v>
      </c>
      <c r="CN109" s="15" t="e">
        <f t="shared" si="90"/>
        <v>#REF!</v>
      </c>
      <c r="CO109" s="14" t="e">
        <f>DL109+DISTRIBUSI!#REF!-'PEMAKAIAN UNIT'!O106</f>
        <v>#REF!</v>
      </c>
      <c r="CP109" s="15" t="e">
        <f t="shared" si="91"/>
        <v>#REF!</v>
      </c>
      <c r="CQ109" s="226">
        <f t="shared" si="92"/>
        <v>0</v>
      </c>
      <c r="CR109" s="226">
        <f>DISTRIBUSI!R107</f>
        <v>0</v>
      </c>
      <c r="CS109" s="226">
        <f>'PEMAKAIAN UNIT'!P106</f>
        <v>0</v>
      </c>
      <c r="CT109" s="14">
        <f t="shared" si="93"/>
        <v>0</v>
      </c>
      <c r="CU109" s="15">
        <f t="shared" si="94"/>
        <v>0</v>
      </c>
      <c r="CV109" s="14" t="e">
        <f>DN109+DISTRIBUSI!#REF!-'PEMAKAIAN UNIT'!Q106</f>
        <v>#REF!</v>
      </c>
      <c r="CW109" s="15" t="e">
        <f t="shared" si="95"/>
        <v>#REF!</v>
      </c>
      <c r="CX109" s="14">
        <f>DO109+'LPLPO GUDANG'!E112-'LPLPO GUDANG'!G112</f>
        <v>2</v>
      </c>
      <c r="CY109" s="15">
        <f t="shared" si="96"/>
        <v>0</v>
      </c>
      <c r="CZ109" s="28"/>
      <c r="DA109" s="14">
        <v>0</v>
      </c>
      <c r="DB109" s="14"/>
      <c r="DC109" s="14">
        <v>0</v>
      </c>
      <c r="DD109" s="14">
        <v>0</v>
      </c>
      <c r="DE109" s="14">
        <v>0</v>
      </c>
      <c r="DF109" s="14"/>
      <c r="DG109" s="14"/>
      <c r="DH109" s="14">
        <v>0</v>
      </c>
      <c r="DI109" s="14">
        <v>0</v>
      </c>
      <c r="DJ109" s="14">
        <v>0</v>
      </c>
      <c r="DK109" s="14">
        <v>0</v>
      </c>
      <c r="DL109" s="14">
        <v>0</v>
      </c>
      <c r="DM109" s="14">
        <v>0</v>
      </c>
      <c r="DN109" s="14">
        <v>0</v>
      </c>
      <c r="DO109" s="14">
        <v>0</v>
      </c>
      <c r="DP109" s="13">
        <f t="shared" si="97"/>
        <v>0</v>
      </c>
      <c r="DR109" t="s">
        <v>83</v>
      </c>
      <c r="DU109" s="20" t="e">
        <f t="shared" si="98"/>
        <v>#REF!</v>
      </c>
    </row>
    <row r="110" spans="1:125" customFormat="1" ht="18" x14ac:dyDescent="0.35">
      <c r="A110" s="84">
        <f t="shared" si="99"/>
        <v>99</v>
      </c>
      <c r="B110" s="142" t="s">
        <v>84</v>
      </c>
      <c r="C110" s="157" t="s">
        <v>188</v>
      </c>
      <c r="D110" s="109">
        <v>0</v>
      </c>
      <c r="E110" s="110">
        <f>'LPLPO GUDANG'!E113</f>
        <v>0</v>
      </c>
      <c r="F110" s="110">
        <f t="shared" si="50"/>
        <v>0</v>
      </c>
      <c r="G110" s="110">
        <f>'PEMAKAIAN UNIT'!R107</f>
        <v>0</v>
      </c>
      <c r="H110" s="14">
        <v>0</v>
      </c>
      <c r="I110" s="14">
        <v>0</v>
      </c>
      <c r="J110" s="14">
        <v>0</v>
      </c>
      <c r="K110" s="14"/>
      <c r="L110" s="14"/>
      <c r="M110" s="14"/>
      <c r="N110" s="14"/>
      <c r="O110" s="14"/>
      <c r="P110" s="14"/>
      <c r="Q110" s="14"/>
      <c r="R110" s="14"/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09">
        <f t="shared" si="51"/>
        <v>0</v>
      </c>
      <c r="Z110" s="109" t="e">
        <f t="shared" si="52"/>
        <v>#REF!</v>
      </c>
      <c r="AA110" s="109" t="e">
        <f t="shared" si="53"/>
        <v>#REF!</v>
      </c>
      <c r="AB110" s="14">
        <v>3</v>
      </c>
      <c r="AC110" s="109" t="e">
        <f t="shared" si="54"/>
        <v>#REF!</v>
      </c>
      <c r="AD110" s="109">
        <f>'LPLPO GUDANG'!H113</f>
        <v>20</v>
      </c>
      <c r="AE110" s="111" t="e">
        <f t="shared" si="55"/>
        <v>#REF!</v>
      </c>
      <c r="AF110" s="212"/>
      <c r="AG110" s="212"/>
      <c r="AH110" s="20"/>
      <c r="AI110" s="14">
        <f t="shared" si="56"/>
        <v>0</v>
      </c>
      <c r="AJ110" s="209" t="e">
        <f t="shared" si="57"/>
        <v>#REF!</v>
      </c>
      <c r="AL110" s="14">
        <f t="shared" si="58"/>
        <v>0</v>
      </c>
      <c r="AM110" s="14">
        <f>DISTRIBUSI!D108</f>
        <v>0</v>
      </c>
      <c r="AN110" s="14">
        <f>'PEMAKAIAN UNIT'!D107</f>
        <v>0</v>
      </c>
      <c r="AO110" s="14">
        <f t="shared" si="59"/>
        <v>0</v>
      </c>
      <c r="AP110" s="15">
        <f t="shared" si="60"/>
        <v>0</v>
      </c>
      <c r="AQ110" s="14">
        <f t="shared" si="61"/>
        <v>0</v>
      </c>
      <c r="AR110" s="14">
        <f>DISTRIBUSI!E108</f>
        <v>0</v>
      </c>
      <c r="AS110" s="14">
        <f>'PEMAKAIAN UNIT'!E107</f>
        <v>0</v>
      </c>
      <c r="AT110" s="14">
        <f t="shared" si="62"/>
        <v>0</v>
      </c>
      <c r="AU110" s="15">
        <f t="shared" si="63"/>
        <v>0</v>
      </c>
      <c r="AV110" s="14">
        <f t="shared" si="64"/>
        <v>0</v>
      </c>
      <c r="AW110" s="14">
        <f>DISTRIBUSI!F108</f>
        <v>0</v>
      </c>
      <c r="AX110" s="14">
        <f>'PEMAKAIAN UNIT'!F107</f>
        <v>0</v>
      </c>
      <c r="AY110" s="14">
        <f t="shared" si="65"/>
        <v>0</v>
      </c>
      <c r="AZ110" s="15">
        <f t="shared" si="66"/>
        <v>0</v>
      </c>
      <c r="BA110" s="14">
        <f t="shared" si="67"/>
        <v>0</v>
      </c>
      <c r="BB110" s="14">
        <f>DISTRIBUSI!G108</f>
        <v>0</v>
      </c>
      <c r="BC110" s="14">
        <f>'PEMAKAIAN UNIT'!G107</f>
        <v>0</v>
      </c>
      <c r="BD110" s="14">
        <f t="shared" si="68"/>
        <v>0</v>
      </c>
      <c r="BE110" s="15">
        <f t="shared" si="69"/>
        <v>0</v>
      </c>
      <c r="BF110" s="14">
        <f t="shared" si="70"/>
        <v>0</v>
      </c>
      <c r="BG110" s="14">
        <f>DISTRIBUSI!H108</f>
        <v>0</v>
      </c>
      <c r="BH110" s="14">
        <f>'PEMAKAIAN UNIT'!H107</f>
        <v>0</v>
      </c>
      <c r="BI110" s="14">
        <f t="shared" si="71"/>
        <v>0</v>
      </c>
      <c r="BJ110" s="15">
        <f t="shared" si="72"/>
        <v>0</v>
      </c>
      <c r="BK110" s="14">
        <f t="shared" si="73"/>
        <v>0</v>
      </c>
      <c r="BL110" s="14">
        <f>DISTRIBUSI!I108</f>
        <v>0</v>
      </c>
      <c r="BM110" s="14">
        <f>'PEMAKAIAN UNIT'!I107</f>
        <v>0</v>
      </c>
      <c r="BN110" s="14">
        <f t="shared" si="74"/>
        <v>0</v>
      </c>
      <c r="BO110" s="15">
        <f t="shared" si="75"/>
        <v>0</v>
      </c>
      <c r="BP110" s="14">
        <f t="shared" si="76"/>
        <v>0</v>
      </c>
      <c r="BQ110" s="14">
        <f>DISTRIBUSI!J108</f>
        <v>0</v>
      </c>
      <c r="BR110" s="14">
        <f>'PEMAKAIAN UNIT'!J107</f>
        <v>0</v>
      </c>
      <c r="BS110" s="14">
        <f t="shared" si="77"/>
        <v>0</v>
      </c>
      <c r="BT110" s="15">
        <f t="shared" si="78"/>
        <v>0</v>
      </c>
      <c r="BU110" s="14">
        <f t="shared" si="79"/>
        <v>0</v>
      </c>
      <c r="BV110" s="14">
        <f>DISTRIBUSI!K108</f>
        <v>0</v>
      </c>
      <c r="BW110" s="14">
        <f>'PEMAKAIAN UNIT'!K107</f>
        <v>0</v>
      </c>
      <c r="BX110" s="14">
        <f t="shared" si="80"/>
        <v>0</v>
      </c>
      <c r="BY110" s="15">
        <f t="shared" si="81"/>
        <v>0</v>
      </c>
      <c r="BZ110" s="14">
        <f t="shared" si="82"/>
        <v>0</v>
      </c>
      <c r="CA110" s="14">
        <f>DISTRIBUSI!L108</f>
        <v>0</v>
      </c>
      <c r="CB110" s="14">
        <f>'PEMAKAIAN UNIT'!L107</f>
        <v>0</v>
      </c>
      <c r="CC110" s="14">
        <f t="shared" si="83"/>
        <v>0</v>
      </c>
      <c r="CD110" s="15">
        <f t="shared" si="84"/>
        <v>0</v>
      </c>
      <c r="CE110" s="14">
        <f t="shared" si="85"/>
        <v>0</v>
      </c>
      <c r="CF110" s="14">
        <f>DISTRIBUSI!M108</f>
        <v>0</v>
      </c>
      <c r="CG110" s="14">
        <f>'PEMAKAIAN UNIT'!M107</f>
        <v>0</v>
      </c>
      <c r="CH110" s="14">
        <f t="shared" si="86"/>
        <v>0</v>
      </c>
      <c r="CI110" s="15">
        <f t="shared" si="87"/>
        <v>0</v>
      </c>
      <c r="CJ110" s="14">
        <f t="shared" si="88"/>
        <v>0</v>
      </c>
      <c r="CK110" s="14" t="e">
        <f>DISTRIBUSI!#REF!</f>
        <v>#REF!</v>
      </c>
      <c r="CL110" s="14">
        <f>'PEMAKAIAN UNIT'!N107</f>
        <v>0</v>
      </c>
      <c r="CM110" s="14" t="e">
        <f t="shared" si="89"/>
        <v>#REF!</v>
      </c>
      <c r="CN110" s="15" t="e">
        <f t="shared" si="90"/>
        <v>#REF!</v>
      </c>
      <c r="CO110" s="14" t="e">
        <f>DL110+DISTRIBUSI!#REF!-'PEMAKAIAN UNIT'!O107</f>
        <v>#REF!</v>
      </c>
      <c r="CP110" s="15" t="e">
        <f t="shared" si="91"/>
        <v>#REF!</v>
      </c>
      <c r="CQ110" s="226">
        <f t="shared" si="92"/>
        <v>3</v>
      </c>
      <c r="CR110" s="226">
        <f>DISTRIBUSI!R108</f>
        <v>0</v>
      </c>
      <c r="CS110" s="226">
        <f>'PEMAKAIAN UNIT'!P107</f>
        <v>0</v>
      </c>
      <c r="CT110" s="14">
        <f t="shared" si="93"/>
        <v>3</v>
      </c>
      <c r="CU110" s="15">
        <f t="shared" si="94"/>
        <v>0</v>
      </c>
      <c r="CV110" s="14" t="e">
        <f>DN110+DISTRIBUSI!#REF!-'PEMAKAIAN UNIT'!Q107</f>
        <v>#REF!</v>
      </c>
      <c r="CW110" s="15" t="e">
        <f t="shared" si="95"/>
        <v>#REF!</v>
      </c>
      <c r="CX110" s="14">
        <f>DO110+'LPLPO GUDANG'!E113-'LPLPO GUDANG'!G113</f>
        <v>5</v>
      </c>
      <c r="CY110" s="15">
        <f t="shared" si="96"/>
        <v>-15</v>
      </c>
      <c r="CZ110" s="28"/>
      <c r="DA110" s="14">
        <v>0</v>
      </c>
      <c r="DB110" s="14"/>
      <c r="DC110" s="14">
        <v>0</v>
      </c>
      <c r="DD110" s="14">
        <v>0</v>
      </c>
      <c r="DE110" s="14">
        <v>0</v>
      </c>
      <c r="DF110" s="14"/>
      <c r="DG110" s="14">
        <v>0</v>
      </c>
      <c r="DH110" s="14">
        <v>0</v>
      </c>
      <c r="DI110" s="14">
        <v>0</v>
      </c>
      <c r="DJ110" s="14">
        <v>0</v>
      </c>
      <c r="DK110" s="14">
        <v>0</v>
      </c>
      <c r="DL110" s="14">
        <v>0</v>
      </c>
      <c r="DM110" s="14">
        <v>3</v>
      </c>
      <c r="DN110" s="14">
        <v>0</v>
      </c>
      <c r="DO110" s="14">
        <v>5</v>
      </c>
      <c r="DP110" s="13">
        <f t="shared" si="97"/>
        <v>8</v>
      </c>
      <c r="DR110" t="s">
        <v>84</v>
      </c>
      <c r="DU110" s="20" t="e">
        <f t="shared" si="98"/>
        <v>#REF!</v>
      </c>
    </row>
    <row r="111" spans="1:125" customFormat="1" ht="20.149999999999999" customHeight="1" x14ac:dyDescent="0.35">
      <c r="A111" s="84">
        <f t="shared" si="99"/>
        <v>100</v>
      </c>
      <c r="B111" s="142" t="s">
        <v>85</v>
      </c>
      <c r="C111" s="154" t="s">
        <v>327</v>
      </c>
      <c r="D111" s="109">
        <v>0</v>
      </c>
      <c r="E111" s="110">
        <f>'LPLPO GUDANG'!E114</f>
        <v>0</v>
      </c>
      <c r="F111" s="110">
        <f t="shared" si="50"/>
        <v>0</v>
      </c>
      <c r="G111" s="110">
        <f>'PEMAKAIAN UNIT'!R108</f>
        <v>0</v>
      </c>
      <c r="H111" s="14">
        <v>115</v>
      </c>
      <c r="I111" s="14">
        <v>90</v>
      </c>
      <c r="J111" s="14">
        <v>0</v>
      </c>
      <c r="K111" s="14"/>
      <c r="L111" s="14"/>
      <c r="M111" s="14"/>
      <c r="N111" s="14"/>
      <c r="O111" s="14"/>
      <c r="P111" s="14"/>
      <c r="Q111" s="14"/>
      <c r="R111" s="14"/>
      <c r="S111" s="14">
        <v>150</v>
      </c>
      <c r="T111" s="14">
        <v>0</v>
      </c>
      <c r="U111" s="14">
        <v>85</v>
      </c>
      <c r="V111" s="14">
        <v>90</v>
      </c>
      <c r="W111" s="14">
        <v>25</v>
      </c>
      <c r="X111" s="14">
        <v>65</v>
      </c>
      <c r="Y111" s="109">
        <f t="shared" si="51"/>
        <v>0</v>
      </c>
      <c r="Z111" s="109" t="e">
        <f t="shared" si="52"/>
        <v>#REF!</v>
      </c>
      <c r="AA111" s="109" t="e">
        <f t="shared" si="53"/>
        <v>#REF!</v>
      </c>
      <c r="AB111" s="14">
        <v>1146</v>
      </c>
      <c r="AC111" s="109" t="e">
        <f t="shared" si="54"/>
        <v>#REF!</v>
      </c>
      <c r="AD111" s="109">
        <f>'LPLPO GUDANG'!H114</f>
        <v>0</v>
      </c>
      <c r="AE111" s="111" t="e">
        <f t="shared" si="55"/>
        <v>#REF!</v>
      </c>
      <c r="AF111" s="212"/>
      <c r="AG111" s="212"/>
      <c r="AH111" s="20"/>
      <c r="AI111" s="14">
        <f t="shared" si="56"/>
        <v>0</v>
      </c>
      <c r="AJ111" s="209" t="e">
        <f t="shared" si="57"/>
        <v>#REF!</v>
      </c>
      <c r="AL111" s="14">
        <f t="shared" si="58"/>
        <v>255</v>
      </c>
      <c r="AM111" s="14">
        <f>DISTRIBUSI!D109</f>
        <v>0</v>
      </c>
      <c r="AN111" s="14">
        <f>'PEMAKAIAN UNIT'!D108</f>
        <v>0</v>
      </c>
      <c r="AO111" s="14">
        <f t="shared" si="59"/>
        <v>255</v>
      </c>
      <c r="AP111" s="15">
        <f t="shared" si="60"/>
        <v>140</v>
      </c>
      <c r="AQ111" s="14">
        <f t="shared" si="61"/>
        <v>100</v>
      </c>
      <c r="AR111" s="14">
        <f>DISTRIBUSI!E109</f>
        <v>0</v>
      </c>
      <c r="AS111" s="14">
        <f>'PEMAKAIAN UNIT'!E108</f>
        <v>0</v>
      </c>
      <c r="AT111" s="14">
        <f t="shared" si="62"/>
        <v>100</v>
      </c>
      <c r="AU111" s="15">
        <f t="shared" si="63"/>
        <v>10</v>
      </c>
      <c r="AV111" s="14">
        <f t="shared" si="64"/>
        <v>52</v>
      </c>
      <c r="AW111" s="14">
        <f>DISTRIBUSI!F109</f>
        <v>0</v>
      </c>
      <c r="AX111" s="14">
        <f>'PEMAKAIAN UNIT'!F108</f>
        <v>0</v>
      </c>
      <c r="AY111" s="14">
        <f t="shared" si="65"/>
        <v>52</v>
      </c>
      <c r="AZ111" s="15">
        <f t="shared" si="66"/>
        <v>52</v>
      </c>
      <c r="BA111" s="14">
        <f t="shared" si="67"/>
        <v>100</v>
      </c>
      <c r="BB111" s="14">
        <f>DISTRIBUSI!G109</f>
        <v>0</v>
      </c>
      <c r="BC111" s="14">
        <f>'PEMAKAIAN UNIT'!G108</f>
        <v>0</v>
      </c>
      <c r="BD111" s="14">
        <f t="shared" si="68"/>
        <v>100</v>
      </c>
      <c r="BE111" s="15">
        <f t="shared" si="69"/>
        <v>-50</v>
      </c>
      <c r="BF111" s="14">
        <f t="shared" si="70"/>
        <v>210</v>
      </c>
      <c r="BG111" s="14">
        <f>DISTRIBUSI!H109</f>
        <v>0</v>
      </c>
      <c r="BH111" s="14">
        <f>'PEMAKAIAN UNIT'!H108</f>
        <v>0</v>
      </c>
      <c r="BI111" s="14">
        <f t="shared" si="71"/>
        <v>210</v>
      </c>
      <c r="BJ111" s="15">
        <f t="shared" si="72"/>
        <v>210</v>
      </c>
      <c r="BK111" s="14">
        <f t="shared" si="73"/>
        <v>185</v>
      </c>
      <c r="BL111" s="14">
        <f>DISTRIBUSI!I109</f>
        <v>0</v>
      </c>
      <c r="BM111" s="14">
        <f>'PEMAKAIAN UNIT'!I108</f>
        <v>0</v>
      </c>
      <c r="BN111" s="14">
        <f t="shared" si="74"/>
        <v>185</v>
      </c>
      <c r="BO111" s="15">
        <f t="shared" si="75"/>
        <v>100</v>
      </c>
      <c r="BP111" s="14">
        <f t="shared" si="76"/>
        <v>140</v>
      </c>
      <c r="BQ111" s="14">
        <f>DISTRIBUSI!J109</f>
        <v>0</v>
      </c>
      <c r="BR111" s="14">
        <f>'PEMAKAIAN UNIT'!J108</f>
        <v>0</v>
      </c>
      <c r="BS111" s="14">
        <f t="shared" si="77"/>
        <v>140</v>
      </c>
      <c r="BT111" s="15">
        <f t="shared" si="78"/>
        <v>50</v>
      </c>
      <c r="BU111" s="14">
        <f t="shared" si="79"/>
        <v>70</v>
      </c>
      <c r="BV111" s="14">
        <f>DISTRIBUSI!K109</f>
        <v>0</v>
      </c>
      <c r="BW111" s="14">
        <f>'PEMAKAIAN UNIT'!K108</f>
        <v>0</v>
      </c>
      <c r="BX111" s="14">
        <f t="shared" si="80"/>
        <v>70</v>
      </c>
      <c r="BY111" s="15">
        <f t="shared" si="81"/>
        <v>45</v>
      </c>
      <c r="BZ111" s="14">
        <f t="shared" si="82"/>
        <v>110</v>
      </c>
      <c r="CA111" s="14">
        <f>DISTRIBUSI!L109</f>
        <v>0</v>
      </c>
      <c r="CB111" s="14">
        <f>'PEMAKAIAN UNIT'!L108</f>
        <v>0</v>
      </c>
      <c r="CC111" s="14">
        <f t="shared" si="83"/>
        <v>110</v>
      </c>
      <c r="CD111" s="15">
        <f t="shared" si="84"/>
        <v>45</v>
      </c>
      <c r="CE111" s="14">
        <f t="shared" si="85"/>
        <v>0</v>
      </c>
      <c r="CF111" s="14">
        <f>DISTRIBUSI!M109</f>
        <v>0</v>
      </c>
      <c r="CG111" s="14">
        <f>'PEMAKAIAN UNIT'!M108</f>
        <v>0</v>
      </c>
      <c r="CH111" s="14">
        <f t="shared" si="86"/>
        <v>0</v>
      </c>
      <c r="CI111" s="15">
        <f t="shared" si="87"/>
        <v>0</v>
      </c>
      <c r="CJ111" s="14">
        <f t="shared" si="88"/>
        <v>0</v>
      </c>
      <c r="CK111" s="14" t="e">
        <f>DISTRIBUSI!#REF!</f>
        <v>#REF!</v>
      </c>
      <c r="CL111" s="14">
        <f>'PEMAKAIAN UNIT'!N108</f>
        <v>0</v>
      </c>
      <c r="CM111" s="14" t="e">
        <f t="shared" si="89"/>
        <v>#REF!</v>
      </c>
      <c r="CN111" s="15" t="e">
        <f t="shared" si="90"/>
        <v>#REF!</v>
      </c>
      <c r="CO111" s="14" t="e">
        <f>DL111+DISTRIBUSI!#REF!-'PEMAKAIAN UNIT'!O108</f>
        <v>#REF!</v>
      </c>
      <c r="CP111" s="15" t="e">
        <f t="shared" si="91"/>
        <v>#REF!</v>
      </c>
      <c r="CQ111" s="226">
        <f t="shared" si="92"/>
        <v>1136</v>
      </c>
      <c r="CR111" s="226">
        <f>DISTRIBUSI!R109</f>
        <v>2600</v>
      </c>
      <c r="CS111" s="226">
        <f>'PEMAKAIAN UNIT'!P108</f>
        <v>0</v>
      </c>
      <c r="CT111" s="14">
        <f t="shared" si="93"/>
        <v>3736</v>
      </c>
      <c r="CU111" s="15">
        <f t="shared" si="94"/>
        <v>2590</v>
      </c>
      <c r="CV111" s="14" t="e">
        <f>DN111+DISTRIBUSI!#REF!-'PEMAKAIAN UNIT'!Q108</f>
        <v>#REF!</v>
      </c>
      <c r="CW111" s="15" t="e">
        <f t="shared" si="95"/>
        <v>#REF!</v>
      </c>
      <c r="CX111" s="14">
        <f>DO111+'LPLPO GUDANG'!E114-'LPLPO GUDANG'!G114</f>
        <v>-1700</v>
      </c>
      <c r="CY111" s="15">
        <f t="shared" si="96"/>
        <v>-1700</v>
      </c>
      <c r="CZ111" s="28"/>
      <c r="DA111" s="14">
        <v>255</v>
      </c>
      <c r="DB111" s="14">
        <v>100</v>
      </c>
      <c r="DC111" s="14">
        <v>52</v>
      </c>
      <c r="DD111" s="14">
        <v>100</v>
      </c>
      <c r="DE111" s="14">
        <v>210</v>
      </c>
      <c r="DF111" s="14">
        <v>185</v>
      </c>
      <c r="DG111" s="14">
        <v>140</v>
      </c>
      <c r="DH111" s="14">
        <v>70</v>
      </c>
      <c r="DI111" s="14">
        <v>110</v>
      </c>
      <c r="DJ111" s="14">
        <v>0</v>
      </c>
      <c r="DK111" s="14">
        <v>0</v>
      </c>
      <c r="DL111" s="14">
        <v>0</v>
      </c>
      <c r="DM111" s="14">
        <v>1136</v>
      </c>
      <c r="DN111" s="14">
        <v>0</v>
      </c>
      <c r="DO111" s="14">
        <v>900</v>
      </c>
      <c r="DP111" s="13">
        <f t="shared" si="97"/>
        <v>3258</v>
      </c>
      <c r="DR111" t="s">
        <v>85</v>
      </c>
      <c r="DU111" s="20" t="e">
        <f t="shared" si="98"/>
        <v>#REF!</v>
      </c>
    </row>
    <row r="112" spans="1:125" customFormat="1" ht="20.149999999999999" customHeight="1" x14ac:dyDescent="0.35">
      <c r="A112" s="84">
        <f t="shared" si="99"/>
        <v>101</v>
      </c>
      <c r="B112" s="142" t="s">
        <v>86</v>
      </c>
      <c r="C112" s="157" t="s">
        <v>327</v>
      </c>
      <c r="D112" s="109">
        <v>0</v>
      </c>
      <c r="E112" s="110">
        <f>'LPLPO GUDANG'!E115</f>
        <v>0</v>
      </c>
      <c r="F112" s="110">
        <f t="shared" si="50"/>
        <v>0</v>
      </c>
      <c r="G112" s="110">
        <f>'PEMAKAIAN UNIT'!R109</f>
        <v>0</v>
      </c>
      <c r="H112" s="14">
        <v>0</v>
      </c>
      <c r="I112" s="14">
        <v>0</v>
      </c>
      <c r="J112" s="14">
        <v>0</v>
      </c>
      <c r="K112" s="14"/>
      <c r="L112" s="14"/>
      <c r="M112" s="14"/>
      <c r="N112" s="14"/>
      <c r="O112" s="14"/>
      <c r="P112" s="14"/>
      <c r="Q112" s="14"/>
      <c r="R112" s="14"/>
      <c r="S112" s="14">
        <v>80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09">
        <f t="shared" si="51"/>
        <v>0</v>
      </c>
      <c r="Z112" s="109" t="e">
        <f t="shared" si="52"/>
        <v>#REF!</v>
      </c>
      <c r="AA112" s="109" t="e">
        <f t="shared" si="53"/>
        <v>#REF!</v>
      </c>
      <c r="AB112" s="14">
        <v>159</v>
      </c>
      <c r="AC112" s="109" t="e">
        <f t="shared" si="54"/>
        <v>#REF!</v>
      </c>
      <c r="AD112" s="109">
        <f>'LPLPO GUDANG'!H115</f>
        <v>100</v>
      </c>
      <c r="AE112" s="111" t="e">
        <f t="shared" si="55"/>
        <v>#REF!</v>
      </c>
      <c r="AF112" s="212"/>
      <c r="AG112" s="212"/>
      <c r="AH112" s="20"/>
      <c r="AI112" s="14">
        <f t="shared" si="56"/>
        <v>0</v>
      </c>
      <c r="AJ112" s="209" t="e">
        <f t="shared" si="57"/>
        <v>#REF!</v>
      </c>
      <c r="AL112" s="14">
        <f t="shared" si="58"/>
        <v>0</v>
      </c>
      <c r="AM112" s="14">
        <f>DISTRIBUSI!D110</f>
        <v>0</v>
      </c>
      <c r="AN112" s="14">
        <f>'PEMAKAIAN UNIT'!D109</f>
        <v>0</v>
      </c>
      <c r="AO112" s="14">
        <f t="shared" si="59"/>
        <v>0</v>
      </c>
      <c r="AP112" s="15">
        <f t="shared" si="60"/>
        <v>0</v>
      </c>
      <c r="AQ112" s="14">
        <f t="shared" si="61"/>
        <v>0</v>
      </c>
      <c r="AR112" s="14">
        <f>DISTRIBUSI!E110</f>
        <v>0</v>
      </c>
      <c r="AS112" s="14">
        <f>'PEMAKAIAN UNIT'!E109</f>
        <v>0</v>
      </c>
      <c r="AT112" s="14">
        <f t="shared" si="62"/>
        <v>0</v>
      </c>
      <c r="AU112" s="15">
        <f t="shared" si="63"/>
        <v>0</v>
      </c>
      <c r="AV112" s="14">
        <f t="shared" si="64"/>
        <v>0</v>
      </c>
      <c r="AW112" s="14">
        <f>DISTRIBUSI!F110</f>
        <v>0</v>
      </c>
      <c r="AX112" s="14">
        <f>'PEMAKAIAN UNIT'!F109</f>
        <v>0</v>
      </c>
      <c r="AY112" s="14">
        <f t="shared" si="65"/>
        <v>0</v>
      </c>
      <c r="AZ112" s="15">
        <f t="shared" si="66"/>
        <v>0</v>
      </c>
      <c r="BA112" s="14">
        <f t="shared" si="67"/>
        <v>100</v>
      </c>
      <c r="BB112" s="14">
        <f>DISTRIBUSI!G110</f>
        <v>0</v>
      </c>
      <c r="BC112" s="14">
        <f>'PEMAKAIAN UNIT'!G109</f>
        <v>0</v>
      </c>
      <c r="BD112" s="14">
        <f t="shared" si="68"/>
        <v>100</v>
      </c>
      <c r="BE112" s="15">
        <f t="shared" si="69"/>
        <v>20</v>
      </c>
      <c r="BF112" s="14">
        <f t="shared" si="70"/>
        <v>0</v>
      </c>
      <c r="BG112" s="14">
        <f>DISTRIBUSI!H110</f>
        <v>0</v>
      </c>
      <c r="BH112" s="14">
        <f>'PEMAKAIAN UNIT'!H109</f>
        <v>0</v>
      </c>
      <c r="BI112" s="14">
        <f t="shared" si="71"/>
        <v>0</v>
      </c>
      <c r="BJ112" s="15">
        <f t="shared" si="72"/>
        <v>0</v>
      </c>
      <c r="BK112" s="14">
        <f t="shared" si="73"/>
        <v>0</v>
      </c>
      <c r="BL112" s="14">
        <f>DISTRIBUSI!I110</f>
        <v>0</v>
      </c>
      <c r="BM112" s="14">
        <f>'PEMAKAIAN UNIT'!I109</f>
        <v>0</v>
      </c>
      <c r="BN112" s="14">
        <f t="shared" si="74"/>
        <v>0</v>
      </c>
      <c r="BO112" s="15">
        <f t="shared" si="75"/>
        <v>0</v>
      </c>
      <c r="BP112" s="14">
        <f t="shared" si="76"/>
        <v>0</v>
      </c>
      <c r="BQ112" s="14">
        <f>DISTRIBUSI!J110</f>
        <v>0</v>
      </c>
      <c r="BR112" s="14">
        <f>'PEMAKAIAN UNIT'!J109</f>
        <v>0</v>
      </c>
      <c r="BS112" s="14">
        <f t="shared" si="77"/>
        <v>0</v>
      </c>
      <c r="BT112" s="15">
        <f t="shared" si="78"/>
        <v>0</v>
      </c>
      <c r="BU112" s="14">
        <f t="shared" si="79"/>
        <v>0</v>
      </c>
      <c r="BV112" s="14">
        <f>DISTRIBUSI!K110</f>
        <v>0</v>
      </c>
      <c r="BW112" s="14">
        <f>'PEMAKAIAN UNIT'!K109</f>
        <v>0</v>
      </c>
      <c r="BX112" s="14">
        <f t="shared" si="80"/>
        <v>0</v>
      </c>
      <c r="BY112" s="15">
        <f t="shared" si="81"/>
        <v>0</v>
      </c>
      <c r="BZ112" s="14">
        <f t="shared" si="82"/>
        <v>0</v>
      </c>
      <c r="CA112" s="14">
        <f>DISTRIBUSI!L110</f>
        <v>0</v>
      </c>
      <c r="CB112" s="14">
        <f>'PEMAKAIAN UNIT'!L109</f>
        <v>0</v>
      </c>
      <c r="CC112" s="14">
        <f t="shared" si="83"/>
        <v>0</v>
      </c>
      <c r="CD112" s="15">
        <f t="shared" si="84"/>
        <v>0</v>
      </c>
      <c r="CE112" s="14">
        <f t="shared" si="85"/>
        <v>0</v>
      </c>
      <c r="CF112" s="14">
        <f>DISTRIBUSI!M110</f>
        <v>0</v>
      </c>
      <c r="CG112" s="14">
        <f>'PEMAKAIAN UNIT'!M109</f>
        <v>0</v>
      </c>
      <c r="CH112" s="14">
        <f t="shared" si="86"/>
        <v>0</v>
      </c>
      <c r="CI112" s="15">
        <f t="shared" si="87"/>
        <v>0</v>
      </c>
      <c r="CJ112" s="14">
        <f t="shared" si="88"/>
        <v>0</v>
      </c>
      <c r="CK112" s="14" t="e">
        <f>DISTRIBUSI!#REF!</f>
        <v>#REF!</v>
      </c>
      <c r="CL112" s="14">
        <f>'PEMAKAIAN UNIT'!N109</f>
        <v>0</v>
      </c>
      <c r="CM112" s="14" t="e">
        <f t="shared" si="89"/>
        <v>#REF!</v>
      </c>
      <c r="CN112" s="15" t="e">
        <f t="shared" si="90"/>
        <v>#REF!</v>
      </c>
      <c r="CO112" s="14" t="e">
        <f>DL112+DISTRIBUSI!#REF!-'PEMAKAIAN UNIT'!O109</f>
        <v>#REF!</v>
      </c>
      <c r="CP112" s="15" t="e">
        <f t="shared" si="91"/>
        <v>#REF!</v>
      </c>
      <c r="CQ112" s="226">
        <f t="shared" si="92"/>
        <v>179</v>
      </c>
      <c r="CR112" s="226">
        <f>DISTRIBUSI!R110</f>
        <v>0</v>
      </c>
      <c r="CS112" s="226">
        <f>'PEMAKAIAN UNIT'!P109</f>
        <v>0</v>
      </c>
      <c r="CT112" s="14">
        <f t="shared" si="93"/>
        <v>179</v>
      </c>
      <c r="CU112" s="15">
        <f t="shared" si="94"/>
        <v>20</v>
      </c>
      <c r="CV112" s="14" t="e">
        <f>DN112+DISTRIBUSI!#REF!-'PEMAKAIAN UNIT'!Q109</f>
        <v>#REF!</v>
      </c>
      <c r="CW112" s="15" t="e">
        <f t="shared" si="95"/>
        <v>#REF!</v>
      </c>
      <c r="CX112" s="14">
        <f>DO112+'LPLPO GUDANG'!E115-'LPLPO GUDANG'!G115</f>
        <v>400</v>
      </c>
      <c r="CY112" s="15">
        <f t="shared" si="96"/>
        <v>300</v>
      </c>
      <c r="CZ112" s="28"/>
      <c r="DA112" s="14">
        <v>0</v>
      </c>
      <c r="DB112" s="14"/>
      <c r="DC112" s="14">
        <v>0</v>
      </c>
      <c r="DD112" s="14">
        <v>100</v>
      </c>
      <c r="DE112" s="14">
        <v>0</v>
      </c>
      <c r="DF112" s="14"/>
      <c r="DG112" s="14">
        <v>0</v>
      </c>
      <c r="DH112" s="14">
        <v>0</v>
      </c>
      <c r="DI112" s="14">
        <v>0</v>
      </c>
      <c r="DJ112" s="14">
        <v>0</v>
      </c>
      <c r="DK112" s="14">
        <v>0</v>
      </c>
      <c r="DL112" s="14">
        <v>0</v>
      </c>
      <c r="DM112" s="14">
        <v>179</v>
      </c>
      <c r="DN112" s="14">
        <v>0</v>
      </c>
      <c r="DO112" s="14">
        <v>400</v>
      </c>
      <c r="DP112" s="13">
        <f t="shared" si="97"/>
        <v>679</v>
      </c>
      <c r="DR112" t="s">
        <v>86</v>
      </c>
      <c r="DU112" s="20" t="e">
        <f t="shared" si="98"/>
        <v>#REF!</v>
      </c>
    </row>
    <row r="113" spans="1:125" customFormat="1" ht="20.149999999999999" customHeight="1" x14ac:dyDescent="0.35">
      <c r="A113" s="84">
        <f t="shared" si="99"/>
        <v>102</v>
      </c>
      <c r="B113" s="142" t="s">
        <v>87</v>
      </c>
      <c r="C113" s="168" t="s">
        <v>327</v>
      </c>
      <c r="D113" s="109">
        <v>0</v>
      </c>
      <c r="E113" s="110">
        <f>'LPLPO GUDANG'!E116</f>
        <v>0</v>
      </c>
      <c r="F113" s="110">
        <f t="shared" si="50"/>
        <v>0</v>
      </c>
      <c r="G113" s="110">
        <f>'PEMAKAIAN UNIT'!R110</f>
        <v>0</v>
      </c>
      <c r="H113" s="14">
        <v>0</v>
      </c>
      <c r="I113" s="14">
        <v>0</v>
      </c>
      <c r="J113" s="14">
        <v>0</v>
      </c>
      <c r="K113" s="14"/>
      <c r="L113" s="14"/>
      <c r="M113" s="14"/>
      <c r="N113" s="14"/>
      <c r="O113" s="14"/>
      <c r="P113" s="14"/>
      <c r="Q113" s="14"/>
      <c r="R113" s="14"/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09">
        <f t="shared" si="51"/>
        <v>0</v>
      </c>
      <c r="Z113" s="109" t="e">
        <f t="shared" si="52"/>
        <v>#REF!</v>
      </c>
      <c r="AA113" s="109" t="e">
        <f t="shared" si="53"/>
        <v>#REF!</v>
      </c>
      <c r="AB113" s="14">
        <v>187</v>
      </c>
      <c r="AC113" s="109" t="e">
        <f t="shared" si="54"/>
        <v>#REF!</v>
      </c>
      <c r="AD113" s="109">
        <f>'LPLPO GUDANG'!H116</f>
        <v>100</v>
      </c>
      <c r="AE113" s="111" t="e">
        <f t="shared" si="55"/>
        <v>#REF!</v>
      </c>
      <c r="AF113" s="212"/>
      <c r="AG113" s="212"/>
      <c r="AH113" s="20"/>
      <c r="AI113" s="14">
        <f t="shared" si="56"/>
        <v>0</v>
      </c>
      <c r="AJ113" s="209" t="e">
        <f t="shared" si="57"/>
        <v>#REF!</v>
      </c>
      <c r="AL113" s="14">
        <f t="shared" si="58"/>
        <v>0</v>
      </c>
      <c r="AM113" s="14">
        <f>DISTRIBUSI!D111</f>
        <v>0</v>
      </c>
      <c r="AN113" s="14">
        <f>'PEMAKAIAN UNIT'!D110</f>
        <v>0</v>
      </c>
      <c r="AO113" s="14">
        <f t="shared" si="59"/>
        <v>0</v>
      </c>
      <c r="AP113" s="15">
        <f t="shared" si="60"/>
        <v>0</v>
      </c>
      <c r="AQ113" s="14">
        <f t="shared" si="61"/>
        <v>0</v>
      </c>
      <c r="AR113" s="14">
        <f>DISTRIBUSI!E111</f>
        <v>0</v>
      </c>
      <c r="AS113" s="14">
        <f>'PEMAKAIAN UNIT'!E110</f>
        <v>0</v>
      </c>
      <c r="AT113" s="14">
        <f t="shared" si="62"/>
        <v>0</v>
      </c>
      <c r="AU113" s="15">
        <f t="shared" si="63"/>
        <v>0</v>
      </c>
      <c r="AV113" s="14">
        <f t="shared" si="64"/>
        <v>0</v>
      </c>
      <c r="AW113" s="14">
        <f>DISTRIBUSI!F111</f>
        <v>0</v>
      </c>
      <c r="AX113" s="14">
        <f>'PEMAKAIAN UNIT'!F110</f>
        <v>0</v>
      </c>
      <c r="AY113" s="14">
        <f t="shared" si="65"/>
        <v>0</v>
      </c>
      <c r="AZ113" s="15">
        <f t="shared" si="66"/>
        <v>0</v>
      </c>
      <c r="BA113" s="14">
        <f t="shared" si="67"/>
        <v>0</v>
      </c>
      <c r="BB113" s="14">
        <f>DISTRIBUSI!G111</f>
        <v>0</v>
      </c>
      <c r="BC113" s="14">
        <f>'PEMAKAIAN UNIT'!G110</f>
        <v>0</v>
      </c>
      <c r="BD113" s="14">
        <f t="shared" si="68"/>
        <v>0</v>
      </c>
      <c r="BE113" s="15">
        <f t="shared" si="69"/>
        <v>0</v>
      </c>
      <c r="BF113" s="14">
        <f t="shared" si="70"/>
        <v>0</v>
      </c>
      <c r="BG113" s="14">
        <f>DISTRIBUSI!H111</f>
        <v>0</v>
      </c>
      <c r="BH113" s="14">
        <f>'PEMAKAIAN UNIT'!H110</f>
        <v>0</v>
      </c>
      <c r="BI113" s="14">
        <f t="shared" si="71"/>
        <v>0</v>
      </c>
      <c r="BJ113" s="15">
        <f t="shared" si="72"/>
        <v>0</v>
      </c>
      <c r="BK113" s="14">
        <f t="shared" si="73"/>
        <v>0</v>
      </c>
      <c r="BL113" s="14">
        <f>DISTRIBUSI!I111</f>
        <v>0</v>
      </c>
      <c r="BM113" s="14">
        <f>'PEMAKAIAN UNIT'!I110</f>
        <v>0</v>
      </c>
      <c r="BN113" s="14">
        <f t="shared" si="74"/>
        <v>0</v>
      </c>
      <c r="BO113" s="15">
        <f t="shared" si="75"/>
        <v>0</v>
      </c>
      <c r="BP113" s="14">
        <f t="shared" si="76"/>
        <v>0</v>
      </c>
      <c r="BQ113" s="14">
        <f>DISTRIBUSI!J111</f>
        <v>0</v>
      </c>
      <c r="BR113" s="14">
        <f>'PEMAKAIAN UNIT'!J110</f>
        <v>0</v>
      </c>
      <c r="BS113" s="14">
        <f t="shared" si="77"/>
        <v>0</v>
      </c>
      <c r="BT113" s="15">
        <f t="shared" si="78"/>
        <v>0</v>
      </c>
      <c r="BU113" s="14">
        <f t="shared" si="79"/>
        <v>0</v>
      </c>
      <c r="BV113" s="14">
        <f>DISTRIBUSI!K111</f>
        <v>0</v>
      </c>
      <c r="BW113" s="14">
        <f>'PEMAKAIAN UNIT'!K110</f>
        <v>0</v>
      </c>
      <c r="BX113" s="14">
        <f t="shared" si="80"/>
        <v>0</v>
      </c>
      <c r="BY113" s="15">
        <f t="shared" si="81"/>
        <v>0</v>
      </c>
      <c r="BZ113" s="14">
        <f t="shared" si="82"/>
        <v>0</v>
      </c>
      <c r="CA113" s="14">
        <f>DISTRIBUSI!L111</f>
        <v>0</v>
      </c>
      <c r="CB113" s="14">
        <f>'PEMAKAIAN UNIT'!L110</f>
        <v>0</v>
      </c>
      <c r="CC113" s="14">
        <f t="shared" si="83"/>
        <v>0</v>
      </c>
      <c r="CD113" s="15">
        <f t="shared" si="84"/>
        <v>0</v>
      </c>
      <c r="CE113" s="14">
        <f t="shared" si="85"/>
        <v>0</v>
      </c>
      <c r="CF113" s="14">
        <f>DISTRIBUSI!M111</f>
        <v>0</v>
      </c>
      <c r="CG113" s="14">
        <f>'PEMAKAIAN UNIT'!M110</f>
        <v>0</v>
      </c>
      <c r="CH113" s="14">
        <f t="shared" si="86"/>
        <v>0</v>
      </c>
      <c r="CI113" s="15">
        <f t="shared" si="87"/>
        <v>0</v>
      </c>
      <c r="CJ113" s="14">
        <f t="shared" si="88"/>
        <v>0</v>
      </c>
      <c r="CK113" s="14" t="e">
        <f>DISTRIBUSI!#REF!</f>
        <v>#REF!</v>
      </c>
      <c r="CL113" s="14">
        <f>'PEMAKAIAN UNIT'!N110</f>
        <v>0</v>
      </c>
      <c r="CM113" s="14" t="e">
        <f t="shared" si="89"/>
        <v>#REF!</v>
      </c>
      <c r="CN113" s="15" t="e">
        <f t="shared" si="90"/>
        <v>#REF!</v>
      </c>
      <c r="CO113" s="14" t="e">
        <f>DL113+DISTRIBUSI!#REF!-'PEMAKAIAN UNIT'!O110</f>
        <v>#REF!</v>
      </c>
      <c r="CP113" s="15" t="e">
        <f t="shared" si="91"/>
        <v>#REF!</v>
      </c>
      <c r="CQ113" s="226">
        <f t="shared" si="92"/>
        <v>277</v>
      </c>
      <c r="CR113" s="226">
        <f>DISTRIBUSI!R111</f>
        <v>0</v>
      </c>
      <c r="CS113" s="226">
        <f>'PEMAKAIAN UNIT'!P110</f>
        <v>0</v>
      </c>
      <c r="CT113" s="14">
        <f t="shared" si="93"/>
        <v>277</v>
      </c>
      <c r="CU113" s="15">
        <f t="shared" si="94"/>
        <v>90</v>
      </c>
      <c r="CV113" s="14" t="e">
        <f>DN113+DISTRIBUSI!#REF!-'PEMAKAIAN UNIT'!Q110</f>
        <v>#REF!</v>
      </c>
      <c r="CW113" s="15" t="e">
        <f t="shared" si="95"/>
        <v>#REF!</v>
      </c>
      <c r="CX113" s="14">
        <f>DO113+'LPLPO GUDANG'!E116-'LPLPO GUDANG'!G116</f>
        <v>0</v>
      </c>
      <c r="CY113" s="15">
        <f t="shared" si="96"/>
        <v>-100</v>
      </c>
      <c r="CZ113" s="28"/>
      <c r="DA113" s="14">
        <v>0</v>
      </c>
      <c r="DB113" s="14"/>
      <c r="DC113" s="14">
        <v>0</v>
      </c>
      <c r="DD113" s="14">
        <v>0</v>
      </c>
      <c r="DE113" s="14">
        <v>0</v>
      </c>
      <c r="DF113" s="14"/>
      <c r="DG113" s="14">
        <v>0</v>
      </c>
      <c r="DH113" s="14">
        <v>0</v>
      </c>
      <c r="DI113" s="14">
        <v>0</v>
      </c>
      <c r="DJ113" s="14">
        <v>0</v>
      </c>
      <c r="DK113" s="14">
        <v>0</v>
      </c>
      <c r="DL113" s="14">
        <v>0</v>
      </c>
      <c r="DM113" s="14">
        <v>277</v>
      </c>
      <c r="DN113" s="14">
        <v>0</v>
      </c>
      <c r="DO113" s="14">
        <v>0</v>
      </c>
      <c r="DP113" s="13">
        <f t="shared" si="97"/>
        <v>277</v>
      </c>
      <c r="DR113" t="s">
        <v>87</v>
      </c>
      <c r="DU113" s="20" t="e">
        <f t="shared" si="98"/>
        <v>#REF!</v>
      </c>
    </row>
    <row r="114" spans="1:125" customFormat="1" ht="20.149999999999999" customHeight="1" x14ac:dyDescent="0.35">
      <c r="A114" s="84">
        <f t="shared" si="99"/>
        <v>103</v>
      </c>
      <c r="B114" s="142" t="s">
        <v>88</v>
      </c>
      <c r="C114" s="161" t="s">
        <v>327</v>
      </c>
      <c r="D114" s="109">
        <v>0</v>
      </c>
      <c r="E114" s="110">
        <f>'LPLPO GUDANG'!E117</f>
        <v>0</v>
      </c>
      <c r="F114" s="110">
        <f t="shared" si="50"/>
        <v>0</v>
      </c>
      <c r="G114" s="110">
        <f>'PEMAKAIAN UNIT'!R111</f>
        <v>0</v>
      </c>
      <c r="H114" s="14">
        <v>0</v>
      </c>
      <c r="I114" s="14">
        <v>0</v>
      </c>
      <c r="J114" s="14">
        <v>0</v>
      </c>
      <c r="K114" s="14"/>
      <c r="L114" s="14"/>
      <c r="M114" s="14"/>
      <c r="N114" s="14"/>
      <c r="O114" s="14"/>
      <c r="P114" s="14"/>
      <c r="Q114" s="14"/>
      <c r="R114" s="14"/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09">
        <f t="shared" si="51"/>
        <v>0</v>
      </c>
      <c r="Z114" s="109" t="e">
        <f t="shared" si="52"/>
        <v>#REF!</v>
      </c>
      <c r="AA114" s="109" t="e">
        <f t="shared" si="53"/>
        <v>#REF!</v>
      </c>
      <c r="AB114" s="14">
        <v>0</v>
      </c>
      <c r="AC114" s="109" t="e">
        <f t="shared" si="54"/>
        <v>#REF!</v>
      </c>
      <c r="AD114" s="109">
        <f>'LPLPO GUDANG'!H117</f>
        <v>100</v>
      </c>
      <c r="AE114" s="111" t="e">
        <f t="shared" si="55"/>
        <v>#REF!</v>
      </c>
      <c r="AF114" s="212"/>
      <c r="AG114" s="212"/>
      <c r="AH114" s="20"/>
      <c r="AI114" s="14">
        <f t="shared" si="56"/>
        <v>0</v>
      </c>
      <c r="AJ114" s="209" t="e">
        <f t="shared" si="57"/>
        <v>#REF!</v>
      </c>
      <c r="AL114" s="14">
        <f t="shared" si="58"/>
        <v>0</v>
      </c>
      <c r="AM114" s="14">
        <f>DISTRIBUSI!D112</f>
        <v>0</v>
      </c>
      <c r="AN114" s="14">
        <f>'PEMAKAIAN UNIT'!D111</f>
        <v>0</v>
      </c>
      <c r="AO114" s="14">
        <f t="shared" si="59"/>
        <v>0</v>
      </c>
      <c r="AP114" s="15">
        <f t="shared" si="60"/>
        <v>0</v>
      </c>
      <c r="AQ114" s="14">
        <f t="shared" si="61"/>
        <v>0</v>
      </c>
      <c r="AR114" s="14">
        <f>DISTRIBUSI!E112</f>
        <v>0</v>
      </c>
      <c r="AS114" s="14">
        <f>'PEMAKAIAN UNIT'!E111</f>
        <v>0</v>
      </c>
      <c r="AT114" s="14">
        <f t="shared" si="62"/>
        <v>0</v>
      </c>
      <c r="AU114" s="15">
        <f t="shared" si="63"/>
        <v>0</v>
      </c>
      <c r="AV114" s="14">
        <f t="shared" si="64"/>
        <v>0</v>
      </c>
      <c r="AW114" s="14">
        <f>DISTRIBUSI!F112</f>
        <v>0</v>
      </c>
      <c r="AX114" s="14">
        <f>'PEMAKAIAN UNIT'!F111</f>
        <v>0</v>
      </c>
      <c r="AY114" s="14">
        <f t="shared" si="65"/>
        <v>0</v>
      </c>
      <c r="AZ114" s="15">
        <f t="shared" si="66"/>
        <v>0</v>
      </c>
      <c r="BA114" s="14">
        <f t="shared" si="67"/>
        <v>0</v>
      </c>
      <c r="BB114" s="14">
        <f>DISTRIBUSI!G112</f>
        <v>0</v>
      </c>
      <c r="BC114" s="14">
        <f>'PEMAKAIAN UNIT'!G111</f>
        <v>0</v>
      </c>
      <c r="BD114" s="14">
        <f t="shared" si="68"/>
        <v>0</v>
      </c>
      <c r="BE114" s="15">
        <f t="shared" si="69"/>
        <v>0</v>
      </c>
      <c r="BF114" s="14">
        <f t="shared" si="70"/>
        <v>0</v>
      </c>
      <c r="BG114" s="14">
        <f>DISTRIBUSI!H112</f>
        <v>0</v>
      </c>
      <c r="BH114" s="14">
        <f>'PEMAKAIAN UNIT'!H111</f>
        <v>0</v>
      </c>
      <c r="BI114" s="14">
        <f t="shared" si="71"/>
        <v>0</v>
      </c>
      <c r="BJ114" s="15">
        <f t="shared" si="72"/>
        <v>0</v>
      </c>
      <c r="BK114" s="14">
        <f t="shared" si="73"/>
        <v>0</v>
      </c>
      <c r="BL114" s="14">
        <f>DISTRIBUSI!I112</f>
        <v>0</v>
      </c>
      <c r="BM114" s="14">
        <f>'PEMAKAIAN UNIT'!I111</f>
        <v>0</v>
      </c>
      <c r="BN114" s="14">
        <f t="shared" si="74"/>
        <v>0</v>
      </c>
      <c r="BO114" s="15">
        <f t="shared" si="75"/>
        <v>0</v>
      </c>
      <c r="BP114" s="14">
        <f t="shared" si="76"/>
        <v>0</v>
      </c>
      <c r="BQ114" s="14">
        <f>DISTRIBUSI!J112</f>
        <v>0</v>
      </c>
      <c r="BR114" s="14">
        <f>'PEMAKAIAN UNIT'!J111</f>
        <v>0</v>
      </c>
      <c r="BS114" s="14">
        <f t="shared" si="77"/>
        <v>0</v>
      </c>
      <c r="BT114" s="15">
        <f t="shared" si="78"/>
        <v>0</v>
      </c>
      <c r="BU114" s="14">
        <f t="shared" si="79"/>
        <v>0</v>
      </c>
      <c r="BV114" s="14">
        <f>DISTRIBUSI!K112</f>
        <v>0</v>
      </c>
      <c r="BW114" s="14">
        <f>'PEMAKAIAN UNIT'!K111</f>
        <v>0</v>
      </c>
      <c r="BX114" s="14">
        <f t="shared" si="80"/>
        <v>0</v>
      </c>
      <c r="BY114" s="15">
        <f t="shared" si="81"/>
        <v>0</v>
      </c>
      <c r="BZ114" s="14">
        <f t="shared" si="82"/>
        <v>0</v>
      </c>
      <c r="CA114" s="14">
        <f>DISTRIBUSI!L112</f>
        <v>0</v>
      </c>
      <c r="CB114" s="14">
        <f>'PEMAKAIAN UNIT'!L111</f>
        <v>0</v>
      </c>
      <c r="CC114" s="14">
        <f t="shared" si="83"/>
        <v>0</v>
      </c>
      <c r="CD114" s="15">
        <f t="shared" si="84"/>
        <v>0</v>
      </c>
      <c r="CE114" s="14">
        <f t="shared" si="85"/>
        <v>0</v>
      </c>
      <c r="CF114" s="14">
        <f>DISTRIBUSI!M112</f>
        <v>0</v>
      </c>
      <c r="CG114" s="14">
        <f>'PEMAKAIAN UNIT'!M111</f>
        <v>0</v>
      </c>
      <c r="CH114" s="14">
        <f t="shared" si="86"/>
        <v>0</v>
      </c>
      <c r="CI114" s="15">
        <f t="shared" si="87"/>
        <v>0</v>
      </c>
      <c r="CJ114" s="14">
        <f t="shared" si="88"/>
        <v>0</v>
      </c>
      <c r="CK114" s="14" t="e">
        <f>DISTRIBUSI!#REF!</f>
        <v>#REF!</v>
      </c>
      <c r="CL114" s="14">
        <f>'PEMAKAIAN UNIT'!N111</f>
        <v>0</v>
      </c>
      <c r="CM114" s="14" t="e">
        <f t="shared" si="89"/>
        <v>#REF!</v>
      </c>
      <c r="CN114" s="15" t="e">
        <f t="shared" si="90"/>
        <v>#REF!</v>
      </c>
      <c r="CO114" s="14" t="e">
        <f>DL114+DISTRIBUSI!#REF!-'PEMAKAIAN UNIT'!O111</f>
        <v>#REF!</v>
      </c>
      <c r="CP114" s="15" t="e">
        <f t="shared" si="91"/>
        <v>#REF!</v>
      </c>
      <c r="CQ114" s="226">
        <f t="shared" si="92"/>
        <v>0</v>
      </c>
      <c r="CR114" s="226">
        <f>DISTRIBUSI!R112</f>
        <v>0</v>
      </c>
      <c r="CS114" s="226">
        <f>'PEMAKAIAN UNIT'!P111</f>
        <v>0</v>
      </c>
      <c r="CT114" s="14">
        <f t="shared" si="93"/>
        <v>0</v>
      </c>
      <c r="CU114" s="15">
        <f t="shared" si="94"/>
        <v>0</v>
      </c>
      <c r="CV114" s="14" t="e">
        <f>DN114+DISTRIBUSI!#REF!-'PEMAKAIAN UNIT'!Q111</f>
        <v>#REF!</v>
      </c>
      <c r="CW114" s="15" t="e">
        <f t="shared" si="95"/>
        <v>#REF!</v>
      </c>
      <c r="CX114" s="14">
        <f>DO114+'LPLPO GUDANG'!E117-'LPLPO GUDANG'!G117</f>
        <v>0</v>
      </c>
      <c r="CY114" s="15">
        <f t="shared" si="96"/>
        <v>-100</v>
      </c>
      <c r="CZ114" s="28"/>
      <c r="DA114" s="14">
        <v>0</v>
      </c>
      <c r="DB114" s="14"/>
      <c r="DC114" s="14">
        <v>0</v>
      </c>
      <c r="DD114" s="14">
        <v>0</v>
      </c>
      <c r="DE114" s="14">
        <v>0</v>
      </c>
      <c r="DF114" s="14"/>
      <c r="DG114" s="14">
        <v>0</v>
      </c>
      <c r="DH114" s="14">
        <v>0</v>
      </c>
      <c r="DI114" s="14">
        <v>0</v>
      </c>
      <c r="DJ114" s="14">
        <v>0</v>
      </c>
      <c r="DK114" s="14">
        <v>0</v>
      </c>
      <c r="DL114" s="14">
        <v>0</v>
      </c>
      <c r="DM114" s="14">
        <v>0</v>
      </c>
      <c r="DN114" s="14">
        <v>0</v>
      </c>
      <c r="DO114" s="14">
        <v>0</v>
      </c>
      <c r="DP114" s="13">
        <f t="shared" si="97"/>
        <v>0</v>
      </c>
      <c r="DR114" t="s">
        <v>88</v>
      </c>
      <c r="DU114" s="20" t="e">
        <f t="shared" si="98"/>
        <v>#REF!</v>
      </c>
    </row>
    <row r="115" spans="1:125" customFormat="1" ht="36" x14ac:dyDescent="0.35">
      <c r="A115" s="84">
        <f t="shared" si="99"/>
        <v>104</v>
      </c>
      <c r="B115" s="142" t="s">
        <v>89</v>
      </c>
      <c r="C115" s="155" t="s">
        <v>327</v>
      </c>
      <c r="D115" s="109">
        <v>0</v>
      </c>
      <c r="E115" s="110">
        <f>'LPLPO GUDANG'!E118</f>
        <v>0</v>
      </c>
      <c r="F115" s="110">
        <f t="shared" si="50"/>
        <v>0</v>
      </c>
      <c r="G115" s="110">
        <f>'PEMAKAIAN UNIT'!R112</f>
        <v>0</v>
      </c>
      <c r="H115" s="14">
        <v>0</v>
      </c>
      <c r="I115" s="14">
        <v>0</v>
      </c>
      <c r="J115" s="14">
        <v>0</v>
      </c>
      <c r="K115" s="14"/>
      <c r="L115" s="14"/>
      <c r="M115" s="14"/>
      <c r="N115" s="14"/>
      <c r="O115" s="14"/>
      <c r="P115" s="14"/>
      <c r="Q115" s="14"/>
      <c r="R115" s="14"/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09">
        <f t="shared" si="51"/>
        <v>0</v>
      </c>
      <c r="Z115" s="109" t="e">
        <f t="shared" si="52"/>
        <v>#REF!</v>
      </c>
      <c r="AA115" s="109" t="e">
        <f t="shared" si="53"/>
        <v>#REF!</v>
      </c>
      <c r="AB115" s="14">
        <v>0</v>
      </c>
      <c r="AC115" s="109" t="e">
        <f t="shared" si="54"/>
        <v>#REF!</v>
      </c>
      <c r="AD115" s="109">
        <f>'LPLPO GUDANG'!H118</f>
        <v>0</v>
      </c>
      <c r="AE115" s="111" t="e">
        <f t="shared" si="55"/>
        <v>#REF!</v>
      </c>
      <c r="AF115" s="212"/>
      <c r="AG115" s="212"/>
      <c r="AH115" s="20"/>
      <c r="AI115" s="14">
        <f t="shared" si="56"/>
        <v>0</v>
      </c>
      <c r="AJ115" s="209" t="e">
        <f t="shared" si="57"/>
        <v>#REF!</v>
      </c>
      <c r="AL115" s="14">
        <f t="shared" si="58"/>
        <v>0</v>
      </c>
      <c r="AM115" s="14">
        <f>DISTRIBUSI!D113</f>
        <v>0</v>
      </c>
      <c r="AN115" s="14">
        <f>'PEMAKAIAN UNIT'!D112</f>
        <v>0</v>
      </c>
      <c r="AO115" s="14">
        <f t="shared" si="59"/>
        <v>0</v>
      </c>
      <c r="AP115" s="15">
        <f t="shared" si="60"/>
        <v>0</v>
      </c>
      <c r="AQ115" s="14">
        <f t="shared" si="61"/>
        <v>0</v>
      </c>
      <c r="AR115" s="14">
        <f>DISTRIBUSI!E113</f>
        <v>0</v>
      </c>
      <c r="AS115" s="14">
        <f>'PEMAKAIAN UNIT'!E112</f>
        <v>0</v>
      </c>
      <c r="AT115" s="14">
        <f t="shared" si="62"/>
        <v>0</v>
      </c>
      <c r="AU115" s="15">
        <f t="shared" si="63"/>
        <v>0</v>
      </c>
      <c r="AV115" s="14">
        <f t="shared" si="64"/>
        <v>0</v>
      </c>
      <c r="AW115" s="14">
        <f>DISTRIBUSI!F113</f>
        <v>0</v>
      </c>
      <c r="AX115" s="14">
        <f>'PEMAKAIAN UNIT'!F112</f>
        <v>0</v>
      </c>
      <c r="AY115" s="14">
        <f t="shared" si="65"/>
        <v>0</v>
      </c>
      <c r="AZ115" s="15">
        <f t="shared" si="66"/>
        <v>0</v>
      </c>
      <c r="BA115" s="14">
        <f t="shared" si="67"/>
        <v>0</v>
      </c>
      <c r="BB115" s="14">
        <f>DISTRIBUSI!G113</f>
        <v>0</v>
      </c>
      <c r="BC115" s="14">
        <f>'PEMAKAIAN UNIT'!G112</f>
        <v>0</v>
      </c>
      <c r="BD115" s="14">
        <f t="shared" si="68"/>
        <v>0</v>
      </c>
      <c r="BE115" s="15">
        <f t="shared" si="69"/>
        <v>0</v>
      </c>
      <c r="BF115" s="14">
        <f t="shared" si="70"/>
        <v>0</v>
      </c>
      <c r="BG115" s="14">
        <f>DISTRIBUSI!H113</f>
        <v>0</v>
      </c>
      <c r="BH115" s="14">
        <f>'PEMAKAIAN UNIT'!H112</f>
        <v>0</v>
      </c>
      <c r="BI115" s="14">
        <f t="shared" si="71"/>
        <v>0</v>
      </c>
      <c r="BJ115" s="15">
        <f t="shared" si="72"/>
        <v>0</v>
      </c>
      <c r="BK115" s="14">
        <f t="shared" si="73"/>
        <v>0</v>
      </c>
      <c r="BL115" s="14">
        <f>DISTRIBUSI!I113</f>
        <v>0</v>
      </c>
      <c r="BM115" s="14">
        <f>'PEMAKAIAN UNIT'!I112</f>
        <v>0</v>
      </c>
      <c r="BN115" s="14">
        <f t="shared" si="74"/>
        <v>0</v>
      </c>
      <c r="BO115" s="15">
        <f t="shared" si="75"/>
        <v>0</v>
      </c>
      <c r="BP115" s="14">
        <f t="shared" si="76"/>
        <v>0</v>
      </c>
      <c r="BQ115" s="14">
        <f>DISTRIBUSI!J113</f>
        <v>0</v>
      </c>
      <c r="BR115" s="14">
        <f>'PEMAKAIAN UNIT'!J112</f>
        <v>0</v>
      </c>
      <c r="BS115" s="14">
        <f t="shared" si="77"/>
        <v>0</v>
      </c>
      <c r="BT115" s="15">
        <f t="shared" si="78"/>
        <v>0</v>
      </c>
      <c r="BU115" s="14">
        <f t="shared" si="79"/>
        <v>0</v>
      </c>
      <c r="BV115" s="14">
        <f>DISTRIBUSI!K113</f>
        <v>0</v>
      </c>
      <c r="BW115" s="14">
        <f>'PEMAKAIAN UNIT'!K112</f>
        <v>0</v>
      </c>
      <c r="BX115" s="14">
        <f t="shared" si="80"/>
        <v>0</v>
      </c>
      <c r="BY115" s="15">
        <f t="shared" si="81"/>
        <v>0</v>
      </c>
      <c r="BZ115" s="14">
        <f t="shared" si="82"/>
        <v>0</v>
      </c>
      <c r="CA115" s="14">
        <f>DISTRIBUSI!L113</f>
        <v>0</v>
      </c>
      <c r="CB115" s="14">
        <f>'PEMAKAIAN UNIT'!L112</f>
        <v>0</v>
      </c>
      <c r="CC115" s="14">
        <f t="shared" si="83"/>
        <v>0</v>
      </c>
      <c r="CD115" s="15">
        <f t="shared" si="84"/>
        <v>0</v>
      </c>
      <c r="CE115" s="14">
        <f t="shared" si="85"/>
        <v>0</v>
      </c>
      <c r="CF115" s="14">
        <f>DISTRIBUSI!M113</f>
        <v>0</v>
      </c>
      <c r="CG115" s="14">
        <f>'PEMAKAIAN UNIT'!M112</f>
        <v>0</v>
      </c>
      <c r="CH115" s="14">
        <f t="shared" si="86"/>
        <v>0</v>
      </c>
      <c r="CI115" s="15">
        <f t="shared" si="87"/>
        <v>0</v>
      </c>
      <c r="CJ115" s="14">
        <f t="shared" si="88"/>
        <v>0</v>
      </c>
      <c r="CK115" s="14" t="e">
        <f>DISTRIBUSI!#REF!</f>
        <v>#REF!</v>
      </c>
      <c r="CL115" s="14">
        <f>'PEMAKAIAN UNIT'!N112</f>
        <v>0</v>
      </c>
      <c r="CM115" s="14" t="e">
        <f t="shared" si="89"/>
        <v>#REF!</v>
      </c>
      <c r="CN115" s="15" t="e">
        <f t="shared" si="90"/>
        <v>#REF!</v>
      </c>
      <c r="CO115" s="14" t="e">
        <f>DL115+DISTRIBUSI!#REF!-'PEMAKAIAN UNIT'!O112</f>
        <v>#REF!</v>
      </c>
      <c r="CP115" s="15" t="e">
        <f t="shared" si="91"/>
        <v>#REF!</v>
      </c>
      <c r="CQ115" s="226">
        <f t="shared" si="92"/>
        <v>0</v>
      </c>
      <c r="CR115" s="226">
        <f>DISTRIBUSI!R113</f>
        <v>0</v>
      </c>
      <c r="CS115" s="226">
        <f>'PEMAKAIAN UNIT'!P112</f>
        <v>0</v>
      </c>
      <c r="CT115" s="14">
        <f t="shared" si="93"/>
        <v>0</v>
      </c>
      <c r="CU115" s="15">
        <f t="shared" si="94"/>
        <v>0</v>
      </c>
      <c r="CV115" s="14" t="e">
        <f>DN115+DISTRIBUSI!#REF!-'PEMAKAIAN UNIT'!Q112</f>
        <v>#REF!</v>
      </c>
      <c r="CW115" s="15" t="e">
        <f t="shared" si="95"/>
        <v>#REF!</v>
      </c>
      <c r="CX115" s="14">
        <f>DO115+'LPLPO GUDANG'!E118-'LPLPO GUDANG'!G118</f>
        <v>0</v>
      </c>
      <c r="CY115" s="15">
        <f t="shared" si="96"/>
        <v>0</v>
      </c>
      <c r="CZ115" s="28"/>
      <c r="DA115" s="14">
        <v>0</v>
      </c>
      <c r="DB115" s="14"/>
      <c r="DC115" s="14">
        <v>0</v>
      </c>
      <c r="DD115" s="14">
        <v>0</v>
      </c>
      <c r="DE115" s="14">
        <v>0</v>
      </c>
      <c r="DF115" s="14"/>
      <c r="DG115" s="14">
        <v>0</v>
      </c>
      <c r="DH115" s="14">
        <v>0</v>
      </c>
      <c r="DI115" s="14">
        <v>0</v>
      </c>
      <c r="DJ115" s="14">
        <v>0</v>
      </c>
      <c r="DK115" s="14">
        <v>0</v>
      </c>
      <c r="DL115" s="14">
        <v>0</v>
      </c>
      <c r="DM115" s="14">
        <v>0</v>
      </c>
      <c r="DN115" s="14">
        <v>0</v>
      </c>
      <c r="DO115" s="14">
        <v>0</v>
      </c>
      <c r="DP115" s="13">
        <f t="shared" si="97"/>
        <v>0</v>
      </c>
      <c r="DR115" t="s">
        <v>89</v>
      </c>
      <c r="DU115" s="20" t="e">
        <f t="shared" si="98"/>
        <v>#REF!</v>
      </c>
    </row>
    <row r="116" spans="1:125" customFormat="1" ht="20.149999999999999" customHeight="1" x14ac:dyDescent="0.35">
      <c r="A116" s="84">
        <f t="shared" si="99"/>
        <v>105</v>
      </c>
      <c r="B116" s="142" t="s">
        <v>90</v>
      </c>
      <c r="C116" s="154" t="s">
        <v>322</v>
      </c>
      <c r="D116" s="109">
        <v>0</v>
      </c>
      <c r="E116" s="110">
        <f>'LPLPO GUDANG'!E119</f>
        <v>300</v>
      </c>
      <c r="F116" s="110">
        <f t="shared" si="50"/>
        <v>300</v>
      </c>
      <c r="G116" s="110">
        <f>'PEMAKAIAN UNIT'!R113</f>
        <v>0</v>
      </c>
      <c r="H116" s="14">
        <v>9</v>
      </c>
      <c r="I116" s="14">
        <v>2</v>
      </c>
      <c r="J116" s="14">
        <v>0</v>
      </c>
      <c r="K116" s="14"/>
      <c r="L116" s="14"/>
      <c r="M116" s="14"/>
      <c r="N116" s="14"/>
      <c r="O116" s="14"/>
      <c r="P116" s="14"/>
      <c r="Q116" s="14"/>
      <c r="R116" s="14"/>
      <c r="S116" s="14">
        <v>1</v>
      </c>
      <c r="T116" s="14">
        <v>0</v>
      </c>
      <c r="U116" s="14">
        <v>2</v>
      </c>
      <c r="V116" s="14">
        <v>1</v>
      </c>
      <c r="W116" s="14">
        <v>3</v>
      </c>
      <c r="X116" s="14">
        <v>0</v>
      </c>
      <c r="Y116" s="109">
        <f t="shared" si="51"/>
        <v>0</v>
      </c>
      <c r="Z116" s="109" t="e">
        <f t="shared" si="52"/>
        <v>#REF!</v>
      </c>
      <c r="AA116" s="109" t="e">
        <f t="shared" si="53"/>
        <v>#REF!</v>
      </c>
      <c r="AB116" s="14">
        <v>233</v>
      </c>
      <c r="AC116" s="109" t="e">
        <f t="shared" si="54"/>
        <v>#REF!</v>
      </c>
      <c r="AD116" s="109">
        <f>'LPLPO GUDANG'!H119</f>
        <v>0</v>
      </c>
      <c r="AE116" s="111" t="e">
        <f t="shared" si="55"/>
        <v>#REF!</v>
      </c>
      <c r="AF116" s="212"/>
      <c r="AG116" s="212"/>
      <c r="AH116" s="20"/>
      <c r="AI116" s="14">
        <f t="shared" si="56"/>
        <v>300</v>
      </c>
      <c r="AJ116" s="209" t="e">
        <f t="shared" si="57"/>
        <v>#REF!</v>
      </c>
      <c r="AL116" s="14">
        <f t="shared" si="58"/>
        <v>14</v>
      </c>
      <c r="AM116" s="14">
        <f>DISTRIBUSI!D114</f>
        <v>0</v>
      </c>
      <c r="AN116" s="14">
        <f>'PEMAKAIAN UNIT'!D113</f>
        <v>0</v>
      </c>
      <c r="AO116" s="14">
        <f t="shared" si="59"/>
        <v>14</v>
      </c>
      <c r="AP116" s="15">
        <f t="shared" si="60"/>
        <v>5</v>
      </c>
      <c r="AQ116" s="14">
        <f t="shared" si="61"/>
        <v>2</v>
      </c>
      <c r="AR116" s="14">
        <f>DISTRIBUSI!E114</f>
        <v>0</v>
      </c>
      <c r="AS116" s="14">
        <f>'PEMAKAIAN UNIT'!E113</f>
        <v>0</v>
      </c>
      <c r="AT116" s="14">
        <f t="shared" si="62"/>
        <v>2</v>
      </c>
      <c r="AU116" s="15">
        <f t="shared" si="63"/>
        <v>0</v>
      </c>
      <c r="AV116" s="14">
        <f t="shared" si="64"/>
        <v>8</v>
      </c>
      <c r="AW116" s="14">
        <f>DISTRIBUSI!F114</f>
        <v>0</v>
      </c>
      <c r="AX116" s="14">
        <f>'PEMAKAIAN UNIT'!F113</f>
        <v>0</v>
      </c>
      <c r="AY116" s="14">
        <f t="shared" si="65"/>
        <v>8</v>
      </c>
      <c r="AZ116" s="15">
        <f t="shared" si="66"/>
        <v>8</v>
      </c>
      <c r="BA116" s="14">
        <f t="shared" si="67"/>
        <v>1</v>
      </c>
      <c r="BB116" s="14">
        <f>DISTRIBUSI!G114</f>
        <v>0</v>
      </c>
      <c r="BC116" s="14">
        <f>'PEMAKAIAN UNIT'!G113</f>
        <v>0</v>
      </c>
      <c r="BD116" s="14">
        <f t="shared" si="68"/>
        <v>1</v>
      </c>
      <c r="BE116" s="15">
        <f t="shared" si="69"/>
        <v>0</v>
      </c>
      <c r="BF116" s="14">
        <f t="shared" si="70"/>
        <v>2</v>
      </c>
      <c r="BG116" s="14">
        <f>DISTRIBUSI!H114</f>
        <v>5</v>
      </c>
      <c r="BH116" s="14">
        <f>'PEMAKAIAN UNIT'!H113</f>
        <v>0</v>
      </c>
      <c r="BI116" s="14">
        <f t="shared" si="71"/>
        <v>7</v>
      </c>
      <c r="BJ116" s="15">
        <f t="shared" si="72"/>
        <v>7</v>
      </c>
      <c r="BK116" s="14">
        <f t="shared" si="73"/>
        <v>2</v>
      </c>
      <c r="BL116" s="14">
        <f>DISTRIBUSI!I114</f>
        <v>0</v>
      </c>
      <c r="BM116" s="14">
        <f>'PEMAKAIAN UNIT'!I113</f>
        <v>0</v>
      </c>
      <c r="BN116" s="14">
        <f t="shared" si="74"/>
        <v>2</v>
      </c>
      <c r="BO116" s="15">
        <f t="shared" si="75"/>
        <v>0</v>
      </c>
      <c r="BP116" s="14">
        <f t="shared" si="76"/>
        <v>2</v>
      </c>
      <c r="BQ116" s="14">
        <f>DISTRIBUSI!J114</f>
        <v>0</v>
      </c>
      <c r="BR116" s="14">
        <f>'PEMAKAIAN UNIT'!J113</f>
        <v>0</v>
      </c>
      <c r="BS116" s="14">
        <f t="shared" si="77"/>
        <v>2</v>
      </c>
      <c r="BT116" s="15">
        <f t="shared" si="78"/>
        <v>1</v>
      </c>
      <c r="BU116" s="14">
        <f t="shared" si="79"/>
        <v>3</v>
      </c>
      <c r="BV116" s="14">
        <f>DISTRIBUSI!K114</f>
        <v>0</v>
      </c>
      <c r="BW116" s="14">
        <f>'PEMAKAIAN UNIT'!K113</f>
        <v>0</v>
      </c>
      <c r="BX116" s="14">
        <f t="shared" si="80"/>
        <v>3</v>
      </c>
      <c r="BY116" s="15">
        <f t="shared" si="81"/>
        <v>0</v>
      </c>
      <c r="BZ116" s="14">
        <f t="shared" si="82"/>
        <v>0</v>
      </c>
      <c r="CA116" s="14">
        <f>DISTRIBUSI!L114</f>
        <v>0</v>
      </c>
      <c r="CB116" s="14">
        <f>'PEMAKAIAN UNIT'!L113</f>
        <v>0</v>
      </c>
      <c r="CC116" s="14">
        <f t="shared" si="83"/>
        <v>0</v>
      </c>
      <c r="CD116" s="15">
        <f t="shared" si="84"/>
        <v>0</v>
      </c>
      <c r="CE116" s="14">
        <f t="shared" si="85"/>
        <v>0</v>
      </c>
      <c r="CF116" s="14">
        <f>DISTRIBUSI!M114</f>
        <v>0</v>
      </c>
      <c r="CG116" s="14">
        <f>'PEMAKAIAN UNIT'!M113</f>
        <v>0</v>
      </c>
      <c r="CH116" s="14">
        <f t="shared" si="86"/>
        <v>0</v>
      </c>
      <c r="CI116" s="15">
        <f t="shared" si="87"/>
        <v>0</v>
      </c>
      <c r="CJ116" s="14">
        <f t="shared" si="88"/>
        <v>0</v>
      </c>
      <c r="CK116" s="14" t="e">
        <f>DISTRIBUSI!#REF!</f>
        <v>#REF!</v>
      </c>
      <c r="CL116" s="14">
        <f>'PEMAKAIAN UNIT'!N113</f>
        <v>0</v>
      </c>
      <c r="CM116" s="14" t="e">
        <f t="shared" si="89"/>
        <v>#REF!</v>
      </c>
      <c r="CN116" s="15" t="e">
        <f t="shared" si="90"/>
        <v>#REF!</v>
      </c>
      <c r="CO116" s="14" t="e">
        <f>DL116+DISTRIBUSI!#REF!-'PEMAKAIAN UNIT'!O113</f>
        <v>#REF!</v>
      </c>
      <c r="CP116" s="15" t="e">
        <f t="shared" si="91"/>
        <v>#REF!</v>
      </c>
      <c r="CQ116" s="226">
        <f t="shared" si="92"/>
        <v>246</v>
      </c>
      <c r="CR116" s="226">
        <f>DISTRIBUSI!R114</f>
        <v>255</v>
      </c>
      <c r="CS116" s="226">
        <f>'PEMAKAIAN UNIT'!P113</f>
        <v>0</v>
      </c>
      <c r="CT116" s="14">
        <f t="shared" si="93"/>
        <v>501</v>
      </c>
      <c r="CU116" s="15">
        <f t="shared" si="94"/>
        <v>268</v>
      </c>
      <c r="CV116" s="14" t="e">
        <f>DN116+DISTRIBUSI!#REF!-'PEMAKAIAN UNIT'!Q113</f>
        <v>#REF!</v>
      </c>
      <c r="CW116" s="15" t="e">
        <f t="shared" si="95"/>
        <v>#REF!</v>
      </c>
      <c r="CX116" s="14">
        <f>DO116+'LPLPO GUDANG'!E119-'LPLPO GUDANG'!G119</f>
        <v>100</v>
      </c>
      <c r="CY116" s="15">
        <f t="shared" si="96"/>
        <v>100</v>
      </c>
      <c r="CZ116" s="28"/>
      <c r="DA116" s="14">
        <v>14</v>
      </c>
      <c r="DB116" s="14">
        <v>2</v>
      </c>
      <c r="DC116" s="14">
        <v>8</v>
      </c>
      <c r="DD116" s="14">
        <v>1</v>
      </c>
      <c r="DE116" s="14">
        <v>2</v>
      </c>
      <c r="DF116" s="14">
        <v>2</v>
      </c>
      <c r="DG116" s="14">
        <v>2</v>
      </c>
      <c r="DH116" s="14">
        <v>3</v>
      </c>
      <c r="DI116" s="14">
        <v>0</v>
      </c>
      <c r="DJ116" s="14">
        <v>0</v>
      </c>
      <c r="DK116" s="14">
        <v>0</v>
      </c>
      <c r="DL116" s="14">
        <v>0</v>
      </c>
      <c r="DM116" s="14">
        <v>246</v>
      </c>
      <c r="DN116" s="14">
        <v>0</v>
      </c>
      <c r="DO116" s="14">
        <v>100</v>
      </c>
      <c r="DP116" s="13">
        <f t="shared" si="97"/>
        <v>380</v>
      </c>
      <c r="DR116" t="s">
        <v>90</v>
      </c>
      <c r="DU116" s="20" t="e">
        <f t="shared" si="98"/>
        <v>#REF!</v>
      </c>
    </row>
    <row r="117" spans="1:125" customFormat="1" ht="20.149999999999999" customHeight="1" x14ac:dyDescent="0.35">
      <c r="A117" s="84">
        <f t="shared" si="99"/>
        <v>106</v>
      </c>
      <c r="B117" s="142" t="s">
        <v>417</v>
      </c>
      <c r="C117" s="121"/>
      <c r="D117" s="109">
        <v>0</v>
      </c>
      <c r="E117" s="110">
        <f>'LPLPO GUDANG'!E120</f>
        <v>0</v>
      </c>
      <c r="F117" s="110">
        <f t="shared" si="50"/>
        <v>0</v>
      </c>
      <c r="G117" s="110">
        <f>'PEMAKAIAN UNIT'!R114</f>
        <v>0</v>
      </c>
      <c r="H117" s="14">
        <v>0</v>
      </c>
      <c r="I117" s="14">
        <v>0</v>
      </c>
      <c r="J117" s="14">
        <v>0</v>
      </c>
      <c r="K117" s="14"/>
      <c r="L117" s="14"/>
      <c r="M117" s="14"/>
      <c r="N117" s="14"/>
      <c r="O117" s="14"/>
      <c r="P117" s="14"/>
      <c r="Q117" s="14"/>
      <c r="R117" s="14"/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09">
        <f t="shared" si="51"/>
        <v>0</v>
      </c>
      <c r="Z117" s="109" t="e">
        <f t="shared" si="52"/>
        <v>#REF!</v>
      </c>
      <c r="AA117" s="109" t="e">
        <f t="shared" si="53"/>
        <v>#REF!</v>
      </c>
      <c r="AB117" s="14">
        <v>100</v>
      </c>
      <c r="AC117" s="109" t="e">
        <f t="shared" si="54"/>
        <v>#REF!</v>
      </c>
      <c r="AD117" s="109">
        <f>'LPLPO GUDANG'!H120</f>
        <v>300</v>
      </c>
      <c r="AE117" s="111" t="e">
        <f t="shared" si="55"/>
        <v>#REF!</v>
      </c>
      <c r="AF117" s="212"/>
      <c r="AG117" s="212"/>
      <c r="AH117" s="20"/>
      <c r="AI117" s="14">
        <f t="shared" si="56"/>
        <v>0</v>
      </c>
      <c r="AJ117" s="209" t="e">
        <f t="shared" si="57"/>
        <v>#REF!</v>
      </c>
      <c r="AL117" s="14">
        <f t="shared" si="58"/>
        <v>0</v>
      </c>
      <c r="AM117" s="14">
        <f>DISTRIBUSI!D115</f>
        <v>0</v>
      </c>
      <c r="AN117" s="14">
        <f>'PEMAKAIAN UNIT'!D114</f>
        <v>0</v>
      </c>
      <c r="AO117" s="14">
        <f t="shared" si="59"/>
        <v>0</v>
      </c>
      <c r="AP117" s="15">
        <f t="shared" si="60"/>
        <v>0</v>
      </c>
      <c r="AQ117" s="14">
        <f t="shared" si="61"/>
        <v>0</v>
      </c>
      <c r="AR117" s="14">
        <f>DISTRIBUSI!E115</f>
        <v>0</v>
      </c>
      <c r="AS117" s="14">
        <f>'PEMAKAIAN UNIT'!E114</f>
        <v>0</v>
      </c>
      <c r="AT117" s="14">
        <f t="shared" si="62"/>
        <v>0</v>
      </c>
      <c r="AU117" s="15">
        <f t="shared" si="63"/>
        <v>0</v>
      </c>
      <c r="AV117" s="14">
        <f t="shared" si="64"/>
        <v>0</v>
      </c>
      <c r="AW117" s="14">
        <f>DISTRIBUSI!F115</f>
        <v>0</v>
      </c>
      <c r="AX117" s="14">
        <f>'PEMAKAIAN UNIT'!F114</f>
        <v>0</v>
      </c>
      <c r="AY117" s="14">
        <f t="shared" si="65"/>
        <v>0</v>
      </c>
      <c r="AZ117" s="15">
        <f t="shared" si="66"/>
        <v>0</v>
      </c>
      <c r="BA117" s="14">
        <f t="shared" si="67"/>
        <v>0</v>
      </c>
      <c r="BB117" s="14">
        <f>DISTRIBUSI!G115</f>
        <v>0</v>
      </c>
      <c r="BC117" s="14">
        <f>'PEMAKAIAN UNIT'!G114</f>
        <v>0</v>
      </c>
      <c r="BD117" s="14">
        <f t="shared" si="68"/>
        <v>0</v>
      </c>
      <c r="BE117" s="15">
        <f t="shared" si="69"/>
        <v>0</v>
      </c>
      <c r="BF117" s="14">
        <f t="shared" si="70"/>
        <v>0</v>
      </c>
      <c r="BG117" s="14">
        <f>DISTRIBUSI!H115</f>
        <v>0</v>
      </c>
      <c r="BH117" s="14">
        <f>'PEMAKAIAN UNIT'!H114</f>
        <v>0</v>
      </c>
      <c r="BI117" s="14">
        <f t="shared" si="71"/>
        <v>0</v>
      </c>
      <c r="BJ117" s="15">
        <f t="shared" si="72"/>
        <v>0</v>
      </c>
      <c r="BK117" s="14">
        <f t="shared" si="73"/>
        <v>0</v>
      </c>
      <c r="BL117" s="14">
        <f>DISTRIBUSI!I115</f>
        <v>0</v>
      </c>
      <c r="BM117" s="14">
        <f>'PEMAKAIAN UNIT'!I114</f>
        <v>0</v>
      </c>
      <c r="BN117" s="14">
        <f t="shared" si="74"/>
        <v>0</v>
      </c>
      <c r="BO117" s="15">
        <f t="shared" si="75"/>
        <v>0</v>
      </c>
      <c r="BP117" s="14">
        <f t="shared" si="76"/>
        <v>0</v>
      </c>
      <c r="BQ117" s="14">
        <f>DISTRIBUSI!J115</f>
        <v>0</v>
      </c>
      <c r="BR117" s="14">
        <f>'PEMAKAIAN UNIT'!J114</f>
        <v>0</v>
      </c>
      <c r="BS117" s="14">
        <f t="shared" si="77"/>
        <v>0</v>
      </c>
      <c r="BT117" s="15">
        <f t="shared" si="78"/>
        <v>0</v>
      </c>
      <c r="BU117" s="14">
        <f t="shared" si="79"/>
        <v>0</v>
      </c>
      <c r="BV117" s="14">
        <f>DISTRIBUSI!K115</f>
        <v>0</v>
      </c>
      <c r="BW117" s="14">
        <f>'PEMAKAIAN UNIT'!K114</f>
        <v>0</v>
      </c>
      <c r="BX117" s="14">
        <f t="shared" si="80"/>
        <v>0</v>
      </c>
      <c r="BY117" s="15">
        <f t="shared" si="81"/>
        <v>0</v>
      </c>
      <c r="BZ117" s="14">
        <f t="shared" si="82"/>
        <v>0</v>
      </c>
      <c r="CA117" s="14">
        <f>DISTRIBUSI!L115</f>
        <v>0</v>
      </c>
      <c r="CB117" s="14">
        <f>'PEMAKAIAN UNIT'!L114</f>
        <v>0</v>
      </c>
      <c r="CC117" s="14">
        <f t="shared" si="83"/>
        <v>0</v>
      </c>
      <c r="CD117" s="15">
        <f t="shared" si="84"/>
        <v>0</v>
      </c>
      <c r="CE117" s="14">
        <f t="shared" si="85"/>
        <v>0</v>
      </c>
      <c r="CF117" s="14">
        <f>DISTRIBUSI!M115</f>
        <v>0</v>
      </c>
      <c r="CG117" s="14">
        <f>'PEMAKAIAN UNIT'!M114</f>
        <v>0</v>
      </c>
      <c r="CH117" s="14">
        <f t="shared" si="86"/>
        <v>0</v>
      </c>
      <c r="CI117" s="15">
        <f t="shared" si="87"/>
        <v>0</v>
      </c>
      <c r="CJ117" s="14">
        <f t="shared" si="88"/>
        <v>0</v>
      </c>
      <c r="CK117" s="14" t="e">
        <f>DISTRIBUSI!#REF!</f>
        <v>#REF!</v>
      </c>
      <c r="CL117" s="14">
        <f>'PEMAKAIAN UNIT'!N114</f>
        <v>0</v>
      </c>
      <c r="CM117" s="14" t="e">
        <f t="shared" si="89"/>
        <v>#REF!</v>
      </c>
      <c r="CN117" s="15" t="e">
        <f t="shared" si="90"/>
        <v>#REF!</v>
      </c>
      <c r="CO117" s="14" t="e">
        <f>DL117+DISTRIBUSI!#REF!-'PEMAKAIAN UNIT'!O114</f>
        <v>#REF!</v>
      </c>
      <c r="CP117" s="15" t="e">
        <f t="shared" si="91"/>
        <v>#REF!</v>
      </c>
      <c r="CQ117" s="226">
        <f t="shared" si="92"/>
        <v>60</v>
      </c>
      <c r="CR117" s="226">
        <f>DISTRIBUSI!R115</f>
        <v>0</v>
      </c>
      <c r="CS117" s="226">
        <f>'PEMAKAIAN UNIT'!P114</f>
        <v>0</v>
      </c>
      <c r="CT117" s="14">
        <f t="shared" si="93"/>
        <v>60</v>
      </c>
      <c r="CU117" s="15">
        <f t="shared" si="94"/>
        <v>-40</v>
      </c>
      <c r="CV117" s="14" t="e">
        <f>DN117+DISTRIBUSI!#REF!-'PEMAKAIAN UNIT'!Q114</f>
        <v>#REF!</v>
      </c>
      <c r="CW117" s="15" t="e">
        <f t="shared" si="95"/>
        <v>#REF!</v>
      </c>
      <c r="CX117" s="14">
        <f>DO117+'LPLPO GUDANG'!E120-'LPLPO GUDANG'!G120</f>
        <v>200</v>
      </c>
      <c r="CY117" s="15">
        <f t="shared" si="96"/>
        <v>-100</v>
      </c>
      <c r="CZ117" s="28"/>
      <c r="DA117" s="14">
        <v>0</v>
      </c>
      <c r="DB117" s="14">
        <v>0</v>
      </c>
      <c r="DC117" s="14">
        <v>0</v>
      </c>
      <c r="DD117" s="14">
        <v>0</v>
      </c>
      <c r="DE117" s="14">
        <v>0</v>
      </c>
      <c r="DF117" s="14">
        <v>0</v>
      </c>
      <c r="DG117" s="14">
        <v>0</v>
      </c>
      <c r="DH117" s="14">
        <v>0</v>
      </c>
      <c r="DI117" s="14">
        <v>0</v>
      </c>
      <c r="DJ117" s="14">
        <v>0</v>
      </c>
      <c r="DK117" s="14">
        <v>0</v>
      </c>
      <c r="DL117" s="14">
        <v>0</v>
      </c>
      <c r="DM117" s="14">
        <v>60</v>
      </c>
      <c r="DN117" s="14">
        <v>0</v>
      </c>
      <c r="DO117" s="14">
        <v>200</v>
      </c>
      <c r="DP117" s="13">
        <f t="shared" si="97"/>
        <v>260</v>
      </c>
      <c r="DR117" s="21"/>
      <c r="DU117" s="20" t="e">
        <f t="shared" si="98"/>
        <v>#REF!</v>
      </c>
    </row>
    <row r="118" spans="1:125" customFormat="1" ht="20.149999999999999" customHeight="1" x14ac:dyDescent="0.35">
      <c r="A118" s="84">
        <f t="shared" si="99"/>
        <v>107</v>
      </c>
      <c r="B118" s="142" t="s">
        <v>325</v>
      </c>
      <c r="C118" s="155" t="s">
        <v>4</v>
      </c>
      <c r="D118" s="109">
        <v>0</v>
      </c>
      <c r="E118" s="110">
        <f>'LPLPO GUDANG'!E121</f>
        <v>10</v>
      </c>
      <c r="F118" s="110">
        <f t="shared" si="50"/>
        <v>10</v>
      </c>
      <c r="G118" s="110">
        <f>'PEMAKAIAN UNIT'!R115</f>
        <v>0</v>
      </c>
      <c r="H118" s="14">
        <v>0</v>
      </c>
      <c r="I118" s="14">
        <v>0</v>
      </c>
      <c r="J118" s="14">
        <v>0</v>
      </c>
      <c r="K118" s="14"/>
      <c r="L118" s="14"/>
      <c r="M118" s="14"/>
      <c r="N118" s="14"/>
      <c r="O118" s="14"/>
      <c r="P118" s="14"/>
      <c r="Q118" s="14"/>
      <c r="R118" s="14"/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09">
        <f t="shared" si="51"/>
        <v>0</v>
      </c>
      <c r="Z118" s="109" t="e">
        <f t="shared" si="52"/>
        <v>#REF!</v>
      </c>
      <c r="AA118" s="109" t="e">
        <f t="shared" si="53"/>
        <v>#REF!</v>
      </c>
      <c r="AB118" s="14">
        <v>8</v>
      </c>
      <c r="AC118" s="109" t="e">
        <f t="shared" si="54"/>
        <v>#REF!</v>
      </c>
      <c r="AD118" s="109">
        <f>'LPLPO GUDANG'!H121</f>
        <v>0</v>
      </c>
      <c r="AE118" s="111" t="e">
        <f t="shared" si="55"/>
        <v>#REF!</v>
      </c>
      <c r="AF118" s="212"/>
      <c r="AG118" s="212"/>
      <c r="AH118" s="20"/>
      <c r="AI118" s="14">
        <f t="shared" si="56"/>
        <v>10</v>
      </c>
      <c r="AJ118" s="209" t="e">
        <f t="shared" si="57"/>
        <v>#REF!</v>
      </c>
      <c r="AL118" s="14">
        <f t="shared" si="58"/>
        <v>0</v>
      </c>
      <c r="AM118" s="14">
        <f>DISTRIBUSI!D116</f>
        <v>0</v>
      </c>
      <c r="AN118" s="14">
        <f>'PEMAKAIAN UNIT'!D115</f>
        <v>0</v>
      </c>
      <c r="AO118" s="14">
        <f t="shared" si="59"/>
        <v>0</v>
      </c>
      <c r="AP118" s="15">
        <f t="shared" si="60"/>
        <v>0</v>
      </c>
      <c r="AQ118" s="14">
        <f t="shared" si="61"/>
        <v>0</v>
      </c>
      <c r="AR118" s="14">
        <f>DISTRIBUSI!E116</f>
        <v>0</v>
      </c>
      <c r="AS118" s="14">
        <f>'PEMAKAIAN UNIT'!E115</f>
        <v>0</v>
      </c>
      <c r="AT118" s="14">
        <f t="shared" si="62"/>
        <v>0</v>
      </c>
      <c r="AU118" s="15">
        <f t="shared" si="63"/>
        <v>0</v>
      </c>
      <c r="AV118" s="14">
        <f t="shared" si="64"/>
        <v>0</v>
      </c>
      <c r="AW118" s="14">
        <f>DISTRIBUSI!F116</f>
        <v>0</v>
      </c>
      <c r="AX118" s="14">
        <f>'PEMAKAIAN UNIT'!F115</f>
        <v>0</v>
      </c>
      <c r="AY118" s="14">
        <f t="shared" si="65"/>
        <v>0</v>
      </c>
      <c r="AZ118" s="15">
        <f t="shared" si="66"/>
        <v>0</v>
      </c>
      <c r="BA118" s="14">
        <f t="shared" si="67"/>
        <v>0</v>
      </c>
      <c r="BB118" s="14">
        <f>DISTRIBUSI!G116</f>
        <v>0</v>
      </c>
      <c r="BC118" s="14">
        <f>'PEMAKAIAN UNIT'!G115</f>
        <v>0</v>
      </c>
      <c r="BD118" s="14">
        <f t="shared" si="68"/>
        <v>0</v>
      </c>
      <c r="BE118" s="15">
        <f t="shared" si="69"/>
        <v>0</v>
      </c>
      <c r="BF118" s="14">
        <f t="shared" si="70"/>
        <v>0</v>
      </c>
      <c r="BG118" s="14">
        <f>DISTRIBUSI!H116</f>
        <v>0</v>
      </c>
      <c r="BH118" s="14">
        <f>'PEMAKAIAN UNIT'!H115</f>
        <v>0</v>
      </c>
      <c r="BI118" s="14">
        <f t="shared" si="71"/>
        <v>0</v>
      </c>
      <c r="BJ118" s="15">
        <f t="shared" si="72"/>
        <v>0</v>
      </c>
      <c r="BK118" s="14">
        <f t="shared" si="73"/>
        <v>0</v>
      </c>
      <c r="BL118" s="14">
        <f>DISTRIBUSI!I116</f>
        <v>0</v>
      </c>
      <c r="BM118" s="14">
        <f>'PEMAKAIAN UNIT'!I115</f>
        <v>0</v>
      </c>
      <c r="BN118" s="14">
        <f t="shared" si="74"/>
        <v>0</v>
      </c>
      <c r="BO118" s="15">
        <f t="shared" si="75"/>
        <v>0</v>
      </c>
      <c r="BP118" s="14">
        <f t="shared" si="76"/>
        <v>0</v>
      </c>
      <c r="BQ118" s="14">
        <f>DISTRIBUSI!J116</f>
        <v>0</v>
      </c>
      <c r="BR118" s="14">
        <f>'PEMAKAIAN UNIT'!J115</f>
        <v>0</v>
      </c>
      <c r="BS118" s="14">
        <f t="shared" si="77"/>
        <v>0</v>
      </c>
      <c r="BT118" s="15">
        <f t="shared" si="78"/>
        <v>0</v>
      </c>
      <c r="BU118" s="14">
        <f t="shared" si="79"/>
        <v>0</v>
      </c>
      <c r="BV118" s="14">
        <f>DISTRIBUSI!K116</f>
        <v>0</v>
      </c>
      <c r="BW118" s="14">
        <f>'PEMAKAIAN UNIT'!K115</f>
        <v>0</v>
      </c>
      <c r="BX118" s="14">
        <f t="shared" si="80"/>
        <v>0</v>
      </c>
      <c r="BY118" s="15">
        <f t="shared" si="81"/>
        <v>0</v>
      </c>
      <c r="BZ118" s="14">
        <f t="shared" si="82"/>
        <v>0</v>
      </c>
      <c r="CA118" s="14">
        <f>DISTRIBUSI!L116</f>
        <v>0</v>
      </c>
      <c r="CB118" s="14">
        <f>'PEMAKAIAN UNIT'!L115</f>
        <v>0</v>
      </c>
      <c r="CC118" s="14">
        <f t="shared" si="83"/>
        <v>0</v>
      </c>
      <c r="CD118" s="15">
        <f t="shared" si="84"/>
        <v>0</v>
      </c>
      <c r="CE118" s="14">
        <f t="shared" si="85"/>
        <v>0</v>
      </c>
      <c r="CF118" s="14">
        <f>DISTRIBUSI!M116</f>
        <v>0</v>
      </c>
      <c r="CG118" s="14">
        <f>'PEMAKAIAN UNIT'!M115</f>
        <v>0</v>
      </c>
      <c r="CH118" s="14">
        <f t="shared" si="86"/>
        <v>0</v>
      </c>
      <c r="CI118" s="15">
        <f t="shared" si="87"/>
        <v>0</v>
      </c>
      <c r="CJ118" s="14">
        <f t="shared" si="88"/>
        <v>0</v>
      </c>
      <c r="CK118" s="14" t="e">
        <f>DISTRIBUSI!#REF!</f>
        <v>#REF!</v>
      </c>
      <c r="CL118" s="14">
        <f>'PEMAKAIAN UNIT'!N115</f>
        <v>0</v>
      </c>
      <c r="CM118" s="14" t="e">
        <f t="shared" si="89"/>
        <v>#REF!</v>
      </c>
      <c r="CN118" s="15" t="e">
        <f t="shared" si="90"/>
        <v>#REF!</v>
      </c>
      <c r="CO118" s="14" t="e">
        <f>DL118+DISTRIBUSI!#REF!-'PEMAKAIAN UNIT'!O115</f>
        <v>#REF!</v>
      </c>
      <c r="CP118" s="15" t="e">
        <f t="shared" si="91"/>
        <v>#REF!</v>
      </c>
      <c r="CQ118" s="226">
        <f t="shared" si="92"/>
        <v>25</v>
      </c>
      <c r="CR118" s="226">
        <f>DISTRIBUSI!R116</f>
        <v>0</v>
      </c>
      <c r="CS118" s="226">
        <f>'PEMAKAIAN UNIT'!P115</f>
        <v>0</v>
      </c>
      <c r="CT118" s="14">
        <f t="shared" si="93"/>
        <v>25</v>
      </c>
      <c r="CU118" s="15">
        <f t="shared" si="94"/>
        <v>17</v>
      </c>
      <c r="CV118" s="14" t="e">
        <f>DN118+DISTRIBUSI!#REF!-'PEMAKAIAN UNIT'!Q115</f>
        <v>#REF!</v>
      </c>
      <c r="CW118" s="15" t="e">
        <f t="shared" si="95"/>
        <v>#REF!</v>
      </c>
      <c r="CX118" s="14">
        <f>DO118+'LPLPO GUDANG'!E121-'LPLPO GUDANG'!G121</f>
        <v>20</v>
      </c>
      <c r="CY118" s="15">
        <f t="shared" si="96"/>
        <v>20</v>
      </c>
      <c r="CZ118" s="28"/>
      <c r="DA118" s="14">
        <v>0</v>
      </c>
      <c r="DB118" s="14"/>
      <c r="DC118" s="14">
        <v>0</v>
      </c>
      <c r="DD118" s="14">
        <v>0</v>
      </c>
      <c r="DE118" s="14">
        <v>0</v>
      </c>
      <c r="DF118" s="14"/>
      <c r="DG118" s="14">
        <v>0</v>
      </c>
      <c r="DH118" s="14">
        <v>0</v>
      </c>
      <c r="DI118" s="14">
        <v>0</v>
      </c>
      <c r="DJ118" s="14">
        <v>0</v>
      </c>
      <c r="DK118" s="14">
        <v>0</v>
      </c>
      <c r="DL118" s="14">
        <v>0</v>
      </c>
      <c r="DM118" s="14">
        <v>25</v>
      </c>
      <c r="DN118" s="14">
        <v>0</v>
      </c>
      <c r="DO118" s="14">
        <v>20</v>
      </c>
      <c r="DP118" s="13">
        <f t="shared" si="97"/>
        <v>45</v>
      </c>
      <c r="DR118" t="s">
        <v>325</v>
      </c>
      <c r="DU118" s="20" t="e">
        <f t="shared" si="98"/>
        <v>#REF!</v>
      </c>
    </row>
    <row r="119" spans="1:125" customFormat="1" ht="20.149999999999999" customHeight="1" x14ac:dyDescent="0.35">
      <c r="A119" s="84">
        <f t="shared" si="99"/>
        <v>108</v>
      </c>
      <c r="B119" s="142" t="s">
        <v>91</v>
      </c>
      <c r="C119" s="159" t="s">
        <v>327</v>
      </c>
      <c r="D119" s="109">
        <v>0</v>
      </c>
      <c r="E119" s="110">
        <f>'LPLPO GUDANG'!E122</f>
        <v>0</v>
      </c>
      <c r="F119" s="110">
        <f t="shared" si="50"/>
        <v>0</v>
      </c>
      <c r="G119" s="110">
        <f>'PEMAKAIAN UNIT'!R116</f>
        <v>0</v>
      </c>
      <c r="H119" s="14">
        <v>0</v>
      </c>
      <c r="I119" s="14">
        <v>0</v>
      </c>
      <c r="J119" s="14">
        <v>0</v>
      </c>
      <c r="K119" s="14"/>
      <c r="L119" s="14"/>
      <c r="M119" s="14"/>
      <c r="N119" s="14"/>
      <c r="O119" s="14"/>
      <c r="P119" s="14"/>
      <c r="Q119" s="14"/>
      <c r="R119" s="14"/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09">
        <f t="shared" si="51"/>
        <v>0</v>
      </c>
      <c r="Z119" s="109" t="e">
        <f t="shared" si="52"/>
        <v>#REF!</v>
      </c>
      <c r="AA119" s="109" t="e">
        <f t="shared" si="53"/>
        <v>#REF!</v>
      </c>
      <c r="AB119" s="14">
        <v>0</v>
      </c>
      <c r="AC119" s="109" t="e">
        <f t="shared" si="54"/>
        <v>#REF!</v>
      </c>
      <c r="AD119" s="109">
        <f>'LPLPO GUDANG'!H122</f>
        <v>0</v>
      </c>
      <c r="AE119" s="111" t="e">
        <f t="shared" si="55"/>
        <v>#REF!</v>
      </c>
      <c r="AF119" s="212"/>
      <c r="AG119" s="212"/>
      <c r="AH119" s="20"/>
      <c r="AI119" s="14">
        <f t="shared" si="56"/>
        <v>0</v>
      </c>
      <c r="AJ119" s="209" t="e">
        <f t="shared" si="57"/>
        <v>#REF!</v>
      </c>
      <c r="AL119" s="14">
        <f t="shared" si="58"/>
        <v>0</v>
      </c>
      <c r="AM119" s="14">
        <f>DISTRIBUSI!D117</f>
        <v>0</v>
      </c>
      <c r="AN119" s="14">
        <f>'PEMAKAIAN UNIT'!D116</f>
        <v>0</v>
      </c>
      <c r="AO119" s="14">
        <f t="shared" si="59"/>
        <v>0</v>
      </c>
      <c r="AP119" s="15">
        <f t="shared" si="60"/>
        <v>0</v>
      </c>
      <c r="AQ119" s="14">
        <f t="shared" si="61"/>
        <v>0</v>
      </c>
      <c r="AR119" s="14">
        <f>DISTRIBUSI!E117</f>
        <v>0</v>
      </c>
      <c r="AS119" s="14">
        <f>'PEMAKAIAN UNIT'!E116</f>
        <v>0</v>
      </c>
      <c r="AT119" s="14">
        <f t="shared" si="62"/>
        <v>0</v>
      </c>
      <c r="AU119" s="15">
        <f t="shared" si="63"/>
        <v>0</v>
      </c>
      <c r="AV119" s="14">
        <f t="shared" si="64"/>
        <v>0</v>
      </c>
      <c r="AW119" s="14">
        <f>DISTRIBUSI!F117</f>
        <v>0</v>
      </c>
      <c r="AX119" s="14">
        <f>'PEMAKAIAN UNIT'!F116</f>
        <v>0</v>
      </c>
      <c r="AY119" s="14">
        <f t="shared" si="65"/>
        <v>0</v>
      </c>
      <c r="AZ119" s="15">
        <f t="shared" si="66"/>
        <v>0</v>
      </c>
      <c r="BA119" s="14">
        <f t="shared" si="67"/>
        <v>0</v>
      </c>
      <c r="BB119" s="14">
        <f>DISTRIBUSI!G117</f>
        <v>0</v>
      </c>
      <c r="BC119" s="14">
        <f>'PEMAKAIAN UNIT'!G116</f>
        <v>0</v>
      </c>
      <c r="BD119" s="14">
        <f t="shared" si="68"/>
        <v>0</v>
      </c>
      <c r="BE119" s="15">
        <f t="shared" si="69"/>
        <v>0</v>
      </c>
      <c r="BF119" s="14">
        <f t="shared" si="70"/>
        <v>0</v>
      </c>
      <c r="BG119" s="14">
        <f>DISTRIBUSI!H117</f>
        <v>0</v>
      </c>
      <c r="BH119" s="14">
        <f>'PEMAKAIAN UNIT'!H116</f>
        <v>0</v>
      </c>
      <c r="BI119" s="14">
        <f t="shared" si="71"/>
        <v>0</v>
      </c>
      <c r="BJ119" s="15">
        <f t="shared" si="72"/>
        <v>0</v>
      </c>
      <c r="BK119" s="14">
        <f t="shared" si="73"/>
        <v>0</v>
      </c>
      <c r="BL119" s="14">
        <f>DISTRIBUSI!I117</f>
        <v>0</v>
      </c>
      <c r="BM119" s="14">
        <f>'PEMAKAIAN UNIT'!I116</f>
        <v>0</v>
      </c>
      <c r="BN119" s="14">
        <f t="shared" si="74"/>
        <v>0</v>
      </c>
      <c r="BO119" s="15">
        <f t="shared" si="75"/>
        <v>0</v>
      </c>
      <c r="BP119" s="14">
        <f t="shared" si="76"/>
        <v>0</v>
      </c>
      <c r="BQ119" s="14">
        <f>DISTRIBUSI!J117</f>
        <v>0</v>
      </c>
      <c r="BR119" s="14">
        <f>'PEMAKAIAN UNIT'!J116</f>
        <v>0</v>
      </c>
      <c r="BS119" s="14">
        <f t="shared" si="77"/>
        <v>0</v>
      </c>
      <c r="BT119" s="15">
        <f t="shared" si="78"/>
        <v>0</v>
      </c>
      <c r="BU119" s="14">
        <f t="shared" si="79"/>
        <v>0</v>
      </c>
      <c r="BV119" s="14">
        <f>DISTRIBUSI!K117</f>
        <v>0</v>
      </c>
      <c r="BW119" s="14">
        <f>'PEMAKAIAN UNIT'!K116</f>
        <v>0</v>
      </c>
      <c r="BX119" s="14">
        <f t="shared" si="80"/>
        <v>0</v>
      </c>
      <c r="BY119" s="15">
        <f t="shared" si="81"/>
        <v>0</v>
      </c>
      <c r="BZ119" s="14">
        <f t="shared" si="82"/>
        <v>0</v>
      </c>
      <c r="CA119" s="14">
        <f>DISTRIBUSI!L117</f>
        <v>0</v>
      </c>
      <c r="CB119" s="14">
        <f>'PEMAKAIAN UNIT'!L116</f>
        <v>0</v>
      </c>
      <c r="CC119" s="14">
        <f t="shared" si="83"/>
        <v>0</v>
      </c>
      <c r="CD119" s="15">
        <f t="shared" si="84"/>
        <v>0</v>
      </c>
      <c r="CE119" s="14">
        <f t="shared" si="85"/>
        <v>0</v>
      </c>
      <c r="CF119" s="14">
        <f>DISTRIBUSI!M117</f>
        <v>0</v>
      </c>
      <c r="CG119" s="14">
        <f>'PEMAKAIAN UNIT'!M116</f>
        <v>0</v>
      </c>
      <c r="CH119" s="14">
        <f t="shared" si="86"/>
        <v>0</v>
      </c>
      <c r="CI119" s="15">
        <f t="shared" si="87"/>
        <v>0</v>
      </c>
      <c r="CJ119" s="14">
        <f t="shared" si="88"/>
        <v>0</v>
      </c>
      <c r="CK119" s="14" t="e">
        <f>DISTRIBUSI!#REF!</f>
        <v>#REF!</v>
      </c>
      <c r="CL119" s="14">
        <f>'PEMAKAIAN UNIT'!N116</f>
        <v>0</v>
      </c>
      <c r="CM119" s="14" t="e">
        <f t="shared" si="89"/>
        <v>#REF!</v>
      </c>
      <c r="CN119" s="15" t="e">
        <f t="shared" si="90"/>
        <v>#REF!</v>
      </c>
      <c r="CO119" s="14" t="e">
        <f>DL119+DISTRIBUSI!#REF!-'PEMAKAIAN UNIT'!O116</f>
        <v>#REF!</v>
      </c>
      <c r="CP119" s="15" t="e">
        <f t="shared" si="91"/>
        <v>#REF!</v>
      </c>
      <c r="CQ119" s="226">
        <f t="shared" si="92"/>
        <v>0</v>
      </c>
      <c r="CR119" s="226">
        <f>DISTRIBUSI!R117</f>
        <v>0</v>
      </c>
      <c r="CS119" s="226">
        <f>'PEMAKAIAN UNIT'!P116</f>
        <v>0</v>
      </c>
      <c r="CT119" s="14">
        <f t="shared" si="93"/>
        <v>0</v>
      </c>
      <c r="CU119" s="15">
        <f t="shared" si="94"/>
        <v>0</v>
      </c>
      <c r="CV119" s="14" t="e">
        <f>DN119+DISTRIBUSI!#REF!-'PEMAKAIAN UNIT'!Q116</f>
        <v>#REF!</v>
      </c>
      <c r="CW119" s="15" t="e">
        <f t="shared" si="95"/>
        <v>#REF!</v>
      </c>
      <c r="CX119" s="14">
        <f>DO119+'LPLPO GUDANG'!E122-'LPLPO GUDANG'!G122</f>
        <v>0</v>
      </c>
      <c r="CY119" s="15">
        <f t="shared" si="96"/>
        <v>0</v>
      </c>
      <c r="CZ119" s="28"/>
      <c r="DA119" s="14">
        <v>0</v>
      </c>
      <c r="DB119" s="14"/>
      <c r="DC119" s="14">
        <v>0</v>
      </c>
      <c r="DD119" s="14">
        <v>0</v>
      </c>
      <c r="DE119" s="14">
        <v>0</v>
      </c>
      <c r="DF119" s="14"/>
      <c r="DG119" s="14">
        <v>0</v>
      </c>
      <c r="DH119" s="14">
        <v>0</v>
      </c>
      <c r="DI119" s="14">
        <v>0</v>
      </c>
      <c r="DJ119" s="14">
        <v>0</v>
      </c>
      <c r="DK119" s="14">
        <v>0</v>
      </c>
      <c r="DL119" s="14">
        <v>0</v>
      </c>
      <c r="DM119" s="14">
        <v>0</v>
      </c>
      <c r="DN119" s="14">
        <v>0</v>
      </c>
      <c r="DO119" s="14">
        <v>0</v>
      </c>
      <c r="DP119" s="13">
        <f t="shared" si="97"/>
        <v>0</v>
      </c>
      <c r="DR119" t="s">
        <v>91</v>
      </c>
      <c r="DU119" s="20" t="e">
        <f t="shared" si="98"/>
        <v>#REF!</v>
      </c>
    </row>
    <row r="120" spans="1:125" customFormat="1" ht="20.149999999999999" customHeight="1" x14ac:dyDescent="0.35">
      <c r="A120" s="84">
        <f t="shared" si="99"/>
        <v>109</v>
      </c>
      <c r="B120" s="142" t="s">
        <v>92</v>
      </c>
      <c r="C120" s="165" t="s">
        <v>351</v>
      </c>
      <c r="D120" s="109">
        <v>0</v>
      </c>
      <c r="E120" s="110">
        <f>'LPLPO GUDANG'!E123</f>
        <v>20</v>
      </c>
      <c r="F120" s="110">
        <f t="shared" si="50"/>
        <v>20</v>
      </c>
      <c r="G120" s="110">
        <f>'PEMAKAIAN UNIT'!R117</f>
        <v>0</v>
      </c>
      <c r="H120" s="14">
        <v>0</v>
      </c>
      <c r="I120" s="14">
        <v>0</v>
      </c>
      <c r="J120" s="14">
        <v>0</v>
      </c>
      <c r="K120" s="14"/>
      <c r="L120" s="14"/>
      <c r="M120" s="14"/>
      <c r="N120" s="14"/>
      <c r="O120" s="14"/>
      <c r="P120" s="14"/>
      <c r="Q120" s="14"/>
      <c r="R120" s="14"/>
      <c r="S120" s="14">
        <v>1</v>
      </c>
      <c r="T120" s="14">
        <v>0</v>
      </c>
      <c r="U120" s="14">
        <v>4</v>
      </c>
      <c r="V120" s="14">
        <v>4</v>
      </c>
      <c r="W120" s="14">
        <v>0</v>
      </c>
      <c r="X120" s="14">
        <v>0</v>
      </c>
      <c r="Y120" s="109">
        <f t="shared" si="51"/>
        <v>0</v>
      </c>
      <c r="Z120" s="109" t="e">
        <f t="shared" si="52"/>
        <v>#REF!</v>
      </c>
      <c r="AA120" s="109" t="e">
        <f t="shared" si="53"/>
        <v>#REF!</v>
      </c>
      <c r="AB120" s="14">
        <v>8</v>
      </c>
      <c r="AC120" s="109" t="e">
        <f t="shared" si="54"/>
        <v>#REF!</v>
      </c>
      <c r="AD120" s="109">
        <f>'LPLPO GUDANG'!H123</f>
        <v>36</v>
      </c>
      <c r="AE120" s="111" t="e">
        <f t="shared" si="55"/>
        <v>#REF!</v>
      </c>
      <c r="AF120" s="212"/>
      <c r="AG120" s="212"/>
      <c r="AH120" s="20"/>
      <c r="AI120" s="14">
        <f t="shared" si="56"/>
        <v>20</v>
      </c>
      <c r="AJ120" s="209" t="e">
        <f t="shared" si="57"/>
        <v>#REF!</v>
      </c>
      <c r="AL120" s="14">
        <f t="shared" si="58"/>
        <v>0</v>
      </c>
      <c r="AM120" s="14">
        <f>DISTRIBUSI!D118</f>
        <v>0</v>
      </c>
      <c r="AN120" s="14">
        <f>'PEMAKAIAN UNIT'!D117</f>
        <v>0</v>
      </c>
      <c r="AO120" s="14">
        <f t="shared" si="59"/>
        <v>0</v>
      </c>
      <c r="AP120" s="15">
        <f t="shared" si="60"/>
        <v>0</v>
      </c>
      <c r="AQ120" s="14">
        <f t="shared" si="61"/>
        <v>2</v>
      </c>
      <c r="AR120" s="14">
        <f>DISTRIBUSI!E118</f>
        <v>0</v>
      </c>
      <c r="AS120" s="14">
        <f>'PEMAKAIAN UNIT'!E117</f>
        <v>0</v>
      </c>
      <c r="AT120" s="14">
        <f t="shared" si="62"/>
        <v>2</v>
      </c>
      <c r="AU120" s="15">
        <f t="shared" si="63"/>
        <v>2</v>
      </c>
      <c r="AV120" s="14">
        <f t="shared" si="64"/>
        <v>0</v>
      </c>
      <c r="AW120" s="14">
        <f>DISTRIBUSI!F118</f>
        <v>0</v>
      </c>
      <c r="AX120" s="14">
        <f>'PEMAKAIAN UNIT'!F117</f>
        <v>0</v>
      </c>
      <c r="AY120" s="14">
        <f t="shared" si="65"/>
        <v>0</v>
      </c>
      <c r="AZ120" s="15">
        <f t="shared" si="66"/>
        <v>0</v>
      </c>
      <c r="BA120" s="14">
        <f t="shared" si="67"/>
        <v>1</v>
      </c>
      <c r="BB120" s="14">
        <f>DISTRIBUSI!G118</f>
        <v>0</v>
      </c>
      <c r="BC120" s="14">
        <f>'PEMAKAIAN UNIT'!G117</f>
        <v>0</v>
      </c>
      <c r="BD120" s="14">
        <f t="shared" si="68"/>
        <v>1</v>
      </c>
      <c r="BE120" s="15">
        <f t="shared" si="69"/>
        <v>0</v>
      </c>
      <c r="BF120" s="14">
        <f t="shared" si="70"/>
        <v>7</v>
      </c>
      <c r="BG120" s="14">
        <f>DISTRIBUSI!H118</f>
        <v>0</v>
      </c>
      <c r="BH120" s="14">
        <f>'PEMAKAIAN UNIT'!H117</f>
        <v>0</v>
      </c>
      <c r="BI120" s="14">
        <f t="shared" si="71"/>
        <v>7</v>
      </c>
      <c r="BJ120" s="15">
        <f t="shared" si="72"/>
        <v>7</v>
      </c>
      <c r="BK120" s="14">
        <f t="shared" si="73"/>
        <v>6</v>
      </c>
      <c r="BL120" s="14">
        <f>DISTRIBUSI!I118</f>
        <v>0</v>
      </c>
      <c r="BM120" s="14">
        <f>'PEMAKAIAN UNIT'!I117</f>
        <v>0</v>
      </c>
      <c r="BN120" s="14">
        <f t="shared" si="74"/>
        <v>6</v>
      </c>
      <c r="BO120" s="15">
        <f t="shared" si="75"/>
        <v>2</v>
      </c>
      <c r="BP120" s="14">
        <f t="shared" si="76"/>
        <v>5</v>
      </c>
      <c r="BQ120" s="14">
        <f>DISTRIBUSI!J118</f>
        <v>0</v>
      </c>
      <c r="BR120" s="14">
        <f>'PEMAKAIAN UNIT'!J117</f>
        <v>0</v>
      </c>
      <c r="BS120" s="14">
        <f t="shared" si="77"/>
        <v>5</v>
      </c>
      <c r="BT120" s="15">
        <f t="shared" si="78"/>
        <v>1</v>
      </c>
      <c r="BU120" s="14">
        <f t="shared" si="79"/>
        <v>0</v>
      </c>
      <c r="BV120" s="14">
        <f>DISTRIBUSI!K118</f>
        <v>0</v>
      </c>
      <c r="BW120" s="14">
        <f>'PEMAKAIAN UNIT'!K117</f>
        <v>0</v>
      </c>
      <c r="BX120" s="14">
        <f t="shared" si="80"/>
        <v>0</v>
      </c>
      <c r="BY120" s="15">
        <f t="shared" si="81"/>
        <v>0</v>
      </c>
      <c r="BZ120" s="14">
        <f t="shared" si="82"/>
        <v>0</v>
      </c>
      <c r="CA120" s="14">
        <f>DISTRIBUSI!L118</f>
        <v>0</v>
      </c>
      <c r="CB120" s="14">
        <f>'PEMAKAIAN UNIT'!L117</f>
        <v>0</v>
      </c>
      <c r="CC120" s="14">
        <f t="shared" si="83"/>
        <v>0</v>
      </c>
      <c r="CD120" s="15">
        <f t="shared" si="84"/>
        <v>0</v>
      </c>
      <c r="CE120" s="14">
        <f t="shared" si="85"/>
        <v>0</v>
      </c>
      <c r="CF120" s="14">
        <f>DISTRIBUSI!M118</f>
        <v>0</v>
      </c>
      <c r="CG120" s="14">
        <f>'PEMAKAIAN UNIT'!M117</f>
        <v>0</v>
      </c>
      <c r="CH120" s="14">
        <f t="shared" si="86"/>
        <v>0</v>
      </c>
      <c r="CI120" s="15">
        <f t="shared" si="87"/>
        <v>0</v>
      </c>
      <c r="CJ120" s="14">
        <f t="shared" si="88"/>
        <v>0</v>
      </c>
      <c r="CK120" s="14" t="e">
        <f>DISTRIBUSI!#REF!</f>
        <v>#REF!</v>
      </c>
      <c r="CL120" s="14">
        <f>'PEMAKAIAN UNIT'!N117</f>
        <v>0</v>
      </c>
      <c r="CM120" s="14" t="e">
        <f t="shared" si="89"/>
        <v>#REF!</v>
      </c>
      <c r="CN120" s="15" t="e">
        <f t="shared" si="90"/>
        <v>#REF!</v>
      </c>
      <c r="CO120" s="14" t="e">
        <f>DL120+DISTRIBUSI!#REF!-'PEMAKAIAN UNIT'!O117</f>
        <v>#REF!</v>
      </c>
      <c r="CP120" s="15" t="e">
        <f t="shared" si="91"/>
        <v>#REF!</v>
      </c>
      <c r="CQ120" s="226">
        <f t="shared" si="92"/>
        <v>9</v>
      </c>
      <c r="CR120" s="226">
        <f>DISTRIBUSI!R118</f>
        <v>0</v>
      </c>
      <c r="CS120" s="226">
        <f>'PEMAKAIAN UNIT'!P117</f>
        <v>0</v>
      </c>
      <c r="CT120" s="14">
        <f t="shared" si="93"/>
        <v>9</v>
      </c>
      <c r="CU120" s="15">
        <f t="shared" si="94"/>
        <v>1</v>
      </c>
      <c r="CV120" s="14" t="e">
        <f>DN120+DISTRIBUSI!#REF!-'PEMAKAIAN UNIT'!Q117</f>
        <v>#REF!</v>
      </c>
      <c r="CW120" s="15" t="e">
        <f t="shared" si="95"/>
        <v>#REF!</v>
      </c>
      <c r="CX120" s="14">
        <f>DO120+'LPLPO GUDANG'!E123-'LPLPO GUDANG'!G123</f>
        <v>43</v>
      </c>
      <c r="CY120" s="15">
        <f t="shared" si="96"/>
        <v>7</v>
      </c>
      <c r="CZ120" s="28"/>
      <c r="DA120" s="14">
        <v>0</v>
      </c>
      <c r="DB120" s="14">
        <v>2</v>
      </c>
      <c r="DC120" s="14">
        <v>0</v>
      </c>
      <c r="DD120" s="14">
        <v>1</v>
      </c>
      <c r="DE120" s="14">
        <v>7</v>
      </c>
      <c r="DF120" s="14">
        <v>6</v>
      </c>
      <c r="DG120" s="14">
        <v>5</v>
      </c>
      <c r="DH120" s="14">
        <v>0</v>
      </c>
      <c r="DI120" s="14">
        <v>0</v>
      </c>
      <c r="DJ120" s="14">
        <v>0</v>
      </c>
      <c r="DK120" s="14">
        <v>0</v>
      </c>
      <c r="DL120" s="14">
        <v>0</v>
      </c>
      <c r="DM120" s="14">
        <v>9</v>
      </c>
      <c r="DN120" s="14">
        <v>0</v>
      </c>
      <c r="DO120" s="14">
        <v>23</v>
      </c>
      <c r="DP120" s="13">
        <f t="shared" si="97"/>
        <v>53</v>
      </c>
      <c r="DR120" t="s">
        <v>92</v>
      </c>
      <c r="DU120" s="20" t="e">
        <f t="shared" si="98"/>
        <v>#REF!</v>
      </c>
    </row>
    <row r="121" spans="1:125" customFormat="1" ht="20.149999999999999" customHeight="1" x14ac:dyDescent="0.35">
      <c r="A121" s="84">
        <f t="shared" si="99"/>
        <v>110</v>
      </c>
      <c r="B121" s="142" t="s">
        <v>93</v>
      </c>
      <c r="C121" s="155" t="s">
        <v>327</v>
      </c>
      <c r="D121" s="109">
        <v>0</v>
      </c>
      <c r="E121" s="110">
        <f>'LPLPO GUDANG'!E124</f>
        <v>0</v>
      </c>
      <c r="F121" s="110">
        <f t="shared" si="50"/>
        <v>0</v>
      </c>
      <c r="G121" s="110">
        <f>'PEMAKAIAN UNIT'!R118</f>
        <v>0</v>
      </c>
      <c r="H121" s="14">
        <v>0</v>
      </c>
      <c r="I121" s="14">
        <v>0</v>
      </c>
      <c r="J121" s="14">
        <v>0</v>
      </c>
      <c r="K121" s="14"/>
      <c r="L121" s="14"/>
      <c r="M121" s="14"/>
      <c r="N121" s="14"/>
      <c r="O121" s="14"/>
      <c r="P121" s="14"/>
      <c r="Q121" s="14"/>
      <c r="R121" s="14"/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09">
        <f t="shared" si="51"/>
        <v>0</v>
      </c>
      <c r="Z121" s="109" t="e">
        <f t="shared" si="52"/>
        <v>#REF!</v>
      </c>
      <c r="AA121" s="109" t="e">
        <f t="shared" si="53"/>
        <v>#REF!</v>
      </c>
      <c r="AB121" s="14">
        <v>892</v>
      </c>
      <c r="AC121" s="109" t="e">
        <f t="shared" si="54"/>
        <v>#REF!</v>
      </c>
      <c r="AD121" s="109">
        <f>'LPLPO GUDANG'!H124</f>
        <v>1300</v>
      </c>
      <c r="AE121" s="111" t="e">
        <f t="shared" si="55"/>
        <v>#REF!</v>
      </c>
      <c r="AF121" s="212"/>
      <c r="AG121" s="212"/>
      <c r="AH121" s="20"/>
      <c r="AI121" s="14">
        <f t="shared" si="56"/>
        <v>0</v>
      </c>
      <c r="AJ121" s="209" t="e">
        <f t="shared" si="57"/>
        <v>#REF!</v>
      </c>
      <c r="AL121" s="14">
        <f t="shared" si="58"/>
        <v>0</v>
      </c>
      <c r="AM121" s="14">
        <f>DISTRIBUSI!D119</f>
        <v>0</v>
      </c>
      <c r="AN121" s="14">
        <f>'PEMAKAIAN UNIT'!D118</f>
        <v>0</v>
      </c>
      <c r="AO121" s="14">
        <f t="shared" si="59"/>
        <v>0</v>
      </c>
      <c r="AP121" s="15">
        <f t="shared" si="60"/>
        <v>0</v>
      </c>
      <c r="AQ121" s="14">
        <f t="shared" si="61"/>
        <v>0</v>
      </c>
      <c r="AR121" s="14">
        <f>DISTRIBUSI!E119</f>
        <v>0</v>
      </c>
      <c r="AS121" s="14">
        <f>'PEMAKAIAN UNIT'!E118</f>
        <v>0</v>
      </c>
      <c r="AT121" s="14">
        <f t="shared" si="62"/>
        <v>0</v>
      </c>
      <c r="AU121" s="15">
        <f t="shared" si="63"/>
        <v>0</v>
      </c>
      <c r="AV121" s="14">
        <f t="shared" si="64"/>
        <v>0</v>
      </c>
      <c r="AW121" s="14">
        <f>DISTRIBUSI!F119</f>
        <v>0</v>
      </c>
      <c r="AX121" s="14">
        <f>'PEMAKAIAN UNIT'!F118</f>
        <v>0</v>
      </c>
      <c r="AY121" s="14">
        <f t="shared" si="65"/>
        <v>0</v>
      </c>
      <c r="AZ121" s="15">
        <f t="shared" si="66"/>
        <v>0</v>
      </c>
      <c r="BA121" s="14">
        <f t="shared" si="67"/>
        <v>0</v>
      </c>
      <c r="BB121" s="14">
        <f>DISTRIBUSI!G119</f>
        <v>0</v>
      </c>
      <c r="BC121" s="14">
        <f>'PEMAKAIAN UNIT'!G118</f>
        <v>0</v>
      </c>
      <c r="BD121" s="14">
        <f t="shared" si="68"/>
        <v>0</v>
      </c>
      <c r="BE121" s="15">
        <f t="shared" si="69"/>
        <v>0</v>
      </c>
      <c r="BF121" s="14">
        <f t="shared" si="70"/>
        <v>0</v>
      </c>
      <c r="BG121" s="14">
        <f>DISTRIBUSI!H119</f>
        <v>0</v>
      </c>
      <c r="BH121" s="14">
        <f>'PEMAKAIAN UNIT'!H118</f>
        <v>0</v>
      </c>
      <c r="BI121" s="14">
        <f t="shared" si="71"/>
        <v>0</v>
      </c>
      <c r="BJ121" s="15">
        <f t="shared" si="72"/>
        <v>0</v>
      </c>
      <c r="BK121" s="14">
        <f t="shared" si="73"/>
        <v>0</v>
      </c>
      <c r="BL121" s="14">
        <f>DISTRIBUSI!I119</f>
        <v>0</v>
      </c>
      <c r="BM121" s="14">
        <f>'PEMAKAIAN UNIT'!I118</f>
        <v>0</v>
      </c>
      <c r="BN121" s="14">
        <f t="shared" si="74"/>
        <v>0</v>
      </c>
      <c r="BO121" s="15">
        <f t="shared" si="75"/>
        <v>0</v>
      </c>
      <c r="BP121" s="14">
        <f t="shared" si="76"/>
        <v>0</v>
      </c>
      <c r="BQ121" s="14">
        <f>DISTRIBUSI!J119</f>
        <v>0</v>
      </c>
      <c r="BR121" s="14">
        <f>'PEMAKAIAN UNIT'!J118</f>
        <v>0</v>
      </c>
      <c r="BS121" s="14">
        <f t="shared" si="77"/>
        <v>0</v>
      </c>
      <c r="BT121" s="15">
        <f t="shared" si="78"/>
        <v>0</v>
      </c>
      <c r="BU121" s="14">
        <f t="shared" si="79"/>
        <v>0</v>
      </c>
      <c r="BV121" s="14">
        <f>DISTRIBUSI!K119</f>
        <v>0</v>
      </c>
      <c r="BW121" s="14">
        <f>'PEMAKAIAN UNIT'!K118</f>
        <v>0</v>
      </c>
      <c r="BX121" s="14">
        <f t="shared" si="80"/>
        <v>0</v>
      </c>
      <c r="BY121" s="15">
        <f t="shared" si="81"/>
        <v>0</v>
      </c>
      <c r="BZ121" s="14">
        <f t="shared" si="82"/>
        <v>0</v>
      </c>
      <c r="CA121" s="14">
        <f>DISTRIBUSI!L119</f>
        <v>0</v>
      </c>
      <c r="CB121" s="14">
        <f>'PEMAKAIAN UNIT'!L118</f>
        <v>0</v>
      </c>
      <c r="CC121" s="14">
        <f t="shared" si="83"/>
        <v>0</v>
      </c>
      <c r="CD121" s="15">
        <f t="shared" si="84"/>
        <v>0</v>
      </c>
      <c r="CE121" s="14">
        <f t="shared" si="85"/>
        <v>0</v>
      </c>
      <c r="CF121" s="14">
        <f>DISTRIBUSI!M119</f>
        <v>0</v>
      </c>
      <c r="CG121" s="14">
        <f>'PEMAKAIAN UNIT'!M118</f>
        <v>0</v>
      </c>
      <c r="CH121" s="14">
        <f t="shared" si="86"/>
        <v>0</v>
      </c>
      <c r="CI121" s="15">
        <f t="shared" si="87"/>
        <v>0</v>
      </c>
      <c r="CJ121" s="14">
        <f t="shared" si="88"/>
        <v>0</v>
      </c>
      <c r="CK121" s="14" t="e">
        <f>DISTRIBUSI!#REF!</f>
        <v>#REF!</v>
      </c>
      <c r="CL121" s="14">
        <f>'PEMAKAIAN UNIT'!N118</f>
        <v>0</v>
      </c>
      <c r="CM121" s="14" t="e">
        <f t="shared" si="89"/>
        <v>#REF!</v>
      </c>
      <c r="CN121" s="15" t="e">
        <f t="shared" si="90"/>
        <v>#REF!</v>
      </c>
      <c r="CO121" s="14" t="e">
        <f>DL121+DISTRIBUSI!#REF!-'PEMAKAIAN UNIT'!O118</f>
        <v>#REF!</v>
      </c>
      <c r="CP121" s="15" t="e">
        <f t="shared" si="91"/>
        <v>#REF!</v>
      </c>
      <c r="CQ121" s="226">
        <f t="shared" si="92"/>
        <v>1302</v>
      </c>
      <c r="CR121" s="226">
        <f>DISTRIBUSI!R119</f>
        <v>0</v>
      </c>
      <c r="CS121" s="226">
        <f>'PEMAKAIAN UNIT'!P118</f>
        <v>0</v>
      </c>
      <c r="CT121" s="14">
        <f t="shared" si="93"/>
        <v>1302</v>
      </c>
      <c r="CU121" s="15">
        <f t="shared" si="94"/>
        <v>410</v>
      </c>
      <c r="CV121" s="14" t="e">
        <f>DN121+DISTRIBUSI!#REF!-'PEMAKAIAN UNIT'!Q118</f>
        <v>#REF!</v>
      </c>
      <c r="CW121" s="15" t="e">
        <f t="shared" si="95"/>
        <v>#REF!</v>
      </c>
      <c r="CX121" s="14">
        <f>DO121+'LPLPO GUDANG'!E124-'LPLPO GUDANG'!G124</f>
        <v>200</v>
      </c>
      <c r="CY121" s="15">
        <f t="shared" si="96"/>
        <v>-1100</v>
      </c>
      <c r="CZ121" s="28"/>
      <c r="DA121" s="14">
        <v>0</v>
      </c>
      <c r="DB121" s="14"/>
      <c r="DC121" s="14">
        <v>0</v>
      </c>
      <c r="DD121" s="14">
        <v>0</v>
      </c>
      <c r="DE121" s="14">
        <v>0</v>
      </c>
      <c r="DF121" s="14"/>
      <c r="DG121" s="14">
        <v>0</v>
      </c>
      <c r="DH121" s="14">
        <v>0</v>
      </c>
      <c r="DI121" s="14">
        <v>0</v>
      </c>
      <c r="DJ121" s="14">
        <v>0</v>
      </c>
      <c r="DK121" s="14">
        <v>0</v>
      </c>
      <c r="DL121" s="14">
        <v>0</v>
      </c>
      <c r="DM121" s="14">
        <v>1302</v>
      </c>
      <c r="DN121" s="14">
        <v>0</v>
      </c>
      <c r="DO121" s="14">
        <v>200</v>
      </c>
      <c r="DP121" s="13">
        <f t="shared" si="97"/>
        <v>1502</v>
      </c>
      <c r="DR121" t="s">
        <v>93</v>
      </c>
      <c r="DU121" s="20" t="e">
        <f t="shared" si="98"/>
        <v>#REF!</v>
      </c>
    </row>
    <row r="122" spans="1:125" customFormat="1" ht="20.149999999999999" customHeight="1" x14ac:dyDescent="0.35">
      <c r="A122" s="84">
        <f t="shared" si="99"/>
        <v>111</v>
      </c>
      <c r="B122" s="142" t="s">
        <v>94</v>
      </c>
      <c r="C122" s="169" t="s">
        <v>64</v>
      </c>
      <c r="D122" s="109">
        <v>0</v>
      </c>
      <c r="E122" s="110">
        <f>'LPLPO GUDANG'!E125</f>
        <v>100</v>
      </c>
      <c r="F122" s="110">
        <f t="shared" si="50"/>
        <v>100</v>
      </c>
      <c r="G122" s="110">
        <f>'PEMAKAIAN UNIT'!R119</f>
        <v>0</v>
      </c>
      <c r="H122" s="14">
        <v>0</v>
      </c>
      <c r="I122" s="14">
        <v>0</v>
      </c>
      <c r="J122" s="14">
        <v>0</v>
      </c>
      <c r="K122" s="14"/>
      <c r="L122" s="14"/>
      <c r="M122" s="14"/>
      <c r="N122" s="14"/>
      <c r="O122" s="14"/>
      <c r="P122" s="14"/>
      <c r="Q122" s="14"/>
      <c r="R122" s="14"/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09">
        <f t="shared" si="51"/>
        <v>0</v>
      </c>
      <c r="Z122" s="109" t="e">
        <f t="shared" si="52"/>
        <v>#REF!</v>
      </c>
      <c r="AA122" s="109" t="e">
        <f t="shared" si="53"/>
        <v>#REF!</v>
      </c>
      <c r="AB122" s="14">
        <v>172</v>
      </c>
      <c r="AC122" s="109" t="e">
        <f t="shared" si="54"/>
        <v>#REF!</v>
      </c>
      <c r="AD122" s="109">
        <f>'LPLPO GUDANG'!H125</f>
        <v>140</v>
      </c>
      <c r="AE122" s="111" t="e">
        <f t="shared" si="55"/>
        <v>#REF!</v>
      </c>
      <c r="AF122" s="212"/>
      <c r="AG122" s="212"/>
      <c r="AH122" s="20"/>
      <c r="AI122" s="14">
        <f t="shared" si="56"/>
        <v>100</v>
      </c>
      <c r="AJ122" s="209" t="e">
        <f t="shared" si="57"/>
        <v>#REF!</v>
      </c>
      <c r="AL122" s="14">
        <f t="shared" si="58"/>
        <v>0</v>
      </c>
      <c r="AM122" s="14">
        <f>DISTRIBUSI!D120</f>
        <v>0</v>
      </c>
      <c r="AN122" s="14">
        <f>'PEMAKAIAN UNIT'!D119</f>
        <v>0</v>
      </c>
      <c r="AO122" s="14">
        <f t="shared" si="59"/>
        <v>0</v>
      </c>
      <c r="AP122" s="15">
        <f t="shared" si="60"/>
        <v>0</v>
      </c>
      <c r="AQ122" s="14">
        <f t="shared" si="61"/>
        <v>0</v>
      </c>
      <c r="AR122" s="14">
        <f>DISTRIBUSI!E120</f>
        <v>0</v>
      </c>
      <c r="AS122" s="14">
        <f>'PEMAKAIAN UNIT'!E119</f>
        <v>0</v>
      </c>
      <c r="AT122" s="14">
        <f t="shared" si="62"/>
        <v>0</v>
      </c>
      <c r="AU122" s="15">
        <f t="shared" si="63"/>
        <v>0</v>
      </c>
      <c r="AV122" s="14">
        <f t="shared" si="64"/>
        <v>0</v>
      </c>
      <c r="AW122" s="14">
        <f>DISTRIBUSI!F120</f>
        <v>0</v>
      </c>
      <c r="AX122" s="14">
        <f>'PEMAKAIAN UNIT'!F119</f>
        <v>0</v>
      </c>
      <c r="AY122" s="14">
        <f t="shared" si="65"/>
        <v>0</v>
      </c>
      <c r="AZ122" s="15">
        <f t="shared" si="66"/>
        <v>0</v>
      </c>
      <c r="BA122" s="14">
        <f t="shared" si="67"/>
        <v>0</v>
      </c>
      <c r="BB122" s="14">
        <f>DISTRIBUSI!G120</f>
        <v>0</v>
      </c>
      <c r="BC122" s="14">
        <f>'PEMAKAIAN UNIT'!G119</f>
        <v>0</v>
      </c>
      <c r="BD122" s="14">
        <f t="shared" si="68"/>
        <v>0</v>
      </c>
      <c r="BE122" s="15">
        <f t="shared" si="69"/>
        <v>0</v>
      </c>
      <c r="BF122" s="14">
        <f t="shared" si="70"/>
        <v>0</v>
      </c>
      <c r="BG122" s="14">
        <f>DISTRIBUSI!H120</f>
        <v>0</v>
      </c>
      <c r="BH122" s="14">
        <f>'PEMAKAIAN UNIT'!H119</f>
        <v>0</v>
      </c>
      <c r="BI122" s="14">
        <f t="shared" si="71"/>
        <v>0</v>
      </c>
      <c r="BJ122" s="15">
        <f t="shared" si="72"/>
        <v>0</v>
      </c>
      <c r="BK122" s="14">
        <f t="shared" si="73"/>
        <v>0</v>
      </c>
      <c r="BL122" s="14">
        <f>DISTRIBUSI!I120</f>
        <v>0</v>
      </c>
      <c r="BM122" s="14">
        <f>'PEMAKAIAN UNIT'!I119</f>
        <v>0</v>
      </c>
      <c r="BN122" s="14">
        <f t="shared" si="74"/>
        <v>0</v>
      </c>
      <c r="BO122" s="15">
        <f t="shared" si="75"/>
        <v>0</v>
      </c>
      <c r="BP122" s="14">
        <f t="shared" si="76"/>
        <v>0</v>
      </c>
      <c r="BQ122" s="14">
        <f>DISTRIBUSI!J120</f>
        <v>0</v>
      </c>
      <c r="BR122" s="14">
        <f>'PEMAKAIAN UNIT'!J119</f>
        <v>0</v>
      </c>
      <c r="BS122" s="14">
        <f t="shared" si="77"/>
        <v>0</v>
      </c>
      <c r="BT122" s="15">
        <f t="shared" si="78"/>
        <v>0</v>
      </c>
      <c r="BU122" s="14">
        <f t="shared" si="79"/>
        <v>0</v>
      </c>
      <c r="BV122" s="14">
        <f>DISTRIBUSI!K120</f>
        <v>0</v>
      </c>
      <c r="BW122" s="14">
        <f>'PEMAKAIAN UNIT'!K119</f>
        <v>0</v>
      </c>
      <c r="BX122" s="14">
        <f t="shared" si="80"/>
        <v>0</v>
      </c>
      <c r="BY122" s="15">
        <f t="shared" si="81"/>
        <v>0</v>
      </c>
      <c r="BZ122" s="14">
        <f t="shared" si="82"/>
        <v>0</v>
      </c>
      <c r="CA122" s="14">
        <f>DISTRIBUSI!L120</f>
        <v>0</v>
      </c>
      <c r="CB122" s="14">
        <f>'PEMAKAIAN UNIT'!L119</f>
        <v>0</v>
      </c>
      <c r="CC122" s="14">
        <f t="shared" si="83"/>
        <v>0</v>
      </c>
      <c r="CD122" s="15">
        <f t="shared" si="84"/>
        <v>0</v>
      </c>
      <c r="CE122" s="14">
        <f t="shared" si="85"/>
        <v>0</v>
      </c>
      <c r="CF122" s="14">
        <f>DISTRIBUSI!M120</f>
        <v>0</v>
      </c>
      <c r="CG122" s="14">
        <f>'PEMAKAIAN UNIT'!M119</f>
        <v>0</v>
      </c>
      <c r="CH122" s="14">
        <f t="shared" si="86"/>
        <v>0</v>
      </c>
      <c r="CI122" s="15">
        <f t="shared" si="87"/>
        <v>0</v>
      </c>
      <c r="CJ122" s="14">
        <f t="shared" si="88"/>
        <v>0</v>
      </c>
      <c r="CK122" s="14" t="e">
        <f>DISTRIBUSI!#REF!</f>
        <v>#REF!</v>
      </c>
      <c r="CL122" s="14">
        <f>'PEMAKAIAN UNIT'!N119</f>
        <v>0</v>
      </c>
      <c r="CM122" s="14" t="e">
        <f t="shared" si="89"/>
        <v>#REF!</v>
      </c>
      <c r="CN122" s="15" t="e">
        <f t="shared" si="90"/>
        <v>#REF!</v>
      </c>
      <c r="CO122" s="14" t="e">
        <f>DL122+DISTRIBUSI!#REF!-'PEMAKAIAN UNIT'!O119</f>
        <v>#REF!</v>
      </c>
      <c r="CP122" s="15" t="e">
        <f t="shared" si="91"/>
        <v>#REF!</v>
      </c>
      <c r="CQ122" s="226">
        <f t="shared" si="92"/>
        <v>185</v>
      </c>
      <c r="CR122" s="226">
        <f>DISTRIBUSI!R120</f>
        <v>0</v>
      </c>
      <c r="CS122" s="226">
        <f>'PEMAKAIAN UNIT'!P119</f>
        <v>0</v>
      </c>
      <c r="CT122" s="14">
        <f t="shared" si="93"/>
        <v>185</v>
      </c>
      <c r="CU122" s="15">
        <f t="shared" si="94"/>
        <v>13</v>
      </c>
      <c r="CV122" s="14" t="e">
        <f>DN122+DISTRIBUSI!#REF!-'PEMAKAIAN UNIT'!Q119</f>
        <v>#REF!</v>
      </c>
      <c r="CW122" s="15" t="e">
        <f t="shared" si="95"/>
        <v>#REF!</v>
      </c>
      <c r="CX122" s="14">
        <f>DO122+'LPLPO GUDANG'!E125-'LPLPO GUDANG'!G125</f>
        <v>100</v>
      </c>
      <c r="CY122" s="15">
        <f t="shared" si="96"/>
        <v>-40</v>
      </c>
      <c r="CZ122" s="28"/>
      <c r="DA122" s="14">
        <v>0</v>
      </c>
      <c r="DB122" s="14"/>
      <c r="DC122" s="14">
        <v>0</v>
      </c>
      <c r="DD122" s="14">
        <v>0</v>
      </c>
      <c r="DE122" s="14">
        <v>0</v>
      </c>
      <c r="DF122" s="14"/>
      <c r="DG122" s="14">
        <v>0</v>
      </c>
      <c r="DH122" s="14">
        <v>0</v>
      </c>
      <c r="DI122" s="14">
        <v>0</v>
      </c>
      <c r="DJ122" s="14">
        <v>0</v>
      </c>
      <c r="DK122" s="14">
        <v>0</v>
      </c>
      <c r="DL122" s="14">
        <v>0</v>
      </c>
      <c r="DM122" s="14">
        <v>185</v>
      </c>
      <c r="DN122" s="14">
        <v>0</v>
      </c>
      <c r="DO122" s="14">
        <v>0</v>
      </c>
      <c r="DP122" s="13">
        <f t="shared" si="97"/>
        <v>185</v>
      </c>
      <c r="DR122" t="s">
        <v>94</v>
      </c>
      <c r="DU122" s="20" t="e">
        <f t="shared" si="98"/>
        <v>#REF!</v>
      </c>
    </row>
    <row r="123" spans="1:125" customFormat="1" ht="20.149999999999999" customHeight="1" x14ac:dyDescent="0.35">
      <c r="A123" s="84">
        <f t="shared" si="99"/>
        <v>112</v>
      </c>
      <c r="B123" s="142" t="s">
        <v>95</v>
      </c>
      <c r="C123" s="169" t="s">
        <v>48</v>
      </c>
      <c r="D123" s="109">
        <v>0</v>
      </c>
      <c r="E123" s="110">
        <f>'LPLPO GUDANG'!E126</f>
        <v>0</v>
      </c>
      <c r="F123" s="110">
        <f t="shared" si="50"/>
        <v>0</v>
      </c>
      <c r="G123" s="110">
        <f>'PEMAKAIAN UNIT'!R120</f>
        <v>0</v>
      </c>
      <c r="H123" s="14">
        <v>0</v>
      </c>
      <c r="I123" s="14">
        <v>0</v>
      </c>
      <c r="J123" s="14">
        <v>0</v>
      </c>
      <c r="K123" s="14"/>
      <c r="L123" s="14"/>
      <c r="M123" s="14"/>
      <c r="N123" s="14"/>
      <c r="O123" s="14"/>
      <c r="P123" s="14"/>
      <c r="Q123" s="14"/>
      <c r="R123" s="14"/>
      <c r="S123" s="14">
        <v>3</v>
      </c>
      <c r="T123" s="14">
        <v>0</v>
      </c>
      <c r="U123" s="14">
        <v>0</v>
      </c>
      <c r="V123" s="14">
        <v>0</v>
      </c>
      <c r="W123" s="14">
        <v>0</v>
      </c>
      <c r="X123" s="14">
        <v>4</v>
      </c>
      <c r="Y123" s="109">
        <f t="shared" si="51"/>
        <v>0</v>
      </c>
      <c r="Z123" s="109" t="e">
        <f t="shared" si="52"/>
        <v>#REF!</v>
      </c>
      <c r="AA123" s="109" t="e">
        <f t="shared" si="53"/>
        <v>#REF!</v>
      </c>
      <c r="AB123" s="14">
        <v>19</v>
      </c>
      <c r="AC123" s="109" t="e">
        <f t="shared" si="54"/>
        <v>#REF!</v>
      </c>
      <c r="AD123" s="109">
        <f>'LPLPO GUDANG'!H126</f>
        <v>50</v>
      </c>
      <c r="AE123" s="111" t="e">
        <f t="shared" si="55"/>
        <v>#REF!</v>
      </c>
      <c r="AF123" s="212"/>
      <c r="AG123" s="212"/>
      <c r="AH123" s="20"/>
      <c r="AI123" s="14">
        <f t="shared" si="56"/>
        <v>0</v>
      </c>
      <c r="AJ123" s="209" t="e">
        <f t="shared" si="57"/>
        <v>#REF!</v>
      </c>
      <c r="AL123" s="14">
        <f t="shared" si="58"/>
        <v>0</v>
      </c>
      <c r="AM123" s="14">
        <f>DISTRIBUSI!D121</f>
        <v>0</v>
      </c>
      <c r="AN123" s="14">
        <f>'PEMAKAIAN UNIT'!D120</f>
        <v>0</v>
      </c>
      <c r="AO123" s="14">
        <f t="shared" si="59"/>
        <v>0</v>
      </c>
      <c r="AP123" s="15">
        <f t="shared" si="60"/>
        <v>0</v>
      </c>
      <c r="AQ123" s="14">
        <f t="shared" si="61"/>
        <v>0</v>
      </c>
      <c r="AR123" s="14">
        <f>DISTRIBUSI!E121</f>
        <v>0</v>
      </c>
      <c r="AS123" s="14">
        <f>'PEMAKAIAN UNIT'!E120</f>
        <v>0</v>
      </c>
      <c r="AT123" s="14">
        <f t="shared" si="62"/>
        <v>0</v>
      </c>
      <c r="AU123" s="15">
        <f t="shared" si="63"/>
        <v>0</v>
      </c>
      <c r="AV123" s="14">
        <f t="shared" si="64"/>
        <v>2</v>
      </c>
      <c r="AW123" s="14">
        <f>DISTRIBUSI!F121</f>
        <v>0</v>
      </c>
      <c r="AX123" s="14">
        <f>'PEMAKAIAN UNIT'!F120</f>
        <v>0</v>
      </c>
      <c r="AY123" s="14">
        <f t="shared" si="65"/>
        <v>2</v>
      </c>
      <c r="AZ123" s="15">
        <f t="shared" si="66"/>
        <v>2</v>
      </c>
      <c r="BA123" s="14">
        <f t="shared" si="67"/>
        <v>3</v>
      </c>
      <c r="BB123" s="14">
        <f>DISTRIBUSI!G121</f>
        <v>0</v>
      </c>
      <c r="BC123" s="14">
        <f>'PEMAKAIAN UNIT'!G120</f>
        <v>0</v>
      </c>
      <c r="BD123" s="14">
        <f t="shared" si="68"/>
        <v>3</v>
      </c>
      <c r="BE123" s="15">
        <f t="shared" si="69"/>
        <v>0</v>
      </c>
      <c r="BF123" s="14">
        <f t="shared" si="70"/>
        <v>2</v>
      </c>
      <c r="BG123" s="14">
        <f>DISTRIBUSI!H121</f>
        <v>0</v>
      </c>
      <c r="BH123" s="14">
        <f>'PEMAKAIAN UNIT'!H120</f>
        <v>0</v>
      </c>
      <c r="BI123" s="14">
        <f t="shared" si="71"/>
        <v>2</v>
      </c>
      <c r="BJ123" s="15">
        <f t="shared" si="72"/>
        <v>2</v>
      </c>
      <c r="BK123" s="14">
        <f t="shared" si="73"/>
        <v>0</v>
      </c>
      <c r="BL123" s="14">
        <f>DISTRIBUSI!I121</f>
        <v>0</v>
      </c>
      <c r="BM123" s="14">
        <f>'PEMAKAIAN UNIT'!I120</f>
        <v>0</v>
      </c>
      <c r="BN123" s="14">
        <f t="shared" si="74"/>
        <v>0</v>
      </c>
      <c r="BO123" s="15">
        <f t="shared" si="75"/>
        <v>0</v>
      </c>
      <c r="BP123" s="14">
        <f t="shared" si="76"/>
        <v>0</v>
      </c>
      <c r="BQ123" s="14">
        <f>DISTRIBUSI!J121</f>
        <v>0</v>
      </c>
      <c r="BR123" s="14">
        <f>'PEMAKAIAN UNIT'!J120</f>
        <v>0</v>
      </c>
      <c r="BS123" s="14">
        <f t="shared" si="77"/>
        <v>0</v>
      </c>
      <c r="BT123" s="15">
        <f t="shared" si="78"/>
        <v>0</v>
      </c>
      <c r="BU123" s="14">
        <f t="shared" si="79"/>
        <v>0</v>
      </c>
      <c r="BV123" s="14">
        <f>DISTRIBUSI!K121</f>
        <v>0</v>
      </c>
      <c r="BW123" s="14">
        <f>'PEMAKAIAN UNIT'!K120</f>
        <v>0</v>
      </c>
      <c r="BX123" s="14">
        <f t="shared" si="80"/>
        <v>0</v>
      </c>
      <c r="BY123" s="15">
        <f t="shared" si="81"/>
        <v>0</v>
      </c>
      <c r="BZ123" s="14">
        <f t="shared" si="82"/>
        <v>4</v>
      </c>
      <c r="CA123" s="14">
        <f>DISTRIBUSI!L121</f>
        <v>0</v>
      </c>
      <c r="CB123" s="14">
        <f>'PEMAKAIAN UNIT'!L120</f>
        <v>0</v>
      </c>
      <c r="CC123" s="14">
        <f t="shared" si="83"/>
        <v>4</v>
      </c>
      <c r="CD123" s="15">
        <f t="shared" si="84"/>
        <v>0</v>
      </c>
      <c r="CE123" s="14">
        <f t="shared" si="85"/>
        <v>0</v>
      </c>
      <c r="CF123" s="14">
        <f>DISTRIBUSI!M121</f>
        <v>0</v>
      </c>
      <c r="CG123" s="14">
        <f>'PEMAKAIAN UNIT'!M120</f>
        <v>0</v>
      </c>
      <c r="CH123" s="14">
        <f t="shared" si="86"/>
        <v>0</v>
      </c>
      <c r="CI123" s="15">
        <f t="shared" si="87"/>
        <v>0</v>
      </c>
      <c r="CJ123" s="14">
        <f t="shared" si="88"/>
        <v>0</v>
      </c>
      <c r="CK123" s="14" t="e">
        <f>DISTRIBUSI!#REF!</f>
        <v>#REF!</v>
      </c>
      <c r="CL123" s="14">
        <f>'PEMAKAIAN UNIT'!N120</f>
        <v>0</v>
      </c>
      <c r="CM123" s="14" t="e">
        <f t="shared" si="89"/>
        <v>#REF!</v>
      </c>
      <c r="CN123" s="15" t="e">
        <f t="shared" si="90"/>
        <v>#REF!</v>
      </c>
      <c r="CO123" s="14" t="e">
        <f>DL123+DISTRIBUSI!#REF!-'PEMAKAIAN UNIT'!O120</f>
        <v>#REF!</v>
      </c>
      <c r="CP123" s="15" t="e">
        <f t="shared" si="91"/>
        <v>#REF!</v>
      </c>
      <c r="CQ123" s="226">
        <f t="shared" si="92"/>
        <v>26</v>
      </c>
      <c r="CR123" s="226">
        <f>DISTRIBUSI!R121</f>
        <v>50</v>
      </c>
      <c r="CS123" s="226">
        <f>'PEMAKAIAN UNIT'!P120</f>
        <v>0</v>
      </c>
      <c r="CT123" s="14">
        <f t="shared" si="93"/>
        <v>76</v>
      </c>
      <c r="CU123" s="15">
        <f t="shared" si="94"/>
        <v>57</v>
      </c>
      <c r="CV123" s="14" t="e">
        <f>DN123+DISTRIBUSI!#REF!-'PEMAKAIAN UNIT'!Q120</f>
        <v>#REF!</v>
      </c>
      <c r="CW123" s="15" t="e">
        <f t="shared" si="95"/>
        <v>#REF!</v>
      </c>
      <c r="CX123" s="14">
        <f>DO123+'LPLPO GUDANG'!E126-'LPLPO GUDANG'!G126</f>
        <v>-50</v>
      </c>
      <c r="CY123" s="15">
        <f t="shared" si="96"/>
        <v>-100</v>
      </c>
      <c r="CZ123" s="28"/>
      <c r="DA123" s="14">
        <v>0</v>
      </c>
      <c r="DB123" s="14"/>
      <c r="DC123" s="14">
        <v>2</v>
      </c>
      <c r="DD123" s="14">
        <v>3</v>
      </c>
      <c r="DE123" s="14">
        <v>2</v>
      </c>
      <c r="DF123" s="14"/>
      <c r="DG123" s="14">
        <v>0</v>
      </c>
      <c r="DH123" s="14">
        <v>0</v>
      </c>
      <c r="DI123" s="14">
        <v>4</v>
      </c>
      <c r="DJ123" s="14">
        <v>0</v>
      </c>
      <c r="DK123" s="14">
        <v>0</v>
      </c>
      <c r="DL123" s="14">
        <v>0</v>
      </c>
      <c r="DM123" s="14">
        <v>26</v>
      </c>
      <c r="DN123" s="14">
        <v>0</v>
      </c>
      <c r="DO123" s="14">
        <v>0</v>
      </c>
      <c r="DP123" s="13">
        <f t="shared" si="97"/>
        <v>37</v>
      </c>
      <c r="DR123" t="s">
        <v>95</v>
      </c>
      <c r="DU123" s="20" t="e">
        <f t="shared" si="98"/>
        <v>#REF!</v>
      </c>
    </row>
    <row r="124" spans="1:125" customFormat="1" ht="20.149999999999999" customHeight="1" x14ac:dyDescent="0.35">
      <c r="A124" s="84">
        <f t="shared" si="99"/>
        <v>113</v>
      </c>
      <c r="B124" s="142" t="s">
        <v>96</v>
      </c>
      <c r="C124" s="157" t="s">
        <v>327</v>
      </c>
      <c r="D124" s="109">
        <v>0</v>
      </c>
      <c r="E124" s="110">
        <f>'LPLPO GUDANG'!E127</f>
        <v>1000</v>
      </c>
      <c r="F124" s="110">
        <f t="shared" si="50"/>
        <v>1000</v>
      </c>
      <c r="G124" s="110">
        <f>'PEMAKAIAN UNIT'!R121</f>
        <v>0</v>
      </c>
      <c r="H124" s="14">
        <v>0</v>
      </c>
      <c r="I124" s="14">
        <v>40</v>
      </c>
      <c r="J124" s="14">
        <v>0</v>
      </c>
      <c r="K124" s="14"/>
      <c r="L124" s="14"/>
      <c r="M124" s="14"/>
      <c r="N124" s="14"/>
      <c r="O124" s="14"/>
      <c r="P124" s="14"/>
      <c r="Q124" s="14"/>
      <c r="R124" s="14"/>
      <c r="S124" s="14">
        <v>40</v>
      </c>
      <c r="T124" s="14">
        <v>0</v>
      </c>
      <c r="U124" s="14">
        <v>105</v>
      </c>
      <c r="V124" s="14">
        <v>150</v>
      </c>
      <c r="W124" s="14">
        <v>0</v>
      </c>
      <c r="X124" s="14">
        <v>80</v>
      </c>
      <c r="Y124" s="109">
        <f t="shared" si="51"/>
        <v>0</v>
      </c>
      <c r="Z124" s="109" t="e">
        <f t="shared" si="52"/>
        <v>#REF!</v>
      </c>
      <c r="AA124" s="109" t="e">
        <f t="shared" si="53"/>
        <v>#REF!</v>
      </c>
      <c r="AB124" s="14">
        <v>1244</v>
      </c>
      <c r="AC124" s="109" t="e">
        <f t="shared" si="54"/>
        <v>#REF!</v>
      </c>
      <c r="AD124" s="109">
        <f>'LPLPO GUDANG'!H127</f>
        <v>800</v>
      </c>
      <c r="AE124" s="111" t="e">
        <f t="shared" si="55"/>
        <v>#REF!</v>
      </c>
      <c r="AF124" s="212"/>
      <c r="AG124" s="212"/>
      <c r="AH124" s="20"/>
      <c r="AI124" s="14">
        <f t="shared" si="56"/>
        <v>1000</v>
      </c>
      <c r="AJ124" s="209" t="e">
        <f t="shared" si="57"/>
        <v>#REF!</v>
      </c>
      <c r="AL124" s="14">
        <f t="shared" si="58"/>
        <v>0</v>
      </c>
      <c r="AM124" s="14">
        <f>DISTRIBUSI!D122</f>
        <v>0</v>
      </c>
      <c r="AN124" s="14">
        <f>'PEMAKAIAN UNIT'!D121</f>
        <v>0</v>
      </c>
      <c r="AO124" s="14">
        <f t="shared" si="59"/>
        <v>0</v>
      </c>
      <c r="AP124" s="15">
        <f t="shared" si="60"/>
        <v>0</v>
      </c>
      <c r="AQ124" s="14">
        <f t="shared" si="61"/>
        <v>40</v>
      </c>
      <c r="AR124" s="14">
        <f>DISTRIBUSI!E122</f>
        <v>0</v>
      </c>
      <c r="AS124" s="14">
        <f>'PEMAKAIAN UNIT'!E121</f>
        <v>0</v>
      </c>
      <c r="AT124" s="14">
        <f t="shared" si="62"/>
        <v>40</v>
      </c>
      <c r="AU124" s="15">
        <f t="shared" si="63"/>
        <v>0</v>
      </c>
      <c r="AV124" s="14">
        <f t="shared" si="64"/>
        <v>108</v>
      </c>
      <c r="AW124" s="14">
        <f>DISTRIBUSI!F122</f>
        <v>0</v>
      </c>
      <c r="AX124" s="14">
        <f>'PEMAKAIAN UNIT'!F121</f>
        <v>0</v>
      </c>
      <c r="AY124" s="14">
        <f t="shared" si="65"/>
        <v>108</v>
      </c>
      <c r="AZ124" s="15">
        <f t="shared" si="66"/>
        <v>108</v>
      </c>
      <c r="BA124" s="14">
        <f t="shared" si="67"/>
        <v>60</v>
      </c>
      <c r="BB124" s="14">
        <f>DISTRIBUSI!G122</f>
        <v>0</v>
      </c>
      <c r="BC124" s="14">
        <f>'PEMAKAIAN UNIT'!G121</f>
        <v>0</v>
      </c>
      <c r="BD124" s="14">
        <f t="shared" si="68"/>
        <v>60</v>
      </c>
      <c r="BE124" s="15">
        <f t="shared" si="69"/>
        <v>20</v>
      </c>
      <c r="BF124" s="14">
        <f t="shared" si="70"/>
        <v>100</v>
      </c>
      <c r="BG124" s="14">
        <f>DISTRIBUSI!H122</f>
        <v>0</v>
      </c>
      <c r="BH124" s="14">
        <f>'PEMAKAIAN UNIT'!H121</f>
        <v>0</v>
      </c>
      <c r="BI124" s="14">
        <f t="shared" si="71"/>
        <v>100</v>
      </c>
      <c r="BJ124" s="15">
        <f t="shared" si="72"/>
        <v>100</v>
      </c>
      <c r="BK124" s="14">
        <f t="shared" si="73"/>
        <v>140</v>
      </c>
      <c r="BL124" s="14">
        <f>DISTRIBUSI!I122</f>
        <v>0</v>
      </c>
      <c r="BM124" s="14">
        <f>'PEMAKAIAN UNIT'!I121</f>
        <v>0</v>
      </c>
      <c r="BN124" s="14">
        <f t="shared" si="74"/>
        <v>140</v>
      </c>
      <c r="BO124" s="15">
        <f t="shared" si="75"/>
        <v>35</v>
      </c>
      <c r="BP124" s="14">
        <f t="shared" si="76"/>
        <v>60</v>
      </c>
      <c r="BQ124" s="14">
        <f>DISTRIBUSI!J122</f>
        <v>0</v>
      </c>
      <c r="BR124" s="14">
        <f>'PEMAKAIAN UNIT'!J121</f>
        <v>0</v>
      </c>
      <c r="BS124" s="14">
        <f t="shared" si="77"/>
        <v>60</v>
      </c>
      <c r="BT124" s="15">
        <f t="shared" si="78"/>
        <v>-90</v>
      </c>
      <c r="BU124" s="14">
        <f t="shared" si="79"/>
        <v>0</v>
      </c>
      <c r="BV124" s="14">
        <f>DISTRIBUSI!K122</f>
        <v>0</v>
      </c>
      <c r="BW124" s="14">
        <f>'PEMAKAIAN UNIT'!K121</f>
        <v>0</v>
      </c>
      <c r="BX124" s="14">
        <f t="shared" si="80"/>
        <v>0</v>
      </c>
      <c r="BY124" s="15">
        <f t="shared" si="81"/>
        <v>0</v>
      </c>
      <c r="BZ124" s="14">
        <f t="shared" si="82"/>
        <v>0</v>
      </c>
      <c r="CA124" s="14">
        <f>DISTRIBUSI!L122</f>
        <v>0</v>
      </c>
      <c r="CB124" s="14">
        <f>'PEMAKAIAN UNIT'!L121</f>
        <v>0</v>
      </c>
      <c r="CC124" s="14">
        <f t="shared" si="83"/>
        <v>0</v>
      </c>
      <c r="CD124" s="15">
        <f t="shared" si="84"/>
        <v>-80</v>
      </c>
      <c r="CE124" s="14">
        <f t="shared" si="85"/>
        <v>0</v>
      </c>
      <c r="CF124" s="14">
        <f>DISTRIBUSI!M122</f>
        <v>0</v>
      </c>
      <c r="CG124" s="14">
        <f>'PEMAKAIAN UNIT'!M121</f>
        <v>0</v>
      </c>
      <c r="CH124" s="14">
        <f t="shared" si="86"/>
        <v>0</v>
      </c>
      <c r="CI124" s="15">
        <f t="shared" si="87"/>
        <v>0</v>
      </c>
      <c r="CJ124" s="14">
        <f t="shared" si="88"/>
        <v>0</v>
      </c>
      <c r="CK124" s="14" t="e">
        <f>DISTRIBUSI!#REF!</f>
        <v>#REF!</v>
      </c>
      <c r="CL124" s="14">
        <f>'PEMAKAIAN UNIT'!N121</f>
        <v>0</v>
      </c>
      <c r="CM124" s="14" t="e">
        <f t="shared" si="89"/>
        <v>#REF!</v>
      </c>
      <c r="CN124" s="15" t="e">
        <f t="shared" si="90"/>
        <v>#REF!</v>
      </c>
      <c r="CO124" s="14" t="e">
        <f>DL124+DISTRIBUSI!#REF!-'PEMAKAIAN UNIT'!O121</f>
        <v>#REF!</v>
      </c>
      <c r="CP124" s="15" t="e">
        <f t="shared" si="91"/>
        <v>#REF!</v>
      </c>
      <c r="CQ124" s="226">
        <f t="shared" si="92"/>
        <v>1474</v>
      </c>
      <c r="CR124" s="226">
        <f>DISTRIBUSI!R122</f>
        <v>1000</v>
      </c>
      <c r="CS124" s="226">
        <f>'PEMAKAIAN UNIT'!P121</f>
        <v>0</v>
      </c>
      <c r="CT124" s="14">
        <f t="shared" si="93"/>
        <v>2474</v>
      </c>
      <c r="CU124" s="15">
        <f t="shared" si="94"/>
        <v>1230</v>
      </c>
      <c r="CV124" s="14" t="e">
        <f>DN124+DISTRIBUSI!#REF!-'PEMAKAIAN UNIT'!Q121</f>
        <v>#REF!</v>
      </c>
      <c r="CW124" s="15" t="e">
        <f t="shared" si="95"/>
        <v>#REF!</v>
      </c>
      <c r="CX124" s="14">
        <f>DO124+'LPLPO GUDANG'!E127-'LPLPO GUDANG'!G127</f>
        <v>500</v>
      </c>
      <c r="CY124" s="15">
        <f t="shared" si="96"/>
        <v>-300</v>
      </c>
      <c r="CZ124" s="28"/>
      <c r="DA124" s="14">
        <v>0</v>
      </c>
      <c r="DB124" s="14">
        <v>40</v>
      </c>
      <c r="DC124" s="14">
        <v>108</v>
      </c>
      <c r="DD124" s="14">
        <v>60</v>
      </c>
      <c r="DE124" s="14">
        <v>100</v>
      </c>
      <c r="DF124" s="14">
        <v>140</v>
      </c>
      <c r="DG124" s="14">
        <v>60</v>
      </c>
      <c r="DH124" s="14">
        <v>0</v>
      </c>
      <c r="DI124" s="14">
        <v>0</v>
      </c>
      <c r="DJ124" s="14">
        <v>0</v>
      </c>
      <c r="DK124" s="14">
        <v>0</v>
      </c>
      <c r="DL124" s="14">
        <v>180</v>
      </c>
      <c r="DM124" s="14">
        <v>1474</v>
      </c>
      <c r="DN124" s="14">
        <v>0</v>
      </c>
      <c r="DO124" s="14">
        <v>700</v>
      </c>
      <c r="DP124" s="13">
        <f t="shared" si="97"/>
        <v>2862</v>
      </c>
      <c r="DR124" t="s">
        <v>96</v>
      </c>
      <c r="DU124" s="20" t="e">
        <f t="shared" si="98"/>
        <v>#REF!</v>
      </c>
    </row>
    <row r="125" spans="1:125" customFormat="1" ht="20.149999999999999" customHeight="1" x14ac:dyDescent="0.35">
      <c r="A125" s="84">
        <f t="shared" si="99"/>
        <v>114</v>
      </c>
      <c r="B125" s="142" t="s">
        <v>97</v>
      </c>
      <c r="C125" s="154" t="s">
        <v>4</v>
      </c>
      <c r="D125" s="109">
        <v>0</v>
      </c>
      <c r="E125" s="110">
        <f>'LPLPO GUDANG'!E128</f>
        <v>0</v>
      </c>
      <c r="F125" s="110">
        <f t="shared" si="50"/>
        <v>0</v>
      </c>
      <c r="G125" s="110">
        <f>'PEMAKAIAN UNIT'!R122</f>
        <v>0</v>
      </c>
      <c r="H125" s="14">
        <v>0</v>
      </c>
      <c r="I125" s="14">
        <v>0</v>
      </c>
      <c r="J125" s="14">
        <v>0</v>
      </c>
      <c r="K125" s="14"/>
      <c r="L125" s="14"/>
      <c r="M125" s="14"/>
      <c r="N125" s="14"/>
      <c r="O125" s="14"/>
      <c r="P125" s="14"/>
      <c r="Q125" s="14"/>
      <c r="R125" s="14"/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09">
        <f t="shared" si="51"/>
        <v>0</v>
      </c>
      <c r="Z125" s="109" t="e">
        <f t="shared" si="52"/>
        <v>#REF!</v>
      </c>
      <c r="AA125" s="109" t="e">
        <f t="shared" si="53"/>
        <v>#REF!</v>
      </c>
      <c r="AB125" s="14">
        <v>0</v>
      </c>
      <c r="AC125" s="109" t="e">
        <f t="shared" si="54"/>
        <v>#REF!</v>
      </c>
      <c r="AD125" s="109">
        <f>'LPLPO GUDANG'!H128</f>
        <v>0</v>
      </c>
      <c r="AE125" s="111" t="e">
        <f t="shared" si="55"/>
        <v>#REF!</v>
      </c>
      <c r="AF125" s="212"/>
      <c r="AG125" s="212"/>
      <c r="AH125" s="20"/>
      <c r="AI125" s="14">
        <f t="shared" si="56"/>
        <v>0</v>
      </c>
      <c r="AJ125" s="209" t="e">
        <f t="shared" si="57"/>
        <v>#REF!</v>
      </c>
      <c r="AL125" s="14">
        <f t="shared" si="58"/>
        <v>0</v>
      </c>
      <c r="AM125" s="14">
        <f>DISTRIBUSI!D123</f>
        <v>0</v>
      </c>
      <c r="AN125" s="14">
        <f>'PEMAKAIAN UNIT'!D122</f>
        <v>0</v>
      </c>
      <c r="AO125" s="14">
        <f t="shared" si="59"/>
        <v>0</v>
      </c>
      <c r="AP125" s="15">
        <f t="shared" si="60"/>
        <v>0</v>
      </c>
      <c r="AQ125" s="14">
        <f t="shared" si="61"/>
        <v>0</v>
      </c>
      <c r="AR125" s="14">
        <f>DISTRIBUSI!E123</f>
        <v>0</v>
      </c>
      <c r="AS125" s="14">
        <f>'PEMAKAIAN UNIT'!E122</f>
        <v>0</v>
      </c>
      <c r="AT125" s="14">
        <f t="shared" si="62"/>
        <v>0</v>
      </c>
      <c r="AU125" s="15">
        <f t="shared" si="63"/>
        <v>0</v>
      </c>
      <c r="AV125" s="14">
        <f t="shared" si="64"/>
        <v>0</v>
      </c>
      <c r="AW125" s="14">
        <f>DISTRIBUSI!F123</f>
        <v>0</v>
      </c>
      <c r="AX125" s="14">
        <f>'PEMAKAIAN UNIT'!F122</f>
        <v>0</v>
      </c>
      <c r="AY125" s="14">
        <f t="shared" si="65"/>
        <v>0</v>
      </c>
      <c r="AZ125" s="15">
        <f t="shared" si="66"/>
        <v>0</v>
      </c>
      <c r="BA125" s="14">
        <f t="shared" si="67"/>
        <v>0</v>
      </c>
      <c r="BB125" s="14">
        <f>DISTRIBUSI!G123</f>
        <v>0</v>
      </c>
      <c r="BC125" s="14">
        <f>'PEMAKAIAN UNIT'!G122</f>
        <v>0</v>
      </c>
      <c r="BD125" s="14">
        <f t="shared" si="68"/>
        <v>0</v>
      </c>
      <c r="BE125" s="15">
        <f t="shared" si="69"/>
        <v>0</v>
      </c>
      <c r="BF125" s="14">
        <f t="shared" si="70"/>
        <v>0</v>
      </c>
      <c r="BG125" s="14">
        <f>DISTRIBUSI!H123</f>
        <v>0</v>
      </c>
      <c r="BH125" s="14">
        <f>'PEMAKAIAN UNIT'!H122</f>
        <v>0</v>
      </c>
      <c r="BI125" s="14">
        <f t="shared" si="71"/>
        <v>0</v>
      </c>
      <c r="BJ125" s="15">
        <f t="shared" si="72"/>
        <v>0</v>
      </c>
      <c r="BK125" s="14">
        <f t="shared" si="73"/>
        <v>0</v>
      </c>
      <c r="BL125" s="14">
        <f>DISTRIBUSI!I123</f>
        <v>0</v>
      </c>
      <c r="BM125" s="14">
        <f>'PEMAKAIAN UNIT'!I122</f>
        <v>0</v>
      </c>
      <c r="BN125" s="14">
        <f t="shared" si="74"/>
        <v>0</v>
      </c>
      <c r="BO125" s="15">
        <f t="shared" si="75"/>
        <v>0</v>
      </c>
      <c r="BP125" s="14">
        <f t="shared" si="76"/>
        <v>0</v>
      </c>
      <c r="BQ125" s="14">
        <f>DISTRIBUSI!J123</f>
        <v>0</v>
      </c>
      <c r="BR125" s="14">
        <f>'PEMAKAIAN UNIT'!J122</f>
        <v>0</v>
      </c>
      <c r="BS125" s="14">
        <f t="shared" si="77"/>
        <v>0</v>
      </c>
      <c r="BT125" s="15">
        <f t="shared" si="78"/>
        <v>0</v>
      </c>
      <c r="BU125" s="14">
        <f t="shared" si="79"/>
        <v>0</v>
      </c>
      <c r="BV125" s="14">
        <f>DISTRIBUSI!K123</f>
        <v>0</v>
      </c>
      <c r="BW125" s="14">
        <f>'PEMAKAIAN UNIT'!K122</f>
        <v>0</v>
      </c>
      <c r="BX125" s="14">
        <f t="shared" si="80"/>
        <v>0</v>
      </c>
      <c r="BY125" s="15">
        <f t="shared" si="81"/>
        <v>0</v>
      </c>
      <c r="BZ125" s="14">
        <f t="shared" si="82"/>
        <v>0</v>
      </c>
      <c r="CA125" s="14">
        <f>DISTRIBUSI!L123</f>
        <v>0</v>
      </c>
      <c r="CB125" s="14">
        <f>'PEMAKAIAN UNIT'!L122</f>
        <v>0</v>
      </c>
      <c r="CC125" s="14">
        <f t="shared" si="83"/>
        <v>0</v>
      </c>
      <c r="CD125" s="15">
        <f t="shared" si="84"/>
        <v>0</v>
      </c>
      <c r="CE125" s="14">
        <f t="shared" si="85"/>
        <v>0</v>
      </c>
      <c r="CF125" s="14">
        <f>DISTRIBUSI!M123</f>
        <v>0</v>
      </c>
      <c r="CG125" s="14">
        <f>'PEMAKAIAN UNIT'!M122</f>
        <v>0</v>
      </c>
      <c r="CH125" s="14">
        <f t="shared" si="86"/>
        <v>0</v>
      </c>
      <c r="CI125" s="15">
        <f t="shared" si="87"/>
        <v>0</v>
      </c>
      <c r="CJ125" s="14">
        <f t="shared" si="88"/>
        <v>0</v>
      </c>
      <c r="CK125" s="14" t="e">
        <f>DISTRIBUSI!#REF!</f>
        <v>#REF!</v>
      </c>
      <c r="CL125" s="14">
        <f>'PEMAKAIAN UNIT'!N122</f>
        <v>0</v>
      </c>
      <c r="CM125" s="14" t="e">
        <f t="shared" si="89"/>
        <v>#REF!</v>
      </c>
      <c r="CN125" s="15" t="e">
        <f t="shared" si="90"/>
        <v>#REF!</v>
      </c>
      <c r="CO125" s="14" t="e">
        <f>DL125+DISTRIBUSI!#REF!-'PEMAKAIAN UNIT'!O122</f>
        <v>#REF!</v>
      </c>
      <c r="CP125" s="15" t="e">
        <f t="shared" si="91"/>
        <v>#REF!</v>
      </c>
      <c r="CQ125" s="226">
        <f t="shared" si="92"/>
        <v>0</v>
      </c>
      <c r="CR125" s="226">
        <f>DISTRIBUSI!R123</f>
        <v>0</v>
      </c>
      <c r="CS125" s="226">
        <f>'PEMAKAIAN UNIT'!P122</f>
        <v>0</v>
      </c>
      <c r="CT125" s="14">
        <f t="shared" si="93"/>
        <v>0</v>
      </c>
      <c r="CU125" s="15">
        <f t="shared" si="94"/>
        <v>0</v>
      </c>
      <c r="CV125" s="14" t="e">
        <f>DN125+DISTRIBUSI!#REF!-'PEMAKAIAN UNIT'!Q122</f>
        <v>#REF!</v>
      </c>
      <c r="CW125" s="15" t="e">
        <f t="shared" si="95"/>
        <v>#REF!</v>
      </c>
      <c r="CX125" s="14">
        <f>DO125+'LPLPO GUDANG'!E128-'LPLPO GUDANG'!G128</f>
        <v>0</v>
      </c>
      <c r="CY125" s="15">
        <f t="shared" si="96"/>
        <v>0</v>
      </c>
      <c r="CZ125" s="28"/>
      <c r="DA125" s="14">
        <v>0</v>
      </c>
      <c r="DB125" s="14"/>
      <c r="DC125" s="14">
        <v>0</v>
      </c>
      <c r="DD125" s="14">
        <v>0</v>
      </c>
      <c r="DE125" s="14">
        <v>0</v>
      </c>
      <c r="DF125" s="14"/>
      <c r="DG125" s="14">
        <v>0</v>
      </c>
      <c r="DH125" s="14">
        <v>0</v>
      </c>
      <c r="DI125" s="14">
        <v>0</v>
      </c>
      <c r="DJ125" s="14">
        <v>0</v>
      </c>
      <c r="DK125" s="14">
        <v>0</v>
      </c>
      <c r="DL125" s="14">
        <v>0</v>
      </c>
      <c r="DM125" s="14">
        <v>0</v>
      </c>
      <c r="DN125" s="14">
        <v>0</v>
      </c>
      <c r="DO125" s="14">
        <v>0</v>
      </c>
      <c r="DP125" s="13">
        <f t="shared" si="97"/>
        <v>0</v>
      </c>
      <c r="DR125" t="s">
        <v>97</v>
      </c>
      <c r="DU125" s="20" t="e">
        <f t="shared" si="98"/>
        <v>#REF!</v>
      </c>
    </row>
    <row r="126" spans="1:125" customFormat="1" ht="36" x14ac:dyDescent="0.35">
      <c r="A126" s="84">
        <f t="shared" si="99"/>
        <v>115</v>
      </c>
      <c r="B126" s="142" t="s">
        <v>98</v>
      </c>
      <c r="C126" s="154" t="s">
        <v>327</v>
      </c>
      <c r="D126" s="109">
        <v>0</v>
      </c>
      <c r="E126" s="110">
        <f>'LPLPO GUDANG'!E129</f>
        <v>0</v>
      </c>
      <c r="F126" s="110">
        <f t="shared" si="50"/>
        <v>0</v>
      </c>
      <c r="G126" s="110">
        <f>'PEMAKAIAN UNIT'!R123</f>
        <v>0</v>
      </c>
      <c r="H126" s="14">
        <v>0</v>
      </c>
      <c r="I126" s="14">
        <v>0</v>
      </c>
      <c r="J126" s="14">
        <v>0</v>
      </c>
      <c r="K126" s="14"/>
      <c r="L126" s="14"/>
      <c r="M126" s="14"/>
      <c r="N126" s="14"/>
      <c r="O126" s="14"/>
      <c r="P126" s="14"/>
      <c r="Q126" s="14"/>
      <c r="R126" s="14"/>
      <c r="S126" s="14">
        <v>60</v>
      </c>
      <c r="T126" s="14">
        <v>0</v>
      </c>
      <c r="U126" s="14">
        <v>10</v>
      </c>
      <c r="V126" s="14">
        <v>0</v>
      </c>
      <c r="W126" s="14">
        <v>0</v>
      </c>
      <c r="X126" s="14">
        <v>60</v>
      </c>
      <c r="Y126" s="109">
        <f t="shared" si="51"/>
        <v>0</v>
      </c>
      <c r="Z126" s="109" t="e">
        <f t="shared" si="52"/>
        <v>#REF!</v>
      </c>
      <c r="AA126" s="109" t="e">
        <f t="shared" si="53"/>
        <v>#REF!</v>
      </c>
      <c r="AB126" s="14">
        <v>0</v>
      </c>
      <c r="AC126" s="109" t="e">
        <f t="shared" si="54"/>
        <v>#REF!</v>
      </c>
      <c r="AD126" s="109">
        <f>'LPLPO GUDANG'!H129</f>
        <v>0</v>
      </c>
      <c r="AE126" s="111" t="e">
        <f t="shared" si="55"/>
        <v>#REF!</v>
      </c>
      <c r="AF126" s="212"/>
      <c r="AG126" s="212"/>
      <c r="AH126" s="20"/>
      <c r="AI126" s="14">
        <f t="shared" si="56"/>
        <v>0</v>
      </c>
      <c r="AJ126" s="209" t="e">
        <f t="shared" si="57"/>
        <v>#REF!</v>
      </c>
      <c r="AL126" s="14">
        <f t="shared" si="58"/>
        <v>125</v>
      </c>
      <c r="AM126" s="14">
        <f>DISTRIBUSI!D124</f>
        <v>0</v>
      </c>
      <c r="AN126" s="14">
        <f>'PEMAKAIAN UNIT'!D123</f>
        <v>0</v>
      </c>
      <c r="AO126" s="14">
        <f t="shared" si="59"/>
        <v>125</v>
      </c>
      <c r="AP126" s="15">
        <f t="shared" si="60"/>
        <v>125</v>
      </c>
      <c r="AQ126" s="14">
        <f t="shared" si="61"/>
        <v>0</v>
      </c>
      <c r="AR126" s="14">
        <f>DISTRIBUSI!E124</f>
        <v>0</v>
      </c>
      <c r="AS126" s="14">
        <f>'PEMAKAIAN UNIT'!E123</f>
        <v>0</v>
      </c>
      <c r="AT126" s="14">
        <f t="shared" si="62"/>
        <v>0</v>
      </c>
      <c r="AU126" s="15">
        <f t="shared" si="63"/>
        <v>0</v>
      </c>
      <c r="AV126" s="14">
        <f t="shared" si="64"/>
        <v>40</v>
      </c>
      <c r="AW126" s="14">
        <f>DISTRIBUSI!F124</f>
        <v>0</v>
      </c>
      <c r="AX126" s="14">
        <f>'PEMAKAIAN UNIT'!F123</f>
        <v>0</v>
      </c>
      <c r="AY126" s="14">
        <f t="shared" si="65"/>
        <v>40</v>
      </c>
      <c r="AZ126" s="15">
        <f t="shared" si="66"/>
        <v>40</v>
      </c>
      <c r="BA126" s="14">
        <f t="shared" si="67"/>
        <v>90</v>
      </c>
      <c r="BB126" s="14">
        <f>DISTRIBUSI!G124</f>
        <v>0</v>
      </c>
      <c r="BC126" s="14">
        <f>'PEMAKAIAN UNIT'!G123</f>
        <v>0</v>
      </c>
      <c r="BD126" s="14">
        <f t="shared" si="68"/>
        <v>90</v>
      </c>
      <c r="BE126" s="15">
        <f t="shared" si="69"/>
        <v>30</v>
      </c>
      <c r="BF126" s="14">
        <f t="shared" si="70"/>
        <v>150</v>
      </c>
      <c r="BG126" s="14">
        <f>DISTRIBUSI!H124</f>
        <v>0</v>
      </c>
      <c r="BH126" s="14">
        <f>'PEMAKAIAN UNIT'!H123</f>
        <v>0</v>
      </c>
      <c r="BI126" s="14">
        <f t="shared" si="71"/>
        <v>150</v>
      </c>
      <c r="BJ126" s="15">
        <f t="shared" si="72"/>
        <v>150</v>
      </c>
      <c r="BK126" s="14">
        <f t="shared" si="73"/>
        <v>70</v>
      </c>
      <c r="BL126" s="14">
        <f>DISTRIBUSI!I124</f>
        <v>0</v>
      </c>
      <c r="BM126" s="14">
        <f>'PEMAKAIAN UNIT'!I123</f>
        <v>0</v>
      </c>
      <c r="BN126" s="14">
        <f t="shared" si="74"/>
        <v>70</v>
      </c>
      <c r="BO126" s="15">
        <f t="shared" si="75"/>
        <v>60</v>
      </c>
      <c r="BP126" s="14">
        <f t="shared" si="76"/>
        <v>20</v>
      </c>
      <c r="BQ126" s="14">
        <f>DISTRIBUSI!J124</f>
        <v>0</v>
      </c>
      <c r="BR126" s="14">
        <f>'PEMAKAIAN UNIT'!J123</f>
        <v>0</v>
      </c>
      <c r="BS126" s="14">
        <f t="shared" si="77"/>
        <v>20</v>
      </c>
      <c r="BT126" s="15">
        <f t="shared" si="78"/>
        <v>20</v>
      </c>
      <c r="BU126" s="14">
        <f t="shared" si="79"/>
        <v>0</v>
      </c>
      <c r="BV126" s="14">
        <f>DISTRIBUSI!K124</f>
        <v>0</v>
      </c>
      <c r="BW126" s="14">
        <f>'PEMAKAIAN UNIT'!K123</f>
        <v>0</v>
      </c>
      <c r="BX126" s="14">
        <f t="shared" si="80"/>
        <v>0</v>
      </c>
      <c r="BY126" s="15">
        <f t="shared" si="81"/>
        <v>0</v>
      </c>
      <c r="BZ126" s="14">
        <f t="shared" si="82"/>
        <v>100</v>
      </c>
      <c r="CA126" s="14">
        <f>DISTRIBUSI!L124</f>
        <v>0</v>
      </c>
      <c r="CB126" s="14">
        <f>'PEMAKAIAN UNIT'!L123</f>
        <v>0</v>
      </c>
      <c r="CC126" s="14">
        <f t="shared" si="83"/>
        <v>100</v>
      </c>
      <c r="CD126" s="15">
        <f t="shared" si="84"/>
        <v>40</v>
      </c>
      <c r="CE126" s="14">
        <f t="shared" si="85"/>
        <v>0</v>
      </c>
      <c r="CF126" s="14">
        <f>DISTRIBUSI!M124</f>
        <v>0</v>
      </c>
      <c r="CG126" s="14">
        <f>'PEMAKAIAN UNIT'!M123</f>
        <v>0</v>
      </c>
      <c r="CH126" s="14">
        <f t="shared" si="86"/>
        <v>0</v>
      </c>
      <c r="CI126" s="15">
        <f t="shared" si="87"/>
        <v>0</v>
      </c>
      <c r="CJ126" s="14">
        <f t="shared" si="88"/>
        <v>0</v>
      </c>
      <c r="CK126" s="14" t="e">
        <f>DISTRIBUSI!#REF!</f>
        <v>#REF!</v>
      </c>
      <c r="CL126" s="14">
        <f>'PEMAKAIAN UNIT'!N123</f>
        <v>0</v>
      </c>
      <c r="CM126" s="14" t="e">
        <f t="shared" si="89"/>
        <v>#REF!</v>
      </c>
      <c r="CN126" s="15" t="e">
        <f t="shared" si="90"/>
        <v>#REF!</v>
      </c>
      <c r="CO126" s="14" t="e">
        <f>DL126+DISTRIBUSI!#REF!-'PEMAKAIAN UNIT'!O123</f>
        <v>#REF!</v>
      </c>
      <c r="CP126" s="15" t="e">
        <f t="shared" si="91"/>
        <v>#REF!</v>
      </c>
      <c r="CQ126" s="226">
        <f t="shared" si="92"/>
        <v>0</v>
      </c>
      <c r="CR126" s="226">
        <f>DISTRIBUSI!R124</f>
        <v>0</v>
      </c>
      <c r="CS126" s="226">
        <f>'PEMAKAIAN UNIT'!P123</f>
        <v>0</v>
      </c>
      <c r="CT126" s="14">
        <f t="shared" si="93"/>
        <v>0</v>
      </c>
      <c r="CU126" s="15">
        <f t="shared" si="94"/>
        <v>0</v>
      </c>
      <c r="CV126" s="14" t="e">
        <f>DN126+DISTRIBUSI!#REF!-'PEMAKAIAN UNIT'!Q123</f>
        <v>#REF!</v>
      </c>
      <c r="CW126" s="15" t="e">
        <f t="shared" si="95"/>
        <v>#REF!</v>
      </c>
      <c r="CX126" s="14">
        <f>DO126+'LPLPO GUDANG'!E129-'LPLPO GUDANG'!G129</f>
        <v>0</v>
      </c>
      <c r="CY126" s="15">
        <f t="shared" si="96"/>
        <v>0</v>
      </c>
      <c r="CZ126" s="28"/>
      <c r="DA126" s="14">
        <v>125</v>
      </c>
      <c r="DB126" s="14">
        <v>0</v>
      </c>
      <c r="DC126" s="14">
        <v>40</v>
      </c>
      <c r="DD126" s="14">
        <v>90</v>
      </c>
      <c r="DE126" s="14">
        <v>150</v>
      </c>
      <c r="DF126" s="14">
        <v>70</v>
      </c>
      <c r="DG126" s="14">
        <v>20</v>
      </c>
      <c r="DH126" s="14">
        <v>0</v>
      </c>
      <c r="DI126" s="14">
        <v>100</v>
      </c>
      <c r="DJ126" s="14">
        <v>0</v>
      </c>
      <c r="DK126" s="14">
        <v>0</v>
      </c>
      <c r="DL126" s="14">
        <v>0</v>
      </c>
      <c r="DM126" s="14">
        <v>0</v>
      </c>
      <c r="DN126" s="14">
        <v>0</v>
      </c>
      <c r="DO126" s="14">
        <v>0</v>
      </c>
      <c r="DP126" s="13">
        <f t="shared" si="97"/>
        <v>595</v>
      </c>
      <c r="DR126" t="s">
        <v>98</v>
      </c>
      <c r="DU126" s="20" t="e">
        <f t="shared" si="98"/>
        <v>#REF!</v>
      </c>
    </row>
    <row r="127" spans="1:125" customFormat="1" ht="20.149999999999999" customHeight="1" x14ac:dyDescent="0.35">
      <c r="A127" s="84">
        <f t="shared" si="99"/>
        <v>116</v>
      </c>
      <c r="B127" s="142" t="s">
        <v>99</v>
      </c>
      <c r="C127" s="157" t="s">
        <v>327</v>
      </c>
      <c r="D127" s="109">
        <v>0</v>
      </c>
      <c r="E127" s="110">
        <f>'LPLPO GUDANG'!E130</f>
        <v>0</v>
      </c>
      <c r="F127" s="110">
        <f t="shared" si="50"/>
        <v>0</v>
      </c>
      <c r="G127" s="110">
        <f>'PEMAKAIAN UNIT'!R124</f>
        <v>0</v>
      </c>
      <c r="H127" s="14">
        <v>0</v>
      </c>
      <c r="I127" s="14">
        <v>0</v>
      </c>
      <c r="J127" s="14">
        <v>0</v>
      </c>
      <c r="K127" s="14"/>
      <c r="L127" s="14"/>
      <c r="M127" s="14"/>
      <c r="N127" s="14"/>
      <c r="O127" s="14"/>
      <c r="P127" s="14"/>
      <c r="Q127" s="14"/>
      <c r="R127" s="14"/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09">
        <f t="shared" si="51"/>
        <v>0</v>
      </c>
      <c r="Z127" s="109" t="e">
        <f t="shared" si="52"/>
        <v>#REF!</v>
      </c>
      <c r="AA127" s="109" t="e">
        <f t="shared" si="53"/>
        <v>#REF!</v>
      </c>
      <c r="AB127" s="14">
        <v>460</v>
      </c>
      <c r="AC127" s="109" t="e">
        <f t="shared" si="54"/>
        <v>#REF!</v>
      </c>
      <c r="AD127" s="109">
        <f>'LPLPO GUDANG'!H130</f>
        <v>900</v>
      </c>
      <c r="AE127" s="111" t="e">
        <f t="shared" si="55"/>
        <v>#REF!</v>
      </c>
      <c r="AF127" s="212"/>
      <c r="AG127" s="212"/>
      <c r="AH127" s="20"/>
      <c r="AI127" s="14">
        <f t="shared" si="56"/>
        <v>0</v>
      </c>
      <c r="AJ127" s="209" t="e">
        <f t="shared" si="57"/>
        <v>#REF!</v>
      </c>
      <c r="AL127" s="14">
        <f t="shared" si="58"/>
        <v>0</v>
      </c>
      <c r="AM127" s="14">
        <f>DISTRIBUSI!D125</f>
        <v>0</v>
      </c>
      <c r="AN127" s="14">
        <f>'PEMAKAIAN UNIT'!D124</f>
        <v>0</v>
      </c>
      <c r="AO127" s="14">
        <f t="shared" si="59"/>
        <v>0</v>
      </c>
      <c r="AP127" s="15">
        <f t="shared" si="60"/>
        <v>0</v>
      </c>
      <c r="AQ127" s="14">
        <f t="shared" si="61"/>
        <v>0</v>
      </c>
      <c r="AR127" s="14">
        <f>DISTRIBUSI!E125</f>
        <v>0</v>
      </c>
      <c r="AS127" s="14">
        <f>'PEMAKAIAN UNIT'!E124</f>
        <v>0</v>
      </c>
      <c r="AT127" s="14">
        <f t="shared" si="62"/>
        <v>0</v>
      </c>
      <c r="AU127" s="15">
        <f t="shared" si="63"/>
        <v>0</v>
      </c>
      <c r="AV127" s="14">
        <f t="shared" si="64"/>
        <v>0</v>
      </c>
      <c r="AW127" s="14">
        <f>DISTRIBUSI!F125</f>
        <v>0</v>
      </c>
      <c r="AX127" s="14">
        <f>'PEMAKAIAN UNIT'!F124</f>
        <v>0</v>
      </c>
      <c r="AY127" s="14">
        <f t="shared" si="65"/>
        <v>0</v>
      </c>
      <c r="AZ127" s="15">
        <f t="shared" si="66"/>
        <v>0</v>
      </c>
      <c r="BA127" s="14">
        <f t="shared" si="67"/>
        <v>0</v>
      </c>
      <c r="BB127" s="14">
        <f>DISTRIBUSI!G125</f>
        <v>0</v>
      </c>
      <c r="BC127" s="14">
        <f>'PEMAKAIAN UNIT'!G124</f>
        <v>0</v>
      </c>
      <c r="BD127" s="14">
        <f t="shared" si="68"/>
        <v>0</v>
      </c>
      <c r="BE127" s="15">
        <f t="shared" si="69"/>
        <v>0</v>
      </c>
      <c r="BF127" s="14">
        <f t="shared" si="70"/>
        <v>0</v>
      </c>
      <c r="BG127" s="14">
        <f>DISTRIBUSI!H125</f>
        <v>0</v>
      </c>
      <c r="BH127" s="14">
        <f>'PEMAKAIAN UNIT'!H124</f>
        <v>0</v>
      </c>
      <c r="BI127" s="14">
        <f t="shared" si="71"/>
        <v>0</v>
      </c>
      <c r="BJ127" s="15">
        <f t="shared" si="72"/>
        <v>0</v>
      </c>
      <c r="BK127" s="14">
        <f t="shared" si="73"/>
        <v>0</v>
      </c>
      <c r="BL127" s="14">
        <f>DISTRIBUSI!I125</f>
        <v>0</v>
      </c>
      <c r="BM127" s="14">
        <f>'PEMAKAIAN UNIT'!I124</f>
        <v>0</v>
      </c>
      <c r="BN127" s="14">
        <f t="shared" si="74"/>
        <v>0</v>
      </c>
      <c r="BO127" s="15">
        <f t="shared" si="75"/>
        <v>0</v>
      </c>
      <c r="BP127" s="14">
        <f t="shared" si="76"/>
        <v>0</v>
      </c>
      <c r="BQ127" s="14">
        <f>DISTRIBUSI!J125</f>
        <v>0</v>
      </c>
      <c r="BR127" s="14">
        <f>'PEMAKAIAN UNIT'!J124</f>
        <v>0</v>
      </c>
      <c r="BS127" s="14">
        <f t="shared" si="77"/>
        <v>0</v>
      </c>
      <c r="BT127" s="15">
        <f t="shared" si="78"/>
        <v>0</v>
      </c>
      <c r="BU127" s="14">
        <f t="shared" si="79"/>
        <v>0</v>
      </c>
      <c r="BV127" s="14">
        <f>DISTRIBUSI!K125</f>
        <v>0</v>
      </c>
      <c r="BW127" s="14">
        <f>'PEMAKAIAN UNIT'!K124</f>
        <v>0</v>
      </c>
      <c r="BX127" s="14">
        <f t="shared" si="80"/>
        <v>0</v>
      </c>
      <c r="BY127" s="15">
        <f t="shared" si="81"/>
        <v>0</v>
      </c>
      <c r="BZ127" s="14">
        <f t="shared" si="82"/>
        <v>0</v>
      </c>
      <c r="CA127" s="14">
        <f>DISTRIBUSI!L125</f>
        <v>0</v>
      </c>
      <c r="CB127" s="14">
        <f>'PEMAKAIAN UNIT'!L124</f>
        <v>0</v>
      </c>
      <c r="CC127" s="14">
        <f t="shared" si="83"/>
        <v>0</v>
      </c>
      <c r="CD127" s="15">
        <f t="shared" si="84"/>
        <v>0</v>
      </c>
      <c r="CE127" s="14">
        <f t="shared" si="85"/>
        <v>0</v>
      </c>
      <c r="CF127" s="14">
        <f>DISTRIBUSI!M125</f>
        <v>0</v>
      </c>
      <c r="CG127" s="14">
        <f>'PEMAKAIAN UNIT'!M124</f>
        <v>0</v>
      </c>
      <c r="CH127" s="14">
        <f t="shared" si="86"/>
        <v>0</v>
      </c>
      <c r="CI127" s="15">
        <f t="shared" si="87"/>
        <v>0</v>
      </c>
      <c r="CJ127" s="14">
        <f t="shared" si="88"/>
        <v>0</v>
      </c>
      <c r="CK127" s="14" t="e">
        <f>DISTRIBUSI!#REF!</f>
        <v>#REF!</v>
      </c>
      <c r="CL127" s="14">
        <f>'PEMAKAIAN UNIT'!N124</f>
        <v>0</v>
      </c>
      <c r="CM127" s="14" t="e">
        <f t="shared" si="89"/>
        <v>#REF!</v>
      </c>
      <c r="CN127" s="15" t="e">
        <f t="shared" si="90"/>
        <v>#REF!</v>
      </c>
      <c r="CO127" s="14" t="e">
        <f>DL127+DISTRIBUSI!#REF!-'PEMAKAIAN UNIT'!O124</f>
        <v>#REF!</v>
      </c>
      <c r="CP127" s="15" t="e">
        <f t="shared" si="91"/>
        <v>#REF!</v>
      </c>
      <c r="CQ127" s="226">
        <f t="shared" si="92"/>
        <v>660</v>
      </c>
      <c r="CR127" s="226">
        <f>DISTRIBUSI!R125</f>
        <v>0</v>
      </c>
      <c r="CS127" s="226">
        <f>'PEMAKAIAN UNIT'!P124</f>
        <v>0</v>
      </c>
      <c r="CT127" s="14">
        <f t="shared" si="93"/>
        <v>660</v>
      </c>
      <c r="CU127" s="15">
        <f t="shared" si="94"/>
        <v>200</v>
      </c>
      <c r="CV127" s="14" t="e">
        <f>DN127+DISTRIBUSI!#REF!-'PEMAKAIAN UNIT'!Q124</f>
        <v>#REF!</v>
      </c>
      <c r="CW127" s="15" t="e">
        <f t="shared" si="95"/>
        <v>#REF!</v>
      </c>
      <c r="CX127" s="14">
        <f>DO127+'LPLPO GUDANG'!E130-'LPLPO GUDANG'!G130</f>
        <v>400</v>
      </c>
      <c r="CY127" s="15">
        <f t="shared" si="96"/>
        <v>-500</v>
      </c>
      <c r="CZ127" s="28"/>
      <c r="DA127" s="14">
        <v>0</v>
      </c>
      <c r="DB127" s="14"/>
      <c r="DC127" s="14">
        <v>0</v>
      </c>
      <c r="DD127" s="14">
        <v>0</v>
      </c>
      <c r="DE127" s="14">
        <v>0</v>
      </c>
      <c r="DF127" s="14"/>
      <c r="DG127" s="14">
        <v>0</v>
      </c>
      <c r="DH127" s="14">
        <v>0</v>
      </c>
      <c r="DI127" s="14">
        <v>0</v>
      </c>
      <c r="DJ127" s="14">
        <v>0</v>
      </c>
      <c r="DK127" s="14">
        <v>0</v>
      </c>
      <c r="DL127" s="14">
        <v>500</v>
      </c>
      <c r="DM127" s="14">
        <v>660</v>
      </c>
      <c r="DN127" s="14">
        <v>0</v>
      </c>
      <c r="DO127" s="14">
        <v>500</v>
      </c>
      <c r="DP127" s="13">
        <f t="shared" si="97"/>
        <v>1660</v>
      </c>
      <c r="DR127" t="s">
        <v>99</v>
      </c>
      <c r="DU127" s="20" t="e">
        <f t="shared" si="98"/>
        <v>#REF!</v>
      </c>
    </row>
    <row r="128" spans="1:125" customFormat="1" ht="20.149999999999999" customHeight="1" x14ac:dyDescent="0.5">
      <c r="A128" s="84">
        <f t="shared" si="99"/>
        <v>117</v>
      </c>
      <c r="B128" s="93" t="s">
        <v>424</v>
      </c>
      <c r="C128" s="157"/>
      <c r="D128" s="109">
        <v>0</v>
      </c>
      <c r="E128" s="110">
        <f>'LPLPO GUDANG'!E131</f>
        <v>0</v>
      </c>
      <c r="F128" s="110">
        <f t="shared" si="50"/>
        <v>0</v>
      </c>
      <c r="G128" s="110">
        <f>'PEMAKAIAN UNIT'!R125</f>
        <v>0</v>
      </c>
      <c r="H128" s="14">
        <v>0</v>
      </c>
      <c r="I128" s="14">
        <v>0</v>
      </c>
      <c r="J128" s="14">
        <v>0</v>
      </c>
      <c r="K128" s="14"/>
      <c r="L128" s="14"/>
      <c r="M128" s="14"/>
      <c r="N128" s="14"/>
      <c r="O128" s="14"/>
      <c r="P128" s="14"/>
      <c r="Q128" s="14"/>
      <c r="R128" s="14"/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09">
        <f t="shared" si="51"/>
        <v>0</v>
      </c>
      <c r="Z128" s="109" t="e">
        <f t="shared" si="52"/>
        <v>#REF!</v>
      </c>
      <c r="AA128" s="109" t="e">
        <f t="shared" si="53"/>
        <v>#REF!</v>
      </c>
      <c r="AB128" s="14">
        <v>0</v>
      </c>
      <c r="AC128" s="109" t="e">
        <f t="shared" si="54"/>
        <v>#REF!</v>
      </c>
      <c r="AD128" s="109">
        <f>'LPLPO GUDANG'!H131</f>
        <v>0</v>
      </c>
      <c r="AE128" s="111" t="e">
        <f t="shared" si="55"/>
        <v>#REF!</v>
      </c>
      <c r="AF128" s="212"/>
      <c r="AG128" s="212"/>
      <c r="AH128" s="20"/>
      <c r="AI128" s="14">
        <f t="shared" si="56"/>
        <v>0</v>
      </c>
      <c r="AJ128" s="209" t="e">
        <f t="shared" si="57"/>
        <v>#REF!</v>
      </c>
      <c r="AL128" s="14">
        <f t="shared" si="58"/>
        <v>0</v>
      </c>
      <c r="AM128" s="14">
        <f>DISTRIBUSI!D126</f>
        <v>0</v>
      </c>
      <c r="AN128" s="14">
        <f>'PEMAKAIAN UNIT'!D125</f>
        <v>0</v>
      </c>
      <c r="AO128" s="14">
        <f t="shared" si="59"/>
        <v>0</v>
      </c>
      <c r="AP128" s="15">
        <f t="shared" si="60"/>
        <v>0</v>
      </c>
      <c r="AQ128" s="14">
        <f t="shared" si="61"/>
        <v>0</v>
      </c>
      <c r="AR128" s="14">
        <f>DISTRIBUSI!E126</f>
        <v>0</v>
      </c>
      <c r="AS128" s="14">
        <f>'PEMAKAIAN UNIT'!E125</f>
        <v>0</v>
      </c>
      <c r="AT128" s="14">
        <f t="shared" si="62"/>
        <v>0</v>
      </c>
      <c r="AU128" s="15">
        <f t="shared" si="63"/>
        <v>0</v>
      </c>
      <c r="AV128" s="14">
        <f t="shared" si="64"/>
        <v>0</v>
      </c>
      <c r="AW128" s="14">
        <f>DISTRIBUSI!F126</f>
        <v>0</v>
      </c>
      <c r="AX128" s="14">
        <f>'PEMAKAIAN UNIT'!F125</f>
        <v>0</v>
      </c>
      <c r="AY128" s="14">
        <f t="shared" si="65"/>
        <v>0</v>
      </c>
      <c r="AZ128" s="15">
        <f t="shared" si="66"/>
        <v>0</v>
      </c>
      <c r="BA128" s="14">
        <f t="shared" si="67"/>
        <v>0</v>
      </c>
      <c r="BB128" s="14">
        <f>DISTRIBUSI!G126</f>
        <v>0</v>
      </c>
      <c r="BC128" s="14">
        <f>'PEMAKAIAN UNIT'!G125</f>
        <v>0</v>
      </c>
      <c r="BD128" s="14">
        <f t="shared" si="68"/>
        <v>0</v>
      </c>
      <c r="BE128" s="15">
        <f t="shared" si="69"/>
        <v>0</v>
      </c>
      <c r="BF128" s="14">
        <f t="shared" si="70"/>
        <v>0</v>
      </c>
      <c r="BG128" s="14">
        <f>DISTRIBUSI!H126</f>
        <v>0</v>
      </c>
      <c r="BH128" s="14">
        <f>'PEMAKAIAN UNIT'!H125</f>
        <v>0</v>
      </c>
      <c r="BI128" s="14">
        <f t="shared" si="71"/>
        <v>0</v>
      </c>
      <c r="BJ128" s="15">
        <f t="shared" si="72"/>
        <v>0</v>
      </c>
      <c r="BK128" s="14">
        <f t="shared" si="73"/>
        <v>0</v>
      </c>
      <c r="BL128" s="14">
        <f>DISTRIBUSI!I126</f>
        <v>0</v>
      </c>
      <c r="BM128" s="14">
        <f>'PEMAKAIAN UNIT'!I125</f>
        <v>0</v>
      </c>
      <c r="BN128" s="14">
        <f t="shared" si="74"/>
        <v>0</v>
      </c>
      <c r="BO128" s="15">
        <f t="shared" si="75"/>
        <v>0</v>
      </c>
      <c r="BP128" s="14">
        <f t="shared" si="76"/>
        <v>0</v>
      </c>
      <c r="BQ128" s="14">
        <f>DISTRIBUSI!J126</f>
        <v>0</v>
      </c>
      <c r="BR128" s="14">
        <f>'PEMAKAIAN UNIT'!J125</f>
        <v>0</v>
      </c>
      <c r="BS128" s="14">
        <f t="shared" si="77"/>
        <v>0</v>
      </c>
      <c r="BT128" s="15">
        <f t="shared" si="78"/>
        <v>0</v>
      </c>
      <c r="BU128" s="14">
        <f t="shared" si="79"/>
        <v>0</v>
      </c>
      <c r="BV128" s="14">
        <f>DISTRIBUSI!K126</f>
        <v>0</v>
      </c>
      <c r="BW128" s="14">
        <f>'PEMAKAIAN UNIT'!K125</f>
        <v>0</v>
      </c>
      <c r="BX128" s="14">
        <f t="shared" si="80"/>
        <v>0</v>
      </c>
      <c r="BY128" s="15">
        <f t="shared" si="81"/>
        <v>0</v>
      </c>
      <c r="BZ128" s="14">
        <f t="shared" si="82"/>
        <v>0</v>
      </c>
      <c r="CA128" s="14">
        <f>DISTRIBUSI!L126</f>
        <v>0</v>
      </c>
      <c r="CB128" s="14">
        <f>'PEMAKAIAN UNIT'!L125</f>
        <v>0</v>
      </c>
      <c r="CC128" s="14">
        <f t="shared" si="83"/>
        <v>0</v>
      </c>
      <c r="CD128" s="15">
        <f t="shared" si="84"/>
        <v>0</v>
      </c>
      <c r="CE128" s="14">
        <f t="shared" si="85"/>
        <v>0</v>
      </c>
      <c r="CF128" s="14">
        <f>DISTRIBUSI!M126</f>
        <v>0</v>
      </c>
      <c r="CG128" s="14">
        <f>'PEMAKAIAN UNIT'!M125</f>
        <v>0</v>
      </c>
      <c r="CH128" s="14">
        <f t="shared" si="86"/>
        <v>0</v>
      </c>
      <c r="CI128" s="15">
        <f t="shared" si="87"/>
        <v>0</v>
      </c>
      <c r="CJ128" s="14">
        <f t="shared" si="88"/>
        <v>0</v>
      </c>
      <c r="CK128" s="14" t="e">
        <f>DISTRIBUSI!#REF!</f>
        <v>#REF!</v>
      </c>
      <c r="CL128" s="14">
        <f>'PEMAKAIAN UNIT'!N125</f>
        <v>0</v>
      </c>
      <c r="CM128" s="14" t="e">
        <f t="shared" si="89"/>
        <v>#REF!</v>
      </c>
      <c r="CN128" s="15" t="e">
        <f t="shared" si="90"/>
        <v>#REF!</v>
      </c>
      <c r="CO128" s="14" t="e">
        <f>DL128+DISTRIBUSI!#REF!-'PEMAKAIAN UNIT'!O125</f>
        <v>#REF!</v>
      </c>
      <c r="CP128" s="15" t="e">
        <f t="shared" si="91"/>
        <v>#REF!</v>
      </c>
      <c r="CQ128" s="226">
        <f t="shared" si="92"/>
        <v>0</v>
      </c>
      <c r="CR128" s="226">
        <f>DISTRIBUSI!R126</f>
        <v>0</v>
      </c>
      <c r="CS128" s="226">
        <f>'PEMAKAIAN UNIT'!P125</f>
        <v>0</v>
      </c>
      <c r="CT128" s="14">
        <f t="shared" si="93"/>
        <v>0</v>
      </c>
      <c r="CU128" s="15">
        <f t="shared" si="94"/>
        <v>0</v>
      </c>
      <c r="CV128" s="14" t="e">
        <f>DN128+DISTRIBUSI!#REF!-'PEMAKAIAN UNIT'!Q125</f>
        <v>#REF!</v>
      </c>
      <c r="CW128" s="15" t="e">
        <f t="shared" si="95"/>
        <v>#REF!</v>
      </c>
      <c r="CX128" s="14">
        <f>DO128+'LPLPO GUDANG'!E131-'LPLPO GUDANG'!G131</f>
        <v>0</v>
      </c>
      <c r="CY128" s="15">
        <f t="shared" si="96"/>
        <v>0</v>
      </c>
      <c r="CZ128" s="28"/>
      <c r="DA128" s="14">
        <v>0</v>
      </c>
      <c r="DB128" s="14">
        <v>0</v>
      </c>
      <c r="DC128" s="14">
        <v>0</v>
      </c>
      <c r="DD128" s="14">
        <v>0</v>
      </c>
      <c r="DE128" s="14">
        <v>0</v>
      </c>
      <c r="DF128" s="14">
        <v>0</v>
      </c>
      <c r="DG128" s="14">
        <v>0</v>
      </c>
      <c r="DH128" s="14">
        <v>0</v>
      </c>
      <c r="DI128" s="14">
        <v>0</v>
      </c>
      <c r="DJ128" s="14">
        <v>0</v>
      </c>
      <c r="DK128" s="14">
        <v>0</v>
      </c>
      <c r="DL128" s="14">
        <v>0</v>
      </c>
      <c r="DM128" s="14">
        <v>0</v>
      </c>
      <c r="DN128" s="14">
        <v>0</v>
      </c>
      <c r="DO128" s="14">
        <v>0</v>
      </c>
      <c r="DP128" s="13">
        <f t="shared" si="97"/>
        <v>0</v>
      </c>
      <c r="DU128" s="20" t="e">
        <f t="shared" si="98"/>
        <v>#REF!</v>
      </c>
    </row>
    <row r="129" spans="1:125" customFormat="1" ht="20.149999999999999" customHeight="1" x14ac:dyDescent="0.35">
      <c r="A129" s="84">
        <f t="shared" si="99"/>
        <v>118</v>
      </c>
      <c r="B129" s="142" t="s">
        <v>100</v>
      </c>
      <c r="C129" s="168" t="s">
        <v>327</v>
      </c>
      <c r="D129" s="109">
        <v>0</v>
      </c>
      <c r="E129" s="110">
        <f>'LPLPO GUDANG'!E132</f>
        <v>0</v>
      </c>
      <c r="F129" s="110">
        <f t="shared" si="50"/>
        <v>0</v>
      </c>
      <c r="G129" s="110">
        <f>'PEMAKAIAN UNIT'!R126</f>
        <v>0</v>
      </c>
      <c r="H129" s="14">
        <v>130</v>
      </c>
      <c r="I129" s="14">
        <v>20</v>
      </c>
      <c r="J129" s="14">
        <v>0</v>
      </c>
      <c r="K129" s="14"/>
      <c r="L129" s="14"/>
      <c r="M129" s="14"/>
      <c r="N129" s="14"/>
      <c r="O129" s="14"/>
      <c r="P129" s="14"/>
      <c r="Q129" s="14"/>
      <c r="R129" s="14"/>
      <c r="S129" s="14">
        <v>60</v>
      </c>
      <c r="T129" s="14">
        <v>0</v>
      </c>
      <c r="U129" s="14">
        <v>150</v>
      </c>
      <c r="V129" s="14">
        <v>110</v>
      </c>
      <c r="W129" s="14">
        <v>0</v>
      </c>
      <c r="X129" s="14">
        <v>30</v>
      </c>
      <c r="Y129" s="109">
        <f t="shared" si="51"/>
        <v>0</v>
      </c>
      <c r="Z129" s="109" t="e">
        <f t="shared" si="52"/>
        <v>#REF!</v>
      </c>
      <c r="AA129" s="109" t="e">
        <f t="shared" si="53"/>
        <v>#REF!</v>
      </c>
      <c r="AB129" s="14">
        <v>1292</v>
      </c>
      <c r="AC129" s="109" t="e">
        <f t="shared" si="54"/>
        <v>#REF!</v>
      </c>
      <c r="AD129" s="109">
        <f>'LPLPO GUDANG'!H132</f>
        <v>2700</v>
      </c>
      <c r="AE129" s="111" t="e">
        <f t="shared" si="55"/>
        <v>#REF!</v>
      </c>
      <c r="AF129" s="212"/>
      <c r="AG129" s="212"/>
      <c r="AH129" s="20"/>
      <c r="AI129" s="14">
        <f t="shared" si="56"/>
        <v>0</v>
      </c>
      <c r="AJ129" s="209" t="e">
        <f t="shared" si="57"/>
        <v>#REF!</v>
      </c>
      <c r="AL129" s="14">
        <f t="shared" si="58"/>
        <v>200</v>
      </c>
      <c r="AM129" s="14">
        <f>DISTRIBUSI!D127</f>
        <v>0</v>
      </c>
      <c r="AN129" s="14">
        <f>'PEMAKAIAN UNIT'!D126</f>
        <v>0</v>
      </c>
      <c r="AO129" s="14">
        <f t="shared" si="59"/>
        <v>200</v>
      </c>
      <c r="AP129" s="15">
        <f t="shared" si="60"/>
        <v>70</v>
      </c>
      <c r="AQ129" s="14">
        <f t="shared" si="61"/>
        <v>40</v>
      </c>
      <c r="AR129" s="14">
        <f>DISTRIBUSI!E127</f>
        <v>0</v>
      </c>
      <c r="AS129" s="14">
        <f>'PEMAKAIAN UNIT'!E126</f>
        <v>0</v>
      </c>
      <c r="AT129" s="14">
        <f t="shared" si="62"/>
        <v>40</v>
      </c>
      <c r="AU129" s="15">
        <f t="shared" si="63"/>
        <v>20</v>
      </c>
      <c r="AV129" s="14">
        <f t="shared" si="64"/>
        <v>164</v>
      </c>
      <c r="AW129" s="14">
        <f>DISTRIBUSI!F127</f>
        <v>0</v>
      </c>
      <c r="AX129" s="14">
        <f>'PEMAKAIAN UNIT'!F126</f>
        <v>0</v>
      </c>
      <c r="AY129" s="14">
        <f t="shared" si="65"/>
        <v>164</v>
      </c>
      <c r="AZ129" s="15">
        <f t="shared" si="66"/>
        <v>164</v>
      </c>
      <c r="BA129" s="14">
        <f t="shared" si="67"/>
        <v>90</v>
      </c>
      <c r="BB129" s="14">
        <f>DISTRIBUSI!G127</f>
        <v>0</v>
      </c>
      <c r="BC129" s="14">
        <f>'PEMAKAIAN UNIT'!G126</f>
        <v>0</v>
      </c>
      <c r="BD129" s="14">
        <f t="shared" si="68"/>
        <v>90</v>
      </c>
      <c r="BE129" s="15">
        <f t="shared" si="69"/>
        <v>30</v>
      </c>
      <c r="BF129" s="14">
        <f t="shared" si="70"/>
        <v>140</v>
      </c>
      <c r="BG129" s="14">
        <f>DISTRIBUSI!H127</f>
        <v>100</v>
      </c>
      <c r="BH129" s="14">
        <f>'PEMAKAIAN UNIT'!H126</f>
        <v>0</v>
      </c>
      <c r="BI129" s="14">
        <f t="shared" si="71"/>
        <v>240</v>
      </c>
      <c r="BJ129" s="15">
        <f t="shared" si="72"/>
        <v>240</v>
      </c>
      <c r="BK129" s="14">
        <f t="shared" si="73"/>
        <v>190</v>
      </c>
      <c r="BL129" s="14">
        <f>DISTRIBUSI!I127</f>
        <v>0</v>
      </c>
      <c r="BM129" s="14">
        <f>'PEMAKAIAN UNIT'!I126</f>
        <v>0</v>
      </c>
      <c r="BN129" s="14">
        <f t="shared" si="74"/>
        <v>190</v>
      </c>
      <c r="BO129" s="15">
        <f t="shared" si="75"/>
        <v>40</v>
      </c>
      <c r="BP129" s="14">
        <f t="shared" si="76"/>
        <v>160</v>
      </c>
      <c r="BQ129" s="14">
        <f>DISTRIBUSI!J127</f>
        <v>0</v>
      </c>
      <c r="BR129" s="14">
        <f>'PEMAKAIAN UNIT'!J126</f>
        <v>0</v>
      </c>
      <c r="BS129" s="14">
        <f t="shared" si="77"/>
        <v>160</v>
      </c>
      <c r="BT129" s="15">
        <f t="shared" si="78"/>
        <v>50</v>
      </c>
      <c r="BU129" s="14">
        <f t="shared" si="79"/>
        <v>160</v>
      </c>
      <c r="BV129" s="14">
        <f>DISTRIBUSI!K127</f>
        <v>0</v>
      </c>
      <c r="BW129" s="14">
        <f>'PEMAKAIAN UNIT'!K126</f>
        <v>0</v>
      </c>
      <c r="BX129" s="14">
        <f t="shared" si="80"/>
        <v>160</v>
      </c>
      <c r="BY129" s="15">
        <f t="shared" si="81"/>
        <v>160</v>
      </c>
      <c r="BZ129" s="14">
        <f t="shared" si="82"/>
        <v>90</v>
      </c>
      <c r="CA129" s="14">
        <f>DISTRIBUSI!L127</f>
        <v>0</v>
      </c>
      <c r="CB129" s="14">
        <f>'PEMAKAIAN UNIT'!L126</f>
        <v>0</v>
      </c>
      <c r="CC129" s="14">
        <f t="shared" si="83"/>
        <v>90</v>
      </c>
      <c r="CD129" s="15">
        <f t="shared" si="84"/>
        <v>60</v>
      </c>
      <c r="CE129" s="14">
        <f t="shared" si="85"/>
        <v>0</v>
      </c>
      <c r="CF129" s="14">
        <f>DISTRIBUSI!M127</f>
        <v>0</v>
      </c>
      <c r="CG129" s="14">
        <f>'PEMAKAIAN UNIT'!M126</f>
        <v>0</v>
      </c>
      <c r="CH129" s="14">
        <f t="shared" si="86"/>
        <v>0</v>
      </c>
      <c r="CI129" s="15">
        <f t="shared" si="87"/>
        <v>0</v>
      </c>
      <c r="CJ129" s="14">
        <f t="shared" si="88"/>
        <v>0</v>
      </c>
      <c r="CK129" s="14" t="e">
        <f>DISTRIBUSI!#REF!</f>
        <v>#REF!</v>
      </c>
      <c r="CL129" s="14">
        <f>'PEMAKAIAN UNIT'!N126</f>
        <v>0</v>
      </c>
      <c r="CM129" s="14" t="e">
        <f t="shared" si="89"/>
        <v>#REF!</v>
      </c>
      <c r="CN129" s="15" t="e">
        <f t="shared" si="90"/>
        <v>#REF!</v>
      </c>
      <c r="CO129" s="14" t="e">
        <f>DL129+DISTRIBUSI!#REF!-'PEMAKAIAN UNIT'!O126</f>
        <v>#REF!</v>
      </c>
      <c r="CP129" s="15" t="e">
        <f t="shared" si="91"/>
        <v>#REF!</v>
      </c>
      <c r="CQ129" s="226">
        <f t="shared" si="92"/>
        <v>573</v>
      </c>
      <c r="CR129" s="226">
        <f>DISTRIBUSI!R127</f>
        <v>0</v>
      </c>
      <c r="CS129" s="226">
        <f>'PEMAKAIAN UNIT'!P126</f>
        <v>0</v>
      </c>
      <c r="CT129" s="14">
        <f t="shared" si="93"/>
        <v>573</v>
      </c>
      <c r="CU129" s="15">
        <f t="shared" si="94"/>
        <v>-719</v>
      </c>
      <c r="CV129" s="14" t="e">
        <f>DN129+DISTRIBUSI!#REF!-'PEMAKAIAN UNIT'!Q126</f>
        <v>#REF!</v>
      </c>
      <c r="CW129" s="15" t="e">
        <f t="shared" si="95"/>
        <v>#REF!</v>
      </c>
      <c r="CX129" s="14">
        <f>DO129+'LPLPO GUDANG'!E132-'LPLPO GUDANG'!G132</f>
        <v>1000</v>
      </c>
      <c r="CY129" s="15">
        <f t="shared" si="96"/>
        <v>-1700</v>
      </c>
      <c r="CZ129" s="28"/>
      <c r="DA129" s="14">
        <v>200</v>
      </c>
      <c r="DB129" s="14">
        <v>40</v>
      </c>
      <c r="DC129" s="14">
        <v>164</v>
      </c>
      <c r="DD129" s="14">
        <v>90</v>
      </c>
      <c r="DE129" s="14">
        <v>140</v>
      </c>
      <c r="DF129" s="14">
        <v>190</v>
      </c>
      <c r="DG129" s="14">
        <v>160</v>
      </c>
      <c r="DH129" s="14">
        <v>160</v>
      </c>
      <c r="DI129" s="14">
        <v>90</v>
      </c>
      <c r="DJ129" s="14">
        <v>0</v>
      </c>
      <c r="DK129" s="14">
        <v>0</v>
      </c>
      <c r="DL129" s="14">
        <v>400</v>
      </c>
      <c r="DM129" s="14">
        <v>573</v>
      </c>
      <c r="DN129" s="14">
        <v>0</v>
      </c>
      <c r="DO129" s="14">
        <v>1100</v>
      </c>
      <c r="DP129" s="13">
        <f t="shared" si="97"/>
        <v>3307</v>
      </c>
      <c r="DR129" t="s">
        <v>100</v>
      </c>
      <c r="DU129" s="20" t="e">
        <f t="shared" si="98"/>
        <v>#REF!</v>
      </c>
    </row>
    <row r="130" spans="1:125" customFormat="1" ht="20.149999999999999" customHeight="1" x14ac:dyDescent="0.35">
      <c r="A130" s="84">
        <f t="shared" si="99"/>
        <v>119</v>
      </c>
      <c r="B130" s="142" t="s">
        <v>258</v>
      </c>
      <c r="C130" s="161" t="s">
        <v>352</v>
      </c>
      <c r="D130" s="109">
        <v>0</v>
      </c>
      <c r="E130" s="110">
        <f>'LPLPO GUDANG'!E133</f>
        <v>0</v>
      </c>
      <c r="F130" s="110">
        <f t="shared" si="50"/>
        <v>0</v>
      </c>
      <c r="G130" s="110">
        <f>'PEMAKAIAN UNIT'!R127</f>
        <v>0</v>
      </c>
      <c r="H130" s="14">
        <v>0</v>
      </c>
      <c r="I130" s="14">
        <v>0</v>
      </c>
      <c r="J130" s="14">
        <v>0</v>
      </c>
      <c r="K130" s="14"/>
      <c r="L130" s="14"/>
      <c r="M130" s="14"/>
      <c r="N130" s="14"/>
      <c r="O130" s="14"/>
      <c r="P130" s="14"/>
      <c r="Q130" s="14"/>
      <c r="R130" s="14"/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09">
        <f t="shared" si="51"/>
        <v>0</v>
      </c>
      <c r="Z130" s="109" t="e">
        <f t="shared" si="52"/>
        <v>#REF!</v>
      </c>
      <c r="AA130" s="109" t="e">
        <f t="shared" si="53"/>
        <v>#REF!</v>
      </c>
      <c r="AB130" s="14">
        <v>115</v>
      </c>
      <c r="AC130" s="109" t="e">
        <f t="shared" si="54"/>
        <v>#REF!</v>
      </c>
      <c r="AD130" s="109">
        <f>'LPLPO GUDANG'!H133</f>
        <v>0</v>
      </c>
      <c r="AE130" s="111" t="e">
        <f t="shared" si="55"/>
        <v>#REF!</v>
      </c>
      <c r="AF130" s="212"/>
      <c r="AG130" s="212"/>
      <c r="AH130" s="20"/>
      <c r="AI130" s="14">
        <f t="shared" si="56"/>
        <v>0</v>
      </c>
      <c r="AJ130" s="209" t="e">
        <f t="shared" si="57"/>
        <v>#REF!</v>
      </c>
      <c r="AL130" s="14">
        <f t="shared" si="58"/>
        <v>0</v>
      </c>
      <c r="AM130" s="14">
        <f>DISTRIBUSI!D128</f>
        <v>0</v>
      </c>
      <c r="AN130" s="14">
        <f>'PEMAKAIAN UNIT'!D127</f>
        <v>0</v>
      </c>
      <c r="AO130" s="14">
        <f t="shared" si="59"/>
        <v>0</v>
      </c>
      <c r="AP130" s="15">
        <f t="shared" si="60"/>
        <v>0</v>
      </c>
      <c r="AQ130" s="14">
        <f t="shared" si="61"/>
        <v>0</v>
      </c>
      <c r="AR130" s="14">
        <f>DISTRIBUSI!E128</f>
        <v>0</v>
      </c>
      <c r="AS130" s="14">
        <f>'PEMAKAIAN UNIT'!E127</f>
        <v>0</v>
      </c>
      <c r="AT130" s="14">
        <f t="shared" si="62"/>
        <v>0</v>
      </c>
      <c r="AU130" s="15">
        <f t="shared" si="63"/>
        <v>0</v>
      </c>
      <c r="AV130" s="14">
        <f t="shared" si="64"/>
        <v>0</v>
      </c>
      <c r="AW130" s="14">
        <f>DISTRIBUSI!F128</f>
        <v>0</v>
      </c>
      <c r="AX130" s="14">
        <f>'PEMAKAIAN UNIT'!F127</f>
        <v>0</v>
      </c>
      <c r="AY130" s="14">
        <f t="shared" si="65"/>
        <v>0</v>
      </c>
      <c r="AZ130" s="15">
        <f t="shared" si="66"/>
        <v>0</v>
      </c>
      <c r="BA130" s="14">
        <f t="shared" si="67"/>
        <v>0</v>
      </c>
      <c r="BB130" s="14">
        <f>DISTRIBUSI!G128</f>
        <v>0</v>
      </c>
      <c r="BC130" s="14">
        <f>'PEMAKAIAN UNIT'!G127</f>
        <v>0</v>
      </c>
      <c r="BD130" s="14">
        <f t="shared" si="68"/>
        <v>0</v>
      </c>
      <c r="BE130" s="15">
        <f t="shared" si="69"/>
        <v>0</v>
      </c>
      <c r="BF130" s="14">
        <f t="shared" si="70"/>
        <v>0</v>
      </c>
      <c r="BG130" s="14">
        <f>DISTRIBUSI!H128</f>
        <v>0</v>
      </c>
      <c r="BH130" s="14">
        <f>'PEMAKAIAN UNIT'!H127</f>
        <v>0</v>
      </c>
      <c r="BI130" s="14">
        <f t="shared" si="71"/>
        <v>0</v>
      </c>
      <c r="BJ130" s="15">
        <f t="shared" si="72"/>
        <v>0</v>
      </c>
      <c r="BK130" s="14">
        <f t="shared" si="73"/>
        <v>0</v>
      </c>
      <c r="BL130" s="14">
        <f>DISTRIBUSI!I128</f>
        <v>0</v>
      </c>
      <c r="BM130" s="14">
        <f>'PEMAKAIAN UNIT'!I127</f>
        <v>0</v>
      </c>
      <c r="BN130" s="14">
        <f t="shared" si="74"/>
        <v>0</v>
      </c>
      <c r="BO130" s="15">
        <f t="shared" si="75"/>
        <v>0</v>
      </c>
      <c r="BP130" s="14">
        <f t="shared" si="76"/>
        <v>0</v>
      </c>
      <c r="BQ130" s="14">
        <f>DISTRIBUSI!J128</f>
        <v>0</v>
      </c>
      <c r="BR130" s="14">
        <f>'PEMAKAIAN UNIT'!J127</f>
        <v>0</v>
      </c>
      <c r="BS130" s="14">
        <f t="shared" si="77"/>
        <v>0</v>
      </c>
      <c r="BT130" s="15">
        <f t="shared" si="78"/>
        <v>0</v>
      </c>
      <c r="BU130" s="14">
        <f t="shared" si="79"/>
        <v>0</v>
      </c>
      <c r="BV130" s="14">
        <f>DISTRIBUSI!K128</f>
        <v>0</v>
      </c>
      <c r="BW130" s="14">
        <f>'PEMAKAIAN UNIT'!K127</f>
        <v>0</v>
      </c>
      <c r="BX130" s="14">
        <f t="shared" si="80"/>
        <v>0</v>
      </c>
      <c r="BY130" s="15">
        <f t="shared" si="81"/>
        <v>0</v>
      </c>
      <c r="BZ130" s="14">
        <f t="shared" si="82"/>
        <v>0</v>
      </c>
      <c r="CA130" s="14">
        <f>DISTRIBUSI!L128</f>
        <v>0</v>
      </c>
      <c r="CB130" s="14">
        <f>'PEMAKAIAN UNIT'!L127</f>
        <v>0</v>
      </c>
      <c r="CC130" s="14">
        <f t="shared" si="83"/>
        <v>0</v>
      </c>
      <c r="CD130" s="15">
        <f t="shared" si="84"/>
        <v>0</v>
      </c>
      <c r="CE130" s="14">
        <f t="shared" si="85"/>
        <v>0</v>
      </c>
      <c r="CF130" s="14">
        <f>DISTRIBUSI!M128</f>
        <v>0</v>
      </c>
      <c r="CG130" s="14">
        <f>'PEMAKAIAN UNIT'!M127</f>
        <v>0</v>
      </c>
      <c r="CH130" s="14">
        <f t="shared" si="86"/>
        <v>0</v>
      </c>
      <c r="CI130" s="15">
        <f t="shared" si="87"/>
        <v>0</v>
      </c>
      <c r="CJ130" s="14">
        <f t="shared" si="88"/>
        <v>0</v>
      </c>
      <c r="CK130" s="14" t="e">
        <f>DISTRIBUSI!#REF!</f>
        <v>#REF!</v>
      </c>
      <c r="CL130" s="14">
        <f>'PEMAKAIAN UNIT'!N127</f>
        <v>0</v>
      </c>
      <c r="CM130" s="14" t="e">
        <f t="shared" si="89"/>
        <v>#REF!</v>
      </c>
      <c r="CN130" s="15" t="e">
        <f t="shared" si="90"/>
        <v>#REF!</v>
      </c>
      <c r="CO130" s="14" t="e">
        <f>DL130+DISTRIBUSI!#REF!-'PEMAKAIAN UNIT'!O127</f>
        <v>#REF!</v>
      </c>
      <c r="CP130" s="15" t="e">
        <f t="shared" si="91"/>
        <v>#REF!</v>
      </c>
      <c r="CQ130" s="226">
        <f t="shared" si="92"/>
        <v>90</v>
      </c>
      <c r="CR130" s="226">
        <f>DISTRIBUSI!R128</f>
        <v>0</v>
      </c>
      <c r="CS130" s="226">
        <f>'PEMAKAIAN UNIT'!P127</f>
        <v>0</v>
      </c>
      <c r="CT130" s="14">
        <f t="shared" si="93"/>
        <v>90</v>
      </c>
      <c r="CU130" s="15">
        <f t="shared" si="94"/>
        <v>-25</v>
      </c>
      <c r="CV130" s="14" t="e">
        <f>DN130+DISTRIBUSI!#REF!-'PEMAKAIAN UNIT'!Q127</f>
        <v>#REF!</v>
      </c>
      <c r="CW130" s="15" t="e">
        <f t="shared" si="95"/>
        <v>#REF!</v>
      </c>
      <c r="CX130" s="14">
        <f>DO130+'LPLPO GUDANG'!E133-'LPLPO GUDANG'!G133</f>
        <v>100</v>
      </c>
      <c r="CY130" s="15">
        <f t="shared" si="96"/>
        <v>100</v>
      </c>
      <c r="CZ130" s="28"/>
      <c r="DA130" s="14">
        <v>0</v>
      </c>
      <c r="DB130" s="14"/>
      <c r="DC130" s="14">
        <v>0</v>
      </c>
      <c r="DD130" s="14">
        <v>0</v>
      </c>
      <c r="DE130" s="14">
        <v>0</v>
      </c>
      <c r="DF130" s="14"/>
      <c r="DG130" s="14">
        <v>0</v>
      </c>
      <c r="DH130" s="14">
        <v>0</v>
      </c>
      <c r="DI130" s="14">
        <v>0</v>
      </c>
      <c r="DJ130" s="14">
        <v>0</v>
      </c>
      <c r="DK130" s="14">
        <v>0</v>
      </c>
      <c r="DL130" s="14">
        <v>0</v>
      </c>
      <c r="DM130" s="14">
        <v>90</v>
      </c>
      <c r="DN130" s="14">
        <v>0</v>
      </c>
      <c r="DO130" s="14">
        <v>100</v>
      </c>
      <c r="DP130" s="13">
        <f t="shared" si="97"/>
        <v>190</v>
      </c>
      <c r="DR130" t="s">
        <v>258</v>
      </c>
      <c r="DU130" s="20" t="e">
        <f t="shared" si="98"/>
        <v>#REF!</v>
      </c>
    </row>
    <row r="131" spans="1:125" customFormat="1" ht="20.149999999999999" customHeight="1" x14ac:dyDescent="0.35">
      <c r="A131" s="84">
        <f t="shared" si="99"/>
        <v>120</v>
      </c>
      <c r="B131" s="142" t="s">
        <v>101</v>
      </c>
      <c r="C131" s="155" t="s">
        <v>327</v>
      </c>
      <c r="D131" s="109">
        <v>0</v>
      </c>
      <c r="E131" s="110">
        <f>'LPLPO GUDANG'!E134</f>
        <v>0</v>
      </c>
      <c r="F131" s="110">
        <f t="shared" si="50"/>
        <v>0</v>
      </c>
      <c r="G131" s="110">
        <f>'PEMAKAIAN UNIT'!R128</f>
        <v>0</v>
      </c>
      <c r="H131" s="14">
        <v>0</v>
      </c>
      <c r="I131" s="14">
        <v>3</v>
      </c>
      <c r="J131" s="14">
        <v>0</v>
      </c>
      <c r="K131" s="14"/>
      <c r="L131" s="14"/>
      <c r="M131" s="14"/>
      <c r="N131" s="14"/>
      <c r="O131" s="14"/>
      <c r="P131" s="14"/>
      <c r="Q131" s="14"/>
      <c r="R131" s="14"/>
      <c r="S131" s="14">
        <v>0</v>
      </c>
      <c r="T131" s="14">
        <v>0</v>
      </c>
      <c r="U131" s="14">
        <v>0</v>
      </c>
      <c r="V131" s="14">
        <v>5</v>
      </c>
      <c r="W131" s="14">
        <v>0</v>
      </c>
      <c r="X131" s="14">
        <v>0</v>
      </c>
      <c r="Y131" s="109">
        <f t="shared" si="51"/>
        <v>0</v>
      </c>
      <c r="Z131" s="109" t="e">
        <f t="shared" si="52"/>
        <v>#REF!</v>
      </c>
      <c r="AA131" s="109" t="e">
        <f t="shared" si="53"/>
        <v>#REF!</v>
      </c>
      <c r="AB131" s="14">
        <v>0</v>
      </c>
      <c r="AC131" s="109" t="e">
        <f t="shared" si="54"/>
        <v>#REF!</v>
      </c>
      <c r="AD131" s="109">
        <f>'LPLPO GUDANG'!H134</f>
        <v>0</v>
      </c>
      <c r="AE131" s="111" t="e">
        <f t="shared" si="55"/>
        <v>#REF!</v>
      </c>
      <c r="AF131" s="212"/>
      <c r="AG131" s="212"/>
      <c r="AH131" s="20"/>
      <c r="AI131" s="14">
        <f t="shared" si="56"/>
        <v>0</v>
      </c>
      <c r="AJ131" s="209" t="e">
        <f t="shared" si="57"/>
        <v>#REF!</v>
      </c>
      <c r="AL131" s="14">
        <f t="shared" si="58"/>
        <v>0</v>
      </c>
      <c r="AM131" s="14">
        <f>DISTRIBUSI!D129</f>
        <v>0</v>
      </c>
      <c r="AN131" s="14">
        <f>'PEMAKAIAN UNIT'!D128</f>
        <v>0</v>
      </c>
      <c r="AO131" s="14">
        <f t="shared" si="59"/>
        <v>0</v>
      </c>
      <c r="AP131" s="15">
        <f t="shared" si="60"/>
        <v>0</v>
      </c>
      <c r="AQ131" s="14">
        <f t="shared" si="61"/>
        <v>5</v>
      </c>
      <c r="AR131" s="14">
        <f>DISTRIBUSI!E129</f>
        <v>0</v>
      </c>
      <c r="AS131" s="14">
        <f>'PEMAKAIAN UNIT'!E128</f>
        <v>0</v>
      </c>
      <c r="AT131" s="14">
        <f t="shared" si="62"/>
        <v>5</v>
      </c>
      <c r="AU131" s="15">
        <f t="shared" si="63"/>
        <v>2</v>
      </c>
      <c r="AV131" s="14">
        <f t="shared" si="64"/>
        <v>0</v>
      </c>
      <c r="AW131" s="14">
        <f>DISTRIBUSI!F129</f>
        <v>0</v>
      </c>
      <c r="AX131" s="14">
        <f>'PEMAKAIAN UNIT'!F128</f>
        <v>0</v>
      </c>
      <c r="AY131" s="14">
        <f t="shared" si="65"/>
        <v>0</v>
      </c>
      <c r="AZ131" s="15">
        <f t="shared" si="66"/>
        <v>0</v>
      </c>
      <c r="BA131" s="14">
        <f t="shared" si="67"/>
        <v>0</v>
      </c>
      <c r="BB131" s="14">
        <f>DISTRIBUSI!G129</f>
        <v>0</v>
      </c>
      <c r="BC131" s="14">
        <f>'PEMAKAIAN UNIT'!G128</f>
        <v>0</v>
      </c>
      <c r="BD131" s="14">
        <f t="shared" si="68"/>
        <v>0</v>
      </c>
      <c r="BE131" s="15">
        <f t="shared" si="69"/>
        <v>0</v>
      </c>
      <c r="BF131" s="14">
        <f t="shared" si="70"/>
        <v>80</v>
      </c>
      <c r="BG131" s="14">
        <f>DISTRIBUSI!H129</f>
        <v>0</v>
      </c>
      <c r="BH131" s="14">
        <f>'PEMAKAIAN UNIT'!H128</f>
        <v>0</v>
      </c>
      <c r="BI131" s="14">
        <f t="shared" si="71"/>
        <v>80</v>
      </c>
      <c r="BJ131" s="15">
        <f t="shared" si="72"/>
        <v>80</v>
      </c>
      <c r="BK131" s="14">
        <f t="shared" si="73"/>
        <v>0</v>
      </c>
      <c r="BL131" s="14">
        <f>DISTRIBUSI!I129</f>
        <v>0</v>
      </c>
      <c r="BM131" s="14">
        <f>'PEMAKAIAN UNIT'!I128</f>
        <v>0</v>
      </c>
      <c r="BN131" s="14">
        <f t="shared" si="74"/>
        <v>0</v>
      </c>
      <c r="BO131" s="15">
        <f t="shared" si="75"/>
        <v>0</v>
      </c>
      <c r="BP131" s="14">
        <f t="shared" si="76"/>
        <v>90</v>
      </c>
      <c r="BQ131" s="14">
        <f>DISTRIBUSI!J129</f>
        <v>0</v>
      </c>
      <c r="BR131" s="14">
        <f>'PEMAKAIAN UNIT'!J128</f>
        <v>0</v>
      </c>
      <c r="BS131" s="14">
        <f t="shared" si="77"/>
        <v>90</v>
      </c>
      <c r="BT131" s="15">
        <f t="shared" si="78"/>
        <v>85</v>
      </c>
      <c r="BU131" s="14">
        <f t="shared" si="79"/>
        <v>0</v>
      </c>
      <c r="BV131" s="14">
        <f>DISTRIBUSI!K129</f>
        <v>0</v>
      </c>
      <c r="BW131" s="14">
        <f>'PEMAKAIAN UNIT'!K128</f>
        <v>0</v>
      </c>
      <c r="BX131" s="14">
        <f t="shared" si="80"/>
        <v>0</v>
      </c>
      <c r="BY131" s="15">
        <f t="shared" si="81"/>
        <v>0</v>
      </c>
      <c r="BZ131" s="14">
        <f t="shared" si="82"/>
        <v>0</v>
      </c>
      <c r="CA131" s="14">
        <f>DISTRIBUSI!L129</f>
        <v>0</v>
      </c>
      <c r="CB131" s="14">
        <f>'PEMAKAIAN UNIT'!L128</f>
        <v>0</v>
      </c>
      <c r="CC131" s="14">
        <f t="shared" si="83"/>
        <v>0</v>
      </c>
      <c r="CD131" s="15">
        <f t="shared" si="84"/>
        <v>0</v>
      </c>
      <c r="CE131" s="14">
        <f t="shared" si="85"/>
        <v>0</v>
      </c>
      <c r="CF131" s="14">
        <f>DISTRIBUSI!M129</f>
        <v>0</v>
      </c>
      <c r="CG131" s="14">
        <f>'PEMAKAIAN UNIT'!M128</f>
        <v>0</v>
      </c>
      <c r="CH131" s="14">
        <f t="shared" si="86"/>
        <v>0</v>
      </c>
      <c r="CI131" s="15">
        <f t="shared" si="87"/>
        <v>0</v>
      </c>
      <c r="CJ131" s="14">
        <f t="shared" si="88"/>
        <v>0</v>
      </c>
      <c r="CK131" s="14" t="e">
        <f>DISTRIBUSI!#REF!</f>
        <v>#REF!</v>
      </c>
      <c r="CL131" s="14">
        <f>'PEMAKAIAN UNIT'!N128</f>
        <v>0</v>
      </c>
      <c r="CM131" s="14" t="e">
        <f t="shared" si="89"/>
        <v>#REF!</v>
      </c>
      <c r="CN131" s="15" t="e">
        <f t="shared" si="90"/>
        <v>#REF!</v>
      </c>
      <c r="CO131" s="14" t="e">
        <f>DL131+DISTRIBUSI!#REF!-'PEMAKAIAN UNIT'!O128</f>
        <v>#REF!</v>
      </c>
      <c r="CP131" s="15" t="e">
        <f t="shared" si="91"/>
        <v>#REF!</v>
      </c>
      <c r="CQ131" s="226">
        <f t="shared" si="92"/>
        <v>0</v>
      </c>
      <c r="CR131" s="226">
        <f>DISTRIBUSI!R129</f>
        <v>0</v>
      </c>
      <c r="CS131" s="226">
        <f>'PEMAKAIAN UNIT'!P128</f>
        <v>0</v>
      </c>
      <c r="CT131" s="14">
        <f t="shared" si="93"/>
        <v>0</v>
      </c>
      <c r="CU131" s="15">
        <f t="shared" si="94"/>
        <v>0</v>
      </c>
      <c r="CV131" s="14" t="e">
        <f>DN131+DISTRIBUSI!#REF!-'PEMAKAIAN UNIT'!Q128</f>
        <v>#REF!</v>
      </c>
      <c r="CW131" s="15" t="e">
        <f t="shared" si="95"/>
        <v>#REF!</v>
      </c>
      <c r="CX131" s="14">
        <f>DO131+'LPLPO GUDANG'!E134-'LPLPO GUDANG'!G134</f>
        <v>0</v>
      </c>
      <c r="CY131" s="15">
        <f t="shared" si="96"/>
        <v>0</v>
      </c>
      <c r="CZ131" s="28"/>
      <c r="DA131" s="14"/>
      <c r="DB131" s="14">
        <v>5</v>
      </c>
      <c r="DC131" s="14">
        <v>0</v>
      </c>
      <c r="DD131" s="14">
        <v>0</v>
      </c>
      <c r="DE131" s="14">
        <v>80</v>
      </c>
      <c r="DF131" s="14"/>
      <c r="DG131" s="14">
        <v>90</v>
      </c>
      <c r="DH131" s="14">
        <v>0</v>
      </c>
      <c r="DI131" s="14">
        <v>0</v>
      </c>
      <c r="DJ131" s="14">
        <v>0</v>
      </c>
      <c r="DK131" s="14">
        <v>0</v>
      </c>
      <c r="DL131" s="14">
        <v>86</v>
      </c>
      <c r="DM131" s="14">
        <v>0</v>
      </c>
      <c r="DN131" s="14">
        <v>0</v>
      </c>
      <c r="DO131" s="14">
        <v>0</v>
      </c>
      <c r="DP131" s="13">
        <f t="shared" si="97"/>
        <v>261</v>
      </c>
      <c r="DR131" t="s">
        <v>101</v>
      </c>
      <c r="DU131" s="20" t="e">
        <f t="shared" si="98"/>
        <v>#REF!</v>
      </c>
    </row>
    <row r="132" spans="1:125" customFormat="1" ht="20.149999999999999" customHeight="1" x14ac:dyDescent="0.35">
      <c r="A132" s="84">
        <f t="shared" si="99"/>
        <v>121</v>
      </c>
      <c r="B132" s="142" t="s">
        <v>102</v>
      </c>
      <c r="C132" s="169" t="s">
        <v>327</v>
      </c>
      <c r="D132" s="109">
        <v>0</v>
      </c>
      <c r="E132" s="110">
        <f>'LPLPO GUDANG'!E135</f>
        <v>0</v>
      </c>
      <c r="F132" s="110">
        <f t="shared" si="50"/>
        <v>0</v>
      </c>
      <c r="G132" s="110">
        <f>'PEMAKAIAN UNIT'!R129</f>
        <v>0</v>
      </c>
      <c r="H132" s="14">
        <v>0</v>
      </c>
      <c r="I132" s="14">
        <v>0</v>
      </c>
      <c r="J132" s="14">
        <v>0</v>
      </c>
      <c r="K132" s="14"/>
      <c r="L132" s="14"/>
      <c r="M132" s="14"/>
      <c r="N132" s="14"/>
      <c r="O132" s="14"/>
      <c r="P132" s="14"/>
      <c r="Q132" s="14"/>
      <c r="R132" s="14"/>
      <c r="S132" s="14">
        <v>240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09">
        <f t="shared" si="51"/>
        <v>0</v>
      </c>
      <c r="Z132" s="109" t="e">
        <f t="shared" si="52"/>
        <v>#REF!</v>
      </c>
      <c r="AA132" s="109" t="e">
        <f t="shared" si="53"/>
        <v>#REF!</v>
      </c>
      <c r="AB132" s="14">
        <v>292</v>
      </c>
      <c r="AC132" s="109" t="e">
        <f t="shared" si="54"/>
        <v>#REF!</v>
      </c>
      <c r="AD132" s="109">
        <f>'LPLPO GUDANG'!H135</f>
        <v>0</v>
      </c>
      <c r="AE132" s="111" t="e">
        <f t="shared" si="55"/>
        <v>#REF!</v>
      </c>
      <c r="AF132" s="212"/>
      <c r="AG132" s="212"/>
      <c r="AH132" s="20"/>
      <c r="AI132" s="14">
        <f t="shared" si="56"/>
        <v>0</v>
      </c>
      <c r="AJ132" s="209" t="e">
        <f t="shared" si="57"/>
        <v>#REF!</v>
      </c>
      <c r="AL132" s="14">
        <f t="shared" si="58"/>
        <v>100</v>
      </c>
      <c r="AM132" s="14">
        <f>DISTRIBUSI!D130</f>
        <v>0</v>
      </c>
      <c r="AN132" s="14">
        <f>'PEMAKAIAN UNIT'!D129</f>
        <v>0</v>
      </c>
      <c r="AO132" s="14">
        <f t="shared" si="59"/>
        <v>100</v>
      </c>
      <c r="AP132" s="15">
        <f t="shared" si="60"/>
        <v>100</v>
      </c>
      <c r="AQ132" s="14">
        <f t="shared" si="61"/>
        <v>0</v>
      </c>
      <c r="AR132" s="14">
        <f>DISTRIBUSI!E130</f>
        <v>0</v>
      </c>
      <c r="AS132" s="14">
        <f>'PEMAKAIAN UNIT'!E129</f>
        <v>0</v>
      </c>
      <c r="AT132" s="14">
        <f t="shared" si="62"/>
        <v>0</v>
      </c>
      <c r="AU132" s="15">
        <f t="shared" si="63"/>
        <v>0</v>
      </c>
      <c r="AV132" s="14">
        <f t="shared" si="64"/>
        <v>100</v>
      </c>
      <c r="AW132" s="14">
        <f>DISTRIBUSI!F130</f>
        <v>0</v>
      </c>
      <c r="AX132" s="14">
        <f>'PEMAKAIAN UNIT'!F129</f>
        <v>0</v>
      </c>
      <c r="AY132" s="14">
        <f t="shared" si="65"/>
        <v>100</v>
      </c>
      <c r="AZ132" s="15">
        <f t="shared" si="66"/>
        <v>100</v>
      </c>
      <c r="BA132" s="14">
        <f t="shared" si="67"/>
        <v>240</v>
      </c>
      <c r="BB132" s="14">
        <f>DISTRIBUSI!G130</f>
        <v>0</v>
      </c>
      <c r="BC132" s="14">
        <f>'PEMAKAIAN UNIT'!G129</f>
        <v>0</v>
      </c>
      <c r="BD132" s="14">
        <f t="shared" si="68"/>
        <v>240</v>
      </c>
      <c r="BE132" s="15">
        <f t="shared" si="69"/>
        <v>0</v>
      </c>
      <c r="BF132" s="14">
        <f t="shared" si="70"/>
        <v>0</v>
      </c>
      <c r="BG132" s="14">
        <f>DISTRIBUSI!H130</f>
        <v>0</v>
      </c>
      <c r="BH132" s="14">
        <f>'PEMAKAIAN UNIT'!H129</f>
        <v>0</v>
      </c>
      <c r="BI132" s="14">
        <f t="shared" si="71"/>
        <v>0</v>
      </c>
      <c r="BJ132" s="15">
        <f t="shared" si="72"/>
        <v>0</v>
      </c>
      <c r="BK132" s="14">
        <f t="shared" si="73"/>
        <v>0</v>
      </c>
      <c r="BL132" s="14">
        <f>DISTRIBUSI!I130</f>
        <v>0</v>
      </c>
      <c r="BM132" s="14">
        <f>'PEMAKAIAN UNIT'!I129</f>
        <v>0</v>
      </c>
      <c r="BN132" s="14">
        <f t="shared" si="74"/>
        <v>0</v>
      </c>
      <c r="BO132" s="15">
        <f t="shared" si="75"/>
        <v>0</v>
      </c>
      <c r="BP132" s="14">
        <f t="shared" si="76"/>
        <v>0</v>
      </c>
      <c r="BQ132" s="14">
        <f>DISTRIBUSI!J130</f>
        <v>0</v>
      </c>
      <c r="BR132" s="14">
        <f>'PEMAKAIAN UNIT'!J129</f>
        <v>0</v>
      </c>
      <c r="BS132" s="14">
        <f t="shared" si="77"/>
        <v>0</v>
      </c>
      <c r="BT132" s="15">
        <f t="shared" si="78"/>
        <v>0</v>
      </c>
      <c r="BU132" s="14">
        <f t="shared" si="79"/>
        <v>50</v>
      </c>
      <c r="BV132" s="14">
        <f>DISTRIBUSI!K130</f>
        <v>0</v>
      </c>
      <c r="BW132" s="14">
        <f>'PEMAKAIAN UNIT'!K129</f>
        <v>0</v>
      </c>
      <c r="BX132" s="14">
        <f t="shared" si="80"/>
        <v>50</v>
      </c>
      <c r="BY132" s="15">
        <f t="shared" si="81"/>
        <v>50</v>
      </c>
      <c r="BZ132" s="14">
        <f t="shared" si="82"/>
        <v>0</v>
      </c>
      <c r="CA132" s="14">
        <f>DISTRIBUSI!L130</f>
        <v>0</v>
      </c>
      <c r="CB132" s="14">
        <f>'PEMAKAIAN UNIT'!L129</f>
        <v>0</v>
      </c>
      <c r="CC132" s="14">
        <f t="shared" si="83"/>
        <v>0</v>
      </c>
      <c r="CD132" s="15">
        <f t="shared" si="84"/>
        <v>0</v>
      </c>
      <c r="CE132" s="14">
        <f t="shared" si="85"/>
        <v>0</v>
      </c>
      <c r="CF132" s="14">
        <f>DISTRIBUSI!M130</f>
        <v>0</v>
      </c>
      <c r="CG132" s="14">
        <f>'PEMAKAIAN UNIT'!M129</f>
        <v>0</v>
      </c>
      <c r="CH132" s="14">
        <f t="shared" si="86"/>
        <v>0</v>
      </c>
      <c r="CI132" s="15">
        <f t="shared" si="87"/>
        <v>0</v>
      </c>
      <c r="CJ132" s="14">
        <f t="shared" si="88"/>
        <v>0</v>
      </c>
      <c r="CK132" s="14" t="e">
        <f>DISTRIBUSI!#REF!</f>
        <v>#REF!</v>
      </c>
      <c r="CL132" s="14">
        <f>'PEMAKAIAN UNIT'!N129</f>
        <v>0</v>
      </c>
      <c r="CM132" s="14" t="e">
        <f t="shared" si="89"/>
        <v>#REF!</v>
      </c>
      <c r="CN132" s="15" t="e">
        <f t="shared" si="90"/>
        <v>#REF!</v>
      </c>
      <c r="CO132" s="14" t="e">
        <f>DL132+DISTRIBUSI!#REF!-'PEMAKAIAN UNIT'!O129</f>
        <v>#REF!</v>
      </c>
      <c r="CP132" s="15" t="e">
        <f t="shared" si="91"/>
        <v>#REF!</v>
      </c>
      <c r="CQ132" s="226">
        <f t="shared" si="92"/>
        <v>552</v>
      </c>
      <c r="CR132" s="226">
        <f>DISTRIBUSI!R130</f>
        <v>0</v>
      </c>
      <c r="CS132" s="226">
        <f>'PEMAKAIAN UNIT'!P129</f>
        <v>0</v>
      </c>
      <c r="CT132" s="14">
        <f t="shared" si="93"/>
        <v>552</v>
      </c>
      <c r="CU132" s="15">
        <f t="shared" si="94"/>
        <v>260</v>
      </c>
      <c r="CV132" s="14" t="e">
        <f>DN132+DISTRIBUSI!#REF!-'PEMAKAIAN UNIT'!Q129</f>
        <v>#REF!</v>
      </c>
      <c r="CW132" s="15" t="e">
        <f t="shared" si="95"/>
        <v>#REF!</v>
      </c>
      <c r="CX132" s="14">
        <f>DO132+'LPLPO GUDANG'!E135-'LPLPO GUDANG'!G135</f>
        <v>0</v>
      </c>
      <c r="CY132" s="15">
        <f t="shared" si="96"/>
        <v>0</v>
      </c>
      <c r="CZ132" s="28"/>
      <c r="DA132" s="14">
        <v>100</v>
      </c>
      <c r="DB132" s="14"/>
      <c r="DC132" s="14">
        <v>100</v>
      </c>
      <c r="DD132" s="14">
        <v>240</v>
      </c>
      <c r="DE132" s="14">
        <v>0</v>
      </c>
      <c r="DF132" s="14"/>
      <c r="DG132" s="14">
        <v>0</v>
      </c>
      <c r="DH132" s="14">
        <v>50</v>
      </c>
      <c r="DI132" s="14">
        <v>0</v>
      </c>
      <c r="DJ132" s="14">
        <v>0</v>
      </c>
      <c r="DK132" s="14">
        <v>0</v>
      </c>
      <c r="DL132" s="14">
        <v>0</v>
      </c>
      <c r="DM132" s="14">
        <v>552</v>
      </c>
      <c r="DN132" s="14">
        <v>0</v>
      </c>
      <c r="DO132" s="14">
        <v>0</v>
      </c>
      <c r="DP132" s="13">
        <f t="shared" si="97"/>
        <v>1042</v>
      </c>
      <c r="DR132" t="s">
        <v>102</v>
      </c>
      <c r="DU132" s="20" t="e">
        <f t="shared" si="98"/>
        <v>#REF!</v>
      </c>
    </row>
    <row r="133" spans="1:125" customFormat="1" ht="20.149999999999999" customHeight="1" x14ac:dyDescent="0.35">
      <c r="A133" s="84">
        <f t="shared" si="99"/>
        <v>122</v>
      </c>
      <c r="B133" s="142" t="s">
        <v>103</v>
      </c>
      <c r="C133" s="153" t="s">
        <v>48</v>
      </c>
      <c r="D133" s="109">
        <v>0</v>
      </c>
      <c r="E133" s="110">
        <f>'LPLPO GUDANG'!E136</f>
        <v>0</v>
      </c>
      <c r="F133" s="110">
        <f t="shared" si="50"/>
        <v>0</v>
      </c>
      <c r="G133" s="110">
        <f>'PEMAKAIAN UNIT'!R130</f>
        <v>0</v>
      </c>
      <c r="H133" s="14">
        <v>0</v>
      </c>
      <c r="I133" s="14">
        <v>18</v>
      </c>
      <c r="J133" s="14">
        <v>0</v>
      </c>
      <c r="K133" s="14"/>
      <c r="L133" s="14"/>
      <c r="M133" s="14"/>
      <c r="N133" s="14"/>
      <c r="O133" s="14"/>
      <c r="P133" s="14"/>
      <c r="Q133" s="14"/>
      <c r="R133" s="14"/>
      <c r="S133" s="14">
        <v>10</v>
      </c>
      <c r="T133" s="14">
        <v>0</v>
      </c>
      <c r="U133" s="14">
        <v>2</v>
      </c>
      <c r="V133" s="14">
        <v>4</v>
      </c>
      <c r="W133" s="14">
        <v>0</v>
      </c>
      <c r="X133" s="14">
        <v>0</v>
      </c>
      <c r="Y133" s="109">
        <f t="shared" si="51"/>
        <v>0</v>
      </c>
      <c r="Z133" s="109" t="e">
        <f t="shared" si="52"/>
        <v>#REF!</v>
      </c>
      <c r="AA133" s="109" t="e">
        <f t="shared" si="53"/>
        <v>#REF!</v>
      </c>
      <c r="AB133" s="14">
        <v>19</v>
      </c>
      <c r="AC133" s="109" t="e">
        <f t="shared" si="54"/>
        <v>#REF!</v>
      </c>
      <c r="AD133" s="109">
        <f>'LPLPO GUDANG'!H136</f>
        <v>80</v>
      </c>
      <c r="AE133" s="111" t="e">
        <f t="shared" si="55"/>
        <v>#REF!</v>
      </c>
      <c r="AF133" s="212"/>
      <c r="AG133" s="212"/>
      <c r="AH133" s="20"/>
      <c r="AI133" s="14">
        <f t="shared" si="56"/>
        <v>0</v>
      </c>
      <c r="AJ133" s="209" t="e">
        <f t="shared" si="57"/>
        <v>#REF!</v>
      </c>
      <c r="AL133" s="14">
        <f t="shared" si="58"/>
        <v>0</v>
      </c>
      <c r="AM133" s="14">
        <f>DISTRIBUSI!D131</f>
        <v>0</v>
      </c>
      <c r="AN133" s="14">
        <f>'PEMAKAIAN UNIT'!D130</f>
        <v>0</v>
      </c>
      <c r="AO133" s="14">
        <f t="shared" si="59"/>
        <v>0</v>
      </c>
      <c r="AP133" s="15">
        <f t="shared" si="60"/>
        <v>0</v>
      </c>
      <c r="AQ133" s="14">
        <f t="shared" si="61"/>
        <v>18</v>
      </c>
      <c r="AR133" s="14">
        <f>DISTRIBUSI!E131</f>
        <v>0</v>
      </c>
      <c r="AS133" s="14">
        <f>'PEMAKAIAN UNIT'!E130</f>
        <v>0</v>
      </c>
      <c r="AT133" s="14">
        <f t="shared" si="62"/>
        <v>18</v>
      </c>
      <c r="AU133" s="15">
        <f t="shared" si="63"/>
        <v>0</v>
      </c>
      <c r="AV133" s="14">
        <f t="shared" si="64"/>
        <v>6</v>
      </c>
      <c r="AW133" s="14">
        <f>DISTRIBUSI!F131</f>
        <v>0</v>
      </c>
      <c r="AX133" s="14">
        <f>'PEMAKAIAN UNIT'!F130</f>
        <v>0</v>
      </c>
      <c r="AY133" s="14">
        <f t="shared" si="65"/>
        <v>6</v>
      </c>
      <c r="AZ133" s="15">
        <f t="shared" si="66"/>
        <v>6</v>
      </c>
      <c r="BA133" s="14">
        <f t="shared" si="67"/>
        <v>5</v>
      </c>
      <c r="BB133" s="14">
        <f>DISTRIBUSI!G131</f>
        <v>0</v>
      </c>
      <c r="BC133" s="14">
        <f>'PEMAKAIAN UNIT'!G130</f>
        <v>0</v>
      </c>
      <c r="BD133" s="14">
        <f t="shared" si="68"/>
        <v>5</v>
      </c>
      <c r="BE133" s="15">
        <f t="shared" si="69"/>
        <v>-5</v>
      </c>
      <c r="BF133" s="14">
        <f t="shared" si="70"/>
        <v>2</v>
      </c>
      <c r="BG133" s="14">
        <f>DISTRIBUSI!H131</f>
        <v>0</v>
      </c>
      <c r="BH133" s="14">
        <f>'PEMAKAIAN UNIT'!H130</f>
        <v>0</v>
      </c>
      <c r="BI133" s="14">
        <f t="shared" si="71"/>
        <v>2</v>
      </c>
      <c r="BJ133" s="15">
        <f t="shared" si="72"/>
        <v>2</v>
      </c>
      <c r="BK133" s="14">
        <f t="shared" si="73"/>
        <v>2</v>
      </c>
      <c r="BL133" s="14">
        <f>DISTRIBUSI!I131</f>
        <v>0</v>
      </c>
      <c r="BM133" s="14">
        <f>'PEMAKAIAN UNIT'!I130</f>
        <v>0</v>
      </c>
      <c r="BN133" s="14">
        <f t="shared" si="74"/>
        <v>2</v>
      </c>
      <c r="BO133" s="15">
        <f t="shared" si="75"/>
        <v>0</v>
      </c>
      <c r="BP133" s="14">
        <f t="shared" si="76"/>
        <v>4</v>
      </c>
      <c r="BQ133" s="14">
        <f>DISTRIBUSI!J131</f>
        <v>0</v>
      </c>
      <c r="BR133" s="14">
        <f>'PEMAKAIAN UNIT'!J130</f>
        <v>0</v>
      </c>
      <c r="BS133" s="14">
        <f t="shared" si="77"/>
        <v>4</v>
      </c>
      <c r="BT133" s="15">
        <f t="shared" si="78"/>
        <v>0</v>
      </c>
      <c r="BU133" s="14">
        <f t="shared" si="79"/>
        <v>3</v>
      </c>
      <c r="BV133" s="14">
        <f>DISTRIBUSI!K131</f>
        <v>0</v>
      </c>
      <c r="BW133" s="14">
        <f>'PEMAKAIAN UNIT'!K130</f>
        <v>0</v>
      </c>
      <c r="BX133" s="14">
        <f t="shared" si="80"/>
        <v>3</v>
      </c>
      <c r="BY133" s="15">
        <f t="shared" si="81"/>
        <v>3</v>
      </c>
      <c r="BZ133" s="14">
        <f t="shared" si="82"/>
        <v>0</v>
      </c>
      <c r="CA133" s="14">
        <f>DISTRIBUSI!L131</f>
        <v>0</v>
      </c>
      <c r="CB133" s="14">
        <f>'PEMAKAIAN UNIT'!L130</f>
        <v>0</v>
      </c>
      <c r="CC133" s="14">
        <f t="shared" si="83"/>
        <v>0</v>
      </c>
      <c r="CD133" s="15">
        <f t="shared" si="84"/>
        <v>0</v>
      </c>
      <c r="CE133" s="14">
        <f t="shared" si="85"/>
        <v>0</v>
      </c>
      <c r="CF133" s="14">
        <f>DISTRIBUSI!M131</f>
        <v>0</v>
      </c>
      <c r="CG133" s="14">
        <f>'PEMAKAIAN UNIT'!M130</f>
        <v>0</v>
      </c>
      <c r="CH133" s="14">
        <f t="shared" si="86"/>
        <v>0</v>
      </c>
      <c r="CI133" s="15">
        <f t="shared" si="87"/>
        <v>0</v>
      </c>
      <c r="CJ133" s="14">
        <f t="shared" si="88"/>
        <v>0</v>
      </c>
      <c r="CK133" s="14" t="e">
        <f>DISTRIBUSI!#REF!</f>
        <v>#REF!</v>
      </c>
      <c r="CL133" s="14">
        <f>'PEMAKAIAN UNIT'!N130</f>
        <v>0</v>
      </c>
      <c r="CM133" s="14" t="e">
        <f t="shared" si="89"/>
        <v>#REF!</v>
      </c>
      <c r="CN133" s="15" t="e">
        <f t="shared" si="90"/>
        <v>#REF!</v>
      </c>
      <c r="CO133" s="14" t="e">
        <f>DL133+DISTRIBUSI!#REF!-'PEMAKAIAN UNIT'!O130</f>
        <v>#REF!</v>
      </c>
      <c r="CP133" s="15" t="e">
        <f t="shared" si="91"/>
        <v>#REF!</v>
      </c>
      <c r="CQ133" s="226">
        <f t="shared" si="92"/>
        <v>23</v>
      </c>
      <c r="CR133" s="226">
        <f>DISTRIBUSI!R131</f>
        <v>0</v>
      </c>
      <c r="CS133" s="226">
        <f>'PEMAKAIAN UNIT'!P130</f>
        <v>0</v>
      </c>
      <c r="CT133" s="14">
        <f t="shared" si="93"/>
        <v>23</v>
      </c>
      <c r="CU133" s="15">
        <f t="shared" si="94"/>
        <v>4</v>
      </c>
      <c r="CV133" s="14" t="e">
        <f>DN133+DISTRIBUSI!#REF!-'PEMAKAIAN UNIT'!Q130</f>
        <v>#REF!</v>
      </c>
      <c r="CW133" s="15" t="e">
        <f t="shared" si="95"/>
        <v>#REF!</v>
      </c>
      <c r="CX133" s="14">
        <f>DO133+'LPLPO GUDANG'!E136-'LPLPO GUDANG'!G136</f>
        <v>75</v>
      </c>
      <c r="CY133" s="15">
        <f t="shared" si="96"/>
        <v>-5</v>
      </c>
      <c r="CZ133" s="28"/>
      <c r="DA133" s="14">
        <v>0</v>
      </c>
      <c r="DB133" s="14">
        <v>18</v>
      </c>
      <c r="DC133" s="14">
        <v>6</v>
      </c>
      <c r="DD133" s="14">
        <v>5</v>
      </c>
      <c r="DE133" s="14">
        <v>2</v>
      </c>
      <c r="DF133" s="14">
        <v>2</v>
      </c>
      <c r="DG133" s="14">
        <v>4</v>
      </c>
      <c r="DH133" s="14">
        <v>3</v>
      </c>
      <c r="DI133" s="14">
        <v>0</v>
      </c>
      <c r="DJ133" s="14">
        <v>0</v>
      </c>
      <c r="DK133" s="14">
        <v>0</v>
      </c>
      <c r="DL133" s="14">
        <v>0</v>
      </c>
      <c r="DM133" s="14">
        <v>23</v>
      </c>
      <c r="DN133" s="14">
        <v>0</v>
      </c>
      <c r="DO133" s="14">
        <v>75</v>
      </c>
      <c r="DP133" s="13">
        <f t="shared" si="97"/>
        <v>138</v>
      </c>
      <c r="DR133" t="s">
        <v>103</v>
      </c>
      <c r="DU133" s="20" t="e">
        <f t="shared" si="98"/>
        <v>#REF!</v>
      </c>
    </row>
    <row r="134" spans="1:125" customFormat="1" ht="20.149999999999999" customHeight="1" x14ac:dyDescent="0.35">
      <c r="A134" s="84">
        <f t="shared" si="99"/>
        <v>123</v>
      </c>
      <c r="B134" s="142" t="s">
        <v>107</v>
      </c>
      <c r="C134" s="154" t="s">
        <v>108</v>
      </c>
      <c r="D134" s="109">
        <v>0</v>
      </c>
      <c r="E134" s="110">
        <f>'LPLPO GUDANG'!E137</f>
        <v>0</v>
      </c>
      <c r="F134" s="110">
        <f t="shared" si="50"/>
        <v>0</v>
      </c>
      <c r="G134" s="110">
        <f>'PEMAKAIAN UNIT'!R131</f>
        <v>0</v>
      </c>
      <c r="H134" s="14">
        <v>9</v>
      </c>
      <c r="I134" s="14">
        <v>17</v>
      </c>
      <c r="J134" s="14">
        <v>0</v>
      </c>
      <c r="K134" s="14"/>
      <c r="L134" s="14"/>
      <c r="M134" s="14"/>
      <c r="N134" s="14"/>
      <c r="O134" s="14"/>
      <c r="P134" s="14"/>
      <c r="Q134" s="14"/>
      <c r="R134" s="14"/>
      <c r="S134" s="14">
        <v>6</v>
      </c>
      <c r="T134" s="14">
        <v>0</v>
      </c>
      <c r="U134" s="14"/>
      <c r="V134" s="14">
        <v>9</v>
      </c>
      <c r="W134" s="14">
        <v>0</v>
      </c>
      <c r="X134" s="14">
        <v>0</v>
      </c>
      <c r="Y134" s="109">
        <f t="shared" si="51"/>
        <v>0</v>
      </c>
      <c r="Z134" s="109" t="e">
        <f t="shared" si="52"/>
        <v>#REF!</v>
      </c>
      <c r="AA134" s="109" t="e">
        <f t="shared" si="53"/>
        <v>#REF!</v>
      </c>
      <c r="AB134" s="14">
        <v>74</v>
      </c>
      <c r="AC134" s="109" t="e">
        <f t="shared" si="54"/>
        <v>#REF!</v>
      </c>
      <c r="AD134" s="109">
        <f>'LPLPO GUDANG'!H137</f>
        <v>80</v>
      </c>
      <c r="AE134" s="111" t="e">
        <f t="shared" si="55"/>
        <v>#REF!</v>
      </c>
      <c r="AF134" s="212"/>
      <c r="AG134" s="212"/>
      <c r="AH134" s="20"/>
      <c r="AI134" s="14">
        <f t="shared" si="56"/>
        <v>0</v>
      </c>
      <c r="AJ134" s="209" t="e">
        <f t="shared" si="57"/>
        <v>#REF!</v>
      </c>
      <c r="AL134" s="14">
        <f t="shared" si="58"/>
        <v>13</v>
      </c>
      <c r="AM134" s="14">
        <f>DISTRIBUSI!D132</f>
        <v>0</v>
      </c>
      <c r="AN134" s="14">
        <f>'PEMAKAIAN UNIT'!D131</f>
        <v>0</v>
      </c>
      <c r="AO134" s="14">
        <f t="shared" si="59"/>
        <v>13</v>
      </c>
      <c r="AP134" s="15">
        <f t="shared" si="60"/>
        <v>4</v>
      </c>
      <c r="AQ134" s="14">
        <f t="shared" si="61"/>
        <v>17</v>
      </c>
      <c r="AR134" s="14">
        <f>DISTRIBUSI!E132</f>
        <v>0</v>
      </c>
      <c r="AS134" s="14">
        <f>'PEMAKAIAN UNIT'!E131</f>
        <v>0</v>
      </c>
      <c r="AT134" s="14">
        <f t="shared" si="62"/>
        <v>17</v>
      </c>
      <c r="AU134" s="15">
        <f t="shared" si="63"/>
        <v>0</v>
      </c>
      <c r="AV134" s="14">
        <f t="shared" si="64"/>
        <v>6</v>
      </c>
      <c r="AW134" s="14">
        <f>DISTRIBUSI!F132</f>
        <v>0</v>
      </c>
      <c r="AX134" s="14">
        <f>'PEMAKAIAN UNIT'!F131</f>
        <v>0</v>
      </c>
      <c r="AY134" s="14">
        <f t="shared" si="65"/>
        <v>6</v>
      </c>
      <c r="AZ134" s="15">
        <f t="shared" si="66"/>
        <v>6</v>
      </c>
      <c r="BA134" s="14">
        <f t="shared" si="67"/>
        <v>6</v>
      </c>
      <c r="BB134" s="14">
        <f>DISTRIBUSI!G132</f>
        <v>0</v>
      </c>
      <c r="BC134" s="14">
        <f>'PEMAKAIAN UNIT'!G131</f>
        <v>0</v>
      </c>
      <c r="BD134" s="14">
        <f t="shared" si="68"/>
        <v>6</v>
      </c>
      <c r="BE134" s="15">
        <f t="shared" si="69"/>
        <v>0</v>
      </c>
      <c r="BF134" s="14">
        <f t="shared" si="70"/>
        <v>6</v>
      </c>
      <c r="BG134" s="14">
        <f>DISTRIBUSI!H132</f>
        <v>0</v>
      </c>
      <c r="BH134" s="14">
        <f>'PEMAKAIAN UNIT'!H131</f>
        <v>0</v>
      </c>
      <c r="BI134" s="14">
        <f t="shared" si="71"/>
        <v>6</v>
      </c>
      <c r="BJ134" s="15">
        <f t="shared" si="72"/>
        <v>6</v>
      </c>
      <c r="BK134" s="14">
        <f t="shared" si="73"/>
        <v>1</v>
      </c>
      <c r="BL134" s="14">
        <f>DISTRIBUSI!I132</f>
        <v>0</v>
      </c>
      <c r="BM134" s="14">
        <f>'PEMAKAIAN UNIT'!I131</f>
        <v>0</v>
      </c>
      <c r="BN134" s="14">
        <f t="shared" si="74"/>
        <v>1</v>
      </c>
      <c r="BO134" s="15">
        <f t="shared" si="75"/>
        <v>1</v>
      </c>
      <c r="BP134" s="14">
        <f t="shared" si="76"/>
        <v>9</v>
      </c>
      <c r="BQ134" s="14">
        <f>DISTRIBUSI!J132</f>
        <v>0</v>
      </c>
      <c r="BR134" s="14">
        <f>'PEMAKAIAN UNIT'!J131</f>
        <v>0</v>
      </c>
      <c r="BS134" s="14">
        <f t="shared" si="77"/>
        <v>9</v>
      </c>
      <c r="BT134" s="15">
        <f t="shared" si="78"/>
        <v>0</v>
      </c>
      <c r="BU134" s="14">
        <f t="shared" si="79"/>
        <v>0</v>
      </c>
      <c r="BV134" s="14">
        <f>DISTRIBUSI!K132</f>
        <v>0</v>
      </c>
      <c r="BW134" s="14">
        <f>'PEMAKAIAN UNIT'!K131</f>
        <v>0</v>
      </c>
      <c r="BX134" s="14">
        <f t="shared" si="80"/>
        <v>0</v>
      </c>
      <c r="BY134" s="15">
        <f t="shared" si="81"/>
        <v>0</v>
      </c>
      <c r="BZ134" s="14">
        <f t="shared" si="82"/>
        <v>0</v>
      </c>
      <c r="CA134" s="14">
        <f>DISTRIBUSI!L132</f>
        <v>0</v>
      </c>
      <c r="CB134" s="14">
        <f>'PEMAKAIAN UNIT'!L131</f>
        <v>0</v>
      </c>
      <c r="CC134" s="14">
        <f t="shared" si="83"/>
        <v>0</v>
      </c>
      <c r="CD134" s="15">
        <f t="shared" si="84"/>
        <v>0</v>
      </c>
      <c r="CE134" s="14">
        <f t="shared" si="85"/>
        <v>0</v>
      </c>
      <c r="CF134" s="14">
        <f>DISTRIBUSI!M132</f>
        <v>0</v>
      </c>
      <c r="CG134" s="14">
        <f>'PEMAKAIAN UNIT'!M131</f>
        <v>0</v>
      </c>
      <c r="CH134" s="14">
        <f t="shared" si="86"/>
        <v>0</v>
      </c>
      <c r="CI134" s="15">
        <f t="shared" si="87"/>
        <v>0</v>
      </c>
      <c r="CJ134" s="14">
        <f t="shared" si="88"/>
        <v>0</v>
      </c>
      <c r="CK134" s="14" t="e">
        <f>DISTRIBUSI!#REF!</f>
        <v>#REF!</v>
      </c>
      <c r="CL134" s="14">
        <f>'PEMAKAIAN UNIT'!N131</f>
        <v>0</v>
      </c>
      <c r="CM134" s="14" t="e">
        <f t="shared" si="89"/>
        <v>#REF!</v>
      </c>
      <c r="CN134" s="15" t="e">
        <f t="shared" si="90"/>
        <v>#REF!</v>
      </c>
      <c r="CO134" s="14" t="e">
        <f>DL134+DISTRIBUSI!#REF!-'PEMAKAIAN UNIT'!O131</f>
        <v>#REF!</v>
      </c>
      <c r="CP134" s="15" t="e">
        <f t="shared" si="91"/>
        <v>#REF!</v>
      </c>
      <c r="CQ134" s="226">
        <f t="shared" si="92"/>
        <v>163</v>
      </c>
      <c r="CR134" s="226">
        <f>DISTRIBUSI!R132</f>
        <v>0</v>
      </c>
      <c r="CS134" s="226">
        <f>'PEMAKAIAN UNIT'!P131</f>
        <v>0</v>
      </c>
      <c r="CT134" s="14">
        <f t="shared" si="93"/>
        <v>163</v>
      </c>
      <c r="CU134" s="15">
        <f t="shared" si="94"/>
        <v>89</v>
      </c>
      <c r="CV134" s="14" t="e">
        <f>DN134+DISTRIBUSI!#REF!-'PEMAKAIAN UNIT'!Q131</f>
        <v>#REF!</v>
      </c>
      <c r="CW134" s="15" t="e">
        <f t="shared" si="95"/>
        <v>#REF!</v>
      </c>
      <c r="CX134" s="14">
        <f>DO134+'LPLPO GUDANG'!E137-'LPLPO GUDANG'!G137</f>
        <v>-20</v>
      </c>
      <c r="CY134" s="15">
        <f t="shared" si="96"/>
        <v>-100</v>
      </c>
      <c r="CZ134" s="28"/>
      <c r="DA134" s="14">
        <v>13</v>
      </c>
      <c r="DB134" s="14">
        <v>17</v>
      </c>
      <c r="DC134" s="14">
        <v>6</v>
      </c>
      <c r="DD134" s="14">
        <v>6</v>
      </c>
      <c r="DE134" s="14">
        <v>6</v>
      </c>
      <c r="DF134" s="14">
        <v>1</v>
      </c>
      <c r="DG134" s="14">
        <v>9</v>
      </c>
      <c r="DH134" s="14">
        <v>0</v>
      </c>
      <c r="DI134" s="14">
        <v>0</v>
      </c>
      <c r="DJ134" s="14">
        <v>0</v>
      </c>
      <c r="DK134" s="14">
        <v>0</v>
      </c>
      <c r="DL134" s="14">
        <v>0</v>
      </c>
      <c r="DM134" s="14">
        <v>163</v>
      </c>
      <c r="DN134" s="14">
        <v>0</v>
      </c>
      <c r="DO134" s="14">
        <v>0</v>
      </c>
      <c r="DP134" s="13">
        <f t="shared" si="97"/>
        <v>221</v>
      </c>
      <c r="DR134" t="s">
        <v>107</v>
      </c>
      <c r="DU134" s="20" t="e">
        <f t="shared" si="98"/>
        <v>#REF!</v>
      </c>
    </row>
    <row r="135" spans="1:125" customFormat="1" ht="20.149999999999999" customHeight="1" x14ac:dyDescent="0.35">
      <c r="A135" s="84">
        <f t="shared" si="99"/>
        <v>124</v>
      </c>
      <c r="B135" s="142" t="s">
        <v>107</v>
      </c>
      <c r="C135" s="155" t="s">
        <v>108</v>
      </c>
      <c r="D135" s="109">
        <v>0</v>
      </c>
      <c r="E135" s="110">
        <f>'LPLPO GUDANG'!E138</f>
        <v>0</v>
      </c>
      <c r="F135" s="110">
        <f t="shared" si="50"/>
        <v>0</v>
      </c>
      <c r="G135" s="110">
        <f>'PEMAKAIAN UNIT'!R132</f>
        <v>0</v>
      </c>
      <c r="H135" s="14">
        <v>0</v>
      </c>
      <c r="I135" s="14">
        <v>0</v>
      </c>
      <c r="J135" s="14">
        <v>0</v>
      </c>
      <c r="K135" s="14"/>
      <c r="L135" s="14"/>
      <c r="M135" s="14"/>
      <c r="N135" s="14"/>
      <c r="O135" s="14"/>
      <c r="P135" s="14"/>
      <c r="Q135" s="14"/>
      <c r="R135" s="14"/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09">
        <f t="shared" si="51"/>
        <v>0</v>
      </c>
      <c r="Z135" s="109" t="e">
        <f t="shared" si="52"/>
        <v>#REF!</v>
      </c>
      <c r="AA135" s="109" t="e">
        <f t="shared" si="53"/>
        <v>#REF!</v>
      </c>
      <c r="AB135" s="14">
        <v>0</v>
      </c>
      <c r="AC135" s="109" t="e">
        <f t="shared" si="54"/>
        <v>#REF!</v>
      </c>
      <c r="AD135" s="109">
        <f>'LPLPO GUDANG'!H138</f>
        <v>0</v>
      </c>
      <c r="AE135" s="111" t="e">
        <f t="shared" si="55"/>
        <v>#REF!</v>
      </c>
      <c r="AF135" s="212"/>
      <c r="AG135" s="212"/>
      <c r="AH135" s="20"/>
      <c r="AI135" s="14">
        <f t="shared" si="56"/>
        <v>0</v>
      </c>
      <c r="AJ135" s="209" t="e">
        <f t="shared" si="57"/>
        <v>#REF!</v>
      </c>
      <c r="AL135" s="14">
        <f t="shared" si="58"/>
        <v>0</v>
      </c>
      <c r="AM135" s="14">
        <f>DISTRIBUSI!D133</f>
        <v>0</v>
      </c>
      <c r="AN135" s="14">
        <f>'PEMAKAIAN UNIT'!D132</f>
        <v>0</v>
      </c>
      <c r="AO135" s="14">
        <f t="shared" si="59"/>
        <v>0</v>
      </c>
      <c r="AP135" s="15">
        <f t="shared" si="60"/>
        <v>0</v>
      </c>
      <c r="AQ135" s="14">
        <f t="shared" si="61"/>
        <v>0</v>
      </c>
      <c r="AR135" s="14">
        <f>DISTRIBUSI!E133</f>
        <v>0</v>
      </c>
      <c r="AS135" s="14">
        <f>'PEMAKAIAN UNIT'!E132</f>
        <v>0</v>
      </c>
      <c r="AT135" s="14">
        <f t="shared" si="62"/>
        <v>0</v>
      </c>
      <c r="AU135" s="15">
        <f t="shared" si="63"/>
        <v>0</v>
      </c>
      <c r="AV135" s="14">
        <f t="shared" si="64"/>
        <v>0</v>
      </c>
      <c r="AW135" s="14">
        <f>DISTRIBUSI!F133</f>
        <v>0</v>
      </c>
      <c r="AX135" s="14">
        <f>'PEMAKAIAN UNIT'!F132</f>
        <v>0</v>
      </c>
      <c r="AY135" s="14">
        <f t="shared" si="65"/>
        <v>0</v>
      </c>
      <c r="AZ135" s="15">
        <f t="shared" si="66"/>
        <v>0</v>
      </c>
      <c r="BA135" s="14">
        <f t="shared" si="67"/>
        <v>0</v>
      </c>
      <c r="BB135" s="14">
        <f>DISTRIBUSI!G133</f>
        <v>0</v>
      </c>
      <c r="BC135" s="14">
        <f>'PEMAKAIAN UNIT'!G132</f>
        <v>0</v>
      </c>
      <c r="BD135" s="14">
        <f t="shared" si="68"/>
        <v>0</v>
      </c>
      <c r="BE135" s="15">
        <f t="shared" si="69"/>
        <v>0</v>
      </c>
      <c r="BF135" s="14">
        <f t="shared" si="70"/>
        <v>0</v>
      </c>
      <c r="BG135" s="14">
        <f>DISTRIBUSI!H133</f>
        <v>0</v>
      </c>
      <c r="BH135" s="14">
        <f>'PEMAKAIAN UNIT'!H132</f>
        <v>0</v>
      </c>
      <c r="BI135" s="14">
        <f t="shared" si="71"/>
        <v>0</v>
      </c>
      <c r="BJ135" s="15">
        <f t="shared" si="72"/>
        <v>0</v>
      </c>
      <c r="BK135" s="14">
        <f t="shared" si="73"/>
        <v>0</v>
      </c>
      <c r="BL135" s="14">
        <f>DISTRIBUSI!I133</f>
        <v>0</v>
      </c>
      <c r="BM135" s="14">
        <f>'PEMAKAIAN UNIT'!I132</f>
        <v>0</v>
      </c>
      <c r="BN135" s="14">
        <f t="shared" si="74"/>
        <v>0</v>
      </c>
      <c r="BO135" s="15">
        <f t="shared" si="75"/>
        <v>0</v>
      </c>
      <c r="BP135" s="14">
        <f t="shared" si="76"/>
        <v>0</v>
      </c>
      <c r="BQ135" s="14">
        <f>DISTRIBUSI!J133</f>
        <v>0</v>
      </c>
      <c r="BR135" s="14">
        <f>'PEMAKAIAN UNIT'!J132</f>
        <v>0</v>
      </c>
      <c r="BS135" s="14">
        <f t="shared" si="77"/>
        <v>0</v>
      </c>
      <c r="BT135" s="15">
        <f t="shared" si="78"/>
        <v>0</v>
      </c>
      <c r="BU135" s="14">
        <f t="shared" si="79"/>
        <v>0</v>
      </c>
      <c r="BV135" s="14">
        <f>DISTRIBUSI!K133</f>
        <v>0</v>
      </c>
      <c r="BW135" s="14">
        <f>'PEMAKAIAN UNIT'!K132</f>
        <v>0</v>
      </c>
      <c r="BX135" s="14">
        <f t="shared" si="80"/>
        <v>0</v>
      </c>
      <c r="BY135" s="15">
        <f t="shared" si="81"/>
        <v>0</v>
      </c>
      <c r="BZ135" s="14">
        <f t="shared" si="82"/>
        <v>0</v>
      </c>
      <c r="CA135" s="14">
        <f>DISTRIBUSI!L133</f>
        <v>0</v>
      </c>
      <c r="CB135" s="14">
        <f>'PEMAKAIAN UNIT'!L132</f>
        <v>0</v>
      </c>
      <c r="CC135" s="14">
        <f t="shared" si="83"/>
        <v>0</v>
      </c>
      <c r="CD135" s="15">
        <f t="shared" si="84"/>
        <v>0</v>
      </c>
      <c r="CE135" s="14">
        <f t="shared" si="85"/>
        <v>0</v>
      </c>
      <c r="CF135" s="14">
        <f>DISTRIBUSI!M133</f>
        <v>0</v>
      </c>
      <c r="CG135" s="14">
        <f>'PEMAKAIAN UNIT'!M132</f>
        <v>0</v>
      </c>
      <c r="CH135" s="14">
        <f t="shared" si="86"/>
        <v>0</v>
      </c>
      <c r="CI135" s="15">
        <f t="shared" si="87"/>
        <v>0</v>
      </c>
      <c r="CJ135" s="14">
        <f t="shared" si="88"/>
        <v>0</v>
      </c>
      <c r="CK135" s="14" t="e">
        <f>DISTRIBUSI!#REF!</f>
        <v>#REF!</v>
      </c>
      <c r="CL135" s="14">
        <f>'PEMAKAIAN UNIT'!N132</f>
        <v>0</v>
      </c>
      <c r="CM135" s="14" t="e">
        <f t="shared" si="89"/>
        <v>#REF!</v>
      </c>
      <c r="CN135" s="15" t="e">
        <f t="shared" si="90"/>
        <v>#REF!</v>
      </c>
      <c r="CO135" s="14" t="e">
        <f>DL135+DISTRIBUSI!#REF!-'PEMAKAIAN UNIT'!O132</f>
        <v>#REF!</v>
      </c>
      <c r="CP135" s="15" t="e">
        <f t="shared" si="91"/>
        <v>#REF!</v>
      </c>
      <c r="CQ135" s="226">
        <f t="shared" si="92"/>
        <v>0</v>
      </c>
      <c r="CR135" s="226">
        <f>DISTRIBUSI!R133</f>
        <v>0</v>
      </c>
      <c r="CS135" s="226">
        <f>'PEMAKAIAN UNIT'!P132</f>
        <v>0</v>
      </c>
      <c r="CT135" s="14">
        <f t="shared" si="93"/>
        <v>0</v>
      </c>
      <c r="CU135" s="15">
        <f t="shared" si="94"/>
        <v>0</v>
      </c>
      <c r="CV135" s="14" t="e">
        <f>DN135+DISTRIBUSI!#REF!-'PEMAKAIAN UNIT'!Q132</f>
        <v>#REF!</v>
      </c>
      <c r="CW135" s="15" t="e">
        <f t="shared" si="95"/>
        <v>#REF!</v>
      </c>
      <c r="CX135" s="14">
        <f>DO135+'LPLPO GUDANG'!E138-'LPLPO GUDANG'!G138</f>
        <v>0</v>
      </c>
      <c r="CY135" s="15">
        <f t="shared" si="96"/>
        <v>0</v>
      </c>
      <c r="CZ135" s="28"/>
      <c r="DA135" s="14">
        <v>0</v>
      </c>
      <c r="DB135" s="14"/>
      <c r="DC135" s="14">
        <v>0</v>
      </c>
      <c r="DD135" s="14">
        <v>0</v>
      </c>
      <c r="DE135" s="14">
        <v>0</v>
      </c>
      <c r="DF135" s="14"/>
      <c r="DG135" s="14">
        <v>0</v>
      </c>
      <c r="DH135" s="14">
        <v>0</v>
      </c>
      <c r="DI135" s="14">
        <v>0</v>
      </c>
      <c r="DJ135" s="14">
        <v>0</v>
      </c>
      <c r="DK135" s="14">
        <v>0</v>
      </c>
      <c r="DL135" s="14">
        <v>0</v>
      </c>
      <c r="DM135" s="14">
        <v>0</v>
      </c>
      <c r="DN135" s="14">
        <v>0</v>
      </c>
      <c r="DO135" s="14">
        <v>0</v>
      </c>
      <c r="DP135" s="13">
        <f t="shared" si="97"/>
        <v>0</v>
      </c>
      <c r="DR135" t="s">
        <v>107</v>
      </c>
      <c r="DU135" s="20" t="e">
        <f t="shared" si="98"/>
        <v>#REF!</v>
      </c>
    </row>
    <row r="136" spans="1:125" customFormat="1" ht="20.149999999999999" customHeight="1" x14ac:dyDescent="0.35">
      <c r="A136" s="84">
        <f t="shared" si="99"/>
        <v>125</v>
      </c>
      <c r="B136" s="142" t="s">
        <v>111</v>
      </c>
      <c r="C136" s="159" t="s">
        <v>108</v>
      </c>
      <c r="D136" s="109">
        <v>0</v>
      </c>
      <c r="E136" s="110">
        <f>'LPLPO GUDANG'!E139</f>
        <v>400</v>
      </c>
      <c r="F136" s="110">
        <f t="shared" si="50"/>
        <v>400</v>
      </c>
      <c r="G136" s="110">
        <f>'PEMAKAIAN UNIT'!R133</f>
        <v>0</v>
      </c>
      <c r="H136" s="14">
        <v>0</v>
      </c>
      <c r="I136" s="14">
        <v>0</v>
      </c>
      <c r="J136" s="14">
        <v>0</v>
      </c>
      <c r="K136" s="14"/>
      <c r="L136" s="14"/>
      <c r="M136" s="14"/>
      <c r="N136" s="14"/>
      <c r="O136" s="14"/>
      <c r="P136" s="14"/>
      <c r="Q136" s="14"/>
      <c r="R136" s="14"/>
      <c r="S136" s="14">
        <v>0</v>
      </c>
      <c r="T136" s="14">
        <v>0</v>
      </c>
      <c r="U136" s="14">
        <v>2</v>
      </c>
      <c r="V136" s="14">
        <v>0</v>
      </c>
      <c r="W136" s="14">
        <v>0</v>
      </c>
      <c r="X136" s="14">
        <v>0</v>
      </c>
      <c r="Y136" s="109">
        <f t="shared" si="51"/>
        <v>0</v>
      </c>
      <c r="Z136" s="109" t="e">
        <f t="shared" si="52"/>
        <v>#REF!</v>
      </c>
      <c r="AA136" s="109" t="e">
        <f t="shared" si="53"/>
        <v>#REF!</v>
      </c>
      <c r="AB136" s="14">
        <v>130</v>
      </c>
      <c r="AC136" s="109" t="e">
        <f t="shared" si="54"/>
        <v>#REF!</v>
      </c>
      <c r="AD136" s="109">
        <f>'LPLPO GUDANG'!H139</f>
        <v>0</v>
      </c>
      <c r="AE136" s="111" t="e">
        <f t="shared" si="55"/>
        <v>#REF!</v>
      </c>
      <c r="AF136" s="212"/>
      <c r="AG136" s="212"/>
      <c r="AH136" s="20"/>
      <c r="AI136" s="14">
        <f t="shared" si="56"/>
        <v>400</v>
      </c>
      <c r="AJ136" s="209" t="e">
        <f t="shared" si="57"/>
        <v>#REF!</v>
      </c>
      <c r="AL136" s="14">
        <f t="shared" si="58"/>
        <v>0</v>
      </c>
      <c r="AM136" s="14">
        <f>DISTRIBUSI!D134</f>
        <v>0</v>
      </c>
      <c r="AN136" s="14">
        <f>'PEMAKAIAN UNIT'!D133</f>
        <v>0</v>
      </c>
      <c r="AO136" s="14">
        <f t="shared" si="59"/>
        <v>0</v>
      </c>
      <c r="AP136" s="15">
        <f t="shared" si="60"/>
        <v>0</v>
      </c>
      <c r="AQ136" s="14">
        <f t="shared" si="61"/>
        <v>0</v>
      </c>
      <c r="AR136" s="14">
        <f>DISTRIBUSI!E134</f>
        <v>0</v>
      </c>
      <c r="AS136" s="14">
        <f>'PEMAKAIAN UNIT'!E133</f>
        <v>0</v>
      </c>
      <c r="AT136" s="14">
        <f t="shared" si="62"/>
        <v>0</v>
      </c>
      <c r="AU136" s="15">
        <f t="shared" si="63"/>
        <v>0</v>
      </c>
      <c r="AV136" s="14">
        <f t="shared" si="64"/>
        <v>0</v>
      </c>
      <c r="AW136" s="14">
        <f>DISTRIBUSI!F134</f>
        <v>0</v>
      </c>
      <c r="AX136" s="14">
        <f>'PEMAKAIAN UNIT'!F133</f>
        <v>0</v>
      </c>
      <c r="AY136" s="14">
        <f t="shared" si="65"/>
        <v>0</v>
      </c>
      <c r="AZ136" s="15">
        <f t="shared" si="66"/>
        <v>0</v>
      </c>
      <c r="BA136" s="14">
        <f t="shared" si="67"/>
        <v>0</v>
      </c>
      <c r="BB136" s="14">
        <f>DISTRIBUSI!G134</f>
        <v>0</v>
      </c>
      <c r="BC136" s="14">
        <f>'PEMAKAIAN UNIT'!G133</f>
        <v>0</v>
      </c>
      <c r="BD136" s="14">
        <f t="shared" si="68"/>
        <v>0</v>
      </c>
      <c r="BE136" s="15">
        <f t="shared" si="69"/>
        <v>0</v>
      </c>
      <c r="BF136" s="14">
        <f t="shared" si="70"/>
        <v>0</v>
      </c>
      <c r="BG136" s="14">
        <f>DISTRIBUSI!H134</f>
        <v>0</v>
      </c>
      <c r="BH136" s="14">
        <f>'PEMAKAIAN UNIT'!H133</f>
        <v>0</v>
      </c>
      <c r="BI136" s="14">
        <f t="shared" si="71"/>
        <v>0</v>
      </c>
      <c r="BJ136" s="15">
        <f t="shared" si="72"/>
        <v>0</v>
      </c>
      <c r="BK136" s="14">
        <f t="shared" si="73"/>
        <v>2</v>
      </c>
      <c r="BL136" s="14">
        <f>DISTRIBUSI!I134</f>
        <v>0</v>
      </c>
      <c r="BM136" s="14">
        <f>'PEMAKAIAN UNIT'!I133</f>
        <v>0</v>
      </c>
      <c r="BN136" s="14">
        <f t="shared" si="74"/>
        <v>2</v>
      </c>
      <c r="BO136" s="15">
        <f t="shared" si="75"/>
        <v>0</v>
      </c>
      <c r="BP136" s="14">
        <f t="shared" si="76"/>
        <v>0</v>
      </c>
      <c r="BQ136" s="14">
        <f>DISTRIBUSI!J134</f>
        <v>0</v>
      </c>
      <c r="BR136" s="14">
        <f>'PEMAKAIAN UNIT'!J133</f>
        <v>0</v>
      </c>
      <c r="BS136" s="14">
        <f t="shared" si="77"/>
        <v>0</v>
      </c>
      <c r="BT136" s="15">
        <f t="shared" si="78"/>
        <v>0</v>
      </c>
      <c r="BU136" s="14">
        <f t="shared" si="79"/>
        <v>0</v>
      </c>
      <c r="BV136" s="14">
        <f>DISTRIBUSI!K134</f>
        <v>0</v>
      </c>
      <c r="BW136" s="14">
        <f>'PEMAKAIAN UNIT'!K133</f>
        <v>0</v>
      </c>
      <c r="BX136" s="14">
        <f t="shared" si="80"/>
        <v>0</v>
      </c>
      <c r="BY136" s="15">
        <f t="shared" si="81"/>
        <v>0</v>
      </c>
      <c r="BZ136" s="14">
        <f t="shared" si="82"/>
        <v>0</v>
      </c>
      <c r="CA136" s="14">
        <f>DISTRIBUSI!L134</f>
        <v>0</v>
      </c>
      <c r="CB136" s="14">
        <f>'PEMAKAIAN UNIT'!L133</f>
        <v>0</v>
      </c>
      <c r="CC136" s="14">
        <f t="shared" si="83"/>
        <v>0</v>
      </c>
      <c r="CD136" s="15">
        <f t="shared" si="84"/>
        <v>0</v>
      </c>
      <c r="CE136" s="14">
        <f t="shared" si="85"/>
        <v>0</v>
      </c>
      <c r="CF136" s="14">
        <f>DISTRIBUSI!M134</f>
        <v>0</v>
      </c>
      <c r="CG136" s="14">
        <f>'PEMAKAIAN UNIT'!M133</f>
        <v>0</v>
      </c>
      <c r="CH136" s="14">
        <f t="shared" si="86"/>
        <v>0</v>
      </c>
      <c r="CI136" s="15">
        <f t="shared" si="87"/>
        <v>0</v>
      </c>
      <c r="CJ136" s="14">
        <f t="shared" si="88"/>
        <v>0</v>
      </c>
      <c r="CK136" s="14" t="e">
        <f>DISTRIBUSI!#REF!</f>
        <v>#REF!</v>
      </c>
      <c r="CL136" s="14">
        <f>'PEMAKAIAN UNIT'!N133</f>
        <v>0</v>
      </c>
      <c r="CM136" s="14" t="e">
        <f t="shared" si="89"/>
        <v>#REF!</v>
      </c>
      <c r="CN136" s="15" t="e">
        <f t="shared" si="90"/>
        <v>#REF!</v>
      </c>
      <c r="CO136" s="14" t="e">
        <f>DL136+DISTRIBUSI!#REF!-'PEMAKAIAN UNIT'!O133</f>
        <v>#REF!</v>
      </c>
      <c r="CP136" s="15" t="e">
        <f t="shared" si="91"/>
        <v>#REF!</v>
      </c>
      <c r="CQ136" s="226">
        <f t="shared" si="92"/>
        <v>240</v>
      </c>
      <c r="CR136" s="226">
        <f>DISTRIBUSI!R134</f>
        <v>385</v>
      </c>
      <c r="CS136" s="226">
        <f>'PEMAKAIAN UNIT'!P133</f>
        <v>0</v>
      </c>
      <c r="CT136" s="14">
        <f t="shared" si="93"/>
        <v>625</v>
      </c>
      <c r="CU136" s="15">
        <f t="shared" si="94"/>
        <v>495</v>
      </c>
      <c r="CV136" s="14" t="e">
        <f>DN136+DISTRIBUSI!#REF!-'PEMAKAIAN UNIT'!Q133</f>
        <v>#REF!</v>
      </c>
      <c r="CW136" s="15" t="e">
        <f t="shared" si="95"/>
        <v>#REF!</v>
      </c>
      <c r="CX136" s="14">
        <f>DO136+'LPLPO GUDANG'!E139-'LPLPO GUDANG'!G139</f>
        <v>200</v>
      </c>
      <c r="CY136" s="15">
        <f t="shared" si="96"/>
        <v>200</v>
      </c>
      <c r="CZ136" s="28"/>
      <c r="DA136" s="14">
        <v>0</v>
      </c>
      <c r="DB136" s="14"/>
      <c r="DC136" s="14">
        <v>0</v>
      </c>
      <c r="DD136" s="14">
        <v>0</v>
      </c>
      <c r="DE136" s="14">
        <v>0</v>
      </c>
      <c r="DF136" s="14">
        <v>2</v>
      </c>
      <c r="DG136" s="14">
        <v>0</v>
      </c>
      <c r="DH136" s="14">
        <v>0</v>
      </c>
      <c r="DI136" s="14">
        <v>0</v>
      </c>
      <c r="DJ136" s="14">
        <v>0</v>
      </c>
      <c r="DK136" s="14">
        <v>0</v>
      </c>
      <c r="DL136" s="14">
        <v>0</v>
      </c>
      <c r="DM136" s="14">
        <v>240</v>
      </c>
      <c r="DN136" s="14">
        <v>0</v>
      </c>
      <c r="DO136" s="14">
        <v>200</v>
      </c>
      <c r="DP136" s="13">
        <f t="shared" si="97"/>
        <v>442</v>
      </c>
      <c r="DR136" t="s">
        <v>111</v>
      </c>
      <c r="DU136" s="20" t="e">
        <f t="shared" si="98"/>
        <v>#REF!</v>
      </c>
    </row>
    <row r="137" spans="1:125" customFormat="1" ht="20.149999999999999" customHeight="1" x14ac:dyDescent="0.35">
      <c r="A137" s="84">
        <f t="shared" si="99"/>
        <v>126</v>
      </c>
      <c r="B137" s="142" t="s">
        <v>109</v>
      </c>
      <c r="C137" s="165" t="s">
        <v>108</v>
      </c>
      <c r="D137" s="109">
        <v>0</v>
      </c>
      <c r="E137" s="110">
        <f>'LPLPO GUDANG'!E140</f>
        <v>600</v>
      </c>
      <c r="F137" s="110">
        <f t="shared" si="50"/>
        <v>600</v>
      </c>
      <c r="G137" s="110">
        <f>'PEMAKAIAN UNIT'!R134</f>
        <v>0</v>
      </c>
      <c r="H137" s="14">
        <v>25</v>
      </c>
      <c r="I137" s="14">
        <v>18</v>
      </c>
      <c r="J137" s="14">
        <v>0</v>
      </c>
      <c r="K137" s="14"/>
      <c r="L137" s="14"/>
      <c r="M137" s="14"/>
      <c r="N137" s="14"/>
      <c r="O137" s="14"/>
      <c r="P137" s="14"/>
      <c r="Q137" s="14"/>
      <c r="R137" s="14"/>
      <c r="S137" s="14">
        <v>12</v>
      </c>
      <c r="T137" s="14">
        <v>0</v>
      </c>
      <c r="U137" s="14">
        <v>0</v>
      </c>
      <c r="V137" s="14">
        <v>10</v>
      </c>
      <c r="W137" s="14">
        <v>0</v>
      </c>
      <c r="X137" s="14">
        <v>62</v>
      </c>
      <c r="Y137" s="109">
        <f t="shared" si="51"/>
        <v>0</v>
      </c>
      <c r="Z137" s="109" t="e">
        <f t="shared" si="52"/>
        <v>#REF!</v>
      </c>
      <c r="AA137" s="109" t="e">
        <f t="shared" si="53"/>
        <v>#REF!</v>
      </c>
      <c r="AB137" s="14">
        <v>301</v>
      </c>
      <c r="AC137" s="109" t="e">
        <f t="shared" si="54"/>
        <v>#REF!</v>
      </c>
      <c r="AD137" s="109">
        <f>'LPLPO GUDANG'!H140</f>
        <v>265</v>
      </c>
      <c r="AE137" s="111" t="e">
        <f t="shared" si="55"/>
        <v>#REF!</v>
      </c>
      <c r="AF137" s="212"/>
      <c r="AG137" s="212"/>
      <c r="AH137" s="20"/>
      <c r="AI137" s="14">
        <f t="shared" si="56"/>
        <v>600</v>
      </c>
      <c r="AJ137" s="209" t="e">
        <f t="shared" si="57"/>
        <v>#REF!</v>
      </c>
      <c r="AL137" s="14">
        <f t="shared" si="58"/>
        <v>32</v>
      </c>
      <c r="AM137" s="14">
        <f>DISTRIBUSI!D135</f>
        <v>0</v>
      </c>
      <c r="AN137" s="14">
        <f>'PEMAKAIAN UNIT'!D134</f>
        <v>0</v>
      </c>
      <c r="AO137" s="14">
        <f t="shared" si="59"/>
        <v>32</v>
      </c>
      <c r="AP137" s="15">
        <f t="shared" si="60"/>
        <v>7</v>
      </c>
      <c r="AQ137" s="14">
        <f t="shared" si="61"/>
        <v>18</v>
      </c>
      <c r="AR137" s="14">
        <f>DISTRIBUSI!E135</f>
        <v>0</v>
      </c>
      <c r="AS137" s="14">
        <f>'PEMAKAIAN UNIT'!E134</f>
        <v>0</v>
      </c>
      <c r="AT137" s="14">
        <f t="shared" si="62"/>
        <v>18</v>
      </c>
      <c r="AU137" s="15">
        <f t="shared" si="63"/>
        <v>0</v>
      </c>
      <c r="AV137" s="14">
        <f t="shared" si="64"/>
        <v>25</v>
      </c>
      <c r="AW137" s="14">
        <f>DISTRIBUSI!F135</f>
        <v>0</v>
      </c>
      <c r="AX137" s="14">
        <f>'PEMAKAIAN UNIT'!F134</f>
        <v>0</v>
      </c>
      <c r="AY137" s="14">
        <f t="shared" si="65"/>
        <v>25</v>
      </c>
      <c r="AZ137" s="15">
        <f t="shared" si="66"/>
        <v>25</v>
      </c>
      <c r="BA137" s="14">
        <f t="shared" si="67"/>
        <v>5</v>
      </c>
      <c r="BB137" s="14">
        <f>DISTRIBUSI!G135</f>
        <v>0</v>
      </c>
      <c r="BC137" s="14">
        <f>'PEMAKAIAN UNIT'!G134</f>
        <v>0</v>
      </c>
      <c r="BD137" s="14">
        <f t="shared" si="68"/>
        <v>5</v>
      </c>
      <c r="BE137" s="15">
        <f t="shared" si="69"/>
        <v>-7</v>
      </c>
      <c r="BF137" s="14">
        <f t="shared" si="70"/>
        <v>16</v>
      </c>
      <c r="BG137" s="14">
        <f>DISTRIBUSI!H135</f>
        <v>0</v>
      </c>
      <c r="BH137" s="14">
        <f>'PEMAKAIAN UNIT'!H134</f>
        <v>0</v>
      </c>
      <c r="BI137" s="14">
        <f t="shared" si="71"/>
        <v>16</v>
      </c>
      <c r="BJ137" s="15">
        <f t="shared" si="72"/>
        <v>16</v>
      </c>
      <c r="BK137" s="14">
        <f t="shared" si="73"/>
        <v>0</v>
      </c>
      <c r="BL137" s="14">
        <f>DISTRIBUSI!I135</f>
        <v>0</v>
      </c>
      <c r="BM137" s="14">
        <f>'PEMAKAIAN UNIT'!I134</f>
        <v>0</v>
      </c>
      <c r="BN137" s="14">
        <f t="shared" si="74"/>
        <v>0</v>
      </c>
      <c r="BO137" s="15">
        <f t="shared" si="75"/>
        <v>0</v>
      </c>
      <c r="BP137" s="14">
        <f t="shared" si="76"/>
        <v>20</v>
      </c>
      <c r="BQ137" s="14">
        <f>DISTRIBUSI!J135</f>
        <v>0</v>
      </c>
      <c r="BR137" s="14">
        <f>'PEMAKAIAN UNIT'!J134</f>
        <v>0</v>
      </c>
      <c r="BS137" s="14">
        <f t="shared" si="77"/>
        <v>20</v>
      </c>
      <c r="BT137" s="15">
        <f t="shared" si="78"/>
        <v>10</v>
      </c>
      <c r="BU137" s="14">
        <f t="shared" si="79"/>
        <v>0</v>
      </c>
      <c r="BV137" s="14">
        <f>DISTRIBUSI!K135</f>
        <v>0</v>
      </c>
      <c r="BW137" s="14">
        <f>'PEMAKAIAN UNIT'!K134</f>
        <v>0</v>
      </c>
      <c r="BX137" s="14">
        <f t="shared" si="80"/>
        <v>0</v>
      </c>
      <c r="BY137" s="15">
        <f t="shared" si="81"/>
        <v>0</v>
      </c>
      <c r="BZ137" s="14">
        <f t="shared" si="82"/>
        <v>57</v>
      </c>
      <c r="CA137" s="14">
        <f>DISTRIBUSI!L135</f>
        <v>15</v>
      </c>
      <c r="CB137" s="14">
        <f>'PEMAKAIAN UNIT'!L134</f>
        <v>0</v>
      </c>
      <c r="CC137" s="14">
        <f t="shared" si="83"/>
        <v>72</v>
      </c>
      <c r="CD137" s="15">
        <f t="shared" si="84"/>
        <v>10</v>
      </c>
      <c r="CE137" s="14">
        <f t="shared" si="85"/>
        <v>0</v>
      </c>
      <c r="CF137" s="14">
        <f>DISTRIBUSI!M135</f>
        <v>0</v>
      </c>
      <c r="CG137" s="14">
        <f>'PEMAKAIAN UNIT'!M134</f>
        <v>0</v>
      </c>
      <c r="CH137" s="14">
        <f t="shared" si="86"/>
        <v>0</v>
      </c>
      <c r="CI137" s="15">
        <f t="shared" si="87"/>
        <v>0</v>
      </c>
      <c r="CJ137" s="14">
        <f t="shared" si="88"/>
        <v>0</v>
      </c>
      <c r="CK137" s="14" t="e">
        <f>DISTRIBUSI!#REF!</f>
        <v>#REF!</v>
      </c>
      <c r="CL137" s="14">
        <f>'PEMAKAIAN UNIT'!N134</f>
        <v>0</v>
      </c>
      <c r="CM137" s="14" t="e">
        <f t="shared" si="89"/>
        <v>#REF!</v>
      </c>
      <c r="CN137" s="15" t="e">
        <f t="shared" si="90"/>
        <v>#REF!</v>
      </c>
      <c r="CO137" s="14" t="e">
        <f>DL137+DISTRIBUSI!#REF!-'PEMAKAIAN UNIT'!O134</f>
        <v>#REF!</v>
      </c>
      <c r="CP137" s="15" t="e">
        <f t="shared" si="91"/>
        <v>#REF!</v>
      </c>
      <c r="CQ137" s="226">
        <f t="shared" si="92"/>
        <v>499</v>
      </c>
      <c r="CR137" s="226">
        <f>DISTRIBUSI!R135</f>
        <v>400</v>
      </c>
      <c r="CS137" s="226">
        <f>'PEMAKAIAN UNIT'!P134</f>
        <v>0</v>
      </c>
      <c r="CT137" s="14">
        <f t="shared" si="93"/>
        <v>899</v>
      </c>
      <c r="CU137" s="15">
        <f t="shared" si="94"/>
        <v>598</v>
      </c>
      <c r="CV137" s="14" t="e">
        <f>DN137+DISTRIBUSI!#REF!-'PEMAKAIAN UNIT'!Q134</f>
        <v>#REF!</v>
      </c>
      <c r="CW137" s="15" t="e">
        <f t="shared" si="95"/>
        <v>#REF!</v>
      </c>
      <c r="CX137" s="14">
        <f>DO137+'LPLPO GUDANG'!E140-'LPLPO GUDANG'!G140</f>
        <v>520</v>
      </c>
      <c r="CY137" s="15">
        <f t="shared" si="96"/>
        <v>255</v>
      </c>
      <c r="CZ137" s="28"/>
      <c r="DA137" s="14">
        <v>32</v>
      </c>
      <c r="DB137" s="14">
        <v>18</v>
      </c>
      <c r="DC137" s="14">
        <v>25</v>
      </c>
      <c r="DD137" s="14">
        <v>5</v>
      </c>
      <c r="DE137" s="14">
        <v>16</v>
      </c>
      <c r="DF137" s="14">
        <v>0</v>
      </c>
      <c r="DG137" s="14">
        <v>20</v>
      </c>
      <c r="DH137" s="14">
        <v>0</v>
      </c>
      <c r="DI137" s="14">
        <v>57</v>
      </c>
      <c r="DJ137" s="14">
        <v>0</v>
      </c>
      <c r="DK137" s="14">
        <v>0</v>
      </c>
      <c r="DL137" s="14">
        <v>0</v>
      </c>
      <c r="DM137" s="14">
        <v>499</v>
      </c>
      <c r="DN137" s="14">
        <v>0</v>
      </c>
      <c r="DO137" s="14">
        <v>455</v>
      </c>
      <c r="DP137" s="13">
        <f t="shared" si="97"/>
        <v>1127</v>
      </c>
      <c r="DR137" t="s">
        <v>109</v>
      </c>
      <c r="DU137" s="20" t="e">
        <f t="shared" si="98"/>
        <v>#REF!</v>
      </c>
    </row>
    <row r="138" spans="1:125" customFormat="1" ht="20.149999999999999" customHeight="1" x14ac:dyDescent="0.35">
      <c r="A138" s="84">
        <f t="shared" si="99"/>
        <v>127</v>
      </c>
      <c r="B138" s="142" t="s">
        <v>109</v>
      </c>
      <c r="C138" s="155" t="s">
        <v>108</v>
      </c>
      <c r="D138" s="109">
        <v>0</v>
      </c>
      <c r="E138" s="110">
        <f>'LPLPO GUDANG'!E141</f>
        <v>0</v>
      </c>
      <c r="F138" s="110">
        <f t="shared" si="50"/>
        <v>0</v>
      </c>
      <c r="G138" s="110">
        <f>'PEMAKAIAN UNIT'!R135</f>
        <v>0</v>
      </c>
      <c r="H138" s="14">
        <v>0</v>
      </c>
      <c r="I138" s="14">
        <v>0</v>
      </c>
      <c r="J138" s="14">
        <v>0</v>
      </c>
      <c r="K138" s="14"/>
      <c r="L138" s="14"/>
      <c r="M138" s="14"/>
      <c r="N138" s="14"/>
      <c r="O138" s="14"/>
      <c r="P138" s="14"/>
      <c r="Q138" s="14"/>
      <c r="R138" s="14"/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09">
        <f t="shared" si="51"/>
        <v>0</v>
      </c>
      <c r="Z138" s="109" t="e">
        <f t="shared" si="52"/>
        <v>#REF!</v>
      </c>
      <c r="AA138" s="109" t="e">
        <f t="shared" si="53"/>
        <v>#REF!</v>
      </c>
      <c r="AB138" s="14">
        <v>0</v>
      </c>
      <c r="AC138" s="109" t="e">
        <f t="shared" si="54"/>
        <v>#REF!</v>
      </c>
      <c r="AD138" s="109">
        <f>'LPLPO GUDANG'!H141</f>
        <v>0</v>
      </c>
      <c r="AE138" s="111" t="e">
        <f t="shared" si="55"/>
        <v>#REF!</v>
      </c>
      <c r="AF138" s="212"/>
      <c r="AG138" s="212"/>
      <c r="AH138" s="20"/>
      <c r="AI138" s="14">
        <f t="shared" si="56"/>
        <v>0</v>
      </c>
      <c r="AJ138" s="209" t="e">
        <f t="shared" si="57"/>
        <v>#REF!</v>
      </c>
      <c r="AL138" s="14">
        <f t="shared" si="58"/>
        <v>0</v>
      </c>
      <c r="AM138" s="14">
        <f>DISTRIBUSI!D136</f>
        <v>0</v>
      </c>
      <c r="AN138" s="14">
        <f>'PEMAKAIAN UNIT'!D135</f>
        <v>0</v>
      </c>
      <c r="AO138" s="14">
        <f t="shared" si="59"/>
        <v>0</v>
      </c>
      <c r="AP138" s="15">
        <f t="shared" si="60"/>
        <v>0</v>
      </c>
      <c r="AQ138" s="14">
        <f t="shared" si="61"/>
        <v>0</v>
      </c>
      <c r="AR138" s="14">
        <f>DISTRIBUSI!E136</f>
        <v>0</v>
      </c>
      <c r="AS138" s="14">
        <f>'PEMAKAIAN UNIT'!E135</f>
        <v>0</v>
      </c>
      <c r="AT138" s="14">
        <f t="shared" si="62"/>
        <v>0</v>
      </c>
      <c r="AU138" s="15">
        <f t="shared" si="63"/>
        <v>0</v>
      </c>
      <c r="AV138" s="14">
        <f t="shared" si="64"/>
        <v>0</v>
      </c>
      <c r="AW138" s="14">
        <f>DISTRIBUSI!F136</f>
        <v>0</v>
      </c>
      <c r="AX138" s="14">
        <f>'PEMAKAIAN UNIT'!F135</f>
        <v>0</v>
      </c>
      <c r="AY138" s="14">
        <f t="shared" si="65"/>
        <v>0</v>
      </c>
      <c r="AZ138" s="15">
        <f t="shared" si="66"/>
        <v>0</v>
      </c>
      <c r="BA138" s="14">
        <f t="shared" si="67"/>
        <v>0</v>
      </c>
      <c r="BB138" s="14">
        <f>DISTRIBUSI!G136</f>
        <v>0</v>
      </c>
      <c r="BC138" s="14">
        <f>'PEMAKAIAN UNIT'!G135</f>
        <v>0</v>
      </c>
      <c r="BD138" s="14">
        <f t="shared" si="68"/>
        <v>0</v>
      </c>
      <c r="BE138" s="15">
        <f t="shared" si="69"/>
        <v>0</v>
      </c>
      <c r="BF138" s="14">
        <f t="shared" si="70"/>
        <v>0</v>
      </c>
      <c r="BG138" s="14">
        <f>DISTRIBUSI!H136</f>
        <v>0</v>
      </c>
      <c r="BH138" s="14">
        <f>'PEMAKAIAN UNIT'!H135</f>
        <v>0</v>
      </c>
      <c r="BI138" s="14">
        <f t="shared" si="71"/>
        <v>0</v>
      </c>
      <c r="BJ138" s="15">
        <f t="shared" si="72"/>
        <v>0</v>
      </c>
      <c r="BK138" s="14">
        <f t="shared" si="73"/>
        <v>0</v>
      </c>
      <c r="BL138" s="14">
        <f>DISTRIBUSI!I136</f>
        <v>0</v>
      </c>
      <c r="BM138" s="14">
        <f>'PEMAKAIAN UNIT'!I135</f>
        <v>0</v>
      </c>
      <c r="BN138" s="14">
        <f t="shared" si="74"/>
        <v>0</v>
      </c>
      <c r="BO138" s="15">
        <f t="shared" si="75"/>
        <v>0</v>
      </c>
      <c r="BP138" s="14">
        <f t="shared" si="76"/>
        <v>0</v>
      </c>
      <c r="BQ138" s="14">
        <f>DISTRIBUSI!J136</f>
        <v>0</v>
      </c>
      <c r="BR138" s="14">
        <f>'PEMAKAIAN UNIT'!J135</f>
        <v>0</v>
      </c>
      <c r="BS138" s="14">
        <f t="shared" si="77"/>
        <v>0</v>
      </c>
      <c r="BT138" s="15">
        <f t="shared" si="78"/>
        <v>0</v>
      </c>
      <c r="BU138" s="14">
        <f t="shared" si="79"/>
        <v>0</v>
      </c>
      <c r="BV138" s="14">
        <f>DISTRIBUSI!K136</f>
        <v>0</v>
      </c>
      <c r="BW138" s="14">
        <f>'PEMAKAIAN UNIT'!K135</f>
        <v>0</v>
      </c>
      <c r="BX138" s="14">
        <f t="shared" si="80"/>
        <v>0</v>
      </c>
      <c r="BY138" s="15">
        <f t="shared" si="81"/>
        <v>0</v>
      </c>
      <c r="BZ138" s="14">
        <f t="shared" si="82"/>
        <v>0</v>
      </c>
      <c r="CA138" s="14">
        <f>DISTRIBUSI!L136</f>
        <v>0</v>
      </c>
      <c r="CB138" s="14">
        <f>'PEMAKAIAN UNIT'!L135</f>
        <v>0</v>
      </c>
      <c r="CC138" s="14">
        <f t="shared" si="83"/>
        <v>0</v>
      </c>
      <c r="CD138" s="15">
        <f t="shared" si="84"/>
        <v>0</v>
      </c>
      <c r="CE138" s="14">
        <f t="shared" si="85"/>
        <v>0</v>
      </c>
      <c r="CF138" s="14">
        <f>DISTRIBUSI!M136</f>
        <v>0</v>
      </c>
      <c r="CG138" s="14">
        <f>'PEMAKAIAN UNIT'!M135</f>
        <v>0</v>
      </c>
      <c r="CH138" s="14">
        <f t="shared" si="86"/>
        <v>0</v>
      </c>
      <c r="CI138" s="15">
        <f t="shared" si="87"/>
        <v>0</v>
      </c>
      <c r="CJ138" s="14">
        <f t="shared" si="88"/>
        <v>0</v>
      </c>
      <c r="CK138" s="14" t="e">
        <f>DISTRIBUSI!#REF!</f>
        <v>#REF!</v>
      </c>
      <c r="CL138" s="14">
        <f>'PEMAKAIAN UNIT'!N135</f>
        <v>0</v>
      </c>
      <c r="CM138" s="14" t="e">
        <f t="shared" si="89"/>
        <v>#REF!</v>
      </c>
      <c r="CN138" s="15" t="e">
        <f t="shared" si="90"/>
        <v>#REF!</v>
      </c>
      <c r="CO138" s="14" t="e">
        <f>DL138+DISTRIBUSI!#REF!-'PEMAKAIAN UNIT'!O135</f>
        <v>#REF!</v>
      </c>
      <c r="CP138" s="15" t="e">
        <f t="shared" si="91"/>
        <v>#REF!</v>
      </c>
      <c r="CQ138" s="226">
        <f t="shared" si="92"/>
        <v>0</v>
      </c>
      <c r="CR138" s="226">
        <f>DISTRIBUSI!R136</f>
        <v>0</v>
      </c>
      <c r="CS138" s="226">
        <f>'PEMAKAIAN UNIT'!P135</f>
        <v>0</v>
      </c>
      <c r="CT138" s="14">
        <f t="shared" si="93"/>
        <v>0</v>
      </c>
      <c r="CU138" s="15">
        <f t="shared" si="94"/>
        <v>0</v>
      </c>
      <c r="CV138" s="14" t="e">
        <f>DN138+DISTRIBUSI!#REF!-'PEMAKAIAN UNIT'!Q135</f>
        <v>#REF!</v>
      </c>
      <c r="CW138" s="15" t="e">
        <f t="shared" si="95"/>
        <v>#REF!</v>
      </c>
      <c r="CX138" s="14">
        <f>DO138+'LPLPO GUDANG'!E141-'LPLPO GUDANG'!G141</f>
        <v>0</v>
      </c>
      <c r="CY138" s="15">
        <f t="shared" si="96"/>
        <v>0</v>
      </c>
      <c r="CZ138" s="28"/>
      <c r="DA138" s="14">
        <v>0</v>
      </c>
      <c r="DB138" s="14"/>
      <c r="DC138" s="14">
        <v>0</v>
      </c>
      <c r="DD138" s="14">
        <v>0</v>
      </c>
      <c r="DE138" s="14">
        <v>0</v>
      </c>
      <c r="DF138" s="14"/>
      <c r="DG138" s="14">
        <v>0</v>
      </c>
      <c r="DH138" s="14">
        <v>0</v>
      </c>
      <c r="DI138" s="14">
        <v>0</v>
      </c>
      <c r="DJ138" s="14">
        <v>0</v>
      </c>
      <c r="DK138" s="14">
        <v>0</v>
      </c>
      <c r="DL138" s="14">
        <v>0</v>
      </c>
      <c r="DM138" s="14">
        <v>0</v>
      </c>
      <c r="DN138" s="14">
        <v>0</v>
      </c>
      <c r="DO138" s="14">
        <v>0</v>
      </c>
      <c r="DP138" s="13">
        <f t="shared" si="97"/>
        <v>0</v>
      </c>
      <c r="DR138" t="s">
        <v>109</v>
      </c>
      <c r="DU138" s="20" t="e">
        <f t="shared" si="98"/>
        <v>#REF!</v>
      </c>
    </row>
    <row r="139" spans="1:125" customFormat="1" ht="20.149999999999999" customHeight="1" x14ac:dyDescent="0.35">
      <c r="A139" s="84">
        <f t="shared" si="99"/>
        <v>128</v>
      </c>
      <c r="B139" s="142" t="s">
        <v>110</v>
      </c>
      <c r="C139" s="169" t="s">
        <v>108</v>
      </c>
      <c r="D139" s="109">
        <v>0</v>
      </c>
      <c r="E139" s="110">
        <f>'LPLPO GUDANG'!E142</f>
        <v>200</v>
      </c>
      <c r="F139" s="110">
        <f t="shared" si="50"/>
        <v>200</v>
      </c>
      <c r="G139" s="110">
        <f>'PEMAKAIAN UNIT'!R136</f>
        <v>0</v>
      </c>
      <c r="H139" s="14">
        <v>8</v>
      </c>
      <c r="I139" s="14">
        <v>0</v>
      </c>
      <c r="J139" s="14">
        <v>0</v>
      </c>
      <c r="K139" s="14"/>
      <c r="L139" s="14"/>
      <c r="M139" s="14"/>
      <c r="N139" s="14"/>
      <c r="O139" s="14"/>
      <c r="P139" s="14"/>
      <c r="Q139" s="14"/>
      <c r="R139" s="14"/>
      <c r="S139" s="14">
        <v>0</v>
      </c>
      <c r="T139" s="14">
        <v>0</v>
      </c>
      <c r="U139" s="14">
        <v>3</v>
      </c>
      <c r="V139" s="14">
        <v>0</v>
      </c>
      <c r="W139" s="14">
        <v>0</v>
      </c>
      <c r="X139" s="14">
        <v>0</v>
      </c>
      <c r="Y139" s="109">
        <f t="shared" si="51"/>
        <v>0</v>
      </c>
      <c r="Z139" s="109" t="e">
        <f t="shared" si="52"/>
        <v>#REF!</v>
      </c>
      <c r="AA139" s="109" t="e">
        <f t="shared" si="53"/>
        <v>#REF!</v>
      </c>
      <c r="AB139" s="14">
        <v>473</v>
      </c>
      <c r="AC139" s="109" t="e">
        <f t="shared" si="54"/>
        <v>#REF!</v>
      </c>
      <c r="AD139" s="109">
        <f>'LPLPO GUDANG'!H142</f>
        <v>0</v>
      </c>
      <c r="AE139" s="111" t="e">
        <f t="shared" si="55"/>
        <v>#REF!</v>
      </c>
      <c r="AF139" s="212"/>
      <c r="AG139" s="212"/>
      <c r="AH139" s="20"/>
      <c r="AI139" s="14">
        <f t="shared" si="56"/>
        <v>200</v>
      </c>
      <c r="AJ139" s="209" t="e">
        <f t="shared" si="57"/>
        <v>#REF!</v>
      </c>
      <c r="AL139" s="14">
        <f t="shared" si="58"/>
        <v>9</v>
      </c>
      <c r="AM139" s="14">
        <f>DISTRIBUSI!D137</f>
        <v>0</v>
      </c>
      <c r="AN139" s="14">
        <f>'PEMAKAIAN UNIT'!D136</f>
        <v>0</v>
      </c>
      <c r="AO139" s="14">
        <f t="shared" si="59"/>
        <v>9</v>
      </c>
      <c r="AP139" s="15">
        <f t="shared" si="60"/>
        <v>1</v>
      </c>
      <c r="AQ139" s="14">
        <f t="shared" si="61"/>
        <v>0</v>
      </c>
      <c r="AR139" s="14">
        <f>DISTRIBUSI!E137</f>
        <v>0</v>
      </c>
      <c r="AS139" s="14">
        <f>'PEMAKAIAN UNIT'!E136</f>
        <v>0</v>
      </c>
      <c r="AT139" s="14">
        <f t="shared" si="62"/>
        <v>0</v>
      </c>
      <c r="AU139" s="15">
        <f t="shared" si="63"/>
        <v>0</v>
      </c>
      <c r="AV139" s="14">
        <f t="shared" si="64"/>
        <v>0</v>
      </c>
      <c r="AW139" s="14">
        <f>DISTRIBUSI!F137</f>
        <v>0</v>
      </c>
      <c r="AX139" s="14">
        <f>'PEMAKAIAN UNIT'!F136</f>
        <v>0</v>
      </c>
      <c r="AY139" s="14">
        <f t="shared" si="65"/>
        <v>0</v>
      </c>
      <c r="AZ139" s="15">
        <f t="shared" si="66"/>
        <v>0</v>
      </c>
      <c r="BA139" s="14">
        <f t="shared" si="67"/>
        <v>0</v>
      </c>
      <c r="BB139" s="14">
        <f>DISTRIBUSI!G137</f>
        <v>0</v>
      </c>
      <c r="BC139" s="14">
        <f>'PEMAKAIAN UNIT'!G136</f>
        <v>0</v>
      </c>
      <c r="BD139" s="14">
        <f t="shared" si="68"/>
        <v>0</v>
      </c>
      <c r="BE139" s="15">
        <f t="shared" si="69"/>
        <v>0</v>
      </c>
      <c r="BF139" s="14">
        <f t="shared" si="70"/>
        <v>0</v>
      </c>
      <c r="BG139" s="14">
        <f>DISTRIBUSI!H137</f>
        <v>0</v>
      </c>
      <c r="BH139" s="14">
        <f>'PEMAKAIAN UNIT'!H136</f>
        <v>0</v>
      </c>
      <c r="BI139" s="14">
        <f t="shared" si="71"/>
        <v>0</v>
      </c>
      <c r="BJ139" s="15">
        <f t="shared" si="72"/>
        <v>0</v>
      </c>
      <c r="BK139" s="14">
        <f t="shared" si="73"/>
        <v>3</v>
      </c>
      <c r="BL139" s="14">
        <f>DISTRIBUSI!I137</f>
        <v>0</v>
      </c>
      <c r="BM139" s="14">
        <f>'PEMAKAIAN UNIT'!I136</f>
        <v>0</v>
      </c>
      <c r="BN139" s="14">
        <f t="shared" si="74"/>
        <v>3</v>
      </c>
      <c r="BO139" s="15">
        <f t="shared" si="75"/>
        <v>0</v>
      </c>
      <c r="BP139" s="14">
        <f t="shared" si="76"/>
        <v>0</v>
      </c>
      <c r="BQ139" s="14">
        <f>DISTRIBUSI!J137</f>
        <v>0</v>
      </c>
      <c r="BR139" s="14">
        <f>'PEMAKAIAN UNIT'!J136</f>
        <v>0</v>
      </c>
      <c r="BS139" s="14">
        <f t="shared" si="77"/>
        <v>0</v>
      </c>
      <c r="BT139" s="15">
        <f t="shared" si="78"/>
        <v>0</v>
      </c>
      <c r="BU139" s="14">
        <f t="shared" si="79"/>
        <v>0</v>
      </c>
      <c r="BV139" s="14">
        <f>DISTRIBUSI!K137</f>
        <v>0</v>
      </c>
      <c r="BW139" s="14">
        <f>'PEMAKAIAN UNIT'!K136</f>
        <v>0</v>
      </c>
      <c r="BX139" s="14">
        <f t="shared" si="80"/>
        <v>0</v>
      </c>
      <c r="BY139" s="15">
        <f t="shared" si="81"/>
        <v>0</v>
      </c>
      <c r="BZ139" s="14">
        <f t="shared" si="82"/>
        <v>0</v>
      </c>
      <c r="CA139" s="14">
        <f>DISTRIBUSI!L137</f>
        <v>0</v>
      </c>
      <c r="CB139" s="14">
        <f>'PEMAKAIAN UNIT'!L136</f>
        <v>0</v>
      </c>
      <c r="CC139" s="14">
        <f t="shared" si="83"/>
        <v>0</v>
      </c>
      <c r="CD139" s="15">
        <f t="shared" si="84"/>
        <v>0</v>
      </c>
      <c r="CE139" s="14">
        <f t="shared" si="85"/>
        <v>0</v>
      </c>
      <c r="CF139" s="14">
        <f>DISTRIBUSI!M137</f>
        <v>0</v>
      </c>
      <c r="CG139" s="14">
        <f>'PEMAKAIAN UNIT'!M136</f>
        <v>0</v>
      </c>
      <c r="CH139" s="14">
        <f t="shared" si="86"/>
        <v>0</v>
      </c>
      <c r="CI139" s="15">
        <f t="shared" si="87"/>
        <v>0</v>
      </c>
      <c r="CJ139" s="14">
        <f t="shared" si="88"/>
        <v>0</v>
      </c>
      <c r="CK139" s="14" t="e">
        <f>DISTRIBUSI!#REF!</f>
        <v>#REF!</v>
      </c>
      <c r="CL139" s="14">
        <f>'PEMAKAIAN UNIT'!N136</f>
        <v>0</v>
      </c>
      <c r="CM139" s="14" t="e">
        <f t="shared" si="89"/>
        <v>#REF!</v>
      </c>
      <c r="CN139" s="15" t="e">
        <f t="shared" si="90"/>
        <v>#REF!</v>
      </c>
      <c r="CO139" s="14" t="e">
        <f>DL139+DISTRIBUSI!#REF!-'PEMAKAIAN UNIT'!O136</f>
        <v>#REF!</v>
      </c>
      <c r="CP139" s="15" t="e">
        <f t="shared" si="91"/>
        <v>#REF!</v>
      </c>
      <c r="CQ139" s="226">
        <f t="shared" si="92"/>
        <v>570</v>
      </c>
      <c r="CR139" s="226">
        <f>DISTRIBUSI!R137</f>
        <v>270</v>
      </c>
      <c r="CS139" s="226">
        <f>'PEMAKAIAN UNIT'!P136</f>
        <v>0</v>
      </c>
      <c r="CT139" s="14">
        <f t="shared" si="93"/>
        <v>840</v>
      </c>
      <c r="CU139" s="15">
        <f t="shared" si="94"/>
        <v>367</v>
      </c>
      <c r="CV139" s="14" t="e">
        <f>DN139+DISTRIBUSI!#REF!-'PEMAKAIAN UNIT'!Q136</f>
        <v>#REF!</v>
      </c>
      <c r="CW139" s="15" t="e">
        <f t="shared" si="95"/>
        <v>#REF!</v>
      </c>
      <c r="CX139" s="14">
        <f>DO139+'LPLPO GUDANG'!E142-'LPLPO GUDANG'!G142</f>
        <v>-100</v>
      </c>
      <c r="CY139" s="15">
        <f t="shared" si="96"/>
        <v>-100</v>
      </c>
      <c r="CZ139" s="28"/>
      <c r="DA139" s="14">
        <v>9</v>
      </c>
      <c r="DB139" s="14"/>
      <c r="DC139" s="14">
        <v>0</v>
      </c>
      <c r="DD139" s="14">
        <v>0</v>
      </c>
      <c r="DE139" s="14">
        <v>0</v>
      </c>
      <c r="DF139" s="14">
        <v>3</v>
      </c>
      <c r="DG139" s="14">
        <v>0</v>
      </c>
      <c r="DH139" s="14">
        <v>0</v>
      </c>
      <c r="DI139" s="14">
        <v>0</v>
      </c>
      <c r="DJ139" s="14">
        <v>0</v>
      </c>
      <c r="DK139" s="14">
        <v>0</v>
      </c>
      <c r="DL139" s="14">
        <v>0</v>
      </c>
      <c r="DM139" s="14">
        <v>570</v>
      </c>
      <c r="DN139" s="14">
        <v>0</v>
      </c>
      <c r="DO139" s="14">
        <v>0</v>
      </c>
      <c r="DP139" s="13">
        <f t="shared" si="97"/>
        <v>582</v>
      </c>
      <c r="DR139" t="s">
        <v>110</v>
      </c>
      <c r="DU139" s="20" t="e">
        <f t="shared" si="98"/>
        <v>#REF!</v>
      </c>
    </row>
    <row r="140" spans="1:125" customFormat="1" ht="20.149999999999999" customHeight="1" x14ac:dyDescent="0.35">
      <c r="A140" s="84">
        <f t="shared" si="99"/>
        <v>129</v>
      </c>
      <c r="B140" s="142" t="s">
        <v>112</v>
      </c>
      <c r="C140" s="169" t="s">
        <v>108</v>
      </c>
      <c r="D140" s="109">
        <v>0</v>
      </c>
      <c r="E140" s="110">
        <f>'LPLPO GUDANG'!E143</f>
        <v>1500</v>
      </c>
      <c r="F140" s="110">
        <f t="shared" si="50"/>
        <v>1500</v>
      </c>
      <c r="G140" s="110">
        <f>'PEMAKAIAN UNIT'!R137</f>
        <v>0</v>
      </c>
      <c r="H140" s="14">
        <v>75</v>
      </c>
      <c r="I140" s="14"/>
      <c r="J140" s="14">
        <v>0</v>
      </c>
      <c r="K140" s="14"/>
      <c r="L140" s="14"/>
      <c r="M140" s="14"/>
      <c r="N140" s="14"/>
      <c r="O140" s="14"/>
      <c r="P140" s="14"/>
      <c r="Q140" s="14"/>
      <c r="R140" s="14"/>
      <c r="S140" s="14">
        <v>165</v>
      </c>
      <c r="T140" s="14">
        <v>0</v>
      </c>
      <c r="U140" s="14">
        <v>0</v>
      </c>
      <c r="V140" s="14">
        <v>100</v>
      </c>
      <c r="W140" s="14">
        <v>0</v>
      </c>
      <c r="X140" s="14">
        <v>50</v>
      </c>
      <c r="Y140" s="109">
        <f t="shared" si="51"/>
        <v>0</v>
      </c>
      <c r="Z140" s="109" t="e">
        <f t="shared" si="52"/>
        <v>#REF!</v>
      </c>
      <c r="AA140" s="109" t="e">
        <f t="shared" si="53"/>
        <v>#REF!</v>
      </c>
      <c r="AB140" s="14">
        <v>200</v>
      </c>
      <c r="AC140" s="109" t="e">
        <f t="shared" si="54"/>
        <v>#REF!</v>
      </c>
      <c r="AD140" s="109">
        <f>'LPLPO GUDANG'!H143</f>
        <v>2000</v>
      </c>
      <c r="AE140" s="111" t="e">
        <f t="shared" si="55"/>
        <v>#REF!</v>
      </c>
      <c r="AF140" s="212"/>
      <c r="AG140" s="212"/>
      <c r="AH140" s="20"/>
      <c r="AI140" s="14">
        <f t="shared" si="56"/>
        <v>1500</v>
      </c>
      <c r="AJ140" s="209" t="e">
        <f t="shared" si="57"/>
        <v>#REF!</v>
      </c>
      <c r="AL140" s="14">
        <f t="shared" si="58"/>
        <v>0</v>
      </c>
      <c r="AM140" s="14">
        <f>DISTRIBUSI!D138</f>
        <v>0</v>
      </c>
      <c r="AN140" s="14">
        <f>'PEMAKAIAN UNIT'!D137</f>
        <v>0</v>
      </c>
      <c r="AO140" s="14">
        <f t="shared" si="59"/>
        <v>0</v>
      </c>
      <c r="AP140" s="15">
        <f t="shared" si="60"/>
        <v>-75</v>
      </c>
      <c r="AQ140" s="14">
        <f t="shared" si="61"/>
        <v>0</v>
      </c>
      <c r="AR140" s="14">
        <f>DISTRIBUSI!E138</f>
        <v>0</v>
      </c>
      <c r="AS140" s="14">
        <f>'PEMAKAIAN UNIT'!E137</f>
        <v>0</v>
      </c>
      <c r="AT140" s="14">
        <f t="shared" si="62"/>
        <v>0</v>
      </c>
      <c r="AU140" s="15">
        <f t="shared" si="63"/>
        <v>0</v>
      </c>
      <c r="AV140" s="14">
        <f t="shared" si="64"/>
        <v>50</v>
      </c>
      <c r="AW140" s="14">
        <f>DISTRIBUSI!F138</f>
        <v>0</v>
      </c>
      <c r="AX140" s="14">
        <f>'PEMAKAIAN UNIT'!F137</f>
        <v>0</v>
      </c>
      <c r="AY140" s="14">
        <f t="shared" si="65"/>
        <v>50</v>
      </c>
      <c r="AZ140" s="15">
        <f t="shared" si="66"/>
        <v>50</v>
      </c>
      <c r="BA140" s="14">
        <f t="shared" si="67"/>
        <v>85</v>
      </c>
      <c r="BB140" s="14">
        <f>DISTRIBUSI!G138</f>
        <v>0</v>
      </c>
      <c r="BC140" s="14">
        <f>'PEMAKAIAN UNIT'!G137</f>
        <v>0</v>
      </c>
      <c r="BD140" s="14">
        <f t="shared" si="68"/>
        <v>85</v>
      </c>
      <c r="BE140" s="15">
        <f t="shared" si="69"/>
        <v>-80</v>
      </c>
      <c r="BF140" s="14">
        <f t="shared" si="70"/>
        <v>100</v>
      </c>
      <c r="BG140" s="14">
        <f>DISTRIBUSI!H138</f>
        <v>0</v>
      </c>
      <c r="BH140" s="14">
        <f>'PEMAKAIAN UNIT'!H137</f>
        <v>0</v>
      </c>
      <c r="BI140" s="14">
        <f t="shared" si="71"/>
        <v>100</v>
      </c>
      <c r="BJ140" s="15">
        <f t="shared" si="72"/>
        <v>100</v>
      </c>
      <c r="BK140" s="14">
        <f t="shared" si="73"/>
        <v>0</v>
      </c>
      <c r="BL140" s="14">
        <f>DISTRIBUSI!I138</f>
        <v>0</v>
      </c>
      <c r="BM140" s="14">
        <f>'PEMAKAIAN UNIT'!I137</f>
        <v>0</v>
      </c>
      <c r="BN140" s="14">
        <f t="shared" si="74"/>
        <v>0</v>
      </c>
      <c r="BO140" s="15">
        <f t="shared" si="75"/>
        <v>0</v>
      </c>
      <c r="BP140" s="14">
        <f t="shared" si="76"/>
        <v>100</v>
      </c>
      <c r="BQ140" s="14">
        <f>DISTRIBUSI!J138</f>
        <v>0</v>
      </c>
      <c r="BR140" s="14">
        <f>'PEMAKAIAN UNIT'!J137</f>
        <v>0</v>
      </c>
      <c r="BS140" s="14">
        <f t="shared" si="77"/>
        <v>100</v>
      </c>
      <c r="BT140" s="15">
        <f t="shared" si="78"/>
        <v>0</v>
      </c>
      <c r="BU140" s="14">
        <f t="shared" si="79"/>
        <v>100</v>
      </c>
      <c r="BV140" s="14">
        <f>DISTRIBUSI!K138</f>
        <v>0</v>
      </c>
      <c r="BW140" s="14">
        <f>'PEMAKAIAN UNIT'!K137</f>
        <v>0</v>
      </c>
      <c r="BX140" s="14">
        <f t="shared" si="80"/>
        <v>100</v>
      </c>
      <c r="BY140" s="15">
        <f t="shared" si="81"/>
        <v>100</v>
      </c>
      <c r="BZ140" s="14">
        <f t="shared" si="82"/>
        <v>0</v>
      </c>
      <c r="CA140" s="14">
        <f>DISTRIBUSI!L138</f>
        <v>0</v>
      </c>
      <c r="CB140" s="14">
        <f>'PEMAKAIAN UNIT'!L137</f>
        <v>0</v>
      </c>
      <c r="CC140" s="14">
        <f t="shared" si="83"/>
        <v>0</v>
      </c>
      <c r="CD140" s="15">
        <f t="shared" si="84"/>
        <v>-50</v>
      </c>
      <c r="CE140" s="14">
        <f t="shared" si="85"/>
        <v>0</v>
      </c>
      <c r="CF140" s="14">
        <f>DISTRIBUSI!M138</f>
        <v>0</v>
      </c>
      <c r="CG140" s="14">
        <f>'PEMAKAIAN UNIT'!M137</f>
        <v>0</v>
      </c>
      <c r="CH140" s="14">
        <f t="shared" si="86"/>
        <v>0</v>
      </c>
      <c r="CI140" s="15">
        <f t="shared" si="87"/>
        <v>0</v>
      </c>
      <c r="CJ140" s="14">
        <f t="shared" si="88"/>
        <v>0</v>
      </c>
      <c r="CK140" s="14" t="e">
        <f>DISTRIBUSI!#REF!</f>
        <v>#REF!</v>
      </c>
      <c r="CL140" s="14">
        <f>'PEMAKAIAN UNIT'!N137</f>
        <v>0</v>
      </c>
      <c r="CM140" s="14" t="e">
        <f t="shared" si="89"/>
        <v>#REF!</v>
      </c>
      <c r="CN140" s="15" t="e">
        <f t="shared" si="90"/>
        <v>#REF!</v>
      </c>
      <c r="CO140" s="14" t="e">
        <f>DL140+DISTRIBUSI!#REF!-'PEMAKAIAN UNIT'!O137</f>
        <v>#REF!</v>
      </c>
      <c r="CP140" s="15" t="e">
        <f t="shared" si="91"/>
        <v>#REF!</v>
      </c>
      <c r="CQ140" s="226">
        <f t="shared" si="92"/>
        <v>500</v>
      </c>
      <c r="CR140" s="226">
        <f>DISTRIBUSI!R138</f>
        <v>0</v>
      </c>
      <c r="CS140" s="226">
        <f>'PEMAKAIAN UNIT'!P137</f>
        <v>0</v>
      </c>
      <c r="CT140" s="14">
        <f t="shared" si="93"/>
        <v>500</v>
      </c>
      <c r="CU140" s="15">
        <f t="shared" si="94"/>
        <v>300</v>
      </c>
      <c r="CV140" s="14" t="e">
        <f>DN140+DISTRIBUSI!#REF!-'PEMAKAIAN UNIT'!Q137</f>
        <v>#REF!</v>
      </c>
      <c r="CW140" s="15" t="e">
        <f t="shared" si="95"/>
        <v>#REF!</v>
      </c>
      <c r="CX140" s="14">
        <f>DO140+'LPLPO GUDANG'!E143-'LPLPO GUDANG'!G143</f>
        <v>600</v>
      </c>
      <c r="CY140" s="15">
        <f t="shared" si="96"/>
        <v>-1400</v>
      </c>
      <c r="CZ140" s="28"/>
      <c r="DA140" s="14">
        <v>0</v>
      </c>
      <c r="DB140" s="14">
        <v>0</v>
      </c>
      <c r="DC140" s="14">
        <v>50</v>
      </c>
      <c r="DD140" s="14">
        <v>85</v>
      </c>
      <c r="DE140" s="14">
        <v>100</v>
      </c>
      <c r="DF140" s="14"/>
      <c r="DG140" s="14">
        <v>100</v>
      </c>
      <c r="DH140" s="14">
        <v>100</v>
      </c>
      <c r="DI140" s="14">
        <v>0</v>
      </c>
      <c r="DJ140" s="14">
        <v>0</v>
      </c>
      <c r="DK140" s="14">
        <v>0</v>
      </c>
      <c r="DL140" s="14">
        <v>0</v>
      </c>
      <c r="DM140" s="14">
        <v>500</v>
      </c>
      <c r="DN140" s="14">
        <v>0</v>
      </c>
      <c r="DO140" s="14">
        <v>100</v>
      </c>
      <c r="DP140" s="13">
        <f t="shared" si="97"/>
        <v>1035</v>
      </c>
      <c r="DR140" t="s">
        <v>112</v>
      </c>
      <c r="DU140" s="20" t="e">
        <f t="shared" si="98"/>
        <v>#REF!</v>
      </c>
    </row>
    <row r="141" spans="1:125" customFormat="1" ht="20.149999999999999" customHeight="1" x14ac:dyDescent="0.35">
      <c r="A141" s="84">
        <f t="shared" si="99"/>
        <v>130</v>
      </c>
      <c r="B141" s="142" t="s">
        <v>113</v>
      </c>
      <c r="C141" s="154" t="s">
        <v>48</v>
      </c>
      <c r="D141" s="109">
        <v>0</v>
      </c>
      <c r="E141" s="110">
        <f>'LPLPO GUDANG'!E144</f>
        <v>0</v>
      </c>
      <c r="F141" s="110">
        <f t="shared" ref="F141:F178" si="100">SUM(D141:E141)</f>
        <v>0</v>
      </c>
      <c r="G141" s="110">
        <f>'PEMAKAIAN UNIT'!R138</f>
        <v>0</v>
      </c>
      <c r="H141" s="14">
        <v>1</v>
      </c>
      <c r="I141" s="14">
        <v>1</v>
      </c>
      <c r="J141" s="14">
        <v>0</v>
      </c>
      <c r="K141" s="14"/>
      <c r="L141" s="14"/>
      <c r="M141" s="14"/>
      <c r="N141" s="14"/>
      <c r="O141" s="14"/>
      <c r="P141" s="14"/>
      <c r="Q141" s="14"/>
      <c r="R141" s="14"/>
      <c r="S141" s="14">
        <v>0</v>
      </c>
      <c r="T141" s="14">
        <v>0</v>
      </c>
      <c r="U141" s="14">
        <v>0</v>
      </c>
      <c r="V141" s="14">
        <v>1</v>
      </c>
      <c r="W141" s="14">
        <v>0</v>
      </c>
      <c r="X141" s="14">
        <v>0</v>
      </c>
      <c r="Y141" s="109">
        <f t="shared" ref="Y141:Y178" si="101">CH141</f>
        <v>0</v>
      </c>
      <c r="Z141" s="109" t="e">
        <f t="shared" ref="Z141:Z178" si="102">CM141</f>
        <v>#REF!</v>
      </c>
      <c r="AA141" s="109" t="e">
        <f t="shared" ref="AA141:AA178" si="103">CO141</f>
        <v>#REF!</v>
      </c>
      <c r="AB141" s="14">
        <v>10</v>
      </c>
      <c r="AC141" s="109" t="e">
        <f t="shared" ref="AC141:AC178" si="104">CV141</f>
        <v>#REF!</v>
      </c>
      <c r="AD141" s="109">
        <f>'LPLPO GUDANG'!H144</f>
        <v>6</v>
      </c>
      <c r="AE141" s="111" t="e">
        <f t="shared" ref="AE141:AE178" si="105">SUM(H141:AD141)</f>
        <v>#REF!</v>
      </c>
      <c r="AF141" s="212"/>
      <c r="AG141" s="212"/>
      <c r="AH141" s="20"/>
      <c r="AI141" s="14">
        <f t="shared" ref="AI141:AI183" si="106">F141-G141</f>
        <v>0</v>
      </c>
      <c r="AJ141" s="209" t="e">
        <f t="shared" ref="AJ141:AJ183" si="107">AE141-AI141</f>
        <v>#REF!</v>
      </c>
      <c r="AL141" s="14">
        <f t="shared" ref="AL141:AL181" si="108">DA141</f>
        <v>0</v>
      </c>
      <c r="AM141" s="14">
        <f>DISTRIBUSI!D139</f>
        <v>0</v>
      </c>
      <c r="AN141" s="14">
        <f>'PEMAKAIAN UNIT'!D138</f>
        <v>0</v>
      </c>
      <c r="AO141" s="14">
        <f t="shared" ref="AO141:AO181" si="109">AL141+AM141-AN141</f>
        <v>0</v>
      </c>
      <c r="AP141" s="15">
        <f t="shared" ref="AP141:AP181" si="110">AO141-H141</f>
        <v>-1</v>
      </c>
      <c r="AQ141" s="14">
        <f t="shared" ref="AQ141:AQ181" si="111">DB141</f>
        <v>0</v>
      </c>
      <c r="AR141" s="14">
        <f>DISTRIBUSI!E139</f>
        <v>0</v>
      </c>
      <c r="AS141" s="14">
        <f>'PEMAKAIAN UNIT'!E138</f>
        <v>0</v>
      </c>
      <c r="AT141" s="14">
        <f t="shared" ref="AT141:AT181" si="112">AQ141+AR141-AS141</f>
        <v>0</v>
      </c>
      <c r="AU141" s="15">
        <f t="shared" ref="AU141:AU181" si="113">AT141-I141</f>
        <v>-1</v>
      </c>
      <c r="AV141" s="14">
        <f t="shared" ref="AV141:AV181" si="114">DC141</f>
        <v>13</v>
      </c>
      <c r="AW141" s="14">
        <f>DISTRIBUSI!F139</f>
        <v>0</v>
      </c>
      <c r="AX141" s="14">
        <f>'PEMAKAIAN UNIT'!F138</f>
        <v>0</v>
      </c>
      <c r="AY141" s="14">
        <f t="shared" ref="AY141:AY181" si="115">AV141+AW141-AX141</f>
        <v>13</v>
      </c>
      <c r="AZ141" s="15">
        <f t="shared" ref="AZ141:AZ181" si="116">AY141-J141</f>
        <v>13</v>
      </c>
      <c r="BA141" s="14">
        <f t="shared" ref="BA141:BA181" si="117">DD141</f>
        <v>3</v>
      </c>
      <c r="BB141" s="14">
        <f>DISTRIBUSI!G139</f>
        <v>0</v>
      </c>
      <c r="BC141" s="14">
        <f>'PEMAKAIAN UNIT'!G138</f>
        <v>0</v>
      </c>
      <c r="BD141" s="14">
        <f t="shared" ref="BD141:BD181" si="118">BA141+BB141-BC141</f>
        <v>3</v>
      </c>
      <c r="BE141" s="15">
        <f t="shared" ref="BE141:BE181" si="119">BD141-S141</f>
        <v>3</v>
      </c>
      <c r="BF141" s="14">
        <f t="shared" ref="BF141:BF181" si="120">DE141</f>
        <v>0</v>
      </c>
      <c r="BG141" s="14">
        <f>DISTRIBUSI!H139</f>
        <v>0</v>
      </c>
      <c r="BH141" s="14">
        <f>'PEMAKAIAN UNIT'!H138</f>
        <v>0</v>
      </c>
      <c r="BI141" s="14">
        <f t="shared" ref="BI141:BI181" si="121">BF141+BG141-BH141</f>
        <v>0</v>
      </c>
      <c r="BJ141" s="15">
        <f t="shared" ref="BJ141:BJ181" si="122">BI141-T141</f>
        <v>0</v>
      </c>
      <c r="BK141" s="14">
        <f t="shared" ref="BK141:BK181" si="123">DF141</f>
        <v>0</v>
      </c>
      <c r="BL141" s="14">
        <f>DISTRIBUSI!I139</f>
        <v>0</v>
      </c>
      <c r="BM141" s="14">
        <f>'PEMAKAIAN UNIT'!I138</f>
        <v>0</v>
      </c>
      <c r="BN141" s="14">
        <f t="shared" ref="BN141:BN181" si="124">BK141+BL141-BM141</f>
        <v>0</v>
      </c>
      <c r="BO141" s="15">
        <f t="shared" ref="BO141:BO181" si="125">BN141-U141</f>
        <v>0</v>
      </c>
      <c r="BP141" s="14">
        <f t="shared" ref="BP141:BP181" si="126">DG141</f>
        <v>0</v>
      </c>
      <c r="BQ141" s="14">
        <f>DISTRIBUSI!J139</f>
        <v>0</v>
      </c>
      <c r="BR141" s="14">
        <f>'PEMAKAIAN UNIT'!J138</f>
        <v>0</v>
      </c>
      <c r="BS141" s="14">
        <f t="shared" ref="BS141:BS181" si="127">BP141+BQ141-BR141</f>
        <v>0</v>
      </c>
      <c r="BT141" s="15">
        <f t="shared" ref="BT141:BT181" si="128">BS141-V141</f>
        <v>-1</v>
      </c>
      <c r="BU141" s="14">
        <f t="shared" ref="BU141:BU181" si="129">DH141</f>
        <v>0</v>
      </c>
      <c r="BV141" s="14">
        <f>DISTRIBUSI!K139</f>
        <v>0</v>
      </c>
      <c r="BW141" s="14">
        <f>'PEMAKAIAN UNIT'!K138</f>
        <v>0</v>
      </c>
      <c r="BX141" s="14">
        <f t="shared" ref="BX141:BX181" si="130">BU141+BV141-BW141</f>
        <v>0</v>
      </c>
      <c r="BY141" s="15">
        <f t="shared" ref="BY141:BY181" si="131">BX141-W141</f>
        <v>0</v>
      </c>
      <c r="BZ141" s="14">
        <f t="shared" ref="BZ141:BZ181" si="132">DI141</f>
        <v>0</v>
      </c>
      <c r="CA141" s="14">
        <f>DISTRIBUSI!L139</f>
        <v>0</v>
      </c>
      <c r="CB141" s="14">
        <f>'PEMAKAIAN UNIT'!L138</f>
        <v>0</v>
      </c>
      <c r="CC141" s="14">
        <f t="shared" ref="CC141:CC181" si="133">BZ141+CA141-CB141</f>
        <v>0</v>
      </c>
      <c r="CD141" s="15">
        <f t="shared" ref="CD141:CD181" si="134">CC141-X141</f>
        <v>0</v>
      </c>
      <c r="CE141" s="14">
        <f t="shared" ref="CE141:CE181" si="135">DJ141</f>
        <v>0</v>
      </c>
      <c r="CF141" s="14">
        <f>DISTRIBUSI!M139</f>
        <v>0</v>
      </c>
      <c r="CG141" s="14">
        <f>'PEMAKAIAN UNIT'!M138</f>
        <v>0</v>
      </c>
      <c r="CH141" s="14">
        <f t="shared" ref="CH141:CH181" si="136">CE141+CF141-CG141</f>
        <v>0</v>
      </c>
      <c r="CI141" s="15">
        <f t="shared" ref="CI141:CI181" si="137">CH141-Y141</f>
        <v>0</v>
      </c>
      <c r="CJ141" s="14">
        <f t="shared" ref="CJ141:CJ181" si="138">DK141</f>
        <v>0</v>
      </c>
      <c r="CK141" s="14" t="e">
        <f>DISTRIBUSI!#REF!</f>
        <v>#REF!</v>
      </c>
      <c r="CL141" s="14">
        <f>'PEMAKAIAN UNIT'!N138</f>
        <v>0</v>
      </c>
      <c r="CM141" s="14" t="e">
        <f t="shared" ref="CM141:CM181" si="139">CJ141+CK141-CL141</f>
        <v>#REF!</v>
      </c>
      <c r="CN141" s="15" t="e">
        <f t="shared" ref="CN141:CN181" si="140">CM141-Z141</f>
        <v>#REF!</v>
      </c>
      <c r="CO141" s="14" t="e">
        <f>DL141+DISTRIBUSI!#REF!-'PEMAKAIAN UNIT'!O138</f>
        <v>#REF!</v>
      </c>
      <c r="CP141" s="15" t="e">
        <f t="shared" ref="CP141:CP181" si="141">CO141-AA141</f>
        <v>#REF!</v>
      </c>
      <c r="CQ141" s="226">
        <f t="shared" ref="CQ141:CQ181" si="142">DM141</f>
        <v>8</v>
      </c>
      <c r="CR141" s="226">
        <f>DISTRIBUSI!R139</f>
        <v>0</v>
      </c>
      <c r="CS141" s="226">
        <f>'PEMAKAIAN UNIT'!P138</f>
        <v>0</v>
      </c>
      <c r="CT141" s="14">
        <f t="shared" ref="CT141:CT181" si="143">CQ141+CR141-CS141</f>
        <v>8</v>
      </c>
      <c r="CU141" s="15">
        <f t="shared" ref="CU141:CU181" si="144">CT141-AB141</f>
        <v>-2</v>
      </c>
      <c r="CV141" s="14" t="e">
        <f>DN141+DISTRIBUSI!#REF!-'PEMAKAIAN UNIT'!Q138</f>
        <v>#REF!</v>
      </c>
      <c r="CW141" s="15" t="e">
        <f t="shared" ref="CW141:CW181" si="145">CV141-AC141</f>
        <v>#REF!</v>
      </c>
      <c r="CX141" s="14">
        <f>DO141+'LPLPO GUDANG'!E144-'LPLPO GUDANG'!G144</f>
        <v>-1</v>
      </c>
      <c r="CY141" s="15">
        <f t="shared" ref="CY141:CY181" si="146">CX141-AD141</f>
        <v>-7</v>
      </c>
      <c r="CZ141" s="28"/>
      <c r="DA141" s="14">
        <v>0</v>
      </c>
      <c r="DB141" s="14">
        <v>0</v>
      </c>
      <c r="DC141" s="14">
        <v>13</v>
      </c>
      <c r="DD141" s="14">
        <v>3</v>
      </c>
      <c r="DE141" s="14">
        <v>0</v>
      </c>
      <c r="DF141" s="14"/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4">
        <v>0</v>
      </c>
      <c r="DM141" s="14">
        <v>8</v>
      </c>
      <c r="DN141" s="14">
        <v>0</v>
      </c>
      <c r="DO141" s="14">
        <v>3</v>
      </c>
      <c r="DP141" s="13">
        <f t="shared" ref="DP141:DP183" si="147">SUM(DA141:DO141)</f>
        <v>27</v>
      </c>
      <c r="DR141" t="s">
        <v>113</v>
      </c>
      <c r="DU141" s="20" t="e">
        <f t="shared" ref="DU141:DU204" si="148">H141+I141+J141+S141+T141+U141+V141+W141+X141+Y141+Z141+AA141+AC141</f>
        <v>#REF!</v>
      </c>
    </row>
    <row r="142" spans="1:125" customFormat="1" ht="20.149999999999999" customHeight="1" x14ac:dyDescent="0.35">
      <c r="A142" s="84">
        <f t="shared" ref="A142:A178" si="149">A141+1</f>
        <v>131</v>
      </c>
      <c r="B142" s="142" t="s">
        <v>16</v>
      </c>
      <c r="C142" s="170" t="s">
        <v>48</v>
      </c>
      <c r="D142" s="109">
        <v>0</v>
      </c>
      <c r="E142" s="110">
        <f>'LPLPO GUDANG'!E145</f>
        <v>20</v>
      </c>
      <c r="F142" s="110">
        <f t="shared" si="100"/>
        <v>20</v>
      </c>
      <c r="G142" s="110">
        <f>'PEMAKAIAN UNIT'!R139</f>
        <v>0</v>
      </c>
      <c r="H142" s="14">
        <v>0</v>
      </c>
      <c r="I142" s="14">
        <v>0</v>
      </c>
      <c r="J142" s="14">
        <v>0</v>
      </c>
      <c r="K142" s="14"/>
      <c r="L142" s="14"/>
      <c r="M142" s="14"/>
      <c r="N142" s="14"/>
      <c r="O142" s="14"/>
      <c r="P142" s="14"/>
      <c r="Q142" s="14"/>
      <c r="R142" s="14"/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09">
        <f t="shared" si="101"/>
        <v>0</v>
      </c>
      <c r="Z142" s="109" t="e">
        <f t="shared" si="102"/>
        <v>#REF!</v>
      </c>
      <c r="AA142" s="109" t="e">
        <f t="shared" si="103"/>
        <v>#REF!</v>
      </c>
      <c r="AB142" s="14">
        <v>11</v>
      </c>
      <c r="AC142" s="109" t="e">
        <f t="shared" si="104"/>
        <v>#REF!</v>
      </c>
      <c r="AD142" s="109">
        <f>'LPLPO GUDANG'!H145</f>
        <v>0</v>
      </c>
      <c r="AE142" s="111" t="e">
        <f t="shared" si="105"/>
        <v>#REF!</v>
      </c>
      <c r="AF142" s="212"/>
      <c r="AG142" s="212"/>
      <c r="AH142" s="20"/>
      <c r="AI142" s="14">
        <f t="shared" si="106"/>
        <v>20</v>
      </c>
      <c r="AJ142" s="209" t="e">
        <f t="shared" si="107"/>
        <v>#REF!</v>
      </c>
      <c r="AL142" s="14">
        <f t="shared" si="108"/>
        <v>0</v>
      </c>
      <c r="AM142" s="14">
        <f>DISTRIBUSI!D140</f>
        <v>0</v>
      </c>
      <c r="AN142" s="14">
        <f>'PEMAKAIAN UNIT'!D139</f>
        <v>0</v>
      </c>
      <c r="AO142" s="14">
        <f t="shared" si="109"/>
        <v>0</v>
      </c>
      <c r="AP142" s="15">
        <f t="shared" si="110"/>
        <v>0</v>
      </c>
      <c r="AQ142" s="14">
        <f t="shared" si="111"/>
        <v>0</v>
      </c>
      <c r="AR142" s="14">
        <f>DISTRIBUSI!E140</f>
        <v>0</v>
      </c>
      <c r="AS142" s="14">
        <f>'PEMAKAIAN UNIT'!E139</f>
        <v>0</v>
      </c>
      <c r="AT142" s="14">
        <f t="shared" si="112"/>
        <v>0</v>
      </c>
      <c r="AU142" s="15">
        <f t="shared" si="113"/>
        <v>0</v>
      </c>
      <c r="AV142" s="14">
        <f t="shared" si="114"/>
        <v>0</v>
      </c>
      <c r="AW142" s="14">
        <f>DISTRIBUSI!F140</f>
        <v>0</v>
      </c>
      <c r="AX142" s="14">
        <f>'PEMAKAIAN UNIT'!F139</f>
        <v>0</v>
      </c>
      <c r="AY142" s="14">
        <f t="shared" si="115"/>
        <v>0</v>
      </c>
      <c r="AZ142" s="15">
        <f t="shared" si="116"/>
        <v>0</v>
      </c>
      <c r="BA142" s="14">
        <f t="shared" si="117"/>
        <v>0</v>
      </c>
      <c r="BB142" s="14">
        <f>DISTRIBUSI!G140</f>
        <v>0</v>
      </c>
      <c r="BC142" s="14">
        <f>'PEMAKAIAN UNIT'!G139</f>
        <v>0</v>
      </c>
      <c r="BD142" s="14">
        <f t="shared" si="118"/>
        <v>0</v>
      </c>
      <c r="BE142" s="15">
        <f t="shared" si="119"/>
        <v>0</v>
      </c>
      <c r="BF142" s="14">
        <f t="shared" si="120"/>
        <v>0</v>
      </c>
      <c r="BG142" s="14">
        <f>DISTRIBUSI!H140</f>
        <v>0</v>
      </c>
      <c r="BH142" s="14">
        <f>'PEMAKAIAN UNIT'!H139</f>
        <v>0</v>
      </c>
      <c r="BI142" s="14">
        <f t="shared" si="121"/>
        <v>0</v>
      </c>
      <c r="BJ142" s="15">
        <f t="shared" si="122"/>
        <v>0</v>
      </c>
      <c r="BK142" s="14">
        <f t="shared" si="123"/>
        <v>0</v>
      </c>
      <c r="BL142" s="14">
        <f>DISTRIBUSI!I140</f>
        <v>0</v>
      </c>
      <c r="BM142" s="14">
        <f>'PEMAKAIAN UNIT'!I139</f>
        <v>0</v>
      </c>
      <c r="BN142" s="14">
        <f t="shared" si="124"/>
        <v>0</v>
      </c>
      <c r="BO142" s="15">
        <f t="shared" si="125"/>
        <v>0</v>
      </c>
      <c r="BP142" s="14">
        <f t="shared" si="126"/>
        <v>0</v>
      </c>
      <c r="BQ142" s="14">
        <f>DISTRIBUSI!J140</f>
        <v>0</v>
      </c>
      <c r="BR142" s="14">
        <f>'PEMAKAIAN UNIT'!J139</f>
        <v>0</v>
      </c>
      <c r="BS142" s="14">
        <f t="shared" si="127"/>
        <v>0</v>
      </c>
      <c r="BT142" s="15">
        <f t="shared" si="128"/>
        <v>0</v>
      </c>
      <c r="BU142" s="14">
        <f t="shared" si="129"/>
        <v>0</v>
      </c>
      <c r="BV142" s="14">
        <f>DISTRIBUSI!K140</f>
        <v>0</v>
      </c>
      <c r="BW142" s="14">
        <f>'PEMAKAIAN UNIT'!K139</f>
        <v>0</v>
      </c>
      <c r="BX142" s="14">
        <f t="shared" si="130"/>
        <v>0</v>
      </c>
      <c r="BY142" s="15">
        <f t="shared" si="131"/>
        <v>0</v>
      </c>
      <c r="BZ142" s="14">
        <f t="shared" si="132"/>
        <v>0</v>
      </c>
      <c r="CA142" s="14">
        <f>DISTRIBUSI!L140</f>
        <v>0</v>
      </c>
      <c r="CB142" s="14">
        <f>'PEMAKAIAN UNIT'!L139</f>
        <v>0</v>
      </c>
      <c r="CC142" s="14">
        <f t="shared" si="133"/>
        <v>0</v>
      </c>
      <c r="CD142" s="15">
        <f t="shared" si="134"/>
        <v>0</v>
      </c>
      <c r="CE142" s="14">
        <f t="shared" si="135"/>
        <v>0</v>
      </c>
      <c r="CF142" s="14">
        <f>DISTRIBUSI!M140</f>
        <v>0</v>
      </c>
      <c r="CG142" s="14">
        <f>'PEMAKAIAN UNIT'!M139</f>
        <v>0</v>
      </c>
      <c r="CH142" s="14">
        <f t="shared" si="136"/>
        <v>0</v>
      </c>
      <c r="CI142" s="15">
        <f t="shared" si="137"/>
        <v>0</v>
      </c>
      <c r="CJ142" s="14">
        <f t="shared" si="138"/>
        <v>0</v>
      </c>
      <c r="CK142" s="14" t="e">
        <f>DISTRIBUSI!#REF!</f>
        <v>#REF!</v>
      </c>
      <c r="CL142" s="14">
        <f>'PEMAKAIAN UNIT'!N139</f>
        <v>0</v>
      </c>
      <c r="CM142" s="14" t="e">
        <f t="shared" si="139"/>
        <v>#REF!</v>
      </c>
      <c r="CN142" s="15" t="e">
        <f t="shared" si="140"/>
        <v>#REF!</v>
      </c>
      <c r="CO142" s="14" t="e">
        <f>DL142+DISTRIBUSI!#REF!-'PEMAKAIAN UNIT'!O139</f>
        <v>#REF!</v>
      </c>
      <c r="CP142" s="15" t="e">
        <f t="shared" si="141"/>
        <v>#REF!</v>
      </c>
      <c r="CQ142" s="226">
        <f t="shared" si="142"/>
        <v>42</v>
      </c>
      <c r="CR142" s="226">
        <f>DISTRIBUSI!R140</f>
        <v>20</v>
      </c>
      <c r="CS142" s="226">
        <f>'PEMAKAIAN UNIT'!P139</f>
        <v>0</v>
      </c>
      <c r="CT142" s="14">
        <f t="shared" si="143"/>
        <v>62</v>
      </c>
      <c r="CU142" s="15">
        <f t="shared" si="144"/>
        <v>51</v>
      </c>
      <c r="CV142" s="14" t="e">
        <f>DN142+DISTRIBUSI!#REF!-'PEMAKAIAN UNIT'!Q139</f>
        <v>#REF!</v>
      </c>
      <c r="CW142" s="15" t="e">
        <f t="shared" si="145"/>
        <v>#REF!</v>
      </c>
      <c r="CX142" s="14">
        <f>DO142+'LPLPO GUDANG'!E145-'LPLPO GUDANG'!G145</f>
        <v>0</v>
      </c>
      <c r="CY142" s="15">
        <f t="shared" si="146"/>
        <v>0</v>
      </c>
      <c r="CZ142" s="28"/>
      <c r="DA142" s="14">
        <v>0</v>
      </c>
      <c r="DB142" s="14"/>
      <c r="DC142" s="14">
        <v>0</v>
      </c>
      <c r="DD142" s="14">
        <v>0</v>
      </c>
      <c r="DE142" s="14">
        <v>0</v>
      </c>
      <c r="DF142" s="14"/>
      <c r="DG142" s="14">
        <v>0</v>
      </c>
      <c r="DH142" s="14">
        <v>0</v>
      </c>
      <c r="DI142" s="14">
        <v>0</v>
      </c>
      <c r="DJ142" s="14">
        <v>0</v>
      </c>
      <c r="DK142" s="14">
        <v>0</v>
      </c>
      <c r="DL142" s="14">
        <v>0</v>
      </c>
      <c r="DM142" s="14">
        <v>42</v>
      </c>
      <c r="DN142" s="14">
        <v>0</v>
      </c>
      <c r="DO142" s="14">
        <v>0</v>
      </c>
      <c r="DP142" s="13">
        <f t="shared" si="147"/>
        <v>42</v>
      </c>
      <c r="DR142" t="s">
        <v>16</v>
      </c>
      <c r="DU142" s="20" t="e">
        <f t="shared" si="148"/>
        <v>#REF!</v>
      </c>
    </row>
    <row r="143" spans="1:125" customFormat="1" ht="20.149999999999999" customHeight="1" x14ac:dyDescent="0.35">
      <c r="A143" s="84">
        <f t="shared" si="149"/>
        <v>132</v>
      </c>
      <c r="B143" s="142" t="s">
        <v>425</v>
      </c>
      <c r="C143" s="170" t="s">
        <v>108</v>
      </c>
      <c r="D143" s="109">
        <v>0</v>
      </c>
      <c r="E143" s="110">
        <f>'LPLPO GUDANG'!E146</f>
        <v>0</v>
      </c>
      <c r="F143" s="110">
        <f t="shared" si="100"/>
        <v>0</v>
      </c>
      <c r="G143" s="110">
        <f>'PEMAKAIAN UNIT'!R140</f>
        <v>0</v>
      </c>
      <c r="H143" s="14">
        <v>0</v>
      </c>
      <c r="I143" s="14">
        <v>0</v>
      </c>
      <c r="J143" s="14">
        <v>0</v>
      </c>
      <c r="K143" s="14"/>
      <c r="L143" s="14"/>
      <c r="M143" s="14"/>
      <c r="N143" s="14"/>
      <c r="O143" s="14"/>
      <c r="P143" s="14"/>
      <c r="Q143" s="14"/>
      <c r="R143" s="14"/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09">
        <f t="shared" si="101"/>
        <v>0</v>
      </c>
      <c r="Z143" s="109" t="e">
        <f t="shared" si="102"/>
        <v>#REF!</v>
      </c>
      <c r="AA143" s="109" t="e">
        <f t="shared" si="103"/>
        <v>#REF!</v>
      </c>
      <c r="AB143" s="14">
        <v>0</v>
      </c>
      <c r="AC143" s="109" t="e">
        <f t="shared" si="104"/>
        <v>#REF!</v>
      </c>
      <c r="AD143" s="109">
        <f>'LPLPO GUDANG'!H146</f>
        <v>0</v>
      </c>
      <c r="AE143" s="111" t="e">
        <f t="shared" si="105"/>
        <v>#REF!</v>
      </c>
      <c r="AF143" s="212"/>
      <c r="AG143" s="212"/>
      <c r="AH143" s="20"/>
      <c r="AI143" s="14">
        <f t="shared" si="106"/>
        <v>0</v>
      </c>
      <c r="AJ143" s="209" t="e">
        <f t="shared" si="107"/>
        <v>#REF!</v>
      </c>
      <c r="AL143" s="14">
        <f t="shared" si="108"/>
        <v>0</v>
      </c>
      <c r="AM143" s="14">
        <f>DISTRIBUSI!D141</f>
        <v>0</v>
      </c>
      <c r="AN143" s="14">
        <f>'PEMAKAIAN UNIT'!D140</f>
        <v>0</v>
      </c>
      <c r="AO143" s="14">
        <f t="shared" si="109"/>
        <v>0</v>
      </c>
      <c r="AP143" s="15">
        <f t="shared" si="110"/>
        <v>0</v>
      </c>
      <c r="AQ143" s="14">
        <f t="shared" si="111"/>
        <v>0</v>
      </c>
      <c r="AR143" s="14">
        <f>DISTRIBUSI!E141</f>
        <v>0</v>
      </c>
      <c r="AS143" s="14">
        <f>'PEMAKAIAN UNIT'!E140</f>
        <v>0</v>
      </c>
      <c r="AT143" s="14">
        <f t="shared" si="112"/>
        <v>0</v>
      </c>
      <c r="AU143" s="15">
        <f t="shared" si="113"/>
        <v>0</v>
      </c>
      <c r="AV143" s="14">
        <f t="shared" si="114"/>
        <v>0</v>
      </c>
      <c r="AW143" s="14">
        <f>DISTRIBUSI!F141</f>
        <v>0</v>
      </c>
      <c r="AX143" s="14">
        <f>'PEMAKAIAN UNIT'!F140</f>
        <v>0</v>
      </c>
      <c r="AY143" s="14">
        <f t="shared" si="115"/>
        <v>0</v>
      </c>
      <c r="AZ143" s="15">
        <f t="shared" si="116"/>
        <v>0</v>
      </c>
      <c r="BA143" s="14">
        <f t="shared" si="117"/>
        <v>0</v>
      </c>
      <c r="BB143" s="14">
        <f>DISTRIBUSI!G141</f>
        <v>0</v>
      </c>
      <c r="BC143" s="14">
        <f>'PEMAKAIAN UNIT'!G140</f>
        <v>0</v>
      </c>
      <c r="BD143" s="14">
        <f t="shared" si="118"/>
        <v>0</v>
      </c>
      <c r="BE143" s="15">
        <f t="shared" si="119"/>
        <v>0</v>
      </c>
      <c r="BF143" s="14">
        <f t="shared" si="120"/>
        <v>0</v>
      </c>
      <c r="BG143" s="14">
        <f>DISTRIBUSI!H141</f>
        <v>0</v>
      </c>
      <c r="BH143" s="14">
        <f>'PEMAKAIAN UNIT'!H140</f>
        <v>0</v>
      </c>
      <c r="BI143" s="14">
        <f t="shared" si="121"/>
        <v>0</v>
      </c>
      <c r="BJ143" s="15">
        <f t="shared" si="122"/>
        <v>0</v>
      </c>
      <c r="BK143" s="14">
        <f t="shared" si="123"/>
        <v>0</v>
      </c>
      <c r="BL143" s="14">
        <f>DISTRIBUSI!I141</f>
        <v>0</v>
      </c>
      <c r="BM143" s="14">
        <f>'PEMAKAIAN UNIT'!I140</f>
        <v>0</v>
      </c>
      <c r="BN143" s="14">
        <f t="shared" si="124"/>
        <v>0</v>
      </c>
      <c r="BO143" s="15">
        <f t="shared" si="125"/>
        <v>0</v>
      </c>
      <c r="BP143" s="14">
        <f t="shared" si="126"/>
        <v>0</v>
      </c>
      <c r="BQ143" s="14">
        <f>DISTRIBUSI!J141</f>
        <v>0</v>
      </c>
      <c r="BR143" s="14">
        <f>'PEMAKAIAN UNIT'!J140</f>
        <v>0</v>
      </c>
      <c r="BS143" s="14">
        <f t="shared" si="127"/>
        <v>0</v>
      </c>
      <c r="BT143" s="15">
        <f t="shared" si="128"/>
        <v>0</v>
      </c>
      <c r="BU143" s="14">
        <f t="shared" si="129"/>
        <v>0</v>
      </c>
      <c r="BV143" s="14">
        <f>DISTRIBUSI!K141</f>
        <v>0</v>
      </c>
      <c r="BW143" s="14">
        <f>'PEMAKAIAN UNIT'!K140</f>
        <v>0</v>
      </c>
      <c r="BX143" s="14">
        <f t="shared" si="130"/>
        <v>0</v>
      </c>
      <c r="BY143" s="15">
        <f t="shared" si="131"/>
        <v>0</v>
      </c>
      <c r="BZ143" s="14">
        <f t="shared" si="132"/>
        <v>0</v>
      </c>
      <c r="CA143" s="14">
        <f>DISTRIBUSI!L141</f>
        <v>0</v>
      </c>
      <c r="CB143" s="14">
        <f>'PEMAKAIAN UNIT'!L140</f>
        <v>0</v>
      </c>
      <c r="CC143" s="14">
        <f t="shared" si="133"/>
        <v>0</v>
      </c>
      <c r="CD143" s="15">
        <f t="shared" si="134"/>
        <v>0</v>
      </c>
      <c r="CE143" s="14">
        <f t="shared" si="135"/>
        <v>0</v>
      </c>
      <c r="CF143" s="14">
        <f>DISTRIBUSI!M141</f>
        <v>0</v>
      </c>
      <c r="CG143" s="14">
        <f>'PEMAKAIAN UNIT'!M140</f>
        <v>0</v>
      </c>
      <c r="CH143" s="14">
        <f t="shared" si="136"/>
        <v>0</v>
      </c>
      <c r="CI143" s="15">
        <f t="shared" si="137"/>
        <v>0</v>
      </c>
      <c r="CJ143" s="14">
        <f t="shared" si="138"/>
        <v>0</v>
      </c>
      <c r="CK143" s="14" t="e">
        <f>DISTRIBUSI!#REF!</f>
        <v>#REF!</v>
      </c>
      <c r="CL143" s="14">
        <f>'PEMAKAIAN UNIT'!N140</f>
        <v>0</v>
      </c>
      <c r="CM143" s="14" t="e">
        <f t="shared" si="139"/>
        <v>#REF!</v>
      </c>
      <c r="CN143" s="15" t="e">
        <f t="shared" si="140"/>
        <v>#REF!</v>
      </c>
      <c r="CO143" s="14" t="e">
        <f>DL143+DISTRIBUSI!#REF!-'PEMAKAIAN UNIT'!O140</f>
        <v>#REF!</v>
      </c>
      <c r="CP143" s="15" t="e">
        <f t="shared" si="141"/>
        <v>#REF!</v>
      </c>
      <c r="CQ143" s="226">
        <f t="shared" si="142"/>
        <v>0</v>
      </c>
      <c r="CR143" s="226">
        <f>DISTRIBUSI!R141</f>
        <v>0</v>
      </c>
      <c r="CS143" s="226">
        <f>'PEMAKAIAN UNIT'!P140</f>
        <v>0</v>
      </c>
      <c r="CT143" s="14">
        <f t="shared" si="143"/>
        <v>0</v>
      </c>
      <c r="CU143" s="15">
        <f t="shared" si="144"/>
        <v>0</v>
      </c>
      <c r="CV143" s="14" t="e">
        <f>DN143+DISTRIBUSI!#REF!-'PEMAKAIAN UNIT'!Q140</f>
        <v>#REF!</v>
      </c>
      <c r="CW143" s="15" t="e">
        <f t="shared" si="145"/>
        <v>#REF!</v>
      </c>
      <c r="CX143" s="14">
        <f>DO143+'LPLPO GUDANG'!E146-'LPLPO GUDANG'!G146</f>
        <v>0</v>
      </c>
      <c r="CY143" s="15">
        <f t="shared" si="146"/>
        <v>0</v>
      </c>
      <c r="CZ143" s="28"/>
      <c r="DA143" s="14">
        <v>0</v>
      </c>
      <c r="DB143" s="14">
        <v>0</v>
      </c>
      <c r="DC143" s="14">
        <v>0</v>
      </c>
      <c r="DD143" s="14">
        <v>0</v>
      </c>
      <c r="DE143" s="14">
        <v>0</v>
      </c>
      <c r="DF143" s="14">
        <v>0</v>
      </c>
      <c r="DG143" s="14">
        <v>0</v>
      </c>
      <c r="DH143" s="14">
        <v>0</v>
      </c>
      <c r="DI143" s="14">
        <v>0</v>
      </c>
      <c r="DJ143" s="14">
        <v>0</v>
      </c>
      <c r="DK143" s="14">
        <v>0</v>
      </c>
      <c r="DL143" s="14">
        <v>0</v>
      </c>
      <c r="DM143" s="14">
        <v>0</v>
      </c>
      <c r="DN143" s="14">
        <v>0</v>
      </c>
      <c r="DO143" s="14">
        <v>0</v>
      </c>
      <c r="DP143" s="13">
        <f t="shared" si="147"/>
        <v>0</v>
      </c>
      <c r="DR143" s="21"/>
      <c r="DU143" s="20" t="e">
        <f t="shared" si="148"/>
        <v>#REF!</v>
      </c>
    </row>
    <row r="144" spans="1:125" customFormat="1" ht="20.149999999999999" customHeight="1" x14ac:dyDescent="0.35">
      <c r="A144" s="84">
        <f t="shared" si="149"/>
        <v>133</v>
      </c>
      <c r="B144" s="142" t="s">
        <v>114</v>
      </c>
      <c r="C144" s="153" t="s">
        <v>108</v>
      </c>
      <c r="D144" s="109">
        <v>0</v>
      </c>
      <c r="E144" s="110">
        <f>'LPLPO GUDANG'!E147</f>
        <v>0</v>
      </c>
      <c r="F144" s="110">
        <f t="shared" si="100"/>
        <v>0</v>
      </c>
      <c r="G144" s="110">
        <f>'PEMAKAIAN UNIT'!R141</f>
        <v>0</v>
      </c>
      <c r="H144" s="14">
        <v>-8</v>
      </c>
      <c r="I144" s="14">
        <v>1</v>
      </c>
      <c r="J144" s="14">
        <v>0</v>
      </c>
      <c r="K144" s="14"/>
      <c r="L144" s="14"/>
      <c r="M144" s="14"/>
      <c r="N144" s="14"/>
      <c r="O144" s="14"/>
      <c r="P144" s="14"/>
      <c r="Q144" s="14"/>
      <c r="R144" s="14"/>
      <c r="S144" s="14">
        <v>3</v>
      </c>
      <c r="T144" s="14">
        <v>0</v>
      </c>
      <c r="U144" s="14">
        <v>3</v>
      </c>
      <c r="V144" s="14">
        <v>10</v>
      </c>
      <c r="W144" s="14">
        <v>2</v>
      </c>
      <c r="X144" s="14">
        <v>0</v>
      </c>
      <c r="Y144" s="109">
        <f t="shared" si="101"/>
        <v>0</v>
      </c>
      <c r="Z144" s="109" t="e">
        <f t="shared" si="102"/>
        <v>#REF!</v>
      </c>
      <c r="AA144" s="109" t="e">
        <f t="shared" si="103"/>
        <v>#REF!</v>
      </c>
      <c r="AB144" s="14">
        <v>35</v>
      </c>
      <c r="AC144" s="109" t="e">
        <f t="shared" si="104"/>
        <v>#REF!</v>
      </c>
      <c r="AD144" s="109">
        <f>'LPLPO GUDANG'!H147</f>
        <v>0</v>
      </c>
      <c r="AE144" s="111" t="e">
        <f t="shared" si="105"/>
        <v>#REF!</v>
      </c>
      <c r="AF144" s="212"/>
      <c r="AG144" s="212"/>
      <c r="AH144" s="20"/>
      <c r="AI144" s="14">
        <f t="shared" si="106"/>
        <v>0</v>
      </c>
      <c r="AJ144" s="209" t="e">
        <f t="shared" si="107"/>
        <v>#REF!</v>
      </c>
      <c r="AL144" s="14">
        <f t="shared" si="108"/>
        <v>8</v>
      </c>
      <c r="AM144" s="14">
        <f>DISTRIBUSI!D142</f>
        <v>0</v>
      </c>
      <c r="AN144" s="14">
        <f>'PEMAKAIAN UNIT'!D141</f>
        <v>0</v>
      </c>
      <c r="AO144" s="14">
        <f t="shared" si="109"/>
        <v>8</v>
      </c>
      <c r="AP144" s="15">
        <f t="shared" si="110"/>
        <v>16</v>
      </c>
      <c r="AQ144" s="14">
        <f t="shared" si="111"/>
        <v>1</v>
      </c>
      <c r="AR144" s="14">
        <f>DISTRIBUSI!E142</f>
        <v>0</v>
      </c>
      <c r="AS144" s="14">
        <f>'PEMAKAIAN UNIT'!E141</f>
        <v>0</v>
      </c>
      <c r="AT144" s="14">
        <f t="shared" si="112"/>
        <v>1</v>
      </c>
      <c r="AU144" s="15">
        <f t="shared" si="113"/>
        <v>0</v>
      </c>
      <c r="AV144" s="14">
        <f t="shared" si="114"/>
        <v>4</v>
      </c>
      <c r="AW144" s="14">
        <f>DISTRIBUSI!F142</f>
        <v>0</v>
      </c>
      <c r="AX144" s="14">
        <f>'PEMAKAIAN UNIT'!F141</f>
        <v>0</v>
      </c>
      <c r="AY144" s="14">
        <f t="shared" si="115"/>
        <v>4</v>
      </c>
      <c r="AZ144" s="15">
        <f t="shared" si="116"/>
        <v>4</v>
      </c>
      <c r="BA144" s="14">
        <f t="shared" si="117"/>
        <v>3</v>
      </c>
      <c r="BB144" s="14">
        <f>DISTRIBUSI!G142</f>
        <v>0</v>
      </c>
      <c r="BC144" s="14">
        <f>'PEMAKAIAN UNIT'!G141</f>
        <v>0</v>
      </c>
      <c r="BD144" s="14">
        <f t="shared" si="118"/>
        <v>3</v>
      </c>
      <c r="BE144" s="15">
        <f t="shared" si="119"/>
        <v>0</v>
      </c>
      <c r="BF144" s="14">
        <f t="shared" si="120"/>
        <v>9</v>
      </c>
      <c r="BG144" s="14">
        <f>DISTRIBUSI!H142</f>
        <v>0</v>
      </c>
      <c r="BH144" s="14">
        <f>'PEMAKAIAN UNIT'!H141</f>
        <v>0</v>
      </c>
      <c r="BI144" s="14">
        <f t="shared" si="121"/>
        <v>9</v>
      </c>
      <c r="BJ144" s="15">
        <f t="shared" si="122"/>
        <v>9</v>
      </c>
      <c r="BK144" s="14">
        <f t="shared" si="123"/>
        <v>4</v>
      </c>
      <c r="BL144" s="14">
        <f>DISTRIBUSI!I142</f>
        <v>0</v>
      </c>
      <c r="BM144" s="14">
        <f>'PEMAKAIAN UNIT'!I141</f>
        <v>0</v>
      </c>
      <c r="BN144" s="14">
        <f t="shared" si="124"/>
        <v>4</v>
      </c>
      <c r="BO144" s="15">
        <f t="shared" si="125"/>
        <v>1</v>
      </c>
      <c r="BP144" s="14">
        <f t="shared" si="126"/>
        <v>10</v>
      </c>
      <c r="BQ144" s="14">
        <f>DISTRIBUSI!J142</f>
        <v>0</v>
      </c>
      <c r="BR144" s="14">
        <f>'PEMAKAIAN UNIT'!J141</f>
        <v>0</v>
      </c>
      <c r="BS144" s="14">
        <f t="shared" si="127"/>
        <v>10</v>
      </c>
      <c r="BT144" s="15">
        <f t="shared" si="128"/>
        <v>0</v>
      </c>
      <c r="BU144" s="14">
        <f t="shared" si="129"/>
        <v>2</v>
      </c>
      <c r="BV144" s="14">
        <f>DISTRIBUSI!K142</f>
        <v>0</v>
      </c>
      <c r="BW144" s="14">
        <f>'PEMAKAIAN UNIT'!K141</f>
        <v>0</v>
      </c>
      <c r="BX144" s="14">
        <f t="shared" si="130"/>
        <v>2</v>
      </c>
      <c r="BY144" s="15">
        <f t="shared" si="131"/>
        <v>0</v>
      </c>
      <c r="BZ144" s="14">
        <f t="shared" si="132"/>
        <v>0</v>
      </c>
      <c r="CA144" s="14">
        <f>DISTRIBUSI!L142</f>
        <v>0</v>
      </c>
      <c r="CB144" s="14">
        <f>'PEMAKAIAN UNIT'!L141</f>
        <v>0</v>
      </c>
      <c r="CC144" s="14">
        <f t="shared" si="133"/>
        <v>0</v>
      </c>
      <c r="CD144" s="15">
        <f t="shared" si="134"/>
        <v>0</v>
      </c>
      <c r="CE144" s="14">
        <f t="shared" si="135"/>
        <v>0</v>
      </c>
      <c r="CF144" s="14">
        <f>DISTRIBUSI!M142</f>
        <v>0</v>
      </c>
      <c r="CG144" s="14">
        <f>'PEMAKAIAN UNIT'!M141</f>
        <v>0</v>
      </c>
      <c r="CH144" s="14">
        <f t="shared" si="136"/>
        <v>0</v>
      </c>
      <c r="CI144" s="15">
        <f t="shared" si="137"/>
        <v>0</v>
      </c>
      <c r="CJ144" s="14">
        <f t="shared" si="138"/>
        <v>0</v>
      </c>
      <c r="CK144" s="14" t="e">
        <f>DISTRIBUSI!#REF!</f>
        <v>#REF!</v>
      </c>
      <c r="CL144" s="14">
        <f>'PEMAKAIAN UNIT'!N141</f>
        <v>0</v>
      </c>
      <c r="CM144" s="14" t="e">
        <f t="shared" si="139"/>
        <v>#REF!</v>
      </c>
      <c r="CN144" s="15" t="e">
        <f t="shared" si="140"/>
        <v>#REF!</v>
      </c>
      <c r="CO144" s="14" t="e">
        <f>DL144+DISTRIBUSI!#REF!-'PEMAKAIAN UNIT'!O141</f>
        <v>#REF!</v>
      </c>
      <c r="CP144" s="15" t="e">
        <f t="shared" si="141"/>
        <v>#REF!</v>
      </c>
      <c r="CQ144" s="226">
        <f t="shared" si="142"/>
        <v>31</v>
      </c>
      <c r="CR144" s="226">
        <f>DISTRIBUSI!R142</f>
        <v>6</v>
      </c>
      <c r="CS144" s="226">
        <f>'PEMAKAIAN UNIT'!P141</f>
        <v>0</v>
      </c>
      <c r="CT144" s="14">
        <f t="shared" si="143"/>
        <v>37</v>
      </c>
      <c r="CU144" s="15">
        <f t="shared" si="144"/>
        <v>2</v>
      </c>
      <c r="CV144" s="14" t="e">
        <f>DN144+DISTRIBUSI!#REF!-'PEMAKAIAN UNIT'!Q141</f>
        <v>#REF!</v>
      </c>
      <c r="CW144" s="15" t="e">
        <f t="shared" si="145"/>
        <v>#REF!</v>
      </c>
      <c r="CX144" s="14">
        <f>DO144+'LPLPO GUDANG'!E147-'LPLPO GUDANG'!G147</f>
        <v>12</v>
      </c>
      <c r="CY144" s="15">
        <f t="shared" si="146"/>
        <v>12</v>
      </c>
      <c r="CZ144" s="28"/>
      <c r="DA144" s="14">
        <v>8</v>
      </c>
      <c r="DB144" s="14">
        <v>1</v>
      </c>
      <c r="DC144" s="14">
        <v>4</v>
      </c>
      <c r="DD144" s="14">
        <v>3</v>
      </c>
      <c r="DE144" s="14">
        <v>9</v>
      </c>
      <c r="DF144" s="14">
        <v>4</v>
      </c>
      <c r="DG144" s="14">
        <v>10</v>
      </c>
      <c r="DH144" s="14">
        <v>2</v>
      </c>
      <c r="DI144" s="14">
        <v>0</v>
      </c>
      <c r="DJ144" s="14">
        <v>0</v>
      </c>
      <c r="DK144" s="14">
        <v>0</v>
      </c>
      <c r="DL144" s="14">
        <v>0</v>
      </c>
      <c r="DM144" s="14">
        <v>31</v>
      </c>
      <c r="DN144" s="14">
        <v>0</v>
      </c>
      <c r="DO144" s="14">
        <v>24</v>
      </c>
      <c r="DP144" s="13">
        <f t="shared" si="147"/>
        <v>96</v>
      </c>
      <c r="DR144" t="s">
        <v>114</v>
      </c>
      <c r="DU144" s="20" t="e">
        <f t="shared" si="148"/>
        <v>#REF!</v>
      </c>
    </row>
    <row r="145" spans="1:125" customFormat="1" ht="20.149999999999999" customHeight="1" x14ac:dyDescent="0.35">
      <c r="A145" s="84">
        <f t="shared" si="149"/>
        <v>134</v>
      </c>
      <c r="B145" s="142" t="s">
        <v>115</v>
      </c>
      <c r="C145" s="156" t="s">
        <v>48</v>
      </c>
      <c r="D145" s="109">
        <v>0</v>
      </c>
      <c r="E145" s="110">
        <f>'LPLPO GUDANG'!E148</f>
        <v>0</v>
      </c>
      <c r="F145" s="110">
        <f t="shared" si="100"/>
        <v>0</v>
      </c>
      <c r="G145" s="110">
        <f>'PEMAKAIAN UNIT'!R142</f>
        <v>0</v>
      </c>
      <c r="H145" s="14">
        <v>0</v>
      </c>
      <c r="I145" s="14">
        <v>0</v>
      </c>
      <c r="J145" s="14">
        <v>0</v>
      </c>
      <c r="K145" s="14"/>
      <c r="L145" s="14"/>
      <c r="M145" s="14"/>
      <c r="N145" s="14"/>
      <c r="O145" s="14"/>
      <c r="P145" s="14"/>
      <c r="Q145" s="14"/>
      <c r="R145" s="14"/>
      <c r="S145" s="14">
        <v>0</v>
      </c>
      <c r="T145" s="14">
        <v>0</v>
      </c>
      <c r="U145" s="14">
        <v>0</v>
      </c>
      <c r="V145" s="14">
        <v>1</v>
      </c>
      <c r="W145" s="14">
        <v>0</v>
      </c>
      <c r="X145" s="14">
        <v>0</v>
      </c>
      <c r="Y145" s="109">
        <f t="shared" si="101"/>
        <v>0</v>
      </c>
      <c r="Z145" s="109" t="e">
        <f t="shared" si="102"/>
        <v>#REF!</v>
      </c>
      <c r="AA145" s="109" t="e">
        <f t="shared" si="103"/>
        <v>#REF!</v>
      </c>
      <c r="AB145" s="14">
        <v>6</v>
      </c>
      <c r="AC145" s="109" t="e">
        <f t="shared" si="104"/>
        <v>#REF!</v>
      </c>
      <c r="AD145" s="109">
        <f>'LPLPO GUDANG'!H148</f>
        <v>4</v>
      </c>
      <c r="AE145" s="111" t="e">
        <f t="shared" si="105"/>
        <v>#REF!</v>
      </c>
      <c r="AF145" s="212"/>
      <c r="AG145" s="212"/>
      <c r="AH145" s="20"/>
      <c r="AI145" s="14">
        <f t="shared" si="106"/>
        <v>0</v>
      </c>
      <c r="AJ145" s="209" t="e">
        <f t="shared" si="107"/>
        <v>#REF!</v>
      </c>
      <c r="AL145" s="14">
        <f t="shared" si="108"/>
        <v>0</v>
      </c>
      <c r="AM145" s="14">
        <f>DISTRIBUSI!D143</f>
        <v>1</v>
      </c>
      <c r="AN145" s="14">
        <f>'PEMAKAIAN UNIT'!D142</f>
        <v>0</v>
      </c>
      <c r="AO145" s="14">
        <f t="shared" si="109"/>
        <v>1</v>
      </c>
      <c r="AP145" s="15">
        <f t="shared" si="110"/>
        <v>1</v>
      </c>
      <c r="AQ145" s="14">
        <f t="shared" si="111"/>
        <v>0</v>
      </c>
      <c r="AR145" s="14">
        <f>DISTRIBUSI!E143</f>
        <v>0</v>
      </c>
      <c r="AS145" s="14">
        <f>'PEMAKAIAN UNIT'!E142</f>
        <v>0</v>
      </c>
      <c r="AT145" s="14">
        <f t="shared" si="112"/>
        <v>0</v>
      </c>
      <c r="AU145" s="15">
        <f t="shared" si="113"/>
        <v>0</v>
      </c>
      <c r="AV145" s="14">
        <f t="shared" si="114"/>
        <v>0</v>
      </c>
      <c r="AW145" s="14">
        <f>DISTRIBUSI!F143</f>
        <v>0</v>
      </c>
      <c r="AX145" s="14">
        <f>'PEMAKAIAN UNIT'!F142</f>
        <v>0</v>
      </c>
      <c r="AY145" s="14">
        <f t="shared" si="115"/>
        <v>0</v>
      </c>
      <c r="AZ145" s="15">
        <f t="shared" si="116"/>
        <v>0</v>
      </c>
      <c r="BA145" s="14">
        <f t="shared" si="117"/>
        <v>0</v>
      </c>
      <c r="BB145" s="14">
        <f>DISTRIBUSI!G143</f>
        <v>0</v>
      </c>
      <c r="BC145" s="14">
        <f>'PEMAKAIAN UNIT'!G142</f>
        <v>0</v>
      </c>
      <c r="BD145" s="14">
        <f t="shared" si="118"/>
        <v>0</v>
      </c>
      <c r="BE145" s="15">
        <f t="shared" si="119"/>
        <v>0</v>
      </c>
      <c r="BF145" s="14">
        <f t="shared" si="120"/>
        <v>0</v>
      </c>
      <c r="BG145" s="14">
        <f>DISTRIBUSI!H143</f>
        <v>0</v>
      </c>
      <c r="BH145" s="14">
        <f>'PEMAKAIAN UNIT'!H142</f>
        <v>0</v>
      </c>
      <c r="BI145" s="14">
        <f t="shared" si="121"/>
        <v>0</v>
      </c>
      <c r="BJ145" s="15">
        <f t="shared" si="122"/>
        <v>0</v>
      </c>
      <c r="BK145" s="14">
        <f t="shared" si="123"/>
        <v>0</v>
      </c>
      <c r="BL145" s="14">
        <f>DISTRIBUSI!I143</f>
        <v>0</v>
      </c>
      <c r="BM145" s="14">
        <f>'PEMAKAIAN UNIT'!I142</f>
        <v>0</v>
      </c>
      <c r="BN145" s="14">
        <f t="shared" si="124"/>
        <v>0</v>
      </c>
      <c r="BO145" s="15">
        <f t="shared" si="125"/>
        <v>0</v>
      </c>
      <c r="BP145" s="14">
        <f t="shared" si="126"/>
        <v>1</v>
      </c>
      <c r="BQ145" s="14">
        <f>DISTRIBUSI!J143</f>
        <v>0</v>
      </c>
      <c r="BR145" s="14">
        <f>'PEMAKAIAN UNIT'!J142</f>
        <v>0</v>
      </c>
      <c r="BS145" s="14">
        <f t="shared" si="127"/>
        <v>1</v>
      </c>
      <c r="BT145" s="15">
        <f t="shared" si="128"/>
        <v>0</v>
      </c>
      <c r="BU145" s="14">
        <f t="shared" si="129"/>
        <v>0</v>
      </c>
      <c r="BV145" s="14">
        <f>DISTRIBUSI!K143</f>
        <v>0</v>
      </c>
      <c r="BW145" s="14">
        <f>'PEMAKAIAN UNIT'!K142</f>
        <v>0</v>
      </c>
      <c r="BX145" s="14">
        <f t="shared" si="130"/>
        <v>0</v>
      </c>
      <c r="BY145" s="15">
        <f t="shared" si="131"/>
        <v>0</v>
      </c>
      <c r="BZ145" s="14">
        <f t="shared" si="132"/>
        <v>0</v>
      </c>
      <c r="CA145" s="14">
        <f>DISTRIBUSI!L143</f>
        <v>0</v>
      </c>
      <c r="CB145" s="14">
        <f>'PEMAKAIAN UNIT'!L142</f>
        <v>0</v>
      </c>
      <c r="CC145" s="14">
        <f t="shared" si="133"/>
        <v>0</v>
      </c>
      <c r="CD145" s="15">
        <f t="shared" si="134"/>
        <v>0</v>
      </c>
      <c r="CE145" s="14">
        <f t="shared" si="135"/>
        <v>0</v>
      </c>
      <c r="CF145" s="14">
        <f>DISTRIBUSI!M143</f>
        <v>0</v>
      </c>
      <c r="CG145" s="14">
        <f>'PEMAKAIAN UNIT'!M142</f>
        <v>0</v>
      </c>
      <c r="CH145" s="14">
        <f t="shared" si="136"/>
        <v>0</v>
      </c>
      <c r="CI145" s="15">
        <f t="shared" si="137"/>
        <v>0</v>
      </c>
      <c r="CJ145" s="14">
        <f t="shared" si="138"/>
        <v>0</v>
      </c>
      <c r="CK145" s="14" t="e">
        <f>DISTRIBUSI!#REF!</f>
        <v>#REF!</v>
      </c>
      <c r="CL145" s="14">
        <f>'PEMAKAIAN UNIT'!N142</f>
        <v>0</v>
      </c>
      <c r="CM145" s="14" t="e">
        <f t="shared" si="139"/>
        <v>#REF!</v>
      </c>
      <c r="CN145" s="15" t="e">
        <f t="shared" si="140"/>
        <v>#REF!</v>
      </c>
      <c r="CO145" s="14" t="e">
        <f>DL145+DISTRIBUSI!#REF!-'PEMAKAIAN UNIT'!O142</f>
        <v>#REF!</v>
      </c>
      <c r="CP145" s="15" t="e">
        <f t="shared" si="141"/>
        <v>#REF!</v>
      </c>
      <c r="CQ145" s="226">
        <f t="shared" si="142"/>
        <v>4</v>
      </c>
      <c r="CR145" s="226">
        <f>DISTRIBUSI!R143</f>
        <v>0</v>
      </c>
      <c r="CS145" s="226">
        <f>'PEMAKAIAN UNIT'!P142</f>
        <v>0</v>
      </c>
      <c r="CT145" s="14">
        <f t="shared" si="143"/>
        <v>4</v>
      </c>
      <c r="CU145" s="15">
        <f t="shared" si="144"/>
        <v>-2</v>
      </c>
      <c r="CV145" s="14" t="e">
        <f>DN145+DISTRIBUSI!#REF!-'PEMAKAIAN UNIT'!Q142</f>
        <v>#REF!</v>
      </c>
      <c r="CW145" s="15" t="e">
        <f t="shared" si="145"/>
        <v>#REF!</v>
      </c>
      <c r="CX145" s="14">
        <f>DO145+'LPLPO GUDANG'!E148-'LPLPO GUDANG'!G148</f>
        <v>0</v>
      </c>
      <c r="CY145" s="15">
        <f t="shared" si="146"/>
        <v>-4</v>
      </c>
      <c r="CZ145" s="28"/>
      <c r="DA145" s="14"/>
      <c r="DB145" s="14"/>
      <c r="DC145" s="14">
        <v>0</v>
      </c>
      <c r="DD145" s="14">
        <v>0</v>
      </c>
      <c r="DE145" s="14">
        <v>0</v>
      </c>
      <c r="DF145" s="14"/>
      <c r="DG145" s="14">
        <v>1</v>
      </c>
      <c r="DH145" s="14">
        <v>0</v>
      </c>
      <c r="DI145" s="14">
        <v>0</v>
      </c>
      <c r="DJ145" s="14">
        <v>0</v>
      </c>
      <c r="DK145" s="14">
        <v>0</v>
      </c>
      <c r="DL145" s="14">
        <v>0</v>
      </c>
      <c r="DM145" s="14">
        <v>4</v>
      </c>
      <c r="DN145" s="14">
        <v>0</v>
      </c>
      <c r="DO145" s="14">
        <v>1</v>
      </c>
      <c r="DP145" s="13">
        <f t="shared" si="147"/>
        <v>6</v>
      </c>
      <c r="DR145" t="s">
        <v>115</v>
      </c>
      <c r="DU145" s="20" t="e">
        <f t="shared" si="148"/>
        <v>#REF!</v>
      </c>
    </row>
    <row r="146" spans="1:125" customFormat="1" ht="20.149999999999999" customHeight="1" x14ac:dyDescent="0.35">
      <c r="A146" s="84">
        <f t="shared" si="149"/>
        <v>135</v>
      </c>
      <c r="B146" s="142" t="s">
        <v>116</v>
      </c>
      <c r="C146" s="156" t="s">
        <v>48</v>
      </c>
      <c r="D146" s="109">
        <v>0</v>
      </c>
      <c r="E146" s="110">
        <f>'LPLPO GUDANG'!E149</f>
        <v>0</v>
      </c>
      <c r="F146" s="110">
        <f t="shared" si="100"/>
        <v>0</v>
      </c>
      <c r="G146" s="110">
        <f>'PEMAKAIAN UNIT'!R143</f>
        <v>0</v>
      </c>
      <c r="H146" s="14">
        <v>0</v>
      </c>
      <c r="I146" s="14">
        <v>0</v>
      </c>
      <c r="J146" s="14">
        <v>0</v>
      </c>
      <c r="K146" s="14"/>
      <c r="L146" s="14"/>
      <c r="M146" s="14"/>
      <c r="N146" s="14"/>
      <c r="O146" s="14"/>
      <c r="P146" s="14"/>
      <c r="Q146" s="14"/>
      <c r="R146" s="14"/>
      <c r="S146" s="14">
        <v>1</v>
      </c>
      <c r="T146" s="14">
        <v>0</v>
      </c>
      <c r="U146" s="14">
        <v>1</v>
      </c>
      <c r="V146" s="14">
        <v>1</v>
      </c>
      <c r="W146" s="14">
        <v>2</v>
      </c>
      <c r="X146" s="14">
        <v>0</v>
      </c>
      <c r="Y146" s="109">
        <f t="shared" si="101"/>
        <v>0</v>
      </c>
      <c r="Z146" s="109" t="e">
        <f t="shared" si="102"/>
        <v>#REF!</v>
      </c>
      <c r="AA146" s="109" t="e">
        <f t="shared" si="103"/>
        <v>#REF!</v>
      </c>
      <c r="AB146" s="14">
        <v>7</v>
      </c>
      <c r="AC146" s="109" t="e">
        <f t="shared" si="104"/>
        <v>#REF!</v>
      </c>
      <c r="AD146" s="109">
        <f>'LPLPO GUDANG'!H149</f>
        <v>0</v>
      </c>
      <c r="AE146" s="111" t="e">
        <f t="shared" si="105"/>
        <v>#REF!</v>
      </c>
      <c r="AF146" s="212"/>
      <c r="AG146" s="212"/>
      <c r="AH146" s="20"/>
      <c r="AI146" s="14">
        <f t="shared" si="106"/>
        <v>0</v>
      </c>
      <c r="AJ146" s="209" t="e">
        <f t="shared" si="107"/>
        <v>#REF!</v>
      </c>
      <c r="AL146" s="14">
        <f t="shared" si="108"/>
        <v>0</v>
      </c>
      <c r="AM146" s="14">
        <f>DISTRIBUSI!D144</f>
        <v>0</v>
      </c>
      <c r="AN146" s="14">
        <f>'PEMAKAIAN UNIT'!D143</f>
        <v>0</v>
      </c>
      <c r="AO146" s="14">
        <f t="shared" si="109"/>
        <v>0</v>
      </c>
      <c r="AP146" s="15">
        <f t="shared" si="110"/>
        <v>0</v>
      </c>
      <c r="AQ146" s="14">
        <f t="shared" si="111"/>
        <v>0</v>
      </c>
      <c r="AR146" s="14">
        <f>DISTRIBUSI!E144</f>
        <v>0</v>
      </c>
      <c r="AS146" s="14">
        <f>'PEMAKAIAN UNIT'!E143</f>
        <v>0</v>
      </c>
      <c r="AT146" s="14">
        <f t="shared" si="112"/>
        <v>0</v>
      </c>
      <c r="AU146" s="15">
        <f t="shared" si="113"/>
        <v>0</v>
      </c>
      <c r="AV146" s="14">
        <f t="shared" si="114"/>
        <v>0</v>
      </c>
      <c r="AW146" s="14">
        <f>DISTRIBUSI!F144</f>
        <v>0</v>
      </c>
      <c r="AX146" s="14">
        <f>'PEMAKAIAN UNIT'!F143</f>
        <v>0</v>
      </c>
      <c r="AY146" s="14">
        <f t="shared" si="115"/>
        <v>0</v>
      </c>
      <c r="AZ146" s="15">
        <f t="shared" si="116"/>
        <v>0</v>
      </c>
      <c r="BA146" s="14">
        <f t="shared" si="117"/>
        <v>1</v>
      </c>
      <c r="BB146" s="14">
        <f>DISTRIBUSI!G144</f>
        <v>0</v>
      </c>
      <c r="BC146" s="14">
        <f>'PEMAKAIAN UNIT'!G143</f>
        <v>0</v>
      </c>
      <c r="BD146" s="14">
        <f t="shared" si="118"/>
        <v>1</v>
      </c>
      <c r="BE146" s="15">
        <f t="shared" si="119"/>
        <v>0</v>
      </c>
      <c r="BF146" s="14">
        <f t="shared" si="120"/>
        <v>0</v>
      </c>
      <c r="BG146" s="14">
        <f>DISTRIBUSI!H144</f>
        <v>0</v>
      </c>
      <c r="BH146" s="14">
        <f>'PEMAKAIAN UNIT'!H143</f>
        <v>0</v>
      </c>
      <c r="BI146" s="14">
        <f t="shared" si="121"/>
        <v>0</v>
      </c>
      <c r="BJ146" s="15">
        <f t="shared" si="122"/>
        <v>0</v>
      </c>
      <c r="BK146" s="14">
        <f t="shared" si="123"/>
        <v>1</v>
      </c>
      <c r="BL146" s="14">
        <f>DISTRIBUSI!I144</f>
        <v>0</v>
      </c>
      <c r="BM146" s="14">
        <f>'PEMAKAIAN UNIT'!I143</f>
        <v>0</v>
      </c>
      <c r="BN146" s="14">
        <f t="shared" si="124"/>
        <v>1</v>
      </c>
      <c r="BO146" s="15">
        <f t="shared" si="125"/>
        <v>0</v>
      </c>
      <c r="BP146" s="14">
        <f t="shared" si="126"/>
        <v>1</v>
      </c>
      <c r="BQ146" s="14">
        <f>DISTRIBUSI!J144</f>
        <v>0</v>
      </c>
      <c r="BR146" s="14">
        <f>'PEMAKAIAN UNIT'!J143</f>
        <v>0</v>
      </c>
      <c r="BS146" s="14">
        <f t="shared" si="127"/>
        <v>1</v>
      </c>
      <c r="BT146" s="15">
        <f t="shared" si="128"/>
        <v>0</v>
      </c>
      <c r="BU146" s="14">
        <f t="shared" si="129"/>
        <v>2</v>
      </c>
      <c r="BV146" s="14">
        <f>DISTRIBUSI!K144</f>
        <v>0</v>
      </c>
      <c r="BW146" s="14">
        <f>'PEMAKAIAN UNIT'!K143</f>
        <v>0</v>
      </c>
      <c r="BX146" s="14">
        <f t="shared" si="130"/>
        <v>2</v>
      </c>
      <c r="BY146" s="15">
        <f t="shared" si="131"/>
        <v>0</v>
      </c>
      <c r="BZ146" s="14">
        <f t="shared" si="132"/>
        <v>0</v>
      </c>
      <c r="CA146" s="14">
        <f>DISTRIBUSI!L144</f>
        <v>0</v>
      </c>
      <c r="CB146" s="14">
        <f>'PEMAKAIAN UNIT'!L143</f>
        <v>0</v>
      </c>
      <c r="CC146" s="14">
        <f t="shared" si="133"/>
        <v>0</v>
      </c>
      <c r="CD146" s="15">
        <f t="shared" si="134"/>
        <v>0</v>
      </c>
      <c r="CE146" s="14">
        <f t="shared" si="135"/>
        <v>0</v>
      </c>
      <c r="CF146" s="14">
        <f>DISTRIBUSI!M144</f>
        <v>0</v>
      </c>
      <c r="CG146" s="14">
        <f>'PEMAKAIAN UNIT'!M143</f>
        <v>0</v>
      </c>
      <c r="CH146" s="14">
        <f t="shared" si="136"/>
        <v>0</v>
      </c>
      <c r="CI146" s="15">
        <f t="shared" si="137"/>
        <v>0</v>
      </c>
      <c r="CJ146" s="14">
        <f t="shared" si="138"/>
        <v>0</v>
      </c>
      <c r="CK146" s="14" t="e">
        <f>DISTRIBUSI!#REF!</f>
        <v>#REF!</v>
      </c>
      <c r="CL146" s="14">
        <f>'PEMAKAIAN UNIT'!N143</f>
        <v>0</v>
      </c>
      <c r="CM146" s="14" t="e">
        <f t="shared" si="139"/>
        <v>#REF!</v>
      </c>
      <c r="CN146" s="15" t="e">
        <f t="shared" si="140"/>
        <v>#REF!</v>
      </c>
      <c r="CO146" s="14" t="e">
        <f>DL146+DISTRIBUSI!#REF!-'PEMAKAIAN UNIT'!O143</f>
        <v>#REF!</v>
      </c>
      <c r="CP146" s="15" t="e">
        <f t="shared" si="141"/>
        <v>#REF!</v>
      </c>
      <c r="CQ146" s="226">
        <f t="shared" si="142"/>
        <v>6</v>
      </c>
      <c r="CR146" s="226">
        <f>DISTRIBUSI!R144</f>
        <v>0</v>
      </c>
      <c r="CS146" s="226">
        <f>'PEMAKAIAN UNIT'!P143</f>
        <v>0</v>
      </c>
      <c r="CT146" s="14">
        <f t="shared" si="143"/>
        <v>6</v>
      </c>
      <c r="CU146" s="15">
        <f t="shared" si="144"/>
        <v>-1</v>
      </c>
      <c r="CV146" s="14" t="e">
        <f>DN146+DISTRIBUSI!#REF!-'PEMAKAIAN UNIT'!Q143</f>
        <v>#REF!</v>
      </c>
      <c r="CW146" s="15" t="e">
        <f t="shared" si="145"/>
        <v>#REF!</v>
      </c>
      <c r="CX146" s="14">
        <f>DO146+'LPLPO GUDANG'!E149-'LPLPO GUDANG'!G149</f>
        <v>0</v>
      </c>
      <c r="CY146" s="15">
        <f t="shared" si="146"/>
        <v>0</v>
      </c>
      <c r="CZ146" s="28"/>
      <c r="DA146" s="14"/>
      <c r="DB146" s="14"/>
      <c r="DC146" s="14">
        <v>0</v>
      </c>
      <c r="DD146" s="14">
        <v>1</v>
      </c>
      <c r="DE146" s="14">
        <v>0</v>
      </c>
      <c r="DF146" s="14">
        <v>1</v>
      </c>
      <c r="DG146" s="14">
        <v>1</v>
      </c>
      <c r="DH146" s="14">
        <v>2</v>
      </c>
      <c r="DI146" s="14">
        <v>0</v>
      </c>
      <c r="DJ146" s="14">
        <v>0</v>
      </c>
      <c r="DK146" s="14">
        <v>0</v>
      </c>
      <c r="DL146" s="14">
        <v>0</v>
      </c>
      <c r="DM146" s="14">
        <v>6</v>
      </c>
      <c r="DN146" s="14">
        <v>0</v>
      </c>
      <c r="DO146" s="14">
        <v>1</v>
      </c>
      <c r="DP146" s="13">
        <f t="shared" si="147"/>
        <v>12</v>
      </c>
      <c r="DR146" t="s">
        <v>116</v>
      </c>
      <c r="DU146" s="20" t="e">
        <f t="shared" si="148"/>
        <v>#REF!</v>
      </c>
    </row>
    <row r="147" spans="1:125" customFormat="1" ht="20.149999999999999" customHeight="1" x14ac:dyDescent="0.35">
      <c r="A147" s="84">
        <f t="shared" si="149"/>
        <v>136</v>
      </c>
      <c r="B147" s="142" t="s">
        <v>117</v>
      </c>
      <c r="C147" s="156" t="s">
        <v>108</v>
      </c>
      <c r="D147" s="109">
        <v>0</v>
      </c>
      <c r="E147" s="110">
        <f>'LPLPO GUDANG'!E150</f>
        <v>0</v>
      </c>
      <c r="F147" s="110">
        <f t="shared" si="100"/>
        <v>0</v>
      </c>
      <c r="G147" s="110">
        <f>'PEMAKAIAN UNIT'!R144</f>
        <v>0</v>
      </c>
      <c r="H147" s="14">
        <v>0</v>
      </c>
      <c r="I147" s="14">
        <v>0</v>
      </c>
      <c r="J147" s="14">
        <v>0</v>
      </c>
      <c r="K147" s="14"/>
      <c r="L147" s="14"/>
      <c r="M147" s="14"/>
      <c r="N147" s="14"/>
      <c r="O147" s="14"/>
      <c r="P147" s="14"/>
      <c r="Q147" s="14"/>
      <c r="R147" s="14"/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09">
        <f t="shared" si="101"/>
        <v>0</v>
      </c>
      <c r="Z147" s="109" t="e">
        <f t="shared" si="102"/>
        <v>#REF!</v>
      </c>
      <c r="AA147" s="109" t="e">
        <f t="shared" si="103"/>
        <v>#REF!</v>
      </c>
      <c r="AB147" s="14">
        <v>10</v>
      </c>
      <c r="AC147" s="109" t="e">
        <f t="shared" si="104"/>
        <v>#REF!</v>
      </c>
      <c r="AD147" s="109">
        <f>'LPLPO GUDANG'!H150</f>
        <v>15</v>
      </c>
      <c r="AE147" s="111" t="e">
        <f t="shared" si="105"/>
        <v>#REF!</v>
      </c>
      <c r="AF147" s="212"/>
      <c r="AG147" s="212"/>
      <c r="AH147" s="20"/>
      <c r="AI147" s="14">
        <f t="shared" si="106"/>
        <v>0</v>
      </c>
      <c r="AJ147" s="209" t="e">
        <f t="shared" si="107"/>
        <v>#REF!</v>
      </c>
      <c r="AL147" s="14">
        <f t="shared" si="108"/>
        <v>0</v>
      </c>
      <c r="AM147" s="14">
        <f>DISTRIBUSI!D145</f>
        <v>0</v>
      </c>
      <c r="AN147" s="14">
        <f>'PEMAKAIAN UNIT'!D144</f>
        <v>0</v>
      </c>
      <c r="AO147" s="14">
        <f t="shared" si="109"/>
        <v>0</v>
      </c>
      <c r="AP147" s="15">
        <f t="shared" si="110"/>
        <v>0</v>
      </c>
      <c r="AQ147" s="14">
        <f t="shared" si="111"/>
        <v>0</v>
      </c>
      <c r="AR147" s="14">
        <f>DISTRIBUSI!E145</f>
        <v>0</v>
      </c>
      <c r="AS147" s="14">
        <f>'PEMAKAIAN UNIT'!E144</f>
        <v>0</v>
      </c>
      <c r="AT147" s="14">
        <f t="shared" si="112"/>
        <v>0</v>
      </c>
      <c r="AU147" s="15">
        <f t="shared" si="113"/>
        <v>0</v>
      </c>
      <c r="AV147" s="14">
        <f t="shared" si="114"/>
        <v>1</v>
      </c>
      <c r="AW147" s="14">
        <f>DISTRIBUSI!F145</f>
        <v>0</v>
      </c>
      <c r="AX147" s="14">
        <f>'PEMAKAIAN UNIT'!F144</f>
        <v>0</v>
      </c>
      <c r="AY147" s="14">
        <f t="shared" si="115"/>
        <v>1</v>
      </c>
      <c r="AZ147" s="15">
        <f t="shared" si="116"/>
        <v>1</v>
      </c>
      <c r="BA147" s="14">
        <f t="shared" si="117"/>
        <v>0</v>
      </c>
      <c r="BB147" s="14">
        <f>DISTRIBUSI!G145</f>
        <v>0</v>
      </c>
      <c r="BC147" s="14">
        <f>'PEMAKAIAN UNIT'!G144</f>
        <v>0</v>
      </c>
      <c r="BD147" s="14">
        <f t="shared" si="118"/>
        <v>0</v>
      </c>
      <c r="BE147" s="15">
        <f t="shared" si="119"/>
        <v>0</v>
      </c>
      <c r="BF147" s="14">
        <f t="shared" si="120"/>
        <v>2</v>
      </c>
      <c r="BG147" s="14">
        <f>DISTRIBUSI!H145</f>
        <v>0</v>
      </c>
      <c r="BH147" s="14">
        <f>'PEMAKAIAN UNIT'!H144</f>
        <v>0</v>
      </c>
      <c r="BI147" s="14">
        <f t="shared" si="121"/>
        <v>2</v>
      </c>
      <c r="BJ147" s="15">
        <f t="shared" si="122"/>
        <v>2</v>
      </c>
      <c r="BK147" s="14">
        <f t="shared" si="123"/>
        <v>0</v>
      </c>
      <c r="BL147" s="14">
        <f>DISTRIBUSI!I145</f>
        <v>0</v>
      </c>
      <c r="BM147" s="14">
        <f>'PEMAKAIAN UNIT'!I144</f>
        <v>0</v>
      </c>
      <c r="BN147" s="14">
        <f t="shared" si="124"/>
        <v>0</v>
      </c>
      <c r="BO147" s="15">
        <f t="shared" si="125"/>
        <v>0</v>
      </c>
      <c r="BP147" s="14">
        <f t="shared" si="126"/>
        <v>0</v>
      </c>
      <c r="BQ147" s="14">
        <f>DISTRIBUSI!J145</f>
        <v>0</v>
      </c>
      <c r="BR147" s="14">
        <f>'PEMAKAIAN UNIT'!J144</f>
        <v>0</v>
      </c>
      <c r="BS147" s="14">
        <f t="shared" si="127"/>
        <v>0</v>
      </c>
      <c r="BT147" s="15">
        <f t="shared" si="128"/>
        <v>0</v>
      </c>
      <c r="BU147" s="14">
        <f t="shared" si="129"/>
        <v>0</v>
      </c>
      <c r="BV147" s="14">
        <f>DISTRIBUSI!K145</f>
        <v>0</v>
      </c>
      <c r="BW147" s="14">
        <f>'PEMAKAIAN UNIT'!K144</f>
        <v>0</v>
      </c>
      <c r="BX147" s="14">
        <f t="shared" si="130"/>
        <v>0</v>
      </c>
      <c r="BY147" s="15">
        <f t="shared" si="131"/>
        <v>0</v>
      </c>
      <c r="BZ147" s="14">
        <f t="shared" si="132"/>
        <v>0</v>
      </c>
      <c r="CA147" s="14">
        <f>DISTRIBUSI!L145</f>
        <v>0</v>
      </c>
      <c r="CB147" s="14">
        <f>'PEMAKAIAN UNIT'!L144</f>
        <v>0</v>
      </c>
      <c r="CC147" s="14">
        <f t="shared" si="133"/>
        <v>0</v>
      </c>
      <c r="CD147" s="15">
        <f t="shared" si="134"/>
        <v>0</v>
      </c>
      <c r="CE147" s="14">
        <f t="shared" si="135"/>
        <v>0</v>
      </c>
      <c r="CF147" s="14">
        <f>DISTRIBUSI!M145</f>
        <v>0</v>
      </c>
      <c r="CG147" s="14">
        <f>'PEMAKAIAN UNIT'!M144</f>
        <v>0</v>
      </c>
      <c r="CH147" s="14">
        <f t="shared" si="136"/>
        <v>0</v>
      </c>
      <c r="CI147" s="15">
        <f t="shared" si="137"/>
        <v>0</v>
      </c>
      <c r="CJ147" s="14">
        <f t="shared" si="138"/>
        <v>0</v>
      </c>
      <c r="CK147" s="14" t="e">
        <f>DISTRIBUSI!#REF!</f>
        <v>#REF!</v>
      </c>
      <c r="CL147" s="14">
        <f>'PEMAKAIAN UNIT'!N144</f>
        <v>0</v>
      </c>
      <c r="CM147" s="14" t="e">
        <f t="shared" si="139"/>
        <v>#REF!</v>
      </c>
      <c r="CN147" s="15" t="e">
        <f t="shared" si="140"/>
        <v>#REF!</v>
      </c>
      <c r="CO147" s="14" t="e">
        <f>DL147+DISTRIBUSI!#REF!-'PEMAKAIAN UNIT'!O144</f>
        <v>#REF!</v>
      </c>
      <c r="CP147" s="15" t="e">
        <f t="shared" si="141"/>
        <v>#REF!</v>
      </c>
      <c r="CQ147" s="226">
        <f t="shared" si="142"/>
        <v>14</v>
      </c>
      <c r="CR147" s="226">
        <f>DISTRIBUSI!R145</f>
        <v>0</v>
      </c>
      <c r="CS147" s="226">
        <f>'PEMAKAIAN UNIT'!P144</f>
        <v>0</v>
      </c>
      <c r="CT147" s="14">
        <f t="shared" si="143"/>
        <v>14</v>
      </c>
      <c r="CU147" s="15">
        <f t="shared" si="144"/>
        <v>4</v>
      </c>
      <c r="CV147" s="14" t="e">
        <f>DN147+DISTRIBUSI!#REF!-'PEMAKAIAN UNIT'!Q144</f>
        <v>#REF!</v>
      </c>
      <c r="CW147" s="15" t="e">
        <f t="shared" si="145"/>
        <v>#REF!</v>
      </c>
      <c r="CX147" s="14">
        <f>DO147+'LPLPO GUDANG'!E150-'LPLPO GUDANG'!G150</f>
        <v>15</v>
      </c>
      <c r="CY147" s="15">
        <f t="shared" si="146"/>
        <v>0</v>
      </c>
      <c r="CZ147" s="28"/>
      <c r="DA147" s="14"/>
      <c r="DB147" s="14">
        <v>0</v>
      </c>
      <c r="DC147" s="14">
        <v>1</v>
      </c>
      <c r="DD147" s="14">
        <v>0</v>
      </c>
      <c r="DE147" s="14">
        <v>2</v>
      </c>
      <c r="DF147" s="14"/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14</v>
      </c>
      <c r="DN147" s="14">
        <v>0</v>
      </c>
      <c r="DO147" s="14">
        <v>20</v>
      </c>
      <c r="DP147" s="13">
        <f t="shared" si="147"/>
        <v>37</v>
      </c>
      <c r="DR147" t="s">
        <v>117</v>
      </c>
      <c r="DU147" s="20" t="e">
        <f t="shared" si="148"/>
        <v>#REF!</v>
      </c>
    </row>
    <row r="148" spans="1:125" customFormat="1" ht="20.149999999999999" customHeight="1" x14ac:dyDescent="0.35">
      <c r="A148" s="84">
        <f t="shared" si="149"/>
        <v>137</v>
      </c>
      <c r="B148" s="142" t="s">
        <v>118</v>
      </c>
      <c r="C148" s="156" t="s">
        <v>108</v>
      </c>
      <c r="D148" s="109">
        <v>0</v>
      </c>
      <c r="E148" s="110">
        <f>'LPLPO GUDANG'!E151</f>
        <v>0</v>
      </c>
      <c r="F148" s="110">
        <f t="shared" si="100"/>
        <v>0</v>
      </c>
      <c r="G148" s="110">
        <f>'PEMAKAIAN UNIT'!R145</f>
        <v>0</v>
      </c>
      <c r="H148" s="14">
        <v>0</v>
      </c>
      <c r="I148" s="14">
        <v>0</v>
      </c>
      <c r="J148" s="14">
        <v>0</v>
      </c>
      <c r="K148" s="14"/>
      <c r="L148" s="14"/>
      <c r="M148" s="14"/>
      <c r="N148" s="14"/>
      <c r="O148" s="14"/>
      <c r="P148" s="14"/>
      <c r="Q148" s="14"/>
      <c r="R148" s="14"/>
      <c r="S148" s="14">
        <v>1</v>
      </c>
      <c r="T148" s="14">
        <v>0</v>
      </c>
      <c r="U148" s="14">
        <v>3</v>
      </c>
      <c r="V148" s="14">
        <v>8</v>
      </c>
      <c r="W148" s="14">
        <v>11</v>
      </c>
      <c r="X148" s="14">
        <v>0</v>
      </c>
      <c r="Y148" s="109">
        <f t="shared" si="101"/>
        <v>0</v>
      </c>
      <c r="Z148" s="109" t="e">
        <f t="shared" si="102"/>
        <v>#REF!</v>
      </c>
      <c r="AA148" s="109" t="e">
        <f t="shared" si="103"/>
        <v>#REF!</v>
      </c>
      <c r="AB148" s="14">
        <v>13</v>
      </c>
      <c r="AC148" s="109" t="e">
        <f t="shared" si="104"/>
        <v>#REF!</v>
      </c>
      <c r="AD148" s="109">
        <f>'LPLPO GUDANG'!H151</f>
        <v>10</v>
      </c>
      <c r="AE148" s="111" t="e">
        <f t="shared" si="105"/>
        <v>#REF!</v>
      </c>
      <c r="AF148" s="212"/>
      <c r="AG148" s="212"/>
      <c r="AH148" s="20"/>
      <c r="AI148" s="14">
        <f t="shared" si="106"/>
        <v>0</v>
      </c>
      <c r="AJ148" s="209" t="e">
        <f t="shared" si="107"/>
        <v>#REF!</v>
      </c>
      <c r="AL148" s="14">
        <f t="shared" si="108"/>
        <v>0</v>
      </c>
      <c r="AM148" s="14">
        <f>DISTRIBUSI!D146</f>
        <v>0</v>
      </c>
      <c r="AN148" s="14">
        <f>'PEMAKAIAN UNIT'!D145</f>
        <v>0</v>
      </c>
      <c r="AO148" s="14">
        <f t="shared" si="109"/>
        <v>0</v>
      </c>
      <c r="AP148" s="15">
        <f t="shared" si="110"/>
        <v>0</v>
      </c>
      <c r="AQ148" s="14">
        <f t="shared" si="111"/>
        <v>0</v>
      </c>
      <c r="AR148" s="14">
        <f>DISTRIBUSI!E146</f>
        <v>0</v>
      </c>
      <c r="AS148" s="14">
        <f>'PEMAKAIAN UNIT'!E145</f>
        <v>0</v>
      </c>
      <c r="AT148" s="14">
        <f t="shared" si="112"/>
        <v>0</v>
      </c>
      <c r="AU148" s="15">
        <f t="shared" si="113"/>
        <v>0</v>
      </c>
      <c r="AV148" s="14">
        <f t="shared" si="114"/>
        <v>1</v>
      </c>
      <c r="AW148" s="14">
        <f>DISTRIBUSI!F146</f>
        <v>0</v>
      </c>
      <c r="AX148" s="14">
        <f>'PEMAKAIAN UNIT'!F145</f>
        <v>0</v>
      </c>
      <c r="AY148" s="14">
        <f t="shared" si="115"/>
        <v>1</v>
      </c>
      <c r="AZ148" s="15">
        <f t="shared" si="116"/>
        <v>1</v>
      </c>
      <c r="BA148" s="14">
        <f t="shared" si="117"/>
        <v>1</v>
      </c>
      <c r="BB148" s="14">
        <f>DISTRIBUSI!G146</f>
        <v>0</v>
      </c>
      <c r="BC148" s="14">
        <f>'PEMAKAIAN UNIT'!G145</f>
        <v>0</v>
      </c>
      <c r="BD148" s="14">
        <f t="shared" si="118"/>
        <v>1</v>
      </c>
      <c r="BE148" s="15">
        <f t="shared" si="119"/>
        <v>0</v>
      </c>
      <c r="BF148" s="14">
        <f t="shared" si="120"/>
        <v>2</v>
      </c>
      <c r="BG148" s="14">
        <f>DISTRIBUSI!H146</f>
        <v>0</v>
      </c>
      <c r="BH148" s="14">
        <f>'PEMAKAIAN UNIT'!H145</f>
        <v>0</v>
      </c>
      <c r="BI148" s="14">
        <f t="shared" si="121"/>
        <v>2</v>
      </c>
      <c r="BJ148" s="15">
        <f t="shared" si="122"/>
        <v>2</v>
      </c>
      <c r="BK148" s="14">
        <f t="shared" si="123"/>
        <v>3</v>
      </c>
      <c r="BL148" s="14">
        <f>DISTRIBUSI!I146</f>
        <v>0</v>
      </c>
      <c r="BM148" s="14">
        <f>'PEMAKAIAN UNIT'!I145</f>
        <v>0</v>
      </c>
      <c r="BN148" s="14">
        <f t="shared" si="124"/>
        <v>3</v>
      </c>
      <c r="BO148" s="15">
        <f t="shared" si="125"/>
        <v>0</v>
      </c>
      <c r="BP148" s="14">
        <f t="shared" si="126"/>
        <v>8</v>
      </c>
      <c r="BQ148" s="14">
        <f>DISTRIBUSI!J146</f>
        <v>0</v>
      </c>
      <c r="BR148" s="14">
        <f>'PEMAKAIAN UNIT'!J145</f>
        <v>0</v>
      </c>
      <c r="BS148" s="14">
        <f t="shared" si="127"/>
        <v>8</v>
      </c>
      <c r="BT148" s="15">
        <f t="shared" si="128"/>
        <v>0</v>
      </c>
      <c r="BU148" s="14">
        <f t="shared" si="129"/>
        <v>11</v>
      </c>
      <c r="BV148" s="14">
        <f>DISTRIBUSI!K146</f>
        <v>0</v>
      </c>
      <c r="BW148" s="14">
        <f>'PEMAKAIAN UNIT'!K145</f>
        <v>0</v>
      </c>
      <c r="BX148" s="14">
        <f t="shared" si="130"/>
        <v>11</v>
      </c>
      <c r="BY148" s="15">
        <f t="shared" si="131"/>
        <v>0</v>
      </c>
      <c r="BZ148" s="14">
        <f t="shared" si="132"/>
        <v>0</v>
      </c>
      <c r="CA148" s="14">
        <f>DISTRIBUSI!L146</f>
        <v>0</v>
      </c>
      <c r="CB148" s="14">
        <f>'PEMAKAIAN UNIT'!L145</f>
        <v>0</v>
      </c>
      <c r="CC148" s="14">
        <f t="shared" si="133"/>
        <v>0</v>
      </c>
      <c r="CD148" s="15">
        <f t="shared" si="134"/>
        <v>0</v>
      </c>
      <c r="CE148" s="14">
        <f t="shared" si="135"/>
        <v>0</v>
      </c>
      <c r="CF148" s="14">
        <f>DISTRIBUSI!M146</f>
        <v>0</v>
      </c>
      <c r="CG148" s="14">
        <f>'PEMAKAIAN UNIT'!M145</f>
        <v>0</v>
      </c>
      <c r="CH148" s="14">
        <f t="shared" si="136"/>
        <v>0</v>
      </c>
      <c r="CI148" s="15">
        <f t="shared" si="137"/>
        <v>0</v>
      </c>
      <c r="CJ148" s="14">
        <f t="shared" si="138"/>
        <v>0</v>
      </c>
      <c r="CK148" s="14" t="e">
        <f>DISTRIBUSI!#REF!</f>
        <v>#REF!</v>
      </c>
      <c r="CL148" s="14">
        <f>'PEMAKAIAN UNIT'!N145</f>
        <v>0</v>
      </c>
      <c r="CM148" s="14" t="e">
        <f t="shared" si="139"/>
        <v>#REF!</v>
      </c>
      <c r="CN148" s="15" t="e">
        <f t="shared" si="140"/>
        <v>#REF!</v>
      </c>
      <c r="CO148" s="14" t="e">
        <f>DL148+DISTRIBUSI!#REF!-'PEMAKAIAN UNIT'!O145</f>
        <v>#REF!</v>
      </c>
      <c r="CP148" s="15" t="e">
        <f t="shared" si="141"/>
        <v>#REF!</v>
      </c>
      <c r="CQ148" s="226">
        <f t="shared" si="142"/>
        <v>9</v>
      </c>
      <c r="CR148" s="226">
        <f>DISTRIBUSI!R146</f>
        <v>0</v>
      </c>
      <c r="CS148" s="226">
        <f>'PEMAKAIAN UNIT'!P145</f>
        <v>0</v>
      </c>
      <c r="CT148" s="14">
        <f t="shared" si="143"/>
        <v>9</v>
      </c>
      <c r="CU148" s="15">
        <f t="shared" si="144"/>
        <v>-4</v>
      </c>
      <c r="CV148" s="14" t="e">
        <f>DN148+DISTRIBUSI!#REF!-'PEMAKAIAN UNIT'!Q145</f>
        <v>#REF!</v>
      </c>
      <c r="CW148" s="15" t="e">
        <f t="shared" si="145"/>
        <v>#REF!</v>
      </c>
      <c r="CX148" s="14">
        <f>DO148+'LPLPO GUDANG'!E151-'LPLPO GUDANG'!G151</f>
        <v>0</v>
      </c>
      <c r="CY148" s="15">
        <f t="shared" si="146"/>
        <v>-10</v>
      </c>
      <c r="CZ148" s="28"/>
      <c r="DA148" s="14"/>
      <c r="DB148" s="14"/>
      <c r="DC148" s="14">
        <v>1</v>
      </c>
      <c r="DD148" s="14">
        <v>1</v>
      </c>
      <c r="DE148" s="14">
        <v>2</v>
      </c>
      <c r="DF148" s="14">
        <v>3</v>
      </c>
      <c r="DG148" s="14">
        <v>8</v>
      </c>
      <c r="DH148" s="14">
        <v>11</v>
      </c>
      <c r="DI148" s="14">
        <v>0</v>
      </c>
      <c r="DJ148" s="14">
        <v>0</v>
      </c>
      <c r="DK148" s="14">
        <v>0</v>
      </c>
      <c r="DL148" s="14">
        <v>0</v>
      </c>
      <c r="DM148" s="14">
        <v>9</v>
      </c>
      <c r="DN148" s="14">
        <v>0</v>
      </c>
      <c r="DO148" s="14">
        <v>0</v>
      </c>
      <c r="DP148" s="13">
        <f t="shared" si="147"/>
        <v>35</v>
      </c>
      <c r="DR148" t="s">
        <v>118</v>
      </c>
      <c r="DU148" s="20" t="e">
        <f t="shared" si="148"/>
        <v>#REF!</v>
      </c>
    </row>
    <row r="149" spans="1:125" customFormat="1" ht="20.149999999999999" customHeight="1" x14ac:dyDescent="0.35">
      <c r="A149" s="84">
        <f t="shared" si="149"/>
        <v>138</v>
      </c>
      <c r="B149" s="142" t="s">
        <v>326</v>
      </c>
      <c r="C149" s="155" t="s">
        <v>108</v>
      </c>
      <c r="D149" s="109">
        <v>0</v>
      </c>
      <c r="E149" s="110">
        <f>'LPLPO GUDANG'!E152</f>
        <v>200</v>
      </c>
      <c r="F149" s="110">
        <f t="shared" si="100"/>
        <v>200</v>
      </c>
      <c r="G149" s="110">
        <f>'PEMAKAIAN UNIT'!R146</f>
        <v>0</v>
      </c>
      <c r="H149" s="14">
        <v>10</v>
      </c>
      <c r="I149" s="14">
        <v>1</v>
      </c>
      <c r="J149" s="14">
        <v>0</v>
      </c>
      <c r="K149" s="14"/>
      <c r="L149" s="14"/>
      <c r="M149" s="14"/>
      <c r="N149" s="14"/>
      <c r="O149" s="14"/>
      <c r="P149" s="14"/>
      <c r="Q149" s="14"/>
      <c r="R149" s="14"/>
      <c r="S149" s="14">
        <v>5</v>
      </c>
      <c r="T149" s="14">
        <v>0</v>
      </c>
      <c r="U149" s="14">
        <v>0</v>
      </c>
      <c r="V149" s="14">
        <v>4</v>
      </c>
      <c r="W149" s="14">
        <v>5</v>
      </c>
      <c r="X149" s="14">
        <v>0</v>
      </c>
      <c r="Y149" s="109">
        <f t="shared" si="101"/>
        <v>0</v>
      </c>
      <c r="Z149" s="109" t="e">
        <f t="shared" si="102"/>
        <v>#REF!</v>
      </c>
      <c r="AA149" s="109" t="e">
        <f t="shared" si="103"/>
        <v>#REF!</v>
      </c>
      <c r="AB149" s="14">
        <v>80</v>
      </c>
      <c r="AC149" s="109" t="e">
        <f t="shared" si="104"/>
        <v>#REF!</v>
      </c>
      <c r="AD149" s="109">
        <f>'LPLPO GUDANG'!H152</f>
        <v>50</v>
      </c>
      <c r="AE149" s="111" t="e">
        <f t="shared" si="105"/>
        <v>#REF!</v>
      </c>
      <c r="AF149" s="212"/>
      <c r="AG149" s="212"/>
      <c r="AH149" s="20"/>
      <c r="AI149" s="14">
        <f t="shared" si="106"/>
        <v>200</v>
      </c>
      <c r="AJ149" s="209" t="e">
        <f t="shared" si="107"/>
        <v>#REF!</v>
      </c>
      <c r="AL149" s="14">
        <f t="shared" si="108"/>
        <v>12</v>
      </c>
      <c r="AM149" s="14">
        <f>DISTRIBUSI!D147</f>
        <v>0</v>
      </c>
      <c r="AN149" s="14">
        <f>'PEMAKAIAN UNIT'!D146</f>
        <v>0</v>
      </c>
      <c r="AO149" s="14">
        <f t="shared" si="109"/>
        <v>12</v>
      </c>
      <c r="AP149" s="15">
        <f t="shared" si="110"/>
        <v>2</v>
      </c>
      <c r="AQ149" s="14">
        <f t="shared" si="111"/>
        <v>2</v>
      </c>
      <c r="AR149" s="14">
        <f>DISTRIBUSI!E147</f>
        <v>0</v>
      </c>
      <c r="AS149" s="14">
        <f>'PEMAKAIAN UNIT'!E146</f>
        <v>0</v>
      </c>
      <c r="AT149" s="14">
        <f t="shared" si="112"/>
        <v>2</v>
      </c>
      <c r="AU149" s="15">
        <f t="shared" si="113"/>
        <v>1</v>
      </c>
      <c r="AV149" s="14">
        <f t="shared" si="114"/>
        <v>4</v>
      </c>
      <c r="AW149" s="14">
        <f>DISTRIBUSI!F147</f>
        <v>0</v>
      </c>
      <c r="AX149" s="14">
        <f>'PEMAKAIAN UNIT'!F146</f>
        <v>0</v>
      </c>
      <c r="AY149" s="14">
        <f t="shared" si="115"/>
        <v>4</v>
      </c>
      <c r="AZ149" s="15">
        <f t="shared" si="116"/>
        <v>4</v>
      </c>
      <c r="BA149" s="14">
        <f t="shared" si="117"/>
        <v>5</v>
      </c>
      <c r="BB149" s="14">
        <f>DISTRIBUSI!G147</f>
        <v>0</v>
      </c>
      <c r="BC149" s="14">
        <f>'PEMAKAIAN UNIT'!G146</f>
        <v>0</v>
      </c>
      <c r="BD149" s="14">
        <f t="shared" si="118"/>
        <v>5</v>
      </c>
      <c r="BE149" s="15">
        <f t="shared" si="119"/>
        <v>0</v>
      </c>
      <c r="BF149" s="14">
        <f t="shared" si="120"/>
        <v>10</v>
      </c>
      <c r="BG149" s="14">
        <f>DISTRIBUSI!H147</f>
        <v>0</v>
      </c>
      <c r="BH149" s="14">
        <f>'PEMAKAIAN UNIT'!H146</f>
        <v>0</v>
      </c>
      <c r="BI149" s="14">
        <f t="shared" si="121"/>
        <v>10</v>
      </c>
      <c r="BJ149" s="15">
        <f t="shared" si="122"/>
        <v>10</v>
      </c>
      <c r="BK149" s="14">
        <f t="shared" si="123"/>
        <v>3</v>
      </c>
      <c r="BL149" s="14">
        <f>DISTRIBUSI!I147</f>
        <v>0</v>
      </c>
      <c r="BM149" s="14">
        <f>'PEMAKAIAN UNIT'!I146</f>
        <v>0</v>
      </c>
      <c r="BN149" s="14">
        <f t="shared" si="124"/>
        <v>3</v>
      </c>
      <c r="BO149" s="15">
        <f t="shared" si="125"/>
        <v>3</v>
      </c>
      <c r="BP149" s="14">
        <f t="shared" si="126"/>
        <v>4</v>
      </c>
      <c r="BQ149" s="14">
        <f>DISTRIBUSI!J147</f>
        <v>0</v>
      </c>
      <c r="BR149" s="14">
        <f>'PEMAKAIAN UNIT'!J146</f>
        <v>0</v>
      </c>
      <c r="BS149" s="14">
        <f t="shared" si="127"/>
        <v>4</v>
      </c>
      <c r="BT149" s="15">
        <f t="shared" si="128"/>
        <v>0</v>
      </c>
      <c r="BU149" s="14">
        <f t="shared" si="129"/>
        <v>5</v>
      </c>
      <c r="BV149" s="14">
        <f>DISTRIBUSI!K147</f>
        <v>0</v>
      </c>
      <c r="BW149" s="14">
        <f>'PEMAKAIAN UNIT'!K146</f>
        <v>0</v>
      </c>
      <c r="BX149" s="14">
        <f t="shared" si="130"/>
        <v>5</v>
      </c>
      <c r="BY149" s="15">
        <f t="shared" si="131"/>
        <v>0</v>
      </c>
      <c r="BZ149" s="14">
        <f t="shared" si="132"/>
        <v>0</v>
      </c>
      <c r="CA149" s="14">
        <f>DISTRIBUSI!L147</f>
        <v>0</v>
      </c>
      <c r="CB149" s="14">
        <f>'PEMAKAIAN UNIT'!L146</f>
        <v>0</v>
      </c>
      <c r="CC149" s="14">
        <f t="shared" si="133"/>
        <v>0</v>
      </c>
      <c r="CD149" s="15">
        <f t="shared" si="134"/>
        <v>0</v>
      </c>
      <c r="CE149" s="14">
        <f t="shared" si="135"/>
        <v>0</v>
      </c>
      <c r="CF149" s="14">
        <f>DISTRIBUSI!M147</f>
        <v>0</v>
      </c>
      <c r="CG149" s="14">
        <f>'PEMAKAIAN UNIT'!M146</f>
        <v>0</v>
      </c>
      <c r="CH149" s="14">
        <f t="shared" si="136"/>
        <v>0</v>
      </c>
      <c r="CI149" s="15">
        <f t="shared" si="137"/>
        <v>0</v>
      </c>
      <c r="CJ149" s="14">
        <f t="shared" si="138"/>
        <v>0</v>
      </c>
      <c r="CK149" s="14" t="e">
        <f>DISTRIBUSI!#REF!</f>
        <v>#REF!</v>
      </c>
      <c r="CL149" s="14">
        <f>'PEMAKAIAN UNIT'!N146</f>
        <v>0</v>
      </c>
      <c r="CM149" s="14" t="e">
        <f t="shared" si="139"/>
        <v>#REF!</v>
      </c>
      <c r="CN149" s="15" t="e">
        <f t="shared" si="140"/>
        <v>#REF!</v>
      </c>
      <c r="CO149" s="14" t="e">
        <f>DL149+DISTRIBUSI!#REF!-'PEMAKAIAN UNIT'!O146</f>
        <v>#REF!</v>
      </c>
      <c r="CP149" s="15" t="e">
        <f t="shared" si="141"/>
        <v>#REF!</v>
      </c>
      <c r="CQ149" s="226">
        <f t="shared" si="142"/>
        <v>88</v>
      </c>
      <c r="CR149" s="226">
        <f>DISTRIBUSI!R147</f>
        <v>130</v>
      </c>
      <c r="CS149" s="226">
        <f>'PEMAKAIAN UNIT'!P146</f>
        <v>0</v>
      </c>
      <c r="CT149" s="14">
        <f t="shared" si="143"/>
        <v>218</v>
      </c>
      <c r="CU149" s="15">
        <f t="shared" si="144"/>
        <v>138</v>
      </c>
      <c r="CV149" s="14" t="e">
        <f>DN149+DISTRIBUSI!#REF!-'PEMAKAIAN UNIT'!Q146</f>
        <v>#REF!</v>
      </c>
      <c r="CW149" s="15" t="e">
        <f t="shared" si="145"/>
        <v>#REF!</v>
      </c>
      <c r="CX149" s="14">
        <f>DO149+'LPLPO GUDANG'!E152-'LPLPO GUDANG'!G152</f>
        <v>200</v>
      </c>
      <c r="CY149" s="15">
        <f t="shared" si="146"/>
        <v>150</v>
      </c>
      <c r="CZ149" s="28"/>
      <c r="DA149" s="14">
        <v>12</v>
      </c>
      <c r="DB149" s="14">
        <v>2</v>
      </c>
      <c r="DC149" s="14">
        <v>4</v>
      </c>
      <c r="DD149" s="14">
        <v>5</v>
      </c>
      <c r="DE149" s="14">
        <v>10</v>
      </c>
      <c r="DF149" s="14">
        <v>3</v>
      </c>
      <c r="DG149" s="14">
        <v>4</v>
      </c>
      <c r="DH149" s="14">
        <v>5</v>
      </c>
      <c r="DI149" s="14">
        <v>0</v>
      </c>
      <c r="DJ149" s="14">
        <v>0</v>
      </c>
      <c r="DK149" s="14">
        <v>0</v>
      </c>
      <c r="DL149" s="14">
        <v>0</v>
      </c>
      <c r="DM149" s="14">
        <v>88</v>
      </c>
      <c r="DN149" s="14">
        <v>0</v>
      </c>
      <c r="DO149" s="14">
        <v>150</v>
      </c>
      <c r="DP149" s="13">
        <f t="shared" si="147"/>
        <v>283</v>
      </c>
      <c r="DR149" t="s">
        <v>326</v>
      </c>
      <c r="DU149" s="20" t="e">
        <f t="shared" si="148"/>
        <v>#REF!</v>
      </c>
    </row>
    <row r="150" spans="1:125" customFormat="1" ht="20.149999999999999" customHeight="1" x14ac:dyDescent="0.35">
      <c r="A150" s="84">
        <f t="shared" si="149"/>
        <v>139</v>
      </c>
      <c r="B150" s="142" t="s">
        <v>119</v>
      </c>
      <c r="C150" s="155" t="s">
        <v>108</v>
      </c>
      <c r="D150" s="109">
        <v>0</v>
      </c>
      <c r="E150" s="110">
        <f>'LPLPO GUDANG'!E153</f>
        <v>0</v>
      </c>
      <c r="F150" s="110">
        <f t="shared" si="100"/>
        <v>0</v>
      </c>
      <c r="G150" s="110">
        <f>'PEMAKAIAN UNIT'!R147</f>
        <v>0</v>
      </c>
      <c r="H150" s="14">
        <v>0</v>
      </c>
      <c r="I150" s="14">
        <v>0</v>
      </c>
      <c r="J150" s="14">
        <v>0</v>
      </c>
      <c r="K150" s="14"/>
      <c r="L150" s="14"/>
      <c r="M150" s="14"/>
      <c r="N150" s="14"/>
      <c r="O150" s="14"/>
      <c r="P150" s="14"/>
      <c r="Q150" s="14"/>
      <c r="R150" s="14"/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09">
        <f t="shared" si="101"/>
        <v>0</v>
      </c>
      <c r="Z150" s="109" t="e">
        <f t="shared" si="102"/>
        <v>#REF!</v>
      </c>
      <c r="AA150" s="109" t="e">
        <f t="shared" si="103"/>
        <v>#REF!</v>
      </c>
      <c r="AB150" s="14">
        <v>9</v>
      </c>
      <c r="AC150" s="109" t="e">
        <f t="shared" si="104"/>
        <v>#REF!</v>
      </c>
      <c r="AD150" s="109">
        <f>'LPLPO GUDANG'!H153</f>
        <v>40</v>
      </c>
      <c r="AE150" s="111" t="e">
        <f t="shared" si="105"/>
        <v>#REF!</v>
      </c>
      <c r="AF150" s="212"/>
      <c r="AG150" s="212"/>
      <c r="AH150" s="20"/>
      <c r="AI150" s="14">
        <f t="shared" si="106"/>
        <v>0</v>
      </c>
      <c r="AJ150" s="209" t="e">
        <f t="shared" si="107"/>
        <v>#REF!</v>
      </c>
      <c r="AL150" s="14">
        <f t="shared" si="108"/>
        <v>0</v>
      </c>
      <c r="AM150" s="14">
        <f>DISTRIBUSI!D148</f>
        <v>0</v>
      </c>
      <c r="AN150" s="14">
        <f>'PEMAKAIAN UNIT'!D147</f>
        <v>0</v>
      </c>
      <c r="AO150" s="14">
        <f t="shared" si="109"/>
        <v>0</v>
      </c>
      <c r="AP150" s="15">
        <f t="shared" si="110"/>
        <v>0</v>
      </c>
      <c r="AQ150" s="14">
        <f t="shared" si="111"/>
        <v>0</v>
      </c>
      <c r="AR150" s="14">
        <f>DISTRIBUSI!E148</f>
        <v>0</v>
      </c>
      <c r="AS150" s="14">
        <f>'PEMAKAIAN UNIT'!E147</f>
        <v>0</v>
      </c>
      <c r="AT150" s="14">
        <f t="shared" si="112"/>
        <v>0</v>
      </c>
      <c r="AU150" s="15">
        <f t="shared" si="113"/>
        <v>0</v>
      </c>
      <c r="AV150" s="14">
        <f t="shared" si="114"/>
        <v>0</v>
      </c>
      <c r="AW150" s="14">
        <f>DISTRIBUSI!F148</f>
        <v>0</v>
      </c>
      <c r="AX150" s="14">
        <f>'PEMAKAIAN UNIT'!F147</f>
        <v>0</v>
      </c>
      <c r="AY150" s="14">
        <f t="shared" si="115"/>
        <v>0</v>
      </c>
      <c r="AZ150" s="15">
        <f t="shared" si="116"/>
        <v>0</v>
      </c>
      <c r="BA150" s="14">
        <f t="shared" si="117"/>
        <v>0</v>
      </c>
      <c r="BB150" s="14">
        <f>DISTRIBUSI!G148</f>
        <v>0</v>
      </c>
      <c r="BC150" s="14">
        <f>'PEMAKAIAN UNIT'!G147</f>
        <v>0</v>
      </c>
      <c r="BD150" s="14">
        <f t="shared" si="118"/>
        <v>0</v>
      </c>
      <c r="BE150" s="15">
        <f t="shared" si="119"/>
        <v>0</v>
      </c>
      <c r="BF150" s="14">
        <f t="shared" si="120"/>
        <v>0</v>
      </c>
      <c r="BG150" s="14">
        <f>DISTRIBUSI!H148</f>
        <v>0</v>
      </c>
      <c r="BH150" s="14">
        <f>'PEMAKAIAN UNIT'!H147</f>
        <v>0</v>
      </c>
      <c r="BI150" s="14">
        <f t="shared" si="121"/>
        <v>0</v>
      </c>
      <c r="BJ150" s="15">
        <f t="shared" si="122"/>
        <v>0</v>
      </c>
      <c r="BK150" s="14">
        <f t="shared" si="123"/>
        <v>0</v>
      </c>
      <c r="BL150" s="14">
        <f>DISTRIBUSI!I148</f>
        <v>0</v>
      </c>
      <c r="BM150" s="14">
        <f>'PEMAKAIAN UNIT'!I147</f>
        <v>0</v>
      </c>
      <c r="BN150" s="14">
        <f t="shared" si="124"/>
        <v>0</v>
      </c>
      <c r="BO150" s="15">
        <f t="shared" si="125"/>
        <v>0</v>
      </c>
      <c r="BP150" s="14">
        <f t="shared" si="126"/>
        <v>0</v>
      </c>
      <c r="BQ150" s="14">
        <f>DISTRIBUSI!J148</f>
        <v>0</v>
      </c>
      <c r="BR150" s="14">
        <f>'PEMAKAIAN UNIT'!J147</f>
        <v>0</v>
      </c>
      <c r="BS150" s="14">
        <f t="shared" si="127"/>
        <v>0</v>
      </c>
      <c r="BT150" s="15">
        <f t="shared" si="128"/>
        <v>0</v>
      </c>
      <c r="BU150" s="14">
        <f t="shared" si="129"/>
        <v>0</v>
      </c>
      <c r="BV150" s="14">
        <f>DISTRIBUSI!K148</f>
        <v>0</v>
      </c>
      <c r="BW150" s="14">
        <f>'PEMAKAIAN UNIT'!K147</f>
        <v>0</v>
      </c>
      <c r="BX150" s="14">
        <f t="shared" si="130"/>
        <v>0</v>
      </c>
      <c r="BY150" s="15">
        <f t="shared" si="131"/>
        <v>0</v>
      </c>
      <c r="BZ150" s="14">
        <f t="shared" si="132"/>
        <v>0</v>
      </c>
      <c r="CA150" s="14">
        <f>DISTRIBUSI!L148</f>
        <v>0</v>
      </c>
      <c r="CB150" s="14">
        <f>'PEMAKAIAN UNIT'!L147</f>
        <v>0</v>
      </c>
      <c r="CC150" s="14">
        <f t="shared" si="133"/>
        <v>0</v>
      </c>
      <c r="CD150" s="15">
        <f t="shared" si="134"/>
        <v>0</v>
      </c>
      <c r="CE150" s="14">
        <f t="shared" si="135"/>
        <v>0</v>
      </c>
      <c r="CF150" s="14">
        <f>DISTRIBUSI!M148</f>
        <v>0</v>
      </c>
      <c r="CG150" s="14">
        <f>'PEMAKAIAN UNIT'!M147</f>
        <v>0</v>
      </c>
      <c r="CH150" s="14">
        <f t="shared" si="136"/>
        <v>0</v>
      </c>
      <c r="CI150" s="15">
        <f t="shared" si="137"/>
        <v>0</v>
      </c>
      <c r="CJ150" s="14">
        <f t="shared" si="138"/>
        <v>0</v>
      </c>
      <c r="CK150" s="14" t="e">
        <f>DISTRIBUSI!#REF!</f>
        <v>#REF!</v>
      </c>
      <c r="CL150" s="14">
        <f>'PEMAKAIAN UNIT'!N147</f>
        <v>0</v>
      </c>
      <c r="CM150" s="14" t="e">
        <f t="shared" si="139"/>
        <v>#REF!</v>
      </c>
      <c r="CN150" s="15" t="e">
        <f t="shared" si="140"/>
        <v>#REF!</v>
      </c>
      <c r="CO150" s="14" t="e">
        <f>DL150+DISTRIBUSI!#REF!-'PEMAKAIAN UNIT'!O147</f>
        <v>#REF!</v>
      </c>
      <c r="CP150" s="15" t="e">
        <f t="shared" si="141"/>
        <v>#REF!</v>
      </c>
      <c r="CQ150" s="226">
        <f t="shared" si="142"/>
        <v>17</v>
      </c>
      <c r="CR150" s="226">
        <f>DISTRIBUSI!R148</f>
        <v>0</v>
      </c>
      <c r="CS150" s="226">
        <f>'PEMAKAIAN UNIT'!P147</f>
        <v>0</v>
      </c>
      <c r="CT150" s="14">
        <f t="shared" si="143"/>
        <v>17</v>
      </c>
      <c r="CU150" s="15">
        <f t="shared" si="144"/>
        <v>8</v>
      </c>
      <c r="CV150" s="14" t="e">
        <f>DN150+DISTRIBUSI!#REF!-'PEMAKAIAN UNIT'!Q147</f>
        <v>#REF!</v>
      </c>
      <c r="CW150" s="15" t="e">
        <f t="shared" si="145"/>
        <v>#REF!</v>
      </c>
      <c r="CX150" s="14">
        <f>DO150+'LPLPO GUDANG'!E153-'LPLPO GUDANG'!G153</f>
        <v>40</v>
      </c>
      <c r="CY150" s="15">
        <f t="shared" si="146"/>
        <v>0</v>
      </c>
      <c r="CZ150" s="28"/>
      <c r="DA150" s="14">
        <v>0</v>
      </c>
      <c r="DB150" s="14"/>
      <c r="DC150" s="14">
        <v>0</v>
      </c>
      <c r="DD150" s="14">
        <v>0</v>
      </c>
      <c r="DE150" s="14">
        <v>0</v>
      </c>
      <c r="DF150" s="14"/>
      <c r="DG150" s="14">
        <v>0</v>
      </c>
      <c r="DH150" s="14">
        <v>0</v>
      </c>
      <c r="DI150" s="14">
        <v>0</v>
      </c>
      <c r="DJ150" s="14">
        <v>0</v>
      </c>
      <c r="DK150" s="14">
        <v>0</v>
      </c>
      <c r="DL150" s="14">
        <v>0</v>
      </c>
      <c r="DM150" s="14">
        <v>17</v>
      </c>
      <c r="DN150" s="14">
        <v>0</v>
      </c>
      <c r="DO150" s="14">
        <v>50</v>
      </c>
      <c r="DP150" s="13">
        <f t="shared" si="147"/>
        <v>67</v>
      </c>
      <c r="DR150" t="s">
        <v>119</v>
      </c>
      <c r="DU150" s="20" t="e">
        <f t="shared" si="148"/>
        <v>#REF!</v>
      </c>
    </row>
    <row r="151" spans="1:125" customFormat="1" ht="20.149999999999999" customHeight="1" x14ac:dyDescent="0.35">
      <c r="A151" s="84">
        <f t="shared" si="149"/>
        <v>140</v>
      </c>
      <c r="B151" s="142" t="s">
        <v>120</v>
      </c>
      <c r="C151" s="159" t="s">
        <v>108</v>
      </c>
      <c r="D151" s="109">
        <v>0</v>
      </c>
      <c r="E151" s="110">
        <f>'LPLPO GUDANG'!E154</f>
        <v>0</v>
      </c>
      <c r="F151" s="110">
        <f t="shared" si="100"/>
        <v>0</v>
      </c>
      <c r="G151" s="110">
        <f>'PEMAKAIAN UNIT'!R148</f>
        <v>0</v>
      </c>
      <c r="H151" s="14">
        <v>0</v>
      </c>
      <c r="I151" s="14">
        <v>0</v>
      </c>
      <c r="J151" s="14">
        <v>0</v>
      </c>
      <c r="K151" s="14"/>
      <c r="L151" s="14"/>
      <c r="M151" s="14"/>
      <c r="N151" s="14"/>
      <c r="O151" s="14"/>
      <c r="P151" s="14"/>
      <c r="Q151" s="14"/>
      <c r="R151" s="14"/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09">
        <f t="shared" si="101"/>
        <v>0</v>
      </c>
      <c r="Z151" s="109" t="e">
        <f t="shared" si="102"/>
        <v>#REF!</v>
      </c>
      <c r="AA151" s="109" t="e">
        <f t="shared" si="103"/>
        <v>#REF!</v>
      </c>
      <c r="AB151" s="14">
        <v>0</v>
      </c>
      <c r="AC151" s="109" t="e">
        <f t="shared" si="104"/>
        <v>#REF!</v>
      </c>
      <c r="AD151" s="109">
        <f>'LPLPO GUDANG'!H154</f>
        <v>0</v>
      </c>
      <c r="AE151" s="111" t="e">
        <f t="shared" si="105"/>
        <v>#REF!</v>
      </c>
      <c r="AF151" s="212"/>
      <c r="AG151" s="212"/>
      <c r="AH151" s="20"/>
      <c r="AI151" s="14">
        <f t="shared" si="106"/>
        <v>0</v>
      </c>
      <c r="AJ151" s="209" t="e">
        <f t="shared" si="107"/>
        <v>#REF!</v>
      </c>
      <c r="AL151" s="14">
        <f t="shared" si="108"/>
        <v>0</v>
      </c>
      <c r="AM151" s="14">
        <f>DISTRIBUSI!D149</f>
        <v>0</v>
      </c>
      <c r="AN151" s="14">
        <f>'PEMAKAIAN UNIT'!D148</f>
        <v>0</v>
      </c>
      <c r="AO151" s="14">
        <f t="shared" si="109"/>
        <v>0</v>
      </c>
      <c r="AP151" s="15">
        <f t="shared" si="110"/>
        <v>0</v>
      </c>
      <c r="AQ151" s="14">
        <f t="shared" si="111"/>
        <v>0</v>
      </c>
      <c r="AR151" s="14">
        <f>DISTRIBUSI!E149</f>
        <v>0</v>
      </c>
      <c r="AS151" s="14">
        <f>'PEMAKAIAN UNIT'!E148</f>
        <v>0</v>
      </c>
      <c r="AT151" s="14">
        <f t="shared" si="112"/>
        <v>0</v>
      </c>
      <c r="AU151" s="15">
        <f t="shared" si="113"/>
        <v>0</v>
      </c>
      <c r="AV151" s="14">
        <f t="shared" si="114"/>
        <v>0</v>
      </c>
      <c r="AW151" s="14">
        <f>DISTRIBUSI!F149</f>
        <v>0</v>
      </c>
      <c r="AX151" s="14">
        <f>'PEMAKAIAN UNIT'!F148</f>
        <v>0</v>
      </c>
      <c r="AY151" s="14">
        <f t="shared" si="115"/>
        <v>0</v>
      </c>
      <c r="AZ151" s="15">
        <f t="shared" si="116"/>
        <v>0</v>
      </c>
      <c r="BA151" s="14">
        <f t="shared" si="117"/>
        <v>0</v>
      </c>
      <c r="BB151" s="14">
        <f>DISTRIBUSI!G149</f>
        <v>0</v>
      </c>
      <c r="BC151" s="14">
        <f>'PEMAKAIAN UNIT'!G148</f>
        <v>0</v>
      </c>
      <c r="BD151" s="14">
        <f t="shared" si="118"/>
        <v>0</v>
      </c>
      <c r="BE151" s="15">
        <f t="shared" si="119"/>
        <v>0</v>
      </c>
      <c r="BF151" s="14">
        <f t="shared" si="120"/>
        <v>0</v>
      </c>
      <c r="BG151" s="14">
        <f>DISTRIBUSI!H149</f>
        <v>0</v>
      </c>
      <c r="BH151" s="14">
        <f>'PEMAKAIAN UNIT'!H148</f>
        <v>0</v>
      </c>
      <c r="BI151" s="14">
        <f t="shared" si="121"/>
        <v>0</v>
      </c>
      <c r="BJ151" s="15">
        <f t="shared" si="122"/>
        <v>0</v>
      </c>
      <c r="BK151" s="14">
        <f t="shared" si="123"/>
        <v>0</v>
      </c>
      <c r="BL151" s="14">
        <f>DISTRIBUSI!I149</f>
        <v>0</v>
      </c>
      <c r="BM151" s="14">
        <f>'PEMAKAIAN UNIT'!I148</f>
        <v>0</v>
      </c>
      <c r="BN151" s="14">
        <f t="shared" si="124"/>
        <v>0</v>
      </c>
      <c r="BO151" s="15">
        <f t="shared" si="125"/>
        <v>0</v>
      </c>
      <c r="BP151" s="14">
        <f t="shared" si="126"/>
        <v>0</v>
      </c>
      <c r="BQ151" s="14">
        <f>DISTRIBUSI!J149</f>
        <v>0</v>
      </c>
      <c r="BR151" s="14">
        <f>'PEMAKAIAN UNIT'!J148</f>
        <v>0</v>
      </c>
      <c r="BS151" s="14">
        <f t="shared" si="127"/>
        <v>0</v>
      </c>
      <c r="BT151" s="15">
        <f t="shared" si="128"/>
        <v>0</v>
      </c>
      <c r="BU151" s="14">
        <f t="shared" si="129"/>
        <v>0</v>
      </c>
      <c r="BV151" s="14">
        <f>DISTRIBUSI!K149</f>
        <v>0</v>
      </c>
      <c r="BW151" s="14">
        <f>'PEMAKAIAN UNIT'!K148</f>
        <v>0</v>
      </c>
      <c r="BX151" s="14">
        <f t="shared" si="130"/>
        <v>0</v>
      </c>
      <c r="BY151" s="15">
        <f t="shared" si="131"/>
        <v>0</v>
      </c>
      <c r="BZ151" s="14">
        <f t="shared" si="132"/>
        <v>0</v>
      </c>
      <c r="CA151" s="14">
        <f>DISTRIBUSI!L149</f>
        <v>0</v>
      </c>
      <c r="CB151" s="14">
        <f>'PEMAKAIAN UNIT'!L148</f>
        <v>0</v>
      </c>
      <c r="CC151" s="14">
        <f t="shared" si="133"/>
        <v>0</v>
      </c>
      <c r="CD151" s="15">
        <f t="shared" si="134"/>
        <v>0</v>
      </c>
      <c r="CE151" s="14">
        <f t="shared" si="135"/>
        <v>0</v>
      </c>
      <c r="CF151" s="14">
        <f>DISTRIBUSI!M149</f>
        <v>0</v>
      </c>
      <c r="CG151" s="14">
        <f>'PEMAKAIAN UNIT'!M148</f>
        <v>0</v>
      </c>
      <c r="CH151" s="14">
        <f t="shared" si="136"/>
        <v>0</v>
      </c>
      <c r="CI151" s="15">
        <f t="shared" si="137"/>
        <v>0</v>
      </c>
      <c r="CJ151" s="14">
        <f t="shared" si="138"/>
        <v>0</v>
      </c>
      <c r="CK151" s="14" t="e">
        <f>DISTRIBUSI!#REF!</f>
        <v>#REF!</v>
      </c>
      <c r="CL151" s="14">
        <f>'PEMAKAIAN UNIT'!N148</f>
        <v>0</v>
      </c>
      <c r="CM151" s="14" t="e">
        <f t="shared" si="139"/>
        <v>#REF!</v>
      </c>
      <c r="CN151" s="15" t="e">
        <f t="shared" si="140"/>
        <v>#REF!</v>
      </c>
      <c r="CO151" s="14" t="e">
        <f>DL151+DISTRIBUSI!#REF!-'PEMAKAIAN UNIT'!O148</f>
        <v>#REF!</v>
      </c>
      <c r="CP151" s="15" t="e">
        <f t="shared" si="141"/>
        <v>#REF!</v>
      </c>
      <c r="CQ151" s="226">
        <f t="shared" si="142"/>
        <v>0</v>
      </c>
      <c r="CR151" s="226">
        <f>DISTRIBUSI!R149</f>
        <v>0</v>
      </c>
      <c r="CS151" s="226">
        <f>'PEMAKAIAN UNIT'!P148</f>
        <v>0</v>
      </c>
      <c r="CT151" s="14">
        <f t="shared" si="143"/>
        <v>0</v>
      </c>
      <c r="CU151" s="15">
        <f t="shared" si="144"/>
        <v>0</v>
      </c>
      <c r="CV151" s="14" t="e">
        <f>DN151+DISTRIBUSI!#REF!-'PEMAKAIAN UNIT'!Q148</f>
        <v>#REF!</v>
      </c>
      <c r="CW151" s="15" t="e">
        <f t="shared" si="145"/>
        <v>#REF!</v>
      </c>
      <c r="CX151" s="14">
        <f>DO151+'LPLPO GUDANG'!E154-'LPLPO GUDANG'!G154</f>
        <v>0</v>
      </c>
      <c r="CY151" s="15">
        <f t="shared" si="146"/>
        <v>0</v>
      </c>
      <c r="CZ151" s="28"/>
      <c r="DA151" s="14"/>
      <c r="DB151" s="14"/>
      <c r="DC151" s="14">
        <v>0</v>
      </c>
      <c r="DD151" s="14">
        <v>0</v>
      </c>
      <c r="DE151" s="14">
        <v>0</v>
      </c>
      <c r="DF151" s="14">
        <v>0</v>
      </c>
      <c r="DG151" s="14">
        <v>0</v>
      </c>
      <c r="DH151" s="14">
        <v>0</v>
      </c>
      <c r="DI151" s="14">
        <v>0</v>
      </c>
      <c r="DJ151" s="14">
        <v>0</v>
      </c>
      <c r="DK151" s="14">
        <v>0</v>
      </c>
      <c r="DL151" s="14">
        <v>0</v>
      </c>
      <c r="DM151" s="14">
        <v>0</v>
      </c>
      <c r="DN151" s="14">
        <v>0</v>
      </c>
      <c r="DO151" s="14">
        <v>0</v>
      </c>
      <c r="DP151" s="13">
        <f t="shared" si="147"/>
        <v>0</v>
      </c>
      <c r="DR151" t="s">
        <v>120</v>
      </c>
      <c r="DU151" s="20" t="e">
        <f t="shared" si="148"/>
        <v>#REF!</v>
      </c>
    </row>
    <row r="152" spans="1:125" customFormat="1" ht="20.149999999999999" customHeight="1" x14ac:dyDescent="0.35">
      <c r="A152" s="84">
        <f t="shared" si="149"/>
        <v>141</v>
      </c>
      <c r="B152" s="142" t="s">
        <v>121</v>
      </c>
      <c r="C152" s="171" t="s">
        <v>108</v>
      </c>
      <c r="D152" s="109">
        <v>0</v>
      </c>
      <c r="E152" s="110">
        <f>'LPLPO GUDANG'!E155</f>
        <v>0</v>
      </c>
      <c r="F152" s="110">
        <f t="shared" si="100"/>
        <v>0</v>
      </c>
      <c r="G152" s="110">
        <f>'PEMAKAIAN UNIT'!R149</f>
        <v>0</v>
      </c>
      <c r="H152" s="14">
        <v>13</v>
      </c>
      <c r="I152" s="14">
        <v>0</v>
      </c>
      <c r="J152" s="14">
        <v>0</v>
      </c>
      <c r="K152" s="14"/>
      <c r="L152" s="14"/>
      <c r="M152" s="14"/>
      <c r="N152" s="14"/>
      <c r="O152" s="14"/>
      <c r="P152" s="14"/>
      <c r="Q152" s="14"/>
      <c r="R152" s="14"/>
      <c r="S152" s="14">
        <v>5</v>
      </c>
      <c r="T152" s="14">
        <v>0</v>
      </c>
      <c r="U152" s="14">
        <v>0</v>
      </c>
      <c r="V152" s="14">
        <v>16</v>
      </c>
      <c r="W152" s="14">
        <v>0</v>
      </c>
      <c r="X152" s="14">
        <v>0</v>
      </c>
      <c r="Y152" s="109">
        <f t="shared" si="101"/>
        <v>0</v>
      </c>
      <c r="Z152" s="109" t="e">
        <f t="shared" si="102"/>
        <v>#REF!</v>
      </c>
      <c r="AA152" s="109" t="e">
        <f t="shared" si="103"/>
        <v>#REF!</v>
      </c>
      <c r="AB152" s="14">
        <v>61</v>
      </c>
      <c r="AC152" s="109" t="e">
        <f t="shared" si="104"/>
        <v>#REF!</v>
      </c>
      <c r="AD152" s="109">
        <f>'LPLPO GUDANG'!H155</f>
        <v>150</v>
      </c>
      <c r="AE152" s="111" t="e">
        <f t="shared" si="105"/>
        <v>#REF!</v>
      </c>
      <c r="AF152" s="212"/>
      <c r="AG152" s="212"/>
      <c r="AH152" s="20"/>
      <c r="AI152" s="14">
        <f t="shared" si="106"/>
        <v>0</v>
      </c>
      <c r="AJ152" s="209" t="e">
        <f t="shared" si="107"/>
        <v>#REF!</v>
      </c>
      <c r="AL152" s="14">
        <f t="shared" si="108"/>
        <v>13</v>
      </c>
      <c r="AM152" s="14">
        <f>DISTRIBUSI!D150</f>
        <v>0</v>
      </c>
      <c r="AN152" s="14">
        <f>'PEMAKAIAN UNIT'!D149</f>
        <v>0</v>
      </c>
      <c r="AO152" s="14">
        <f t="shared" si="109"/>
        <v>13</v>
      </c>
      <c r="AP152" s="15">
        <f t="shared" si="110"/>
        <v>0</v>
      </c>
      <c r="AQ152" s="14">
        <f t="shared" si="111"/>
        <v>0</v>
      </c>
      <c r="AR152" s="14">
        <f>DISTRIBUSI!E150</f>
        <v>0</v>
      </c>
      <c r="AS152" s="14">
        <f>'PEMAKAIAN UNIT'!E149</f>
        <v>0</v>
      </c>
      <c r="AT152" s="14">
        <f t="shared" si="112"/>
        <v>0</v>
      </c>
      <c r="AU152" s="15">
        <f t="shared" si="113"/>
        <v>0</v>
      </c>
      <c r="AV152" s="14">
        <f t="shared" si="114"/>
        <v>4</v>
      </c>
      <c r="AW152" s="14">
        <f>DISTRIBUSI!F150</f>
        <v>0</v>
      </c>
      <c r="AX152" s="14">
        <f>'PEMAKAIAN UNIT'!F149</f>
        <v>0</v>
      </c>
      <c r="AY152" s="14">
        <f t="shared" si="115"/>
        <v>4</v>
      </c>
      <c r="AZ152" s="15">
        <f t="shared" si="116"/>
        <v>4</v>
      </c>
      <c r="BA152" s="14">
        <f t="shared" si="117"/>
        <v>5</v>
      </c>
      <c r="BB152" s="14">
        <f>DISTRIBUSI!G150</f>
        <v>0</v>
      </c>
      <c r="BC152" s="14">
        <f>'PEMAKAIAN UNIT'!G149</f>
        <v>0</v>
      </c>
      <c r="BD152" s="14">
        <f t="shared" si="118"/>
        <v>5</v>
      </c>
      <c r="BE152" s="15">
        <f t="shared" si="119"/>
        <v>0</v>
      </c>
      <c r="BF152" s="14">
        <f t="shared" si="120"/>
        <v>3</v>
      </c>
      <c r="BG152" s="14">
        <f>DISTRIBUSI!H150</f>
        <v>0</v>
      </c>
      <c r="BH152" s="14">
        <f>'PEMAKAIAN UNIT'!H149</f>
        <v>0</v>
      </c>
      <c r="BI152" s="14">
        <f t="shared" si="121"/>
        <v>3</v>
      </c>
      <c r="BJ152" s="15">
        <f t="shared" si="122"/>
        <v>3</v>
      </c>
      <c r="BK152" s="14">
        <f t="shared" si="123"/>
        <v>0</v>
      </c>
      <c r="BL152" s="14">
        <f>DISTRIBUSI!I150</f>
        <v>0</v>
      </c>
      <c r="BM152" s="14">
        <f>'PEMAKAIAN UNIT'!I149</f>
        <v>0</v>
      </c>
      <c r="BN152" s="14">
        <f t="shared" si="124"/>
        <v>0</v>
      </c>
      <c r="BO152" s="15">
        <f t="shared" si="125"/>
        <v>0</v>
      </c>
      <c r="BP152" s="14">
        <f t="shared" si="126"/>
        <v>16</v>
      </c>
      <c r="BQ152" s="14">
        <f>DISTRIBUSI!J150</f>
        <v>0</v>
      </c>
      <c r="BR152" s="14">
        <f>'PEMAKAIAN UNIT'!J149</f>
        <v>0</v>
      </c>
      <c r="BS152" s="14">
        <f t="shared" si="127"/>
        <v>16</v>
      </c>
      <c r="BT152" s="15">
        <f t="shared" si="128"/>
        <v>0</v>
      </c>
      <c r="BU152" s="14">
        <f t="shared" si="129"/>
        <v>0</v>
      </c>
      <c r="BV152" s="14">
        <f>DISTRIBUSI!K150</f>
        <v>0</v>
      </c>
      <c r="BW152" s="14">
        <f>'PEMAKAIAN UNIT'!K149</f>
        <v>0</v>
      </c>
      <c r="BX152" s="14">
        <f t="shared" si="130"/>
        <v>0</v>
      </c>
      <c r="BY152" s="15">
        <f t="shared" si="131"/>
        <v>0</v>
      </c>
      <c r="BZ152" s="14">
        <f t="shared" si="132"/>
        <v>0</v>
      </c>
      <c r="CA152" s="14">
        <f>DISTRIBUSI!L150</f>
        <v>0</v>
      </c>
      <c r="CB152" s="14">
        <f>'PEMAKAIAN UNIT'!L149</f>
        <v>0</v>
      </c>
      <c r="CC152" s="14">
        <f t="shared" si="133"/>
        <v>0</v>
      </c>
      <c r="CD152" s="15">
        <f t="shared" si="134"/>
        <v>0</v>
      </c>
      <c r="CE152" s="14">
        <f t="shared" si="135"/>
        <v>0</v>
      </c>
      <c r="CF152" s="14">
        <f>DISTRIBUSI!M150</f>
        <v>0</v>
      </c>
      <c r="CG152" s="14">
        <f>'PEMAKAIAN UNIT'!M149</f>
        <v>0</v>
      </c>
      <c r="CH152" s="14">
        <f t="shared" si="136"/>
        <v>0</v>
      </c>
      <c r="CI152" s="15">
        <f t="shared" si="137"/>
        <v>0</v>
      </c>
      <c r="CJ152" s="14">
        <f t="shared" si="138"/>
        <v>0</v>
      </c>
      <c r="CK152" s="14" t="e">
        <f>DISTRIBUSI!#REF!</f>
        <v>#REF!</v>
      </c>
      <c r="CL152" s="14">
        <f>'PEMAKAIAN UNIT'!N149</f>
        <v>0</v>
      </c>
      <c r="CM152" s="14" t="e">
        <f t="shared" si="139"/>
        <v>#REF!</v>
      </c>
      <c r="CN152" s="15" t="e">
        <f t="shared" si="140"/>
        <v>#REF!</v>
      </c>
      <c r="CO152" s="14" t="e">
        <f>DL152+DISTRIBUSI!#REF!-'PEMAKAIAN UNIT'!O149</f>
        <v>#REF!</v>
      </c>
      <c r="CP152" s="15" t="e">
        <f t="shared" si="141"/>
        <v>#REF!</v>
      </c>
      <c r="CQ152" s="226">
        <f t="shared" si="142"/>
        <v>32</v>
      </c>
      <c r="CR152" s="226">
        <f>DISTRIBUSI!R150</f>
        <v>50</v>
      </c>
      <c r="CS152" s="226">
        <f>'PEMAKAIAN UNIT'!P149</f>
        <v>0</v>
      </c>
      <c r="CT152" s="14">
        <f t="shared" si="143"/>
        <v>82</v>
      </c>
      <c r="CU152" s="15">
        <f t="shared" si="144"/>
        <v>21</v>
      </c>
      <c r="CV152" s="14" t="e">
        <f>DN152+DISTRIBUSI!#REF!-'PEMAKAIAN UNIT'!Q149</f>
        <v>#REF!</v>
      </c>
      <c r="CW152" s="15" t="e">
        <f t="shared" si="145"/>
        <v>#REF!</v>
      </c>
      <c r="CX152" s="14">
        <f>DO152+'LPLPO GUDANG'!E155-'LPLPO GUDANG'!G155</f>
        <v>116</v>
      </c>
      <c r="CY152" s="15">
        <f t="shared" si="146"/>
        <v>-34</v>
      </c>
      <c r="CZ152" s="28"/>
      <c r="DA152" s="14">
        <v>13</v>
      </c>
      <c r="DB152" s="14">
        <v>0</v>
      </c>
      <c r="DC152" s="14">
        <v>4</v>
      </c>
      <c r="DD152" s="14">
        <v>5</v>
      </c>
      <c r="DE152" s="14">
        <v>3</v>
      </c>
      <c r="DF152" s="14"/>
      <c r="DG152" s="14">
        <v>16</v>
      </c>
      <c r="DH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32</v>
      </c>
      <c r="DN152" s="14">
        <v>0</v>
      </c>
      <c r="DO152" s="14">
        <v>166</v>
      </c>
      <c r="DP152" s="13">
        <f t="shared" si="147"/>
        <v>239</v>
      </c>
      <c r="DR152" t="s">
        <v>121</v>
      </c>
      <c r="DU152" s="20" t="e">
        <f t="shared" si="148"/>
        <v>#REF!</v>
      </c>
    </row>
    <row r="153" spans="1:125" customFormat="1" ht="20.149999999999999" customHeight="1" x14ac:dyDescent="0.35">
      <c r="A153" s="84">
        <f t="shared" si="149"/>
        <v>142</v>
      </c>
      <c r="B153" s="142" t="s">
        <v>122</v>
      </c>
      <c r="C153" s="166" t="s">
        <v>108</v>
      </c>
      <c r="D153" s="109">
        <v>0</v>
      </c>
      <c r="E153" s="110">
        <f>'LPLPO GUDANG'!E156</f>
        <v>0</v>
      </c>
      <c r="F153" s="110">
        <f t="shared" si="100"/>
        <v>0</v>
      </c>
      <c r="G153" s="110">
        <f>'PEMAKAIAN UNIT'!R150</f>
        <v>0</v>
      </c>
      <c r="H153" s="14">
        <v>3</v>
      </c>
      <c r="I153" s="14">
        <v>4</v>
      </c>
      <c r="J153" s="14">
        <v>0</v>
      </c>
      <c r="K153" s="14"/>
      <c r="L153" s="14"/>
      <c r="M153" s="14"/>
      <c r="N153" s="14"/>
      <c r="O153" s="14"/>
      <c r="P153" s="14"/>
      <c r="Q153" s="14"/>
      <c r="R153" s="14"/>
      <c r="S153" s="14">
        <v>8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09">
        <f t="shared" si="101"/>
        <v>0</v>
      </c>
      <c r="Z153" s="109" t="e">
        <f t="shared" si="102"/>
        <v>#REF!</v>
      </c>
      <c r="AA153" s="109" t="e">
        <f t="shared" si="103"/>
        <v>#REF!</v>
      </c>
      <c r="AB153" s="14">
        <v>86</v>
      </c>
      <c r="AC153" s="109" t="e">
        <f t="shared" si="104"/>
        <v>#REF!</v>
      </c>
      <c r="AD153" s="109">
        <f>'LPLPO GUDANG'!H156</f>
        <v>0</v>
      </c>
      <c r="AE153" s="111" t="e">
        <f t="shared" si="105"/>
        <v>#REF!</v>
      </c>
      <c r="AF153" s="212"/>
      <c r="AG153" s="212"/>
      <c r="AH153" s="20"/>
      <c r="AI153" s="14">
        <f t="shared" si="106"/>
        <v>0</v>
      </c>
      <c r="AJ153" s="209" t="e">
        <f t="shared" si="107"/>
        <v>#REF!</v>
      </c>
      <c r="AL153" s="14">
        <f t="shared" si="108"/>
        <v>5</v>
      </c>
      <c r="AM153" s="14">
        <f>DISTRIBUSI!D151</f>
        <v>0</v>
      </c>
      <c r="AN153" s="14">
        <f>'PEMAKAIAN UNIT'!D150</f>
        <v>0</v>
      </c>
      <c r="AO153" s="14">
        <f t="shared" si="109"/>
        <v>5</v>
      </c>
      <c r="AP153" s="15">
        <f t="shared" si="110"/>
        <v>2</v>
      </c>
      <c r="AQ153" s="14">
        <f t="shared" si="111"/>
        <v>4</v>
      </c>
      <c r="AR153" s="14">
        <f>DISTRIBUSI!E151</f>
        <v>0</v>
      </c>
      <c r="AS153" s="14">
        <f>'PEMAKAIAN UNIT'!E150</f>
        <v>0</v>
      </c>
      <c r="AT153" s="14">
        <f t="shared" si="112"/>
        <v>4</v>
      </c>
      <c r="AU153" s="15">
        <f t="shared" si="113"/>
        <v>0</v>
      </c>
      <c r="AV153" s="14">
        <f t="shared" si="114"/>
        <v>0</v>
      </c>
      <c r="AW153" s="14">
        <f>DISTRIBUSI!F151</f>
        <v>0</v>
      </c>
      <c r="AX153" s="14">
        <f>'PEMAKAIAN UNIT'!F150</f>
        <v>0</v>
      </c>
      <c r="AY153" s="14">
        <f t="shared" si="115"/>
        <v>0</v>
      </c>
      <c r="AZ153" s="15">
        <f t="shared" si="116"/>
        <v>0</v>
      </c>
      <c r="BA153" s="14">
        <f t="shared" si="117"/>
        <v>8</v>
      </c>
      <c r="BB153" s="14">
        <f>DISTRIBUSI!G151</f>
        <v>0</v>
      </c>
      <c r="BC153" s="14">
        <f>'PEMAKAIAN UNIT'!G150</f>
        <v>0</v>
      </c>
      <c r="BD153" s="14">
        <f t="shared" si="118"/>
        <v>8</v>
      </c>
      <c r="BE153" s="15">
        <f t="shared" si="119"/>
        <v>0</v>
      </c>
      <c r="BF153" s="14">
        <f t="shared" si="120"/>
        <v>7</v>
      </c>
      <c r="BG153" s="14">
        <f>DISTRIBUSI!H151</f>
        <v>0</v>
      </c>
      <c r="BH153" s="14">
        <f>'PEMAKAIAN UNIT'!H150</f>
        <v>0</v>
      </c>
      <c r="BI153" s="14">
        <f t="shared" si="121"/>
        <v>7</v>
      </c>
      <c r="BJ153" s="15">
        <f t="shared" si="122"/>
        <v>7</v>
      </c>
      <c r="BK153" s="14">
        <f t="shared" si="123"/>
        <v>0</v>
      </c>
      <c r="BL153" s="14">
        <f>DISTRIBUSI!I151</f>
        <v>0</v>
      </c>
      <c r="BM153" s="14">
        <f>'PEMAKAIAN UNIT'!I150</f>
        <v>0</v>
      </c>
      <c r="BN153" s="14">
        <f t="shared" si="124"/>
        <v>0</v>
      </c>
      <c r="BO153" s="15">
        <f t="shared" si="125"/>
        <v>0</v>
      </c>
      <c r="BP153" s="14">
        <f t="shared" si="126"/>
        <v>0</v>
      </c>
      <c r="BQ153" s="14">
        <f>DISTRIBUSI!J151</f>
        <v>0</v>
      </c>
      <c r="BR153" s="14">
        <f>'PEMAKAIAN UNIT'!J150</f>
        <v>0</v>
      </c>
      <c r="BS153" s="14">
        <f t="shared" si="127"/>
        <v>0</v>
      </c>
      <c r="BT153" s="15">
        <f t="shared" si="128"/>
        <v>0</v>
      </c>
      <c r="BU153" s="14">
        <f t="shared" si="129"/>
        <v>0</v>
      </c>
      <c r="BV153" s="14">
        <f>DISTRIBUSI!K151</f>
        <v>0</v>
      </c>
      <c r="BW153" s="14">
        <f>'PEMAKAIAN UNIT'!K150</f>
        <v>0</v>
      </c>
      <c r="BX153" s="14">
        <f t="shared" si="130"/>
        <v>0</v>
      </c>
      <c r="BY153" s="15">
        <f t="shared" si="131"/>
        <v>0</v>
      </c>
      <c r="BZ153" s="14">
        <f t="shared" si="132"/>
        <v>0</v>
      </c>
      <c r="CA153" s="14">
        <f>DISTRIBUSI!L151</f>
        <v>0</v>
      </c>
      <c r="CB153" s="14">
        <f>'PEMAKAIAN UNIT'!L150</f>
        <v>0</v>
      </c>
      <c r="CC153" s="14">
        <f t="shared" si="133"/>
        <v>0</v>
      </c>
      <c r="CD153" s="15">
        <f t="shared" si="134"/>
        <v>0</v>
      </c>
      <c r="CE153" s="14">
        <f t="shared" si="135"/>
        <v>0</v>
      </c>
      <c r="CF153" s="14">
        <f>DISTRIBUSI!M151</f>
        <v>0</v>
      </c>
      <c r="CG153" s="14">
        <f>'PEMAKAIAN UNIT'!M150</f>
        <v>0</v>
      </c>
      <c r="CH153" s="14">
        <f t="shared" si="136"/>
        <v>0</v>
      </c>
      <c r="CI153" s="15">
        <f t="shared" si="137"/>
        <v>0</v>
      </c>
      <c r="CJ153" s="14">
        <f t="shared" si="138"/>
        <v>0</v>
      </c>
      <c r="CK153" s="14" t="e">
        <f>DISTRIBUSI!#REF!</f>
        <v>#REF!</v>
      </c>
      <c r="CL153" s="14">
        <f>'PEMAKAIAN UNIT'!N150</f>
        <v>0</v>
      </c>
      <c r="CM153" s="14" t="e">
        <f t="shared" si="139"/>
        <v>#REF!</v>
      </c>
      <c r="CN153" s="15" t="e">
        <f t="shared" si="140"/>
        <v>#REF!</v>
      </c>
      <c r="CO153" s="14" t="e">
        <f>DL153+DISTRIBUSI!#REF!-'PEMAKAIAN UNIT'!O150</f>
        <v>#REF!</v>
      </c>
      <c r="CP153" s="15" t="e">
        <f t="shared" si="141"/>
        <v>#REF!</v>
      </c>
      <c r="CQ153" s="226">
        <f t="shared" si="142"/>
        <v>98</v>
      </c>
      <c r="CR153" s="226">
        <f>DISTRIBUSI!R151</f>
        <v>100</v>
      </c>
      <c r="CS153" s="226">
        <f>'PEMAKAIAN UNIT'!P150</f>
        <v>0</v>
      </c>
      <c r="CT153" s="14">
        <f t="shared" si="143"/>
        <v>198</v>
      </c>
      <c r="CU153" s="15">
        <f t="shared" si="144"/>
        <v>112</v>
      </c>
      <c r="CV153" s="14" t="e">
        <f>DN153+DISTRIBUSI!#REF!-'PEMAKAIAN UNIT'!Q150</f>
        <v>#REF!</v>
      </c>
      <c r="CW153" s="15" t="e">
        <f t="shared" si="145"/>
        <v>#REF!</v>
      </c>
      <c r="CX153" s="14">
        <f>DO153+'LPLPO GUDANG'!E156-'LPLPO GUDANG'!G156</f>
        <v>0</v>
      </c>
      <c r="CY153" s="15">
        <f t="shared" si="146"/>
        <v>0</v>
      </c>
      <c r="CZ153" s="28"/>
      <c r="DA153" s="14">
        <v>5</v>
      </c>
      <c r="DB153" s="14">
        <v>4</v>
      </c>
      <c r="DC153" s="14">
        <v>0</v>
      </c>
      <c r="DD153" s="14">
        <v>8</v>
      </c>
      <c r="DE153" s="14">
        <v>7</v>
      </c>
      <c r="DF153" s="14"/>
      <c r="DG153" s="14">
        <v>0</v>
      </c>
      <c r="DH153" s="14">
        <v>0</v>
      </c>
      <c r="DI153" s="14">
        <v>0</v>
      </c>
      <c r="DJ153" s="14">
        <v>0</v>
      </c>
      <c r="DK153" s="14">
        <v>0</v>
      </c>
      <c r="DL153" s="14">
        <v>0</v>
      </c>
      <c r="DM153" s="14">
        <v>98</v>
      </c>
      <c r="DN153" s="14">
        <v>0</v>
      </c>
      <c r="DO153" s="14">
        <v>100</v>
      </c>
      <c r="DP153" s="13">
        <f t="shared" si="147"/>
        <v>222</v>
      </c>
      <c r="DR153" t="s">
        <v>122</v>
      </c>
      <c r="DU153" s="20" t="e">
        <f t="shared" si="148"/>
        <v>#REF!</v>
      </c>
    </row>
    <row r="154" spans="1:125" customFormat="1" ht="20.149999999999999" customHeight="1" x14ac:dyDescent="0.35">
      <c r="A154" s="84">
        <f t="shared" si="149"/>
        <v>143</v>
      </c>
      <c r="B154" s="142" t="s">
        <v>122</v>
      </c>
      <c r="C154" s="166"/>
      <c r="D154" s="109">
        <v>0</v>
      </c>
      <c r="E154" s="110">
        <f>'LPLPO GUDANG'!E157</f>
        <v>0</v>
      </c>
      <c r="F154" s="110">
        <f t="shared" si="100"/>
        <v>0</v>
      </c>
      <c r="G154" s="110">
        <f>'PEMAKAIAN UNIT'!R151</f>
        <v>0</v>
      </c>
      <c r="H154" s="14">
        <v>0</v>
      </c>
      <c r="I154" s="14">
        <v>0</v>
      </c>
      <c r="J154" s="14">
        <v>0</v>
      </c>
      <c r="K154" s="14"/>
      <c r="L154" s="14"/>
      <c r="M154" s="14"/>
      <c r="N154" s="14"/>
      <c r="O154" s="14"/>
      <c r="P154" s="14"/>
      <c r="Q154" s="14"/>
      <c r="R154" s="14"/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09">
        <f t="shared" si="101"/>
        <v>0</v>
      </c>
      <c r="Z154" s="109" t="e">
        <f t="shared" si="102"/>
        <v>#REF!</v>
      </c>
      <c r="AA154" s="109" t="e">
        <f t="shared" si="103"/>
        <v>#REF!</v>
      </c>
      <c r="AB154" s="14">
        <v>0</v>
      </c>
      <c r="AC154" s="109" t="e">
        <f t="shared" si="104"/>
        <v>#REF!</v>
      </c>
      <c r="AD154" s="109">
        <f>'LPLPO GUDANG'!H157</f>
        <v>0</v>
      </c>
      <c r="AE154" s="111" t="e">
        <f t="shared" si="105"/>
        <v>#REF!</v>
      </c>
      <c r="AF154" s="212"/>
      <c r="AG154" s="212"/>
      <c r="AH154" s="20"/>
      <c r="AI154" s="14">
        <f t="shared" si="106"/>
        <v>0</v>
      </c>
      <c r="AJ154" s="209" t="e">
        <f t="shared" si="107"/>
        <v>#REF!</v>
      </c>
      <c r="AL154" s="14">
        <f t="shared" si="108"/>
        <v>0</v>
      </c>
      <c r="AM154" s="14">
        <f>DISTRIBUSI!D152</f>
        <v>0</v>
      </c>
      <c r="AN154" s="14">
        <f>'PEMAKAIAN UNIT'!D151</f>
        <v>0</v>
      </c>
      <c r="AO154" s="14">
        <f t="shared" si="109"/>
        <v>0</v>
      </c>
      <c r="AP154" s="15">
        <f t="shared" si="110"/>
        <v>0</v>
      </c>
      <c r="AQ154" s="14">
        <f t="shared" si="111"/>
        <v>0</v>
      </c>
      <c r="AR154" s="14">
        <f>DISTRIBUSI!E152</f>
        <v>0</v>
      </c>
      <c r="AS154" s="14">
        <f>'PEMAKAIAN UNIT'!E151</f>
        <v>0</v>
      </c>
      <c r="AT154" s="14">
        <f t="shared" si="112"/>
        <v>0</v>
      </c>
      <c r="AU154" s="15">
        <f t="shared" si="113"/>
        <v>0</v>
      </c>
      <c r="AV154" s="14">
        <f t="shared" si="114"/>
        <v>0</v>
      </c>
      <c r="AW154" s="14">
        <f>DISTRIBUSI!F152</f>
        <v>0</v>
      </c>
      <c r="AX154" s="14">
        <f>'PEMAKAIAN UNIT'!F151</f>
        <v>0</v>
      </c>
      <c r="AY154" s="14">
        <f t="shared" si="115"/>
        <v>0</v>
      </c>
      <c r="AZ154" s="15">
        <f t="shared" si="116"/>
        <v>0</v>
      </c>
      <c r="BA154" s="14">
        <f t="shared" si="117"/>
        <v>0</v>
      </c>
      <c r="BB154" s="14">
        <f>DISTRIBUSI!G152</f>
        <v>0</v>
      </c>
      <c r="BC154" s="14">
        <f>'PEMAKAIAN UNIT'!G151</f>
        <v>0</v>
      </c>
      <c r="BD154" s="14">
        <f t="shared" si="118"/>
        <v>0</v>
      </c>
      <c r="BE154" s="15">
        <f t="shared" si="119"/>
        <v>0</v>
      </c>
      <c r="BF154" s="14">
        <f t="shared" si="120"/>
        <v>0</v>
      </c>
      <c r="BG154" s="14">
        <f>DISTRIBUSI!H152</f>
        <v>0</v>
      </c>
      <c r="BH154" s="14">
        <f>'PEMAKAIAN UNIT'!H151</f>
        <v>0</v>
      </c>
      <c r="BI154" s="14">
        <f t="shared" si="121"/>
        <v>0</v>
      </c>
      <c r="BJ154" s="15">
        <f t="shared" si="122"/>
        <v>0</v>
      </c>
      <c r="BK154" s="14">
        <f t="shared" si="123"/>
        <v>0</v>
      </c>
      <c r="BL154" s="14">
        <f>DISTRIBUSI!I152</f>
        <v>0</v>
      </c>
      <c r="BM154" s="14">
        <f>'PEMAKAIAN UNIT'!I151</f>
        <v>0</v>
      </c>
      <c r="BN154" s="14">
        <f t="shared" si="124"/>
        <v>0</v>
      </c>
      <c r="BO154" s="15">
        <f t="shared" si="125"/>
        <v>0</v>
      </c>
      <c r="BP154" s="14">
        <f t="shared" si="126"/>
        <v>0</v>
      </c>
      <c r="BQ154" s="14">
        <f>DISTRIBUSI!J152</f>
        <v>0</v>
      </c>
      <c r="BR154" s="14">
        <f>'PEMAKAIAN UNIT'!J151</f>
        <v>0</v>
      </c>
      <c r="BS154" s="14">
        <f t="shared" si="127"/>
        <v>0</v>
      </c>
      <c r="BT154" s="15">
        <f t="shared" si="128"/>
        <v>0</v>
      </c>
      <c r="BU154" s="14">
        <f t="shared" si="129"/>
        <v>0</v>
      </c>
      <c r="BV154" s="14">
        <f>DISTRIBUSI!K152</f>
        <v>0</v>
      </c>
      <c r="BW154" s="14">
        <f>'PEMAKAIAN UNIT'!K151</f>
        <v>0</v>
      </c>
      <c r="BX154" s="14">
        <f t="shared" si="130"/>
        <v>0</v>
      </c>
      <c r="BY154" s="15">
        <f t="shared" si="131"/>
        <v>0</v>
      </c>
      <c r="BZ154" s="14">
        <f t="shared" si="132"/>
        <v>0</v>
      </c>
      <c r="CA154" s="14">
        <f>DISTRIBUSI!L152</f>
        <v>0</v>
      </c>
      <c r="CB154" s="14">
        <f>'PEMAKAIAN UNIT'!L151</f>
        <v>0</v>
      </c>
      <c r="CC154" s="14">
        <f t="shared" si="133"/>
        <v>0</v>
      </c>
      <c r="CD154" s="15">
        <f t="shared" si="134"/>
        <v>0</v>
      </c>
      <c r="CE154" s="14">
        <f t="shared" si="135"/>
        <v>0</v>
      </c>
      <c r="CF154" s="14">
        <f>DISTRIBUSI!M152</f>
        <v>0</v>
      </c>
      <c r="CG154" s="14">
        <f>'PEMAKAIAN UNIT'!M151</f>
        <v>0</v>
      </c>
      <c r="CH154" s="14">
        <f t="shared" si="136"/>
        <v>0</v>
      </c>
      <c r="CI154" s="15">
        <f t="shared" si="137"/>
        <v>0</v>
      </c>
      <c r="CJ154" s="14">
        <f t="shared" si="138"/>
        <v>0</v>
      </c>
      <c r="CK154" s="14" t="e">
        <f>DISTRIBUSI!#REF!</f>
        <v>#REF!</v>
      </c>
      <c r="CL154" s="14">
        <f>'PEMAKAIAN UNIT'!N151</f>
        <v>0</v>
      </c>
      <c r="CM154" s="14" t="e">
        <f t="shared" si="139"/>
        <v>#REF!</v>
      </c>
      <c r="CN154" s="15" t="e">
        <f t="shared" si="140"/>
        <v>#REF!</v>
      </c>
      <c r="CO154" s="14" t="e">
        <f>DL154+DISTRIBUSI!#REF!-'PEMAKAIAN UNIT'!O151</f>
        <v>#REF!</v>
      </c>
      <c r="CP154" s="15" t="e">
        <f t="shared" si="141"/>
        <v>#REF!</v>
      </c>
      <c r="CQ154" s="226">
        <f t="shared" si="142"/>
        <v>0</v>
      </c>
      <c r="CR154" s="226">
        <f>DISTRIBUSI!R152</f>
        <v>0</v>
      </c>
      <c r="CS154" s="226">
        <f>'PEMAKAIAN UNIT'!P151</f>
        <v>0</v>
      </c>
      <c r="CT154" s="14">
        <f t="shared" si="143"/>
        <v>0</v>
      </c>
      <c r="CU154" s="15">
        <f t="shared" si="144"/>
        <v>0</v>
      </c>
      <c r="CV154" s="14" t="e">
        <f>DN154+DISTRIBUSI!#REF!-'PEMAKAIAN UNIT'!Q151</f>
        <v>#REF!</v>
      </c>
      <c r="CW154" s="15" t="e">
        <f t="shared" si="145"/>
        <v>#REF!</v>
      </c>
      <c r="CX154" s="14">
        <f>DO154+'LPLPO GUDANG'!E157-'LPLPO GUDANG'!G157</f>
        <v>0</v>
      </c>
      <c r="CY154" s="15">
        <f t="shared" si="146"/>
        <v>0</v>
      </c>
      <c r="CZ154" s="28"/>
      <c r="DA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>
        <v>0</v>
      </c>
      <c r="DJ154" s="14">
        <v>0</v>
      </c>
      <c r="DK154" s="14">
        <v>0</v>
      </c>
      <c r="DL154" s="14">
        <v>0</v>
      </c>
      <c r="DM154" s="14">
        <v>0</v>
      </c>
      <c r="DN154" s="14">
        <v>0</v>
      </c>
      <c r="DO154" s="14">
        <v>0</v>
      </c>
      <c r="DP154" s="13">
        <f t="shared" si="147"/>
        <v>0</v>
      </c>
      <c r="DR154" s="21"/>
      <c r="DU154" s="20" t="e">
        <f t="shared" si="148"/>
        <v>#REF!</v>
      </c>
    </row>
    <row r="155" spans="1:125" customFormat="1" ht="20.149999999999999" customHeight="1" x14ac:dyDescent="0.35">
      <c r="A155" s="84">
        <f t="shared" si="149"/>
        <v>144</v>
      </c>
      <c r="B155" s="142" t="s">
        <v>123</v>
      </c>
      <c r="C155" s="171" t="s">
        <v>108</v>
      </c>
      <c r="D155" s="109">
        <v>0</v>
      </c>
      <c r="E155" s="110">
        <f>'LPLPO GUDANG'!E158</f>
        <v>50</v>
      </c>
      <c r="F155" s="110">
        <f t="shared" si="100"/>
        <v>50</v>
      </c>
      <c r="G155" s="110">
        <f>'PEMAKAIAN UNIT'!R152</f>
        <v>0</v>
      </c>
      <c r="H155" s="14">
        <v>0</v>
      </c>
      <c r="I155" s="14">
        <v>0</v>
      </c>
      <c r="J155" s="14">
        <v>0</v>
      </c>
      <c r="K155" s="14"/>
      <c r="L155" s="14"/>
      <c r="M155" s="14"/>
      <c r="N155" s="14"/>
      <c r="O155" s="14"/>
      <c r="P155" s="14"/>
      <c r="Q155" s="14"/>
      <c r="R155" s="14"/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09">
        <f t="shared" si="101"/>
        <v>0</v>
      </c>
      <c r="Z155" s="109" t="e">
        <f t="shared" si="102"/>
        <v>#REF!</v>
      </c>
      <c r="AA155" s="109" t="e">
        <f t="shared" si="103"/>
        <v>#REF!</v>
      </c>
      <c r="AB155" s="14">
        <v>10</v>
      </c>
      <c r="AC155" s="109" t="e">
        <f t="shared" si="104"/>
        <v>#REF!</v>
      </c>
      <c r="AD155" s="109">
        <f>'LPLPO GUDANG'!H158</f>
        <v>0</v>
      </c>
      <c r="AE155" s="111" t="e">
        <f t="shared" si="105"/>
        <v>#REF!</v>
      </c>
      <c r="AF155" s="212"/>
      <c r="AG155" s="212"/>
      <c r="AH155" s="20"/>
      <c r="AI155" s="14">
        <f t="shared" si="106"/>
        <v>50</v>
      </c>
      <c r="AJ155" s="209" t="e">
        <f t="shared" si="107"/>
        <v>#REF!</v>
      </c>
      <c r="AL155" s="14">
        <f t="shared" si="108"/>
        <v>0</v>
      </c>
      <c r="AM155" s="14">
        <f>DISTRIBUSI!D153</f>
        <v>0</v>
      </c>
      <c r="AN155" s="14">
        <f>'PEMAKAIAN UNIT'!D152</f>
        <v>0</v>
      </c>
      <c r="AO155" s="14">
        <f t="shared" si="109"/>
        <v>0</v>
      </c>
      <c r="AP155" s="15">
        <f t="shared" si="110"/>
        <v>0</v>
      </c>
      <c r="AQ155" s="14">
        <f t="shared" si="111"/>
        <v>0</v>
      </c>
      <c r="AR155" s="14">
        <f>DISTRIBUSI!E153</f>
        <v>0</v>
      </c>
      <c r="AS155" s="14">
        <f>'PEMAKAIAN UNIT'!E152</f>
        <v>0</v>
      </c>
      <c r="AT155" s="14">
        <f t="shared" si="112"/>
        <v>0</v>
      </c>
      <c r="AU155" s="15">
        <f t="shared" si="113"/>
        <v>0</v>
      </c>
      <c r="AV155" s="14">
        <f t="shared" si="114"/>
        <v>0</v>
      </c>
      <c r="AW155" s="14">
        <f>DISTRIBUSI!F153</f>
        <v>0</v>
      </c>
      <c r="AX155" s="14">
        <f>'PEMAKAIAN UNIT'!F152</f>
        <v>0</v>
      </c>
      <c r="AY155" s="14">
        <f t="shared" si="115"/>
        <v>0</v>
      </c>
      <c r="AZ155" s="15">
        <f t="shared" si="116"/>
        <v>0</v>
      </c>
      <c r="BA155" s="14">
        <f t="shared" si="117"/>
        <v>0</v>
      </c>
      <c r="BB155" s="14">
        <f>DISTRIBUSI!G153</f>
        <v>0</v>
      </c>
      <c r="BC155" s="14">
        <f>'PEMAKAIAN UNIT'!G152</f>
        <v>0</v>
      </c>
      <c r="BD155" s="14">
        <f t="shared" si="118"/>
        <v>0</v>
      </c>
      <c r="BE155" s="15">
        <f t="shared" si="119"/>
        <v>0</v>
      </c>
      <c r="BF155" s="14">
        <f t="shared" si="120"/>
        <v>0</v>
      </c>
      <c r="BG155" s="14">
        <f>DISTRIBUSI!H153</f>
        <v>0</v>
      </c>
      <c r="BH155" s="14">
        <f>'PEMAKAIAN UNIT'!H152</f>
        <v>0</v>
      </c>
      <c r="BI155" s="14">
        <f t="shared" si="121"/>
        <v>0</v>
      </c>
      <c r="BJ155" s="15">
        <f t="shared" si="122"/>
        <v>0</v>
      </c>
      <c r="BK155" s="14">
        <f t="shared" si="123"/>
        <v>0</v>
      </c>
      <c r="BL155" s="14">
        <f>DISTRIBUSI!I153</f>
        <v>0</v>
      </c>
      <c r="BM155" s="14">
        <f>'PEMAKAIAN UNIT'!I152</f>
        <v>0</v>
      </c>
      <c r="BN155" s="14">
        <f t="shared" si="124"/>
        <v>0</v>
      </c>
      <c r="BO155" s="15">
        <f t="shared" si="125"/>
        <v>0</v>
      </c>
      <c r="BP155" s="14">
        <f t="shared" si="126"/>
        <v>0</v>
      </c>
      <c r="BQ155" s="14">
        <f>DISTRIBUSI!J153</f>
        <v>0</v>
      </c>
      <c r="BR155" s="14">
        <f>'PEMAKAIAN UNIT'!J152</f>
        <v>0</v>
      </c>
      <c r="BS155" s="14">
        <f t="shared" si="127"/>
        <v>0</v>
      </c>
      <c r="BT155" s="15">
        <f t="shared" si="128"/>
        <v>0</v>
      </c>
      <c r="BU155" s="14">
        <f t="shared" si="129"/>
        <v>0</v>
      </c>
      <c r="BV155" s="14">
        <f>DISTRIBUSI!K153</f>
        <v>0</v>
      </c>
      <c r="BW155" s="14">
        <f>'PEMAKAIAN UNIT'!K152</f>
        <v>0</v>
      </c>
      <c r="BX155" s="14">
        <f t="shared" si="130"/>
        <v>0</v>
      </c>
      <c r="BY155" s="15">
        <f t="shared" si="131"/>
        <v>0</v>
      </c>
      <c r="BZ155" s="14">
        <f t="shared" si="132"/>
        <v>0</v>
      </c>
      <c r="CA155" s="14">
        <f>DISTRIBUSI!L153</f>
        <v>0</v>
      </c>
      <c r="CB155" s="14">
        <f>'PEMAKAIAN UNIT'!L152</f>
        <v>0</v>
      </c>
      <c r="CC155" s="14">
        <f t="shared" si="133"/>
        <v>0</v>
      </c>
      <c r="CD155" s="15">
        <f t="shared" si="134"/>
        <v>0</v>
      </c>
      <c r="CE155" s="14">
        <f t="shared" si="135"/>
        <v>0</v>
      </c>
      <c r="CF155" s="14">
        <f>DISTRIBUSI!M153</f>
        <v>0</v>
      </c>
      <c r="CG155" s="14">
        <f>'PEMAKAIAN UNIT'!M152</f>
        <v>0</v>
      </c>
      <c r="CH155" s="14">
        <f t="shared" si="136"/>
        <v>0</v>
      </c>
      <c r="CI155" s="15">
        <f t="shared" si="137"/>
        <v>0</v>
      </c>
      <c r="CJ155" s="14">
        <f t="shared" si="138"/>
        <v>0</v>
      </c>
      <c r="CK155" s="14" t="e">
        <f>DISTRIBUSI!#REF!</f>
        <v>#REF!</v>
      </c>
      <c r="CL155" s="14">
        <f>'PEMAKAIAN UNIT'!N152</f>
        <v>0</v>
      </c>
      <c r="CM155" s="14" t="e">
        <f t="shared" si="139"/>
        <v>#REF!</v>
      </c>
      <c r="CN155" s="15" t="e">
        <f t="shared" si="140"/>
        <v>#REF!</v>
      </c>
      <c r="CO155" s="14" t="e">
        <f>DL155+DISTRIBUSI!#REF!-'PEMAKAIAN UNIT'!O152</f>
        <v>#REF!</v>
      </c>
      <c r="CP155" s="15" t="e">
        <f t="shared" si="141"/>
        <v>#REF!</v>
      </c>
      <c r="CQ155" s="226">
        <f t="shared" si="142"/>
        <v>56</v>
      </c>
      <c r="CR155" s="226">
        <f>DISTRIBUSI!R153</f>
        <v>50</v>
      </c>
      <c r="CS155" s="226">
        <f>'PEMAKAIAN UNIT'!P152</f>
        <v>0</v>
      </c>
      <c r="CT155" s="14">
        <f t="shared" si="143"/>
        <v>106</v>
      </c>
      <c r="CU155" s="15">
        <f t="shared" si="144"/>
        <v>96</v>
      </c>
      <c r="CV155" s="14" t="e">
        <f>DN155+DISTRIBUSI!#REF!-'PEMAKAIAN UNIT'!Q152</f>
        <v>#REF!</v>
      </c>
      <c r="CW155" s="15" t="e">
        <f t="shared" si="145"/>
        <v>#REF!</v>
      </c>
      <c r="CX155" s="14">
        <f>DO155+'LPLPO GUDANG'!E158-'LPLPO GUDANG'!G158</f>
        <v>-30</v>
      </c>
      <c r="CY155" s="15">
        <f t="shared" si="146"/>
        <v>-30</v>
      </c>
      <c r="CZ155" s="28"/>
      <c r="DA155" s="14"/>
      <c r="DB155" s="14"/>
      <c r="DC155" s="14">
        <v>0</v>
      </c>
      <c r="DD155" s="14">
        <v>0</v>
      </c>
      <c r="DE155" s="14">
        <v>0</v>
      </c>
      <c r="DF155" s="14"/>
      <c r="DG155" s="14">
        <v>0</v>
      </c>
      <c r="DH155" s="14">
        <v>0</v>
      </c>
      <c r="DI155" s="14">
        <v>0</v>
      </c>
      <c r="DJ155" s="14">
        <v>0</v>
      </c>
      <c r="DK155" s="14">
        <v>0</v>
      </c>
      <c r="DL155" s="14">
        <v>0</v>
      </c>
      <c r="DM155" s="14">
        <v>56</v>
      </c>
      <c r="DN155" s="14">
        <v>0</v>
      </c>
      <c r="DO155" s="14">
        <v>0</v>
      </c>
      <c r="DP155" s="13">
        <f t="shared" si="147"/>
        <v>56</v>
      </c>
      <c r="DR155" t="s">
        <v>123</v>
      </c>
      <c r="DU155" s="20" t="e">
        <f t="shared" si="148"/>
        <v>#REF!</v>
      </c>
    </row>
    <row r="156" spans="1:125" customFormat="1" ht="20.149999999999999" customHeight="1" x14ac:dyDescent="0.35">
      <c r="A156" s="84">
        <f t="shared" si="149"/>
        <v>145</v>
      </c>
      <c r="B156" s="142" t="s">
        <v>124</v>
      </c>
      <c r="C156" s="155" t="s">
        <v>108</v>
      </c>
      <c r="D156" s="109">
        <v>0</v>
      </c>
      <c r="E156" s="110">
        <f>'LPLPO GUDANG'!E159</f>
        <v>0</v>
      </c>
      <c r="F156" s="110">
        <f t="shared" si="100"/>
        <v>0</v>
      </c>
      <c r="G156" s="110">
        <f>'PEMAKAIAN UNIT'!R153</f>
        <v>0</v>
      </c>
      <c r="H156" s="14">
        <v>0</v>
      </c>
      <c r="I156" s="14">
        <v>0</v>
      </c>
      <c r="J156" s="14">
        <v>0</v>
      </c>
      <c r="K156" s="14"/>
      <c r="L156" s="14"/>
      <c r="M156" s="14"/>
      <c r="N156" s="14"/>
      <c r="O156" s="14"/>
      <c r="P156" s="14"/>
      <c r="Q156" s="14"/>
      <c r="R156" s="14"/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09">
        <f t="shared" si="101"/>
        <v>0</v>
      </c>
      <c r="Z156" s="109" t="e">
        <f t="shared" si="102"/>
        <v>#REF!</v>
      </c>
      <c r="AA156" s="109" t="e">
        <f t="shared" si="103"/>
        <v>#REF!</v>
      </c>
      <c r="AB156" s="14">
        <v>151</v>
      </c>
      <c r="AC156" s="109" t="e">
        <f t="shared" si="104"/>
        <v>#REF!</v>
      </c>
      <c r="AD156" s="109">
        <f>'LPLPO GUDANG'!H159</f>
        <v>0</v>
      </c>
      <c r="AE156" s="111" t="e">
        <f t="shared" si="105"/>
        <v>#REF!</v>
      </c>
      <c r="AF156" s="212"/>
      <c r="AG156" s="212"/>
      <c r="AH156" s="20"/>
      <c r="AI156" s="14">
        <f t="shared" si="106"/>
        <v>0</v>
      </c>
      <c r="AJ156" s="209" t="e">
        <f t="shared" si="107"/>
        <v>#REF!</v>
      </c>
      <c r="AL156" s="14">
        <f t="shared" si="108"/>
        <v>0</v>
      </c>
      <c r="AM156" s="14">
        <f>DISTRIBUSI!D154</f>
        <v>0</v>
      </c>
      <c r="AN156" s="14">
        <f>'PEMAKAIAN UNIT'!D153</f>
        <v>0</v>
      </c>
      <c r="AO156" s="14">
        <f t="shared" si="109"/>
        <v>0</v>
      </c>
      <c r="AP156" s="15">
        <f t="shared" si="110"/>
        <v>0</v>
      </c>
      <c r="AQ156" s="14">
        <f t="shared" si="111"/>
        <v>0</v>
      </c>
      <c r="AR156" s="14">
        <f>DISTRIBUSI!E154</f>
        <v>0</v>
      </c>
      <c r="AS156" s="14">
        <f>'PEMAKAIAN UNIT'!E153</f>
        <v>0</v>
      </c>
      <c r="AT156" s="14">
        <f t="shared" si="112"/>
        <v>0</v>
      </c>
      <c r="AU156" s="15">
        <f t="shared" si="113"/>
        <v>0</v>
      </c>
      <c r="AV156" s="14">
        <f t="shared" si="114"/>
        <v>0</v>
      </c>
      <c r="AW156" s="14">
        <f>DISTRIBUSI!F154</f>
        <v>0</v>
      </c>
      <c r="AX156" s="14">
        <f>'PEMAKAIAN UNIT'!F153</f>
        <v>0</v>
      </c>
      <c r="AY156" s="14">
        <f t="shared" si="115"/>
        <v>0</v>
      </c>
      <c r="AZ156" s="15">
        <f t="shared" si="116"/>
        <v>0</v>
      </c>
      <c r="BA156" s="14">
        <f t="shared" si="117"/>
        <v>0</v>
      </c>
      <c r="BB156" s="14">
        <f>DISTRIBUSI!G154</f>
        <v>0</v>
      </c>
      <c r="BC156" s="14">
        <f>'PEMAKAIAN UNIT'!G153</f>
        <v>0</v>
      </c>
      <c r="BD156" s="14">
        <f t="shared" si="118"/>
        <v>0</v>
      </c>
      <c r="BE156" s="15">
        <f t="shared" si="119"/>
        <v>0</v>
      </c>
      <c r="BF156" s="14">
        <f t="shared" si="120"/>
        <v>0</v>
      </c>
      <c r="BG156" s="14">
        <f>DISTRIBUSI!H154</f>
        <v>0</v>
      </c>
      <c r="BH156" s="14">
        <f>'PEMAKAIAN UNIT'!H153</f>
        <v>0</v>
      </c>
      <c r="BI156" s="14">
        <f t="shared" si="121"/>
        <v>0</v>
      </c>
      <c r="BJ156" s="15">
        <f t="shared" si="122"/>
        <v>0</v>
      </c>
      <c r="BK156" s="14">
        <f t="shared" si="123"/>
        <v>0</v>
      </c>
      <c r="BL156" s="14">
        <f>DISTRIBUSI!I154</f>
        <v>0</v>
      </c>
      <c r="BM156" s="14">
        <f>'PEMAKAIAN UNIT'!I153</f>
        <v>0</v>
      </c>
      <c r="BN156" s="14">
        <f t="shared" si="124"/>
        <v>0</v>
      </c>
      <c r="BO156" s="15">
        <f t="shared" si="125"/>
        <v>0</v>
      </c>
      <c r="BP156" s="14">
        <f t="shared" si="126"/>
        <v>0</v>
      </c>
      <c r="BQ156" s="14">
        <f>DISTRIBUSI!J154</f>
        <v>0</v>
      </c>
      <c r="BR156" s="14">
        <f>'PEMAKAIAN UNIT'!J153</f>
        <v>0</v>
      </c>
      <c r="BS156" s="14">
        <f t="shared" si="127"/>
        <v>0</v>
      </c>
      <c r="BT156" s="15">
        <f t="shared" si="128"/>
        <v>0</v>
      </c>
      <c r="BU156" s="14">
        <f t="shared" si="129"/>
        <v>0</v>
      </c>
      <c r="BV156" s="14">
        <f>DISTRIBUSI!K154</f>
        <v>0</v>
      </c>
      <c r="BW156" s="14">
        <f>'PEMAKAIAN UNIT'!K153</f>
        <v>0</v>
      </c>
      <c r="BX156" s="14">
        <f t="shared" si="130"/>
        <v>0</v>
      </c>
      <c r="BY156" s="15">
        <f t="shared" si="131"/>
        <v>0</v>
      </c>
      <c r="BZ156" s="14">
        <f t="shared" si="132"/>
        <v>0</v>
      </c>
      <c r="CA156" s="14">
        <f>DISTRIBUSI!L154</f>
        <v>0</v>
      </c>
      <c r="CB156" s="14">
        <f>'PEMAKAIAN UNIT'!L153</f>
        <v>0</v>
      </c>
      <c r="CC156" s="14">
        <f t="shared" si="133"/>
        <v>0</v>
      </c>
      <c r="CD156" s="15">
        <f t="shared" si="134"/>
        <v>0</v>
      </c>
      <c r="CE156" s="14">
        <f t="shared" si="135"/>
        <v>0</v>
      </c>
      <c r="CF156" s="14">
        <f>DISTRIBUSI!M154</f>
        <v>0</v>
      </c>
      <c r="CG156" s="14">
        <f>'PEMAKAIAN UNIT'!M153</f>
        <v>0</v>
      </c>
      <c r="CH156" s="14">
        <f t="shared" si="136"/>
        <v>0</v>
      </c>
      <c r="CI156" s="15">
        <f t="shared" si="137"/>
        <v>0</v>
      </c>
      <c r="CJ156" s="14">
        <f t="shared" si="138"/>
        <v>0</v>
      </c>
      <c r="CK156" s="14" t="e">
        <f>DISTRIBUSI!#REF!</f>
        <v>#REF!</v>
      </c>
      <c r="CL156" s="14">
        <f>'PEMAKAIAN UNIT'!N153</f>
        <v>0</v>
      </c>
      <c r="CM156" s="14" t="e">
        <f t="shared" si="139"/>
        <v>#REF!</v>
      </c>
      <c r="CN156" s="15" t="e">
        <f t="shared" si="140"/>
        <v>#REF!</v>
      </c>
      <c r="CO156" s="14" t="e">
        <f>DL156+DISTRIBUSI!#REF!-'PEMAKAIAN UNIT'!O153</f>
        <v>#REF!</v>
      </c>
      <c r="CP156" s="15" t="e">
        <f t="shared" si="141"/>
        <v>#REF!</v>
      </c>
      <c r="CQ156" s="226">
        <f t="shared" si="142"/>
        <v>66</v>
      </c>
      <c r="CR156" s="226">
        <f>DISTRIBUSI!R154</f>
        <v>15</v>
      </c>
      <c r="CS156" s="226">
        <f>'PEMAKAIAN UNIT'!P153</f>
        <v>0</v>
      </c>
      <c r="CT156" s="14">
        <f t="shared" si="143"/>
        <v>81</v>
      </c>
      <c r="CU156" s="15">
        <f t="shared" si="144"/>
        <v>-70</v>
      </c>
      <c r="CV156" s="14" t="e">
        <f>DN156+DISTRIBUSI!#REF!-'PEMAKAIAN UNIT'!Q153</f>
        <v>#REF!</v>
      </c>
      <c r="CW156" s="15" t="e">
        <f t="shared" si="145"/>
        <v>#REF!</v>
      </c>
      <c r="CX156" s="14">
        <f>DO156+'LPLPO GUDANG'!E159-'LPLPO GUDANG'!G159</f>
        <v>100</v>
      </c>
      <c r="CY156" s="15">
        <f t="shared" si="146"/>
        <v>100</v>
      </c>
      <c r="CZ156" s="28"/>
      <c r="DA156" s="14"/>
      <c r="DB156" s="14"/>
      <c r="DC156" s="14">
        <v>0</v>
      </c>
      <c r="DD156" s="14">
        <v>0</v>
      </c>
      <c r="DE156" s="14">
        <v>0</v>
      </c>
      <c r="DF156" s="14"/>
      <c r="DG156" s="14">
        <v>0</v>
      </c>
      <c r="DH156" s="14">
        <v>0</v>
      </c>
      <c r="DI156" s="14">
        <v>0</v>
      </c>
      <c r="DJ156" s="14">
        <v>0</v>
      </c>
      <c r="DK156" s="14">
        <v>0</v>
      </c>
      <c r="DL156" s="14">
        <v>0</v>
      </c>
      <c r="DM156" s="14">
        <v>66</v>
      </c>
      <c r="DN156" s="14">
        <v>0</v>
      </c>
      <c r="DO156" s="14">
        <v>150</v>
      </c>
      <c r="DP156" s="13">
        <f t="shared" si="147"/>
        <v>216</v>
      </c>
      <c r="DR156" t="s">
        <v>124</v>
      </c>
      <c r="DU156" s="20" t="e">
        <f t="shared" si="148"/>
        <v>#REF!</v>
      </c>
    </row>
    <row r="157" spans="1:125" customFormat="1" ht="20.149999999999999" customHeight="1" x14ac:dyDescent="0.35">
      <c r="A157" s="84">
        <f t="shared" si="149"/>
        <v>146</v>
      </c>
      <c r="B157" s="142" t="s">
        <v>125</v>
      </c>
      <c r="C157" s="153" t="s">
        <v>126</v>
      </c>
      <c r="D157" s="109">
        <v>0</v>
      </c>
      <c r="E157" s="110">
        <f>'LPLPO GUDANG'!E160</f>
        <v>0</v>
      </c>
      <c r="F157" s="110">
        <f t="shared" si="100"/>
        <v>0</v>
      </c>
      <c r="G157" s="110">
        <f>'PEMAKAIAN UNIT'!R154</f>
        <v>0</v>
      </c>
      <c r="H157" s="14">
        <v>0</v>
      </c>
      <c r="I157" s="14">
        <v>0</v>
      </c>
      <c r="J157" s="14">
        <v>0</v>
      </c>
      <c r="K157" s="14"/>
      <c r="L157" s="14"/>
      <c r="M157" s="14"/>
      <c r="N157" s="14"/>
      <c r="O157" s="14"/>
      <c r="P157" s="14"/>
      <c r="Q157" s="14"/>
      <c r="R157" s="14"/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09">
        <f t="shared" si="101"/>
        <v>0</v>
      </c>
      <c r="Z157" s="109" t="e">
        <f t="shared" si="102"/>
        <v>#REF!</v>
      </c>
      <c r="AA157" s="109" t="e">
        <f t="shared" si="103"/>
        <v>#REF!</v>
      </c>
      <c r="AB157" s="14">
        <v>2</v>
      </c>
      <c r="AC157" s="109" t="e">
        <f t="shared" si="104"/>
        <v>#REF!</v>
      </c>
      <c r="AD157" s="109">
        <f>'LPLPO GUDANG'!H160</f>
        <v>7</v>
      </c>
      <c r="AE157" s="111" t="e">
        <f t="shared" si="105"/>
        <v>#REF!</v>
      </c>
      <c r="AF157" s="212"/>
      <c r="AG157" s="212"/>
      <c r="AH157" s="20"/>
      <c r="AI157" s="14">
        <f t="shared" si="106"/>
        <v>0</v>
      </c>
      <c r="AJ157" s="209" t="e">
        <f t="shared" si="107"/>
        <v>#REF!</v>
      </c>
      <c r="AL157" s="14">
        <f t="shared" si="108"/>
        <v>0</v>
      </c>
      <c r="AM157" s="14">
        <f>DISTRIBUSI!D155</f>
        <v>0</v>
      </c>
      <c r="AN157" s="14">
        <f>'PEMAKAIAN UNIT'!D154</f>
        <v>0</v>
      </c>
      <c r="AO157" s="14">
        <f t="shared" si="109"/>
        <v>0</v>
      </c>
      <c r="AP157" s="15">
        <f t="shared" si="110"/>
        <v>0</v>
      </c>
      <c r="AQ157" s="14">
        <f t="shared" si="111"/>
        <v>0</v>
      </c>
      <c r="AR157" s="14">
        <f>DISTRIBUSI!E155</f>
        <v>0</v>
      </c>
      <c r="AS157" s="14">
        <f>'PEMAKAIAN UNIT'!E154</f>
        <v>0</v>
      </c>
      <c r="AT157" s="14">
        <f t="shared" si="112"/>
        <v>0</v>
      </c>
      <c r="AU157" s="15">
        <f t="shared" si="113"/>
        <v>0</v>
      </c>
      <c r="AV157" s="14">
        <f t="shared" si="114"/>
        <v>0</v>
      </c>
      <c r="AW157" s="14">
        <f>DISTRIBUSI!F155</f>
        <v>0</v>
      </c>
      <c r="AX157" s="14">
        <f>'PEMAKAIAN UNIT'!F154</f>
        <v>0</v>
      </c>
      <c r="AY157" s="14">
        <f t="shared" si="115"/>
        <v>0</v>
      </c>
      <c r="AZ157" s="15">
        <f t="shared" si="116"/>
        <v>0</v>
      </c>
      <c r="BA157" s="14">
        <f t="shared" si="117"/>
        <v>0</v>
      </c>
      <c r="BB157" s="14">
        <f>DISTRIBUSI!G155</f>
        <v>0</v>
      </c>
      <c r="BC157" s="14">
        <f>'PEMAKAIAN UNIT'!G154</f>
        <v>0</v>
      </c>
      <c r="BD157" s="14">
        <f t="shared" si="118"/>
        <v>0</v>
      </c>
      <c r="BE157" s="15">
        <f t="shared" si="119"/>
        <v>0</v>
      </c>
      <c r="BF157" s="14">
        <f t="shared" si="120"/>
        <v>0</v>
      </c>
      <c r="BG157" s="14">
        <f>DISTRIBUSI!H155</f>
        <v>0</v>
      </c>
      <c r="BH157" s="14">
        <f>'PEMAKAIAN UNIT'!H154</f>
        <v>0</v>
      </c>
      <c r="BI157" s="14">
        <f t="shared" si="121"/>
        <v>0</v>
      </c>
      <c r="BJ157" s="15">
        <f t="shared" si="122"/>
        <v>0</v>
      </c>
      <c r="BK157" s="14">
        <f t="shared" si="123"/>
        <v>0</v>
      </c>
      <c r="BL157" s="14">
        <f>DISTRIBUSI!I155</f>
        <v>0</v>
      </c>
      <c r="BM157" s="14">
        <f>'PEMAKAIAN UNIT'!I154</f>
        <v>0</v>
      </c>
      <c r="BN157" s="14">
        <f t="shared" si="124"/>
        <v>0</v>
      </c>
      <c r="BO157" s="15">
        <f t="shared" si="125"/>
        <v>0</v>
      </c>
      <c r="BP157" s="14">
        <f t="shared" si="126"/>
        <v>0</v>
      </c>
      <c r="BQ157" s="14">
        <f>DISTRIBUSI!J155</f>
        <v>0</v>
      </c>
      <c r="BR157" s="14">
        <f>'PEMAKAIAN UNIT'!J154</f>
        <v>0</v>
      </c>
      <c r="BS157" s="14">
        <f t="shared" si="127"/>
        <v>0</v>
      </c>
      <c r="BT157" s="15">
        <f t="shared" si="128"/>
        <v>0</v>
      </c>
      <c r="BU157" s="14">
        <f t="shared" si="129"/>
        <v>0</v>
      </c>
      <c r="BV157" s="14">
        <f>DISTRIBUSI!K155</f>
        <v>0</v>
      </c>
      <c r="BW157" s="14">
        <f>'PEMAKAIAN UNIT'!K154</f>
        <v>0</v>
      </c>
      <c r="BX157" s="14">
        <f t="shared" si="130"/>
        <v>0</v>
      </c>
      <c r="BY157" s="15">
        <f t="shared" si="131"/>
        <v>0</v>
      </c>
      <c r="BZ157" s="14">
        <f t="shared" si="132"/>
        <v>0</v>
      </c>
      <c r="CA157" s="14">
        <f>DISTRIBUSI!L155</f>
        <v>0</v>
      </c>
      <c r="CB157" s="14">
        <f>'PEMAKAIAN UNIT'!L154</f>
        <v>0</v>
      </c>
      <c r="CC157" s="14">
        <f t="shared" si="133"/>
        <v>0</v>
      </c>
      <c r="CD157" s="15">
        <f t="shared" si="134"/>
        <v>0</v>
      </c>
      <c r="CE157" s="14">
        <f t="shared" si="135"/>
        <v>0</v>
      </c>
      <c r="CF157" s="14">
        <f>DISTRIBUSI!M155</f>
        <v>0</v>
      </c>
      <c r="CG157" s="14">
        <f>'PEMAKAIAN UNIT'!M154</f>
        <v>0</v>
      </c>
      <c r="CH157" s="14">
        <f t="shared" si="136"/>
        <v>0</v>
      </c>
      <c r="CI157" s="15">
        <f t="shared" si="137"/>
        <v>0</v>
      </c>
      <c r="CJ157" s="14">
        <f t="shared" si="138"/>
        <v>0</v>
      </c>
      <c r="CK157" s="14" t="e">
        <f>DISTRIBUSI!#REF!</f>
        <v>#REF!</v>
      </c>
      <c r="CL157" s="14">
        <f>'PEMAKAIAN UNIT'!N154</f>
        <v>0</v>
      </c>
      <c r="CM157" s="14" t="e">
        <f t="shared" si="139"/>
        <v>#REF!</v>
      </c>
      <c r="CN157" s="15" t="e">
        <f t="shared" si="140"/>
        <v>#REF!</v>
      </c>
      <c r="CO157" s="14" t="e">
        <f>DL157+DISTRIBUSI!#REF!-'PEMAKAIAN UNIT'!O154</f>
        <v>#REF!</v>
      </c>
      <c r="CP157" s="15" t="e">
        <f t="shared" si="141"/>
        <v>#REF!</v>
      </c>
      <c r="CQ157" s="226">
        <f t="shared" si="142"/>
        <v>1</v>
      </c>
      <c r="CR157" s="226">
        <f>DISTRIBUSI!R155</f>
        <v>0</v>
      </c>
      <c r="CS157" s="226">
        <f>'PEMAKAIAN UNIT'!P154</f>
        <v>0</v>
      </c>
      <c r="CT157" s="14">
        <f t="shared" si="143"/>
        <v>1</v>
      </c>
      <c r="CU157" s="15">
        <f t="shared" si="144"/>
        <v>-1</v>
      </c>
      <c r="CV157" s="14" t="e">
        <f>DN157+DISTRIBUSI!#REF!-'PEMAKAIAN UNIT'!Q154</f>
        <v>#REF!</v>
      </c>
      <c r="CW157" s="15" t="e">
        <f t="shared" si="145"/>
        <v>#REF!</v>
      </c>
      <c r="CX157" s="14">
        <f>DO157+'LPLPO GUDANG'!E160-'LPLPO GUDANG'!G160</f>
        <v>2</v>
      </c>
      <c r="CY157" s="15">
        <f t="shared" si="146"/>
        <v>-5</v>
      </c>
      <c r="CZ157" s="28"/>
      <c r="DA157" s="14"/>
      <c r="DB157" s="14"/>
      <c r="DC157" s="14">
        <v>0</v>
      </c>
      <c r="DD157" s="14">
        <v>0</v>
      </c>
      <c r="DE157" s="14">
        <v>0</v>
      </c>
      <c r="DF157" s="14"/>
      <c r="DG157" s="14">
        <v>0</v>
      </c>
      <c r="DH157" s="14">
        <v>0</v>
      </c>
      <c r="DI157" s="14">
        <v>0</v>
      </c>
      <c r="DJ157" s="14">
        <v>0</v>
      </c>
      <c r="DK157" s="14">
        <v>0</v>
      </c>
      <c r="DL157" s="14">
        <v>0</v>
      </c>
      <c r="DM157" s="14">
        <v>1</v>
      </c>
      <c r="DN157" s="14">
        <v>0</v>
      </c>
      <c r="DO157" s="14">
        <v>3</v>
      </c>
      <c r="DP157" s="13">
        <f t="shared" si="147"/>
        <v>4</v>
      </c>
      <c r="DR157" t="s">
        <v>125</v>
      </c>
      <c r="DU157" s="20" t="e">
        <f t="shared" si="148"/>
        <v>#REF!</v>
      </c>
    </row>
    <row r="158" spans="1:125" customFormat="1" ht="20.149999999999999" customHeight="1" x14ac:dyDescent="0.35">
      <c r="A158" s="84">
        <f t="shared" si="149"/>
        <v>147</v>
      </c>
      <c r="B158" s="142" t="s">
        <v>127</v>
      </c>
      <c r="C158" s="164" t="s">
        <v>255</v>
      </c>
      <c r="D158" s="109">
        <v>0</v>
      </c>
      <c r="E158" s="110">
        <f>'LPLPO GUDANG'!E161</f>
        <v>0</v>
      </c>
      <c r="F158" s="110">
        <f t="shared" si="100"/>
        <v>0</v>
      </c>
      <c r="G158" s="110">
        <f>'PEMAKAIAN UNIT'!R155</f>
        <v>0</v>
      </c>
      <c r="H158" s="14">
        <v>24</v>
      </c>
      <c r="I158" s="14">
        <v>24</v>
      </c>
      <c r="J158" s="14">
        <v>0</v>
      </c>
      <c r="K158" s="14"/>
      <c r="L158" s="14"/>
      <c r="M158" s="14"/>
      <c r="N158" s="14"/>
      <c r="O158" s="14"/>
      <c r="P158" s="14"/>
      <c r="Q158" s="14"/>
      <c r="R158" s="14"/>
      <c r="S158" s="14">
        <v>11</v>
      </c>
      <c r="T158" s="14">
        <v>0</v>
      </c>
      <c r="U158" s="14">
        <v>12</v>
      </c>
      <c r="V158" s="14">
        <v>13</v>
      </c>
      <c r="W158" s="14">
        <v>0</v>
      </c>
      <c r="X158" s="14">
        <v>4</v>
      </c>
      <c r="Y158" s="109">
        <f t="shared" si="101"/>
        <v>0</v>
      </c>
      <c r="Z158" s="109" t="e">
        <f t="shared" si="102"/>
        <v>#REF!</v>
      </c>
      <c r="AA158" s="109" t="e">
        <f t="shared" si="103"/>
        <v>#REF!</v>
      </c>
      <c r="AB158" s="14">
        <v>24</v>
      </c>
      <c r="AC158" s="109" t="e">
        <f t="shared" si="104"/>
        <v>#REF!</v>
      </c>
      <c r="AD158" s="109">
        <f>'LPLPO GUDANG'!H161</f>
        <v>130</v>
      </c>
      <c r="AE158" s="111" t="e">
        <f t="shared" si="105"/>
        <v>#REF!</v>
      </c>
      <c r="AF158" s="212"/>
      <c r="AG158" s="212"/>
      <c r="AH158" s="20"/>
      <c r="AI158" s="14">
        <f t="shared" si="106"/>
        <v>0</v>
      </c>
      <c r="AJ158" s="209" t="e">
        <f t="shared" si="107"/>
        <v>#REF!</v>
      </c>
      <c r="AL158" s="14">
        <f t="shared" si="108"/>
        <v>38</v>
      </c>
      <c r="AM158" s="14">
        <f>DISTRIBUSI!D156</f>
        <v>0</v>
      </c>
      <c r="AN158" s="14">
        <f>'PEMAKAIAN UNIT'!D155</f>
        <v>0</v>
      </c>
      <c r="AO158" s="14">
        <f t="shared" si="109"/>
        <v>38</v>
      </c>
      <c r="AP158" s="15">
        <f t="shared" si="110"/>
        <v>14</v>
      </c>
      <c r="AQ158" s="14">
        <f t="shared" si="111"/>
        <v>28</v>
      </c>
      <c r="AR158" s="14">
        <f>DISTRIBUSI!E156</f>
        <v>0</v>
      </c>
      <c r="AS158" s="14">
        <f>'PEMAKAIAN UNIT'!E155</f>
        <v>0</v>
      </c>
      <c r="AT158" s="14">
        <f t="shared" si="112"/>
        <v>28</v>
      </c>
      <c r="AU158" s="15">
        <f t="shared" si="113"/>
        <v>4</v>
      </c>
      <c r="AV158" s="14">
        <f t="shared" si="114"/>
        <v>5</v>
      </c>
      <c r="AW158" s="14">
        <f>DISTRIBUSI!F156</f>
        <v>0</v>
      </c>
      <c r="AX158" s="14">
        <f>'PEMAKAIAN UNIT'!F155</f>
        <v>0</v>
      </c>
      <c r="AY158" s="14">
        <f t="shared" si="115"/>
        <v>5</v>
      </c>
      <c r="AZ158" s="15">
        <f t="shared" si="116"/>
        <v>5</v>
      </c>
      <c r="BA158" s="14">
        <f t="shared" si="117"/>
        <v>11</v>
      </c>
      <c r="BB158" s="14">
        <f>DISTRIBUSI!G156</f>
        <v>0</v>
      </c>
      <c r="BC158" s="14">
        <f>'PEMAKAIAN UNIT'!G155</f>
        <v>0</v>
      </c>
      <c r="BD158" s="14">
        <f t="shared" si="118"/>
        <v>11</v>
      </c>
      <c r="BE158" s="15">
        <f t="shared" si="119"/>
        <v>0</v>
      </c>
      <c r="BF158" s="14">
        <f t="shared" si="120"/>
        <v>30</v>
      </c>
      <c r="BG158" s="14">
        <f>DISTRIBUSI!H156</f>
        <v>0</v>
      </c>
      <c r="BH158" s="14">
        <f>'PEMAKAIAN UNIT'!H155</f>
        <v>0</v>
      </c>
      <c r="BI158" s="14">
        <f t="shared" si="121"/>
        <v>30</v>
      </c>
      <c r="BJ158" s="15">
        <f t="shared" si="122"/>
        <v>30</v>
      </c>
      <c r="BK158" s="14">
        <f t="shared" si="123"/>
        <v>10</v>
      </c>
      <c r="BL158" s="14">
        <f>DISTRIBUSI!I156</f>
        <v>0</v>
      </c>
      <c r="BM158" s="14">
        <f>'PEMAKAIAN UNIT'!I155</f>
        <v>0</v>
      </c>
      <c r="BN158" s="14">
        <f t="shared" si="124"/>
        <v>10</v>
      </c>
      <c r="BO158" s="15">
        <f t="shared" si="125"/>
        <v>-2</v>
      </c>
      <c r="BP158" s="14">
        <f t="shared" si="126"/>
        <v>16</v>
      </c>
      <c r="BQ158" s="14">
        <f>DISTRIBUSI!J156</f>
        <v>0</v>
      </c>
      <c r="BR158" s="14">
        <f>'PEMAKAIAN UNIT'!J155</f>
        <v>0</v>
      </c>
      <c r="BS158" s="14">
        <f t="shared" si="127"/>
        <v>16</v>
      </c>
      <c r="BT158" s="15">
        <f t="shared" si="128"/>
        <v>3</v>
      </c>
      <c r="BU158" s="14">
        <f t="shared" si="129"/>
        <v>0</v>
      </c>
      <c r="BV158" s="14">
        <f>DISTRIBUSI!K156</f>
        <v>0</v>
      </c>
      <c r="BW158" s="14">
        <f>'PEMAKAIAN UNIT'!K155</f>
        <v>0</v>
      </c>
      <c r="BX158" s="14">
        <f t="shared" si="130"/>
        <v>0</v>
      </c>
      <c r="BY158" s="15">
        <f t="shared" si="131"/>
        <v>0</v>
      </c>
      <c r="BZ158" s="14">
        <f t="shared" si="132"/>
        <v>9</v>
      </c>
      <c r="CA158" s="14">
        <f>DISTRIBUSI!L156</f>
        <v>5</v>
      </c>
      <c r="CB158" s="14">
        <f>'PEMAKAIAN UNIT'!L155</f>
        <v>0</v>
      </c>
      <c r="CC158" s="14">
        <f t="shared" si="133"/>
        <v>14</v>
      </c>
      <c r="CD158" s="15">
        <f t="shared" si="134"/>
        <v>10</v>
      </c>
      <c r="CE158" s="14">
        <f t="shared" si="135"/>
        <v>0</v>
      </c>
      <c r="CF158" s="14">
        <f>DISTRIBUSI!M156</f>
        <v>0</v>
      </c>
      <c r="CG158" s="14">
        <f>'PEMAKAIAN UNIT'!M155</f>
        <v>0</v>
      </c>
      <c r="CH158" s="14">
        <f t="shared" si="136"/>
        <v>0</v>
      </c>
      <c r="CI158" s="15">
        <f t="shared" si="137"/>
        <v>0</v>
      </c>
      <c r="CJ158" s="14">
        <f t="shared" si="138"/>
        <v>0</v>
      </c>
      <c r="CK158" s="14" t="e">
        <f>DISTRIBUSI!#REF!</f>
        <v>#REF!</v>
      </c>
      <c r="CL158" s="14">
        <f>'PEMAKAIAN UNIT'!N155</f>
        <v>0</v>
      </c>
      <c r="CM158" s="14" t="e">
        <f t="shared" si="139"/>
        <v>#REF!</v>
      </c>
      <c r="CN158" s="15" t="e">
        <f t="shared" si="140"/>
        <v>#REF!</v>
      </c>
      <c r="CO158" s="14" t="e">
        <f>DL158+DISTRIBUSI!#REF!-'PEMAKAIAN UNIT'!O155</f>
        <v>#REF!</v>
      </c>
      <c r="CP158" s="15" t="e">
        <f t="shared" si="141"/>
        <v>#REF!</v>
      </c>
      <c r="CQ158" s="226">
        <f t="shared" si="142"/>
        <v>47</v>
      </c>
      <c r="CR158" s="226">
        <f>DISTRIBUSI!R156</f>
        <v>0</v>
      </c>
      <c r="CS158" s="226">
        <f>'PEMAKAIAN UNIT'!P155</f>
        <v>0</v>
      </c>
      <c r="CT158" s="14">
        <f t="shared" si="143"/>
        <v>47</v>
      </c>
      <c r="CU158" s="15">
        <f t="shared" si="144"/>
        <v>23</v>
      </c>
      <c r="CV158" s="14" t="e">
        <f>DN158+DISTRIBUSI!#REF!-'PEMAKAIAN UNIT'!Q155</f>
        <v>#REF!</v>
      </c>
      <c r="CW158" s="15" t="e">
        <f t="shared" si="145"/>
        <v>#REF!</v>
      </c>
      <c r="CX158" s="14">
        <f>DO158+'LPLPO GUDANG'!E161-'LPLPO GUDANG'!G161</f>
        <v>-10</v>
      </c>
      <c r="CY158" s="15">
        <f t="shared" si="146"/>
        <v>-140</v>
      </c>
      <c r="CZ158" s="28"/>
      <c r="DA158" s="14">
        <v>38</v>
      </c>
      <c r="DB158" s="14">
        <v>28</v>
      </c>
      <c r="DC158" s="14">
        <v>5</v>
      </c>
      <c r="DD158" s="14">
        <v>11</v>
      </c>
      <c r="DE158" s="14">
        <v>30</v>
      </c>
      <c r="DF158" s="14">
        <v>10</v>
      </c>
      <c r="DG158" s="14">
        <v>16</v>
      </c>
      <c r="DH158" s="14">
        <v>0</v>
      </c>
      <c r="DI158" s="14">
        <v>9</v>
      </c>
      <c r="DJ158" s="14">
        <v>0</v>
      </c>
      <c r="DK158" s="14">
        <v>0</v>
      </c>
      <c r="DL158" s="14">
        <v>0</v>
      </c>
      <c r="DM158" s="14">
        <v>47</v>
      </c>
      <c r="DN158" s="14">
        <v>0</v>
      </c>
      <c r="DO158" s="14">
        <v>25</v>
      </c>
      <c r="DP158" s="13">
        <f t="shared" si="147"/>
        <v>219</v>
      </c>
      <c r="DR158" t="s">
        <v>127</v>
      </c>
      <c r="DU158" s="20" t="e">
        <f t="shared" si="148"/>
        <v>#REF!</v>
      </c>
    </row>
    <row r="159" spans="1:125" customFormat="1" ht="20.149999999999999" customHeight="1" x14ac:dyDescent="0.35">
      <c r="A159" s="84">
        <f t="shared" si="149"/>
        <v>148</v>
      </c>
      <c r="B159" s="142" t="s">
        <v>128</v>
      </c>
      <c r="C159" s="153" t="s">
        <v>126</v>
      </c>
      <c r="D159" s="109">
        <v>0</v>
      </c>
      <c r="E159" s="110">
        <f>'LPLPO GUDANG'!E162</f>
        <v>2</v>
      </c>
      <c r="F159" s="110">
        <f t="shared" si="100"/>
        <v>2</v>
      </c>
      <c r="G159" s="110">
        <f>'PEMAKAIAN UNIT'!R156</f>
        <v>0</v>
      </c>
      <c r="H159" s="14">
        <v>0</v>
      </c>
      <c r="I159" s="14">
        <v>0</v>
      </c>
      <c r="J159" s="14">
        <v>0</v>
      </c>
      <c r="K159" s="14"/>
      <c r="L159" s="14"/>
      <c r="M159" s="14"/>
      <c r="N159" s="14"/>
      <c r="O159" s="14"/>
      <c r="P159" s="14"/>
      <c r="Q159" s="14"/>
      <c r="R159" s="14"/>
      <c r="S159" s="14">
        <v>0</v>
      </c>
      <c r="T159" s="14">
        <v>0</v>
      </c>
      <c r="U159" s="14">
        <v>2</v>
      </c>
      <c r="V159" s="14">
        <v>0</v>
      </c>
      <c r="W159" s="14">
        <v>0</v>
      </c>
      <c r="X159" s="14">
        <v>0</v>
      </c>
      <c r="Y159" s="109">
        <f t="shared" si="101"/>
        <v>0</v>
      </c>
      <c r="Z159" s="109" t="e">
        <f t="shared" si="102"/>
        <v>#REF!</v>
      </c>
      <c r="AA159" s="109" t="e">
        <f t="shared" si="103"/>
        <v>#REF!</v>
      </c>
      <c r="AB159" s="14">
        <v>5</v>
      </c>
      <c r="AC159" s="109" t="e">
        <f t="shared" si="104"/>
        <v>#REF!</v>
      </c>
      <c r="AD159" s="109">
        <f>'LPLPO GUDANG'!H162</f>
        <v>0</v>
      </c>
      <c r="AE159" s="111" t="e">
        <f t="shared" si="105"/>
        <v>#REF!</v>
      </c>
      <c r="AF159" s="212"/>
      <c r="AG159" s="212"/>
      <c r="AH159" s="20"/>
      <c r="AI159" s="14">
        <f t="shared" si="106"/>
        <v>2</v>
      </c>
      <c r="AJ159" s="209" t="e">
        <f t="shared" si="107"/>
        <v>#REF!</v>
      </c>
      <c r="AL159" s="14">
        <f t="shared" si="108"/>
        <v>0</v>
      </c>
      <c r="AM159" s="14">
        <f>DISTRIBUSI!D157</f>
        <v>0</v>
      </c>
      <c r="AN159" s="14">
        <f>'PEMAKAIAN UNIT'!D156</f>
        <v>0</v>
      </c>
      <c r="AO159" s="14">
        <f t="shared" si="109"/>
        <v>0</v>
      </c>
      <c r="AP159" s="15">
        <f t="shared" si="110"/>
        <v>0</v>
      </c>
      <c r="AQ159" s="14">
        <f t="shared" si="111"/>
        <v>0</v>
      </c>
      <c r="AR159" s="14">
        <f>DISTRIBUSI!E157</f>
        <v>0</v>
      </c>
      <c r="AS159" s="14">
        <f>'PEMAKAIAN UNIT'!E156</f>
        <v>0</v>
      </c>
      <c r="AT159" s="14">
        <f t="shared" si="112"/>
        <v>0</v>
      </c>
      <c r="AU159" s="15">
        <f t="shared" si="113"/>
        <v>0</v>
      </c>
      <c r="AV159" s="14">
        <f t="shared" si="114"/>
        <v>0</v>
      </c>
      <c r="AW159" s="14">
        <f>DISTRIBUSI!F157</f>
        <v>0</v>
      </c>
      <c r="AX159" s="14">
        <f>'PEMAKAIAN UNIT'!F156</f>
        <v>0</v>
      </c>
      <c r="AY159" s="14">
        <f t="shared" si="115"/>
        <v>0</v>
      </c>
      <c r="AZ159" s="15">
        <f t="shared" si="116"/>
        <v>0</v>
      </c>
      <c r="BA159" s="14">
        <f t="shared" si="117"/>
        <v>0</v>
      </c>
      <c r="BB159" s="14">
        <f>DISTRIBUSI!G157</f>
        <v>0</v>
      </c>
      <c r="BC159" s="14">
        <f>'PEMAKAIAN UNIT'!G156</f>
        <v>0</v>
      </c>
      <c r="BD159" s="14">
        <f t="shared" si="118"/>
        <v>0</v>
      </c>
      <c r="BE159" s="15">
        <f t="shared" si="119"/>
        <v>0</v>
      </c>
      <c r="BF159" s="14">
        <f t="shared" si="120"/>
        <v>0</v>
      </c>
      <c r="BG159" s="14">
        <f>DISTRIBUSI!H157</f>
        <v>0</v>
      </c>
      <c r="BH159" s="14">
        <f>'PEMAKAIAN UNIT'!H156</f>
        <v>0</v>
      </c>
      <c r="BI159" s="14">
        <f t="shared" si="121"/>
        <v>0</v>
      </c>
      <c r="BJ159" s="15">
        <f t="shared" si="122"/>
        <v>0</v>
      </c>
      <c r="BK159" s="14">
        <f t="shared" si="123"/>
        <v>1</v>
      </c>
      <c r="BL159" s="14">
        <f>DISTRIBUSI!I157</f>
        <v>0</v>
      </c>
      <c r="BM159" s="14">
        <f>'PEMAKAIAN UNIT'!I156</f>
        <v>0</v>
      </c>
      <c r="BN159" s="14">
        <f t="shared" si="124"/>
        <v>1</v>
      </c>
      <c r="BO159" s="15">
        <f t="shared" si="125"/>
        <v>-1</v>
      </c>
      <c r="BP159" s="14">
        <f t="shared" si="126"/>
        <v>0</v>
      </c>
      <c r="BQ159" s="14">
        <f>DISTRIBUSI!J157</f>
        <v>0</v>
      </c>
      <c r="BR159" s="14">
        <f>'PEMAKAIAN UNIT'!J156</f>
        <v>0</v>
      </c>
      <c r="BS159" s="14">
        <f t="shared" si="127"/>
        <v>0</v>
      </c>
      <c r="BT159" s="15">
        <f t="shared" si="128"/>
        <v>0</v>
      </c>
      <c r="BU159" s="14">
        <f t="shared" si="129"/>
        <v>0</v>
      </c>
      <c r="BV159" s="14">
        <f>DISTRIBUSI!K157</f>
        <v>0</v>
      </c>
      <c r="BW159" s="14">
        <f>'PEMAKAIAN UNIT'!K156</f>
        <v>0</v>
      </c>
      <c r="BX159" s="14">
        <f t="shared" si="130"/>
        <v>0</v>
      </c>
      <c r="BY159" s="15">
        <f t="shared" si="131"/>
        <v>0</v>
      </c>
      <c r="BZ159" s="14">
        <f t="shared" si="132"/>
        <v>0</v>
      </c>
      <c r="CA159" s="14">
        <f>DISTRIBUSI!L157</f>
        <v>0</v>
      </c>
      <c r="CB159" s="14">
        <f>'PEMAKAIAN UNIT'!L156</f>
        <v>0</v>
      </c>
      <c r="CC159" s="14">
        <f t="shared" si="133"/>
        <v>0</v>
      </c>
      <c r="CD159" s="15">
        <f t="shared" si="134"/>
        <v>0</v>
      </c>
      <c r="CE159" s="14">
        <f t="shared" si="135"/>
        <v>0</v>
      </c>
      <c r="CF159" s="14">
        <f>DISTRIBUSI!M157</f>
        <v>0</v>
      </c>
      <c r="CG159" s="14">
        <f>'PEMAKAIAN UNIT'!M156</f>
        <v>0</v>
      </c>
      <c r="CH159" s="14">
        <f t="shared" si="136"/>
        <v>0</v>
      </c>
      <c r="CI159" s="15">
        <f t="shared" si="137"/>
        <v>0</v>
      </c>
      <c r="CJ159" s="14">
        <f t="shared" si="138"/>
        <v>0</v>
      </c>
      <c r="CK159" s="14" t="e">
        <f>DISTRIBUSI!#REF!</f>
        <v>#REF!</v>
      </c>
      <c r="CL159" s="14">
        <f>'PEMAKAIAN UNIT'!N156</f>
        <v>0</v>
      </c>
      <c r="CM159" s="14" t="e">
        <f t="shared" si="139"/>
        <v>#REF!</v>
      </c>
      <c r="CN159" s="15" t="e">
        <f t="shared" si="140"/>
        <v>#REF!</v>
      </c>
      <c r="CO159" s="14" t="e">
        <f>DL159+DISTRIBUSI!#REF!-'PEMAKAIAN UNIT'!O156</f>
        <v>#REF!</v>
      </c>
      <c r="CP159" s="15" t="e">
        <f t="shared" si="141"/>
        <v>#REF!</v>
      </c>
      <c r="CQ159" s="226">
        <f t="shared" si="142"/>
        <v>2</v>
      </c>
      <c r="CR159" s="226">
        <f>DISTRIBUSI!R157</f>
        <v>0</v>
      </c>
      <c r="CS159" s="226">
        <f>'PEMAKAIAN UNIT'!P156</f>
        <v>0</v>
      </c>
      <c r="CT159" s="14">
        <f t="shared" si="143"/>
        <v>2</v>
      </c>
      <c r="CU159" s="15">
        <f t="shared" si="144"/>
        <v>-3</v>
      </c>
      <c r="CV159" s="14" t="e">
        <f>DN159+DISTRIBUSI!#REF!-'PEMAKAIAN UNIT'!Q156</f>
        <v>#REF!</v>
      </c>
      <c r="CW159" s="15" t="e">
        <f t="shared" si="145"/>
        <v>#REF!</v>
      </c>
      <c r="CX159" s="14">
        <f>DO159+'LPLPO GUDANG'!E162-'LPLPO GUDANG'!G162</f>
        <v>-2</v>
      </c>
      <c r="CY159" s="15">
        <f t="shared" si="146"/>
        <v>-2</v>
      </c>
      <c r="CZ159" s="28"/>
      <c r="DA159" s="14"/>
      <c r="DB159" s="14"/>
      <c r="DC159" s="14">
        <v>0</v>
      </c>
      <c r="DD159" s="14">
        <v>0</v>
      </c>
      <c r="DE159" s="14">
        <v>0</v>
      </c>
      <c r="DF159" s="14">
        <v>1</v>
      </c>
      <c r="DG159" s="14">
        <v>0</v>
      </c>
      <c r="DH159" s="14">
        <v>0</v>
      </c>
      <c r="DI159" s="14">
        <v>0</v>
      </c>
      <c r="DJ159" s="14">
        <v>0</v>
      </c>
      <c r="DK159" s="14">
        <v>0</v>
      </c>
      <c r="DL159" s="14">
        <v>0</v>
      </c>
      <c r="DM159" s="14">
        <v>2</v>
      </c>
      <c r="DN159" s="14">
        <v>0</v>
      </c>
      <c r="DO159" s="14">
        <v>1</v>
      </c>
      <c r="DP159" s="13">
        <f t="shared" si="147"/>
        <v>4</v>
      </c>
      <c r="DR159" t="s">
        <v>128</v>
      </c>
      <c r="DU159" s="20" t="e">
        <f t="shared" si="148"/>
        <v>#REF!</v>
      </c>
    </row>
    <row r="160" spans="1:125" customFormat="1" ht="20.149999999999999" customHeight="1" x14ac:dyDescent="0.35">
      <c r="A160" s="84">
        <f t="shared" si="149"/>
        <v>149</v>
      </c>
      <c r="B160" s="142" t="s">
        <v>129</v>
      </c>
      <c r="C160" s="171" t="s">
        <v>126</v>
      </c>
      <c r="D160" s="109">
        <v>0</v>
      </c>
      <c r="E160" s="110">
        <f>'LPLPO GUDANG'!E163</f>
        <v>50</v>
      </c>
      <c r="F160" s="110">
        <f t="shared" si="100"/>
        <v>50</v>
      </c>
      <c r="G160" s="110">
        <f>'PEMAKAIAN UNIT'!R157</f>
        <v>0</v>
      </c>
      <c r="H160" s="14">
        <v>0</v>
      </c>
      <c r="I160" s="14">
        <v>0</v>
      </c>
      <c r="J160" s="14">
        <v>0</v>
      </c>
      <c r="K160" s="14"/>
      <c r="L160" s="14"/>
      <c r="M160" s="14"/>
      <c r="N160" s="14"/>
      <c r="O160" s="14"/>
      <c r="P160" s="14"/>
      <c r="Q160" s="14"/>
      <c r="R160" s="14"/>
      <c r="S160" s="14">
        <v>20</v>
      </c>
      <c r="T160" s="14">
        <v>0</v>
      </c>
      <c r="U160" s="14">
        <v>8</v>
      </c>
      <c r="V160" s="14">
        <v>10</v>
      </c>
      <c r="W160" s="14">
        <v>0</v>
      </c>
      <c r="X160" s="14">
        <v>0</v>
      </c>
      <c r="Y160" s="109">
        <f t="shared" si="101"/>
        <v>0</v>
      </c>
      <c r="Z160" s="109" t="e">
        <f t="shared" si="102"/>
        <v>#REF!</v>
      </c>
      <c r="AA160" s="109" t="e">
        <f t="shared" si="103"/>
        <v>#REF!</v>
      </c>
      <c r="AB160" s="14">
        <v>40</v>
      </c>
      <c r="AC160" s="109" t="e">
        <f t="shared" si="104"/>
        <v>#REF!</v>
      </c>
      <c r="AD160" s="109">
        <f>'LPLPO GUDANG'!H163</f>
        <v>100</v>
      </c>
      <c r="AE160" s="111" t="e">
        <f t="shared" si="105"/>
        <v>#REF!</v>
      </c>
      <c r="AF160" s="212"/>
      <c r="AG160" s="212"/>
      <c r="AH160" s="20"/>
      <c r="AI160" s="14">
        <f t="shared" si="106"/>
        <v>50</v>
      </c>
      <c r="AJ160" s="209" t="e">
        <f t="shared" si="107"/>
        <v>#REF!</v>
      </c>
      <c r="AL160" s="14">
        <f t="shared" si="108"/>
        <v>0</v>
      </c>
      <c r="AM160" s="14">
        <f>DISTRIBUSI!D158</f>
        <v>0</v>
      </c>
      <c r="AN160" s="14">
        <f>'PEMAKAIAN UNIT'!D157</f>
        <v>0</v>
      </c>
      <c r="AO160" s="14">
        <f t="shared" si="109"/>
        <v>0</v>
      </c>
      <c r="AP160" s="15">
        <f t="shared" si="110"/>
        <v>0</v>
      </c>
      <c r="AQ160" s="14">
        <f t="shared" si="111"/>
        <v>0</v>
      </c>
      <c r="AR160" s="14">
        <f>DISTRIBUSI!E158</f>
        <v>0</v>
      </c>
      <c r="AS160" s="14">
        <f>'PEMAKAIAN UNIT'!E157</f>
        <v>0</v>
      </c>
      <c r="AT160" s="14">
        <f t="shared" si="112"/>
        <v>0</v>
      </c>
      <c r="AU160" s="15">
        <f t="shared" si="113"/>
        <v>0</v>
      </c>
      <c r="AV160" s="14">
        <f t="shared" si="114"/>
        <v>0</v>
      </c>
      <c r="AW160" s="14">
        <f>DISTRIBUSI!F158</f>
        <v>0</v>
      </c>
      <c r="AX160" s="14">
        <f>'PEMAKAIAN UNIT'!F157</f>
        <v>0</v>
      </c>
      <c r="AY160" s="14">
        <f t="shared" si="115"/>
        <v>0</v>
      </c>
      <c r="AZ160" s="15">
        <f t="shared" si="116"/>
        <v>0</v>
      </c>
      <c r="BA160" s="14">
        <f t="shared" si="117"/>
        <v>10</v>
      </c>
      <c r="BB160" s="14">
        <f>DISTRIBUSI!G158</f>
        <v>0</v>
      </c>
      <c r="BC160" s="14">
        <f>'PEMAKAIAN UNIT'!G157</f>
        <v>0</v>
      </c>
      <c r="BD160" s="14">
        <f t="shared" si="118"/>
        <v>10</v>
      </c>
      <c r="BE160" s="15">
        <f t="shared" si="119"/>
        <v>-10</v>
      </c>
      <c r="BF160" s="14">
        <f t="shared" si="120"/>
        <v>10</v>
      </c>
      <c r="BG160" s="14">
        <f>DISTRIBUSI!H158</f>
        <v>0</v>
      </c>
      <c r="BH160" s="14">
        <f>'PEMAKAIAN UNIT'!H157</f>
        <v>0</v>
      </c>
      <c r="BI160" s="14">
        <f t="shared" si="121"/>
        <v>10</v>
      </c>
      <c r="BJ160" s="15">
        <f t="shared" si="122"/>
        <v>10</v>
      </c>
      <c r="BK160" s="14">
        <f t="shared" si="123"/>
        <v>5</v>
      </c>
      <c r="BL160" s="14">
        <f>DISTRIBUSI!I158</f>
        <v>0</v>
      </c>
      <c r="BM160" s="14">
        <f>'PEMAKAIAN UNIT'!I157</f>
        <v>0</v>
      </c>
      <c r="BN160" s="14">
        <f t="shared" si="124"/>
        <v>5</v>
      </c>
      <c r="BO160" s="15">
        <f t="shared" si="125"/>
        <v>-3</v>
      </c>
      <c r="BP160" s="14">
        <f t="shared" si="126"/>
        <v>10</v>
      </c>
      <c r="BQ160" s="14">
        <f>DISTRIBUSI!J158</f>
        <v>0</v>
      </c>
      <c r="BR160" s="14">
        <f>'PEMAKAIAN UNIT'!J157</f>
        <v>0</v>
      </c>
      <c r="BS160" s="14">
        <f t="shared" si="127"/>
        <v>10</v>
      </c>
      <c r="BT160" s="15">
        <f t="shared" si="128"/>
        <v>0</v>
      </c>
      <c r="BU160" s="14">
        <f t="shared" si="129"/>
        <v>0</v>
      </c>
      <c r="BV160" s="14">
        <f>DISTRIBUSI!K158</f>
        <v>0</v>
      </c>
      <c r="BW160" s="14">
        <f>'PEMAKAIAN UNIT'!K157</f>
        <v>0</v>
      </c>
      <c r="BX160" s="14">
        <f t="shared" si="130"/>
        <v>0</v>
      </c>
      <c r="BY160" s="15">
        <f t="shared" si="131"/>
        <v>0</v>
      </c>
      <c r="BZ160" s="14">
        <f t="shared" si="132"/>
        <v>0</v>
      </c>
      <c r="CA160" s="14">
        <f>DISTRIBUSI!L158</f>
        <v>5</v>
      </c>
      <c r="CB160" s="14">
        <f>'PEMAKAIAN UNIT'!L157</f>
        <v>0</v>
      </c>
      <c r="CC160" s="14">
        <f t="shared" si="133"/>
        <v>5</v>
      </c>
      <c r="CD160" s="15">
        <f t="shared" si="134"/>
        <v>5</v>
      </c>
      <c r="CE160" s="14">
        <f t="shared" si="135"/>
        <v>0</v>
      </c>
      <c r="CF160" s="14">
        <f>DISTRIBUSI!M158</f>
        <v>0</v>
      </c>
      <c r="CG160" s="14">
        <f>'PEMAKAIAN UNIT'!M157</f>
        <v>0</v>
      </c>
      <c r="CH160" s="14">
        <f t="shared" si="136"/>
        <v>0</v>
      </c>
      <c r="CI160" s="15">
        <f t="shared" si="137"/>
        <v>0</v>
      </c>
      <c r="CJ160" s="14">
        <f t="shared" si="138"/>
        <v>0</v>
      </c>
      <c r="CK160" s="14" t="e">
        <f>DISTRIBUSI!#REF!</f>
        <v>#REF!</v>
      </c>
      <c r="CL160" s="14">
        <f>'PEMAKAIAN UNIT'!N157</f>
        <v>0</v>
      </c>
      <c r="CM160" s="14" t="e">
        <f t="shared" si="139"/>
        <v>#REF!</v>
      </c>
      <c r="CN160" s="15" t="e">
        <f t="shared" si="140"/>
        <v>#REF!</v>
      </c>
      <c r="CO160" s="14" t="e">
        <f>DL160+DISTRIBUSI!#REF!-'PEMAKAIAN UNIT'!O157</f>
        <v>#REF!</v>
      </c>
      <c r="CP160" s="15" t="e">
        <f t="shared" si="141"/>
        <v>#REF!</v>
      </c>
      <c r="CQ160" s="226">
        <f t="shared" si="142"/>
        <v>24</v>
      </c>
      <c r="CR160" s="226">
        <f>DISTRIBUSI!R158</f>
        <v>0</v>
      </c>
      <c r="CS160" s="226">
        <f>'PEMAKAIAN UNIT'!P157</f>
        <v>0</v>
      </c>
      <c r="CT160" s="14">
        <f t="shared" si="143"/>
        <v>24</v>
      </c>
      <c r="CU160" s="15">
        <f t="shared" si="144"/>
        <v>-16</v>
      </c>
      <c r="CV160" s="14" t="e">
        <f>DN160+DISTRIBUSI!#REF!-'PEMAKAIAN UNIT'!Q157</f>
        <v>#REF!</v>
      </c>
      <c r="CW160" s="15" t="e">
        <f t="shared" si="145"/>
        <v>#REF!</v>
      </c>
      <c r="CX160" s="14">
        <f>DO160+'LPLPO GUDANG'!E163-'LPLPO GUDANG'!G163</f>
        <v>60</v>
      </c>
      <c r="CY160" s="15">
        <f t="shared" si="146"/>
        <v>-40</v>
      </c>
      <c r="CZ160" s="28"/>
      <c r="DA160" s="14"/>
      <c r="DB160" s="14"/>
      <c r="DC160" s="14">
        <v>0</v>
      </c>
      <c r="DD160" s="14">
        <v>10</v>
      </c>
      <c r="DE160" s="14">
        <v>10</v>
      </c>
      <c r="DF160" s="14">
        <v>5</v>
      </c>
      <c r="DG160" s="14">
        <v>10</v>
      </c>
      <c r="DH160" s="14">
        <v>0</v>
      </c>
      <c r="DI160" s="14">
        <v>0</v>
      </c>
      <c r="DJ160" s="14">
        <v>0</v>
      </c>
      <c r="DK160" s="14">
        <v>0</v>
      </c>
      <c r="DL160" s="14">
        <v>0</v>
      </c>
      <c r="DM160" s="14">
        <v>24</v>
      </c>
      <c r="DN160" s="14">
        <v>0</v>
      </c>
      <c r="DO160" s="14">
        <v>15</v>
      </c>
      <c r="DP160" s="13">
        <f t="shared" si="147"/>
        <v>74</v>
      </c>
      <c r="DR160" t="s">
        <v>129</v>
      </c>
      <c r="DU160" s="20" t="e">
        <f t="shared" si="148"/>
        <v>#REF!</v>
      </c>
    </row>
    <row r="161" spans="1:125" customFormat="1" ht="20.149999999999999" customHeight="1" x14ac:dyDescent="0.35">
      <c r="A161" s="84">
        <f t="shared" si="149"/>
        <v>150</v>
      </c>
      <c r="B161" s="142" t="s">
        <v>130</v>
      </c>
      <c r="C161" s="166" t="s">
        <v>323</v>
      </c>
      <c r="D161" s="109">
        <v>0</v>
      </c>
      <c r="E161" s="110">
        <f>'LPLPO GUDANG'!E164</f>
        <v>0</v>
      </c>
      <c r="F161" s="110">
        <f t="shared" si="100"/>
        <v>0</v>
      </c>
      <c r="G161" s="110">
        <f>'PEMAKAIAN UNIT'!R158</f>
        <v>0</v>
      </c>
      <c r="H161" s="14">
        <v>0</v>
      </c>
      <c r="I161" s="14">
        <v>0</v>
      </c>
      <c r="J161" s="14">
        <v>0</v>
      </c>
      <c r="K161" s="14"/>
      <c r="L161" s="14"/>
      <c r="M161" s="14"/>
      <c r="N161" s="14"/>
      <c r="O161" s="14"/>
      <c r="P161" s="14"/>
      <c r="Q161" s="14"/>
      <c r="R161" s="14"/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09">
        <f t="shared" si="101"/>
        <v>0</v>
      </c>
      <c r="Z161" s="109" t="e">
        <f t="shared" si="102"/>
        <v>#REF!</v>
      </c>
      <c r="AA161" s="109" t="e">
        <f t="shared" si="103"/>
        <v>#REF!</v>
      </c>
      <c r="AB161" s="14">
        <v>0</v>
      </c>
      <c r="AC161" s="109" t="e">
        <f t="shared" si="104"/>
        <v>#REF!</v>
      </c>
      <c r="AD161" s="109">
        <f>'LPLPO GUDANG'!H164</f>
        <v>0</v>
      </c>
      <c r="AE161" s="111" t="e">
        <f t="shared" si="105"/>
        <v>#REF!</v>
      </c>
      <c r="AF161" s="212"/>
      <c r="AG161" s="212"/>
      <c r="AH161" s="20"/>
      <c r="AI161" s="14">
        <f t="shared" si="106"/>
        <v>0</v>
      </c>
      <c r="AJ161" s="209" t="e">
        <f t="shared" si="107"/>
        <v>#REF!</v>
      </c>
      <c r="AL161" s="14">
        <f t="shared" si="108"/>
        <v>0</v>
      </c>
      <c r="AM161" s="14">
        <f>DISTRIBUSI!D159</f>
        <v>0</v>
      </c>
      <c r="AN161" s="14">
        <f>'PEMAKAIAN UNIT'!D158</f>
        <v>0</v>
      </c>
      <c r="AO161" s="14">
        <f t="shared" si="109"/>
        <v>0</v>
      </c>
      <c r="AP161" s="15">
        <f t="shared" si="110"/>
        <v>0</v>
      </c>
      <c r="AQ161" s="14">
        <f t="shared" si="111"/>
        <v>0</v>
      </c>
      <c r="AR161" s="14">
        <f>DISTRIBUSI!E159</f>
        <v>0</v>
      </c>
      <c r="AS161" s="14">
        <f>'PEMAKAIAN UNIT'!E158</f>
        <v>0</v>
      </c>
      <c r="AT161" s="14">
        <f t="shared" si="112"/>
        <v>0</v>
      </c>
      <c r="AU161" s="15">
        <f t="shared" si="113"/>
        <v>0</v>
      </c>
      <c r="AV161" s="14">
        <f t="shared" si="114"/>
        <v>0</v>
      </c>
      <c r="AW161" s="14">
        <f>DISTRIBUSI!F159</f>
        <v>0</v>
      </c>
      <c r="AX161" s="14">
        <f>'PEMAKAIAN UNIT'!F158</f>
        <v>0</v>
      </c>
      <c r="AY161" s="14">
        <f t="shared" si="115"/>
        <v>0</v>
      </c>
      <c r="AZ161" s="15">
        <f t="shared" si="116"/>
        <v>0</v>
      </c>
      <c r="BA161" s="14">
        <f t="shared" si="117"/>
        <v>0</v>
      </c>
      <c r="BB161" s="14">
        <f>DISTRIBUSI!G159</f>
        <v>0</v>
      </c>
      <c r="BC161" s="14">
        <f>'PEMAKAIAN UNIT'!G158</f>
        <v>0</v>
      </c>
      <c r="BD161" s="14">
        <f t="shared" si="118"/>
        <v>0</v>
      </c>
      <c r="BE161" s="15">
        <f t="shared" si="119"/>
        <v>0</v>
      </c>
      <c r="BF161" s="14">
        <f t="shared" si="120"/>
        <v>0</v>
      </c>
      <c r="BG161" s="14">
        <f>DISTRIBUSI!H159</f>
        <v>0</v>
      </c>
      <c r="BH161" s="14">
        <f>'PEMAKAIAN UNIT'!H158</f>
        <v>0</v>
      </c>
      <c r="BI161" s="14">
        <f t="shared" si="121"/>
        <v>0</v>
      </c>
      <c r="BJ161" s="15">
        <f t="shared" si="122"/>
        <v>0</v>
      </c>
      <c r="BK161" s="14">
        <f t="shared" si="123"/>
        <v>0</v>
      </c>
      <c r="BL161" s="14">
        <f>DISTRIBUSI!I159</f>
        <v>0</v>
      </c>
      <c r="BM161" s="14">
        <f>'PEMAKAIAN UNIT'!I158</f>
        <v>0</v>
      </c>
      <c r="BN161" s="14">
        <f t="shared" si="124"/>
        <v>0</v>
      </c>
      <c r="BO161" s="15">
        <f t="shared" si="125"/>
        <v>0</v>
      </c>
      <c r="BP161" s="14">
        <f t="shared" si="126"/>
        <v>0</v>
      </c>
      <c r="BQ161" s="14">
        <f>DISTRIBUSI!J159</f>
        <v>0</v>
      </c>
      <c r="BR161" s="14">
        <f>'PEMAKAIAN UNIT'!J158</f>
        <v>0</v>
      </c>
      <c r="BS161" s="14">
        <f t="shared" si="127"/>
        <v>0</v>
      </c>
      <c r="BT161" s="15">
        <f t="shared" si="128"/>
        <v>0</v>
      </c>
      <c r="BU161" s="14">
        <f t="shared" si="129"/>
        <v>0</v>
      </c>
      <c r="BV161" s="14">
        <f>DISTRIBUSI!K159</f>
        <v>0</v>
      </c>
      <c r="BW161" s="14">
        <f>'PEMAKAIAN UNIT'!K158</f>
        <v>0</v>
      </c>
      <c r="BX161" s="14">
        <f t="shared" si="130"/>
        <v>0</v>
      </c>
      <c r="BY161" s="15">
        <f t="shared" si="131"/>
        <v>0</v>
      </c>
      <c r="BZ161" s="14">
        <f t="shared" si="132"/>
        <v>0</v>
      </c>
      <c r="CA161" s="14">
        <f>DISTRIBUSI!L159</f>
        <v>0</v>
      </c>
      <c r="CB161" s="14">
        <f>'PEMAKAIAN UNIT'!L158</f>
        <v>0</v>
      </c>
      <c r="CC161" s="14">
        <f t="shared" si="133"/>
        <v>0</v>
      </c>
      <c r="CD161" s="15">
        <f t="shared" si="134"/>
        <v>0</v>
      </c>
      <c r="CE161" s="14">
        <f t="shared" si="135"/>
        <v>0</v>
      </c>
      <c r="CF161" s="14">
        <f>DISTRIBUSI!M159</f>
        <v>0</v>
      </c>
      <c r="CG161" s="14">
        <f>'PEMAKAIAN UNIT'!M158</f>
        <v>0</v>
      </c>
      <c r="CH161" s="14">
        <f t="shared" si="136"/>
        <v>0</v>
      </c>
      <c r="CI161" s="15">
        <f t="shared" si="137"/>
        <v>0</v>
      </c>
      <c r="CJ161" s="14">
        <f t="shared" si="138"/>
        <v>0</v>
      </c>
      <c r="CK161" s="14" t="e">
        <f>DISTRIBUSI!#REF!</f>
        <v>#REF!</v>
      </c>
      <c r="CL161" s="14">
        <f>'PEMAKAIAN UNIT'!N158</f>
        <v>0</v>
      </c>
      <c r="CM161" s="14" t="e">
        <f t="shared" si="139"/>
        <v>#REF!</v>
      </c>
      <c r="CN161" s="15" t="e">
        <f t="shared" si="140"/>
        <v>#REF!</v>
      </c>
      <c r="CO161" s="14" t="e">
        <f>DL161+DISTRIBUSI!#REF!-'PEMAKAIAN UNIT'!O158</f>
        <v>#REF!</v>
      </c>
      <c r="CP161" s="15" t="e">
        <f t="shared" si="141"/>
        <v>#REF!</v>
      </c>
      <c r="CQ161" s="226">
        <f t="shared" si="142"/>
        <v>0</v>
      </c>
      <c r="CR161" s="226">
        <f>DISTRIBUSI!R159</f>
        <v>0</v>
      </c>
      <c r="CS161" s="226">
        <f>'PEMAKAIAN UNIT'!P158</f>
        <v>0</v>
      </c>
      <c r="CT161" s="14">
        <f t="shared" si="143"/>
        <v>0</v>
      </c>
      <c r="CU161" s="15">
        <f t="shared" si="144"/>
        <v>0</v>
      </c>
      <c r="CV161" s="14" t="e">
        <f>DN161+DISTRIBUSI!#REF!-'PEMAKAIAN UNIT'!Q158</f>
        <v>#REF!</v>
      </c>
      <c r="CW161" s="15" t="e">
        <f t="shared" si="145"/>
        <v>#REF!</v>
      </c>
      <c r="CX161" s="14">
        <f>DO161+'LPLPO GUDANG'!E164-'LPLPO GUDANG'!G164</f>
        <v>0</v>
      </c>
      <c r="CY161" s="15">
        <f t="shared" si="146"/>
        <v>0</v>
      </c>
      <c r="CZ161" s="28"/>
      <c r="DA161" s="14"/>
      <c r="DB161" s="14"/>
      <c r="DC161" s="14">
        <v>0</v>
      </c>
      <c r="DD161" s="14">
        <v>0</v>
      </c>
      <c r="DE161" s="14">
        <v>0</v>
      </c>
      <c r="DF161" s="14"/>
      <c r="DG161" s="14">
        <v>0</v>
      </c>
      <c r="DH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0</v>
      </c>
      <c r="DN161" s="14">
        <v>0</v>
      </c>
      <c r="DO161" s="14">
        <v>0</v>
      </c>
      <c r="DP161" s="13">
        <f t="shared" si="147"/>
        <v>0</v>
      </c>
      <c r="DR161" t="s">
        <v>130</v>
      </c>
      <c r="DU161" s="20" t="e">
        <f t="shared" si="148"/>
        <v>#REF!</v>
      </c>
    </row>
    <row r="162" spans="1:125" customFormat="1" ht="20.149999999999999" customHeight="1" x14ac:dyDescent="0.35">
      <c r="A162" s="84">
        <f t="shared" si="149"/>
        <v>151</v>
      </c>
      <c r="B162" s="142" t="s">
        <v>131</v>
      </c>
      <c r="C162" s="153" t="s">
        <v>256</v>
      </c>
      <c r="D162" s="109">
        <v>0</v>
      </c>
      <c r="E162" s="110">
        <f>'LPLPO GUDANG'!E165</f>
        <v>0</v>
      </c>
      <c r="F162" s="110">
        <f t="shared" si="100"/>
        <v>0</v>
      </c>
      <c r="G162" s="110">
        <f>'PEMAKAIAN UNIT'!R159</f>
        <v>0</v>
      </c>
      <c r="H162" s="14">
        <v>0</v>
      </c>
      <c r="I162" s="14">
        <v>0</v>
      </c>
      <c r="J162" s="14">
        <v>0</v>
      </c>
      <c r="K162" s="14"/>
      <c r="L162" s="14"/>
      <c r="M162" s="14"/>
      <c r="N162" s="14"/>
      <c r="O162" s="14"/>
      <c r="P162" s="14"/>
      <c r="Q162" s="14"/>
      <c r="R162" s="14"/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09">
        <f t="shared" si="101"/>
        <v>0</v>
      </c>
      <c r="Z162" s="109" t="e">
        <f t="shared" si="102"/>
        <v>#REF!</v>
      </c>
      <c r="AA162" s="109" t="e">
        <f t="shared" si="103"/>
        <v>#REF!</v>
      </c>
      <c r="AB162" s="14">
        <v>13</v>
      </c>
      <c r="AC162" s="109" t="e">
        <f t="shared" si="104"/>
        <v>#REF!</v>
      </c>
      <c r="AD162" s="109">
        <f>'LPLPO GUDANG'!H165</f>
        <v>0</v>
      </c>
      <c r="AE162" s="111" t="e">
        <f t="shared" si="105"/>
        <v>#REF!</v>
      </c>
      <c r="AF162" s="212"/>
      <c r="AG162" s="212"/>
      <c r="AH162" s="20"/>
      <c r="AI162" s="14">
        <f t="shared" si="106"/>
        <v>0</v>
      </c>
      <c r="AJ162" s="209" t="e">
        <f t="shared" si="107"/>
        <v>#REF!</v>
      </c>
      <c r="AL162" s="14">
        <f t="shared" si="108"/>
        <v>0</v>
      </c>
      <c r="AM162" s="14">
        <f>DISTRIBUSI!D160</f>
        <v>0</v>
      </c>
      <c r="AN162" s="14">
        <f>'PEMAKAIAN UNIT'!D159</f>
        <v>0</v>
      </c>
      <c r="AO162" s="14">
        <f t="shared" si="109"/>
        <v>0</v>
      </c>
      <c r="AP162" s="15">
        <f t="shared" si="110"/>
        <v>0</v>
      </c>
      <c r="AQ162" s="14">
        <f t="shared" si="111"/>
        <v>0</v>
      </c>
      <c r="AR162" s="14">
        <f>DISTRIBUSI!E160</f>
        <v>0</v>
      </c>
      <c r="AS162" s="14">
        <f>'PEMAKAIAN UNIT'!E159</f>
        <v>0</v>
      </c>
      <c r="AT162" s="14">
        <f t="shared" si="112"/>
        <v>0</v>
      </c>
      <c r="AU162" s="15">
        <f t="shared" si="113"/>
        <v>0</v>
      </c>
      <c r="AV162" s="14">
        <f t="shared" si="114"/>
        <v>0</v>
      </c>
      <c r="AW162" s="14">
        <f>DISTRIBUSI!F160</f>
        <v>0</v>
      </c>
      <c r="AX162" s="14">
        <f>'PEMAKAIAN UNIT'!F159</f>
        <v>0</v>
      </c>
      <c r="AY162" s="14">
        <f t="shared" si="115"/>
        <v>0</v>
      </c>
      <c r="AZ162" s="15">
        <f t="shared" si="116"/>
        <v>0</v>
      </c>
      <c r="BA162" s="14">
        <f t="shared" si="117"/>
        <v>0</v>
      </c>
      <c r="BB162" s="14">
        <f>DISTRIBUSI!G160</f>
        <v>0</v>
      </c>
      <c r="BC162" s="14">
        <f>'PEMAKAIAN UNIT'!G159</f>
        <v>0</v>
      </c>
      <c r="BD162" s="14">
        <f t="shared" si="118"/>
        <v>0</v>
      </c>
      <c r="BE162" s="15">
        <f t="shared" si="119"/>
        <v>0</v>
      </c>
      <c r="BF162" s="14">
        <f t="shared" si="120"/>
        <v>0</v>
      </c>
      <c r="BG162" s="14">
        <f>DISTRIBUSI!H160</f>
        <v>0</v>
      </c>
      <c r="BH162" s="14">
        <f>'PEMAKAIAN UNIT'!H159</f>
        <v>0</v>
      </c>
      <c r="BI162" s="14">
        <f t="shared" si="121"/>
        <v>0</v>
      </c>
      <c r="BJ162" s="15">
        <f t="shared" si="122"/>
        <v>0</v>
      </c>
      <c r="BK162" s="14">
        <f t="shared" si="123"/>
        <v>0</v>
      </c>
      <c r="BL162" s="14">
        <f>DISTRIBUSI!I160</f>
        <v>0</v>
      </c>
      <c r="BM162" s="14">
        <f>'PEMAKAIAN UNIT'!I159</f>
        <v>0</v>
      </c>
      <c r="BN162" s="14">
        <f t="shared" si="124"/>
        <v>0</v>
      </c>
      <c r="BO162" s="15">
        <f t="shared" si="125"/>
        <v>0</v>
      </c>
      <c r="BP162" s="14">
        <f t="shared" si="126"/>
        <v>0</v>
      </c>
      <c r="BQ162" s="14">
        <f>DISTRIBUSI!J160</f>
        <v>0</v>
      </c>
      <c r="BR162" s="14">
        <f>'PEMAKAIAN UNIT'!J159</f>
        <v>0</v>
      </c>
      <c r="BS162" s="14">
        <f t="shared" si="127"/>
        <v>0</v>
      </c>
      <c r="BT162" s="15">
        <f t="shared" si="128"/>
        <v>0</v>
      </c>
      <c r="BU162" s="14">
        <f t="shared" si="129"/>
        <v>0</v>
      </c>
      <c r="BV162" s="14">
        <f>DISTRIBUSI!K160</f>
        <v>0</v>
      </c>
      <c r="BW162" s="14">
        <f>'PEMAKAIAN UNIT'!K159</f>
        <v>0</v>
      </c>
      <c r="BX162" s="14">
        <f t="shared" si="130"/>
        <v>0</v>
      </c>
      <c r="BY162" s="15">
        <f t="shared" si="131"/>
        <v>0</v>
      </c>
      <c r="BZ162" s="14">
        <f t="shared" si="132"/>
        <v>0</v>
      </c>
      <c r="CA162" s="14">
        <f>DISTRIBUSI!L160</f>
        <v>0</v>
      </c>
      <c r="CB162" s="14">
        <f>'PEMAKAIAN UNIT'!L159</f>
        <v>0</v>
      </c>
      <c r="CC162" s="14">
        <f t="shared" si="133"/>
        <v>0</v>
      </c>
      <c r="CD162" s="15">
        <f t="shared" si="134"/>
        <v>0</v>
      </c>
      <c r="CE162" s="14">
        <f t="shared" si="135"/>
        <v>0</v>
      </c>
      <c r="CF162" s="14">
        <f>DISTRIBUSI!M160</f>
        <v>0</v>
      </c>
      <c r="CG162" s="14">
        <f>'PEMAKAIAN UNIT'!M159</f>
        <v>0</v>
      </c>
      <c r="CH162" s="14">
        <f t="shared" si="136"/>
        <v>0</v>
      </c>
      <c r="CI162" s="15">
        <f t="shared" si="137"/>
        <v>0</v>
      </c>
      <c r="CJ162" s="14">
        <f t="shared" si="138"/>
        <v>0</v>
      </c>
      <c r="CK162" s="14" t="e">
        <f>DISTRIBUSI!#REF!</f>
        <v>#REF!</v>
      </c>
      <c r="CL162" s="14">
        <f>'PEMAKAIAN UNIT'!N159</f>
        <v>0</v>
      </c>
      <c r="CM162" s="14" t="e">
        <f t="shared" si="139"/>
        <v>#REF!</v>
      </c>
      <c r="CN162" s="15" t="e">
        <f t="shared" si="140"/>
        <v>#REF!</v>
      </c>
      <c r="CO162" s="14" t="e">
        <f>DL162+DISTRIBUSI!#REF!-'PEMAKAIAN UNIT'!O159</f>
        <v>#REF!</v>
      </c>
      <c r="CP162" s="15" t="e">
        <f t="shared" si="141"/>
        <v>#REF!</v>
      </c>
      <c r="CQ162" s="226">
        <f t="shared" si="142"/>
        <v>20</v>
      </c>
      <c r="CR162" s="226">
        <f>DISTRIBUSI!R160</f>
        <v>0</v>
      </c>
      <c r="CS162" s="226">
        <f>'PEMAKAIAN UNIT'!P159</f>
        <v>0</v>
      </c>
      <c r="CT162" s="14">
        <f t="shared" si="143"/>
        <v>20</v>
      </c>
      <c r="CU162" s="15">
        <f t="shared" si="144"/>
        <v>7</v>
      </c>
      <c r="CV162" s="14" t="e">
        <f>DN162+DISTRIBUSI!#REF!-'PEMAKAIAN UNIT'!Q159</f>
        <v>#REF!</v>
      </c>
      <c r="CW162" s="15" t="e">
        <f t="shared" si="145"/>
        <v>#REF!</v>
      </c>
      <c r="CX162" s="14">
        <f>DO162+'LPLPO GUDANG'!E165-'LPLPO GUDANG'!G165</f>
        <v>0</v>
      </c>
      <c r="CY162" s="15">
        <f t="shared" si="146"/>
        <v>0</v>
      </c>
      <c r="CZ162" s="28"/>
      <c r="DA162" s="14"/>
      <c r="DB162" s="14"/>
      <c r="DC162" s="14">
        <v>0</v>
      </c>
      <c r="DD162" s="14">
        <v>0</v>
      </c>
      <c r="DE162" s="14">
        <v>0</v>
      </c>
      <c r="DF162" s="14"/>
      <c r="DG162" s="14">
        <v>0</v>
      </c>
      <c r="DH162" s="14">
        <v>0</v>
      </c>
      <c r="DI162" s="14">
        <v>0</v>
      </c>
      <c r="DJ162" s="14">
        <v>0</v>
      </c>
      <c r="DK162" s="14">
        <v>0</v>
      </c>
      <c r="DL162" s="14">
        <v>0</v>
      </c>
      <c r="DM162" s="14">
        <v>20</v>
      </c>
      <c r="DN162" s="14">
        <v>0</v>
      </c>
      <c r="DO162" s="14">
        <v>0</v>
      </c>
      <c r="DP162" s="13">
        <f t="shared" si="147"/>
        <v>20</v>
      </c>
      <c r="DR162" t="s">
        <v>131</v>
      </c>
      <c r="DU162" s="20" t="e">
        <f t="shared" si="148"/>
        <v>#REF!</v>
      </c>
    </row>
    <row r="163" spans="1:125" customFormat="1" ht="20.149999999999999" customHeight="1" x14ac:dyDescent="0.35">
      <c r="A163" s="84">
        <f t="shared" si="149"/>
        <v>152</v>
      </c>
      <c r="B163" s="142" t="s">
        <v>132</v>
      </c>
      <c r="C163" s="153" t="s">
        <v>256</v>
      </c>
      <c r="D163" s="109">
        <v>0</v>
      </c>
      <c r="E163" s="110">
        <f>'LPLPO GUDANG'!E166</f>
        <v>0</v>
      </c>
      <c r="F163" s="110">
        <f t="shared" si="100"/>
        <v>0</v>
      </c>
      <c r="G163" s="110">
        <f>'PEMAKAIAN UNIT'!R160</f>
        <v>0</v>
      </c>
      <c r="H163" s="14">
        <v>0</v>
      </c>
      <c r="I163" s="14">
        <v>0</v>
      </c>
      <c r="J163" s="14">
        <v>0</v>
      </c>
      <c r="K163" s="14"/>
      <c r="L163" s="14"/>
      <c r="M163" s="14"/>
      <c r="N163" s="14"/>
      <c r="O163" s="14"/>
      <c r="P163" s="14"/>
      <c r="Q163" s="14"/>
      <c r="R163" s="14"/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09">
        <f t="shared" si="101"/>
        <v>0</v>
      </c>
      <c r="Z163" s="109" t="e">
        <f t="shared" si="102"/>
        <v>#REF!</v>
      </c>
      <c r="AA163" s="109" t="e">
        <f t="shared" si="103"/>
        <v>#REF!</v>
      </c>
      <c r="AB163" s="14">
        <v>18</v>
      </c>
      <c r="AC163" s="109" t="e">
        <f t="shared" si="104"/>
        <v>#REF!</v>
      </c>
      <c r="AD163" s="109">
        <f>'LPLPO GUDANG'!H166</f>
        <v>0</v>
      </c>
      <c r="AE163" s="111" t="e">
        <f t="shared" si="105"/>
        <v>#REF!</v>
      </c>
      <c r="AF163" s="212"/>
      <c r="AG163" s="212"/>
      <c r="AH163" s="20"/>
      <c r="AI163" s="14">
        <f t="shared" si="106"/>
        <v>0</v>
      </c>
      <c r="AJ163" s="209" t="e">
        <f t="shared" si="107"/>
        <v>#REF!</v>
      </c>
      <c r="AL163" s="14">
        <f t="shared" si="108"/>
        <v>0</v>
      </c>
      <c r="AM163" s="14">
        <f>DISTRIBUSI!D161</f>
        <v>0</v>
      </c>
      <c r="AN163" s="14">
        <f>'PEMAKAIAN UNIT'!D160</f>
        <v>0</v>
      </c>
      <c r="AO163" s="14">
        <f t="shared" si="109"/>
        <v>0</v>
      </c>
      <c r="AP163" s="15">
        <f t="shared" si="110"/>
        <v>0</v>
      </c>
      <c r="AQ163" s="14">
        <f t="shared" si="111"/>
        <v>0</v>
      </c>
      <c r="AR163" s="14">
        <f>DISTRIBUSI!E161</f>
        <v>0</v>
      </c>
      <c r="AS163" s="14">
        <f>'PEMAKAIAN UNIT'!E160</f>
        <v>0</v>
      </c>
      <c r="AT163" s="14">
        <f t="shared" si="112"/>
        <v>0</v>
      </c>
      <c r="AU163" s="15">
        <f t="shared" si="113"/>
        <v>0</v>
      </c>
      <c r="AV163" s="14">
        <f t="shared" si="114"/>
        <v>0</v>
      </c>
      <c r="AW163" s="14">
        <f>DISTRIBUSI!F161</f>
        <v>0</v>
      </c>
      <c r="AX163" s="14">
        <f>'PEMAKAIAN UNIT'!F160</f>
        <v>0</v>
      </c>
      <c r="AY163" s="14">
        <f t="shared" si="115"/>
        <v>0</v>
      </c>
      <c r="AZ163" s="15">
        <f t="shared" si="116"/>
        <v>0</v>
      </c>
      <c r="BA163" s="14">
        <f t="shared" si="117"/>
        <v>0</v>
      </c>
      <c r="BB163" s="14">
        <f>DISTRIBUSI!G161</f>
        <v>0</v>
      </c>
      <c r="BC163" s="14">
        <f>'PEMAKAIAN UNIT'!G160</f>
        <v>0</v>
      </c>
      <c r="BD163" s="14">
        <f t="shared" si="118"/>
        <v>0</v>
      </c>
      <c r="BE163" s="15">
        <f t="shared" si="119"/>
        <v>0</v>
      </c>
      <c r="BF163" s="14">
        <f t="shared" si="120"/>
        <v>0</v>
      </c>
      <c r="BG163" s="14">
        <f>DISTRIBUSI!H161</f>
        <v>0</v>
      </c>
      <c r="BH163" s="14">
        <f>'PEMAKAIAN UNIT'!H160</f>
        <v>0</v>
      </c>
      <c r="BI163" s="14">
        <f t="shared" si="121"/>
        <v>0</v>
      </c>
      <c r="BJ163" s="15">
        <f t="shared" si="122"/>
        <v>0</v>
      </c>
      <c r="BK163" s="14">
        <f t="shared" si="123"/>
        <v>0</v>
      </c>
      <c r="BL163" s="14">
        <f>DISTRIBUSI!I161</f>
        <v>0</v>
      </c>
      <c r="BM163" s="14">
        <f>'PEMAKAIAN UNIT'!I160</f>
        <v>0</v>
      </c>
      <c r="BN163" s="14">
        <f t="shared" si="124"/>
        <v>0</v>
      </c>
      <c r="BO163" s="15">
        <f t="shared" si="125"/>
        <v>0</v>
      </c>
      <c r="BP163" s="14">
        <f t="shared" si="126"/>
        <v>0</v>
      </c>
      <c r="BQ163" s="14">
        <f>DISTRIBUSI!J161</f>
        <v>0</v>
      </c>
      <c r="BR163" s="14">
        <f>'PEMAKAIAN UNIT'!J160</f>
        <v>0</v>
      </c>
      <c r="BS163" s="14">
        <f t="shared" si="127"/>
        <v>0</v>
      </c>
      <c r="BT163" s="15">
        <f t="shared" si="128"/>
        <v>0</v>
      </c>
      <c r="BU163" s="14">
        <f t="shared" si="129"/>
        <v>0</v>
      </c>
      <c r="BV163" s="14">
        <f>DISTRIBUSI!K161</f>
        <v>0</v>
      </c>
      <c r="BW163" s="14">
        <f>'PEMAKAIAN UNIT'!K160</f>
        <v>0</v>
      </c>
      <c r="BX163" s="14">
        <f t="shared" si="130"/>
        <v>0</v>
      </c>
      <c r="BY163" s="15">
        <f t="shared" si="131"/>
        <v>0</v>
      </c>
      <c r="BZ163" s="14">
        <f t="shared" si="132"/>
        <v>0</v>
      </c>
      <c r="CA163" s="14">
        <f>DISTRIBUSI!L161</f>
        <v>0</v>
      </c>
      <c r="CB163" s="14">
        <f>'PEMAKAIAN UNIT'!L160</f>
        <v>0</v>
      </c>
      <c r="CC163" s="14">
        <f t="shared" si="133"/>
        <v>0</v>
      </c>
      <c r="CD163" s="15">
        <f t="shared" si="134"/>
        <v>0</v>
      </c>
      <c r="CE163" s="14">
        <f t="shared" si="135"/>
        <v>0</v>
      </c>
      <c r="CF163" s="14">
        <f>DISTRIBUSI!M161</f>
        <v>0</v>
      </c>
      <c r="CG163" s="14">
        <f>'PEMAKAIAN UNIT'!M160</f>
        <v>0</v>
      </c>
      <c r="CH163" s="14">
        <f t="shared" si="136"/>
        <v>0</v>
      </c>
      <c r="CI163" s="15">
        <f t="shared" si="137"/>
        <v>0</v>
      </c>
      <c r="CJ163" s="14">
        <f t="shared" si="138"/>
        <v>0</v>
      </c>
      <c r="CK163" s="14" t="e">
        <f>DISTRIBUSI!#REF!</f>
        <v>#REF!</v>
      </c>
      <c r="CL163" s="14">
        <f>'PEMAKAIAN UNIT'!N160</f>
        <v>0</v>
      </c>
      <c r="CM163" s="14" t="e">
        <f t="shared" si="139"/>
        <v>#REF!</v>
      </c>
      <c r="CN163" s="15" t="e">
        <f t="shared" si="140"/>
        <v>#REF!</v>
      </c>
      <c r="CO163" s="14" t="e">
        <f>DL163+DISTRIBUSI!#REF!-'PEMAKAIAN UNIT'!O160</f>
        <v>#REF!</v>
      </c>
      <c r="CP163" s="15" t="e">
        <f t="shared" si="141"/>
        <v>#REF!</v>
      </c>
      <c r="CQ163" s="226">
        <f t="shared" si="142"/>
        <v>30</v>
      </c>
      <c r="CR163" s="226">
        <f>DISTRIBUSI!R161</f>
        <v>0</v>
      </c>
      <c r="CS163" s="226">
        <f>'PEMAKAIAN UNIT'!P160</f>
        <v>0</v>
      </c>
      <c r="CT163" s="14">
        <f t="shared" si="143"/>
        <v>30</v>
      </c>
      <c r="CU163" s="15">
        <f t="shared" si="144"/>
        <v>12</v>
      </c>
      <c r="CV163" s="14" t="e">
        <f>DN163+DISTRIBUSI!#REF!-'PEMAKAIAN UNIT'!Q160</f>
        <v>#REF!</v>
      </c>
      <c r="CW163" s="15" t="e">
        <f t="shared" si="145"/>
        <v>#REF!</v>
      </c>
      <c r="CX163" s="14">
        <f>DO163+'LPLPO GUDANG'!E166-'LPLPO GUDANG'!G166</f>
        <v>0</v>
      </c>
      <c r="CY163" s="15">
        <f t="shared" si="146"/>
        <v>0</v>
      </c>
      <c r="CZ163" s="28"/>
      <c r="DA163" s="14"/>
      <c r="DB163" s="14"/>
      <c r="DC163" s="14">
        <v>0</v>
      </c>
      <c r="DD163" s="14">
        <v>0</v>
      </c>
      <c r="DE163" s="14">
        <v>0</v>
      </c>
      <c r="DF163" s="14"/>
      <c r="DG163" s="14">
        <v>0</v>
      </c>
      <c r="DH163" s="14">
        <v>0</v>
      </c>
      <c r="DI163" s="14">
        <v>0</v>
      </c>
      <c r="DJ163" s="14">
        <v>0</v>
      </c>
      <c r="DK163" s="14">
        <v>0</v>
      </c>
      <c r="DL163" s="14">
        <v>0</v>
      </c>
      <c r="DM163" s="14">
        <v>30</v>
      </c>
      <c r="DN163" s="14">
        <v>0</v>
      </c>
      <c r="DO163" s="14">
        <v>0</v>
      </c>
      <c r="DP163" s="13">
        <f t="shared" si="147"/>
        <v>30</v>
      </c>
      <c r="DR163" t="s">
        <v>132</v>
      </c>
      <c r="DU163" s="20" t="e">
        <f t="shared" si="148"/>
        <v>#REF!</v>
      </c>
    </row>
    <row r="164" spans="1:125" customFormat="1" ht="20.149999999999999" customHeight="1" x14ac:dyDescent="0.35">
      <c r="A164" s="84">
        <f t="shared" si="149"/>
        <v>153</v>
      </c>
      <c r="B164" s="142" t="s">
        <v>135</v>
      </c>
      <c r="C164" s="153" t="s">
        <v>108</v>
      </c>
      <c r="D164" s="109">
        <v>0</v>
      </c>
      <c r="E164" s="110">
        <f>'LPLPO GUDANG'!E167</f>
        <v>0</v>
      </c>
      <c r="F164" s="110">
        <f t="shared" si="100"/>
        <v>0</v>
      </c>
      <c r="G164" s="110">
        <f>'PEMAKAIAN UNIT'!R161</f>
        <v>0</v>
      </c>
      <c r="H164" s="14">
        <v>0</v>
      </c>
      <c r="I164" s="14">
        <v>0</v>
      </c>
      <c r="J164" s="14">
        <v>0</v>
      </c>
      <c r="K164" s="14"/>
      <c r="L164" s="14"/>
      <c r="M164" s="14"/>
      <c r="N164" s="14"/>
      <c r="O164" s="14"/>
      <c r="P164" s="14"/>
      <c r="Q164" s="14"/>
      <c r="R164" s="14"/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09">
        <f t="shared" si="101"/>
        <v>0</v>
      </c>
      <c r="Z164" s="109" t="e">
        <f t="shared" si="102"/>
        <v>#REF!</v>
      </c>
      <c r="AA164" s="109" t="e">
        <f t="shared" si="103"/>
        <v>#REF!</v>
      </c>
      <c r="AB164" s="14">
        <v>38</v>
      </c>
      <c r="AC164" s="109" t="e">
        <f t="shared" si="104"/>
        <v>#REF!</v>
      </c>
      <c r="AD164" s="109">
        <f>'LPLPO GUDANG'!H167</f>
        <v>25</v>
      </c>
      <c r="AE164" s="111" t="e">
        <f t="shared" si="105"/>
        <v>#REF!</v>
      </c>
      <c r="AF164" s="212"/>
      <c r="AG164" s="212"/>
      <c r="AH164" s="20"/>
      <c r="AI164" s="14">
        <f t="shared" si="106"/>
        <v>0</v>
      </c>
      <c r="AJ164" s="209" t="e">
        <f t="shared" si="107"/>
        <v>#REF!</v>
      </c>
      <c r="AL164" s="14">
        <f t="shared" si="108"/>
        <v>0</v>
      </c>
      <c r="AM164" s="14">
        <f>DISTRIBUSI!D162</f>
        <v>0</v>
      </c>
      <c r="AN164" s="14">
        <f>'PEMAKAIAN UNIT'!D161</f>
        <v>0</v>
      </c>
      <c r="AO164" s="14">
        <f t="shared" si="109"/>
        <v>0</v>
      </c>
      <c r="AP164" s="15">
        <f t="shared" si="110"/>
        <v>0</v>
      </c>
      <c r="AQ164" s="14">
        <f t="shared" si="111"/>
        <v>0</v>
      </c>
      <c r="AR164" s="14">
        <f>DISTRIBUSI!E162</f>
        <v>0</v>
      </c>
      <c r="AS164" s="14">
        <f>'PEMAKAIAN UNIT'!E161</f>
        <v>0</v>
      </c>
      <c r="AT164" s="14">
        <f t="shared" si="112"/>
        <v>0</v>
      </c>
      <c r="AU164" s="15">
        <f t="shared" si="113"/>
        <v>0</v>
      </c>
      <c r="AV164" s="14">
        <f t="shared" si="114"/>
        <v>0</v>
      </c>
      <c r="AW164" s="14">
        <f>DISTRIBUSI!F162</f>
        <v>0</v>
      </c>
      <c r="AX164" s="14">
        <f>'PEMAKAIAN UNIT'!F161</f>
        <v>0</v>
      </c>
      <c r="AY164" s="14">
        <f t="shared" si="115"/>
        <v>0</v>
      </c>
      <c r="AZ164" s="15">
        <f t="shared" si="116"/>
        <v>0</v>
      </c>
      <c r="BA164" s="14">
        <f t="shared" si="117"/>
        <v>0</v>
      </c>
      <c r="BB164" s="14">
        <f>DISTRIBUSI!G162</f>
        <v>0</v>
      </c>
      <c r="BC164" s="14">
        <f>'PEMAKAIAN UNIT'!G161</f>
        <v>0</v>
      </c>
      <c r="BD164" s="14">
        <f t="shared" si="118"/>
        <v>0</v>
      </c>
      <c r="BE164" s="15">
        <f t="shared" si="119"/>
        <v>0</v>
      </c>
      <c r="BF164" s="14">
        <f t="shared" si="120"/>
        <v>0</v>
      </c>
      <c r="BG164" s="14">
        <f>DISTRIBUSI!H162</f>
        <v>0</v>
      </c>
      <c r="BH164" s="14">
        <f>'PEMAKAIAN UNIT'!H161</f>
        <v>0</v>
      </c>
      <c r="BI164" s="14">
        <f t="shared" si="121"/>
        <v>0</v>
      </c>
      <c r="BJ164" s="15">
        <f t="shared" si="122"/>
        <v>0</v>
      </c>
      <c r="BK164" s="14">
        <f t="shared" si="123"/>
        <v>0</v>
      </c>
      <c r="BL164" s="14">
        <f>DISTRIBUSI!I162</f>
        <v>0</v>
      </c>
      <c r="BM164" s="14">
        <f>'PEMAKAIAN UNIT'!I161</f>
        <v>0</v>
      </c>
      <c r="BN164" s="14">
        <f t="shared" si="124"/>
        <v>0</v>
      </c>
      <c r="BO164" s="15">
        <f t="shared" si="125"/>
        <v>0</v>
      </c>
      <c r="BP164" s="14">
        <f t="shared" si="126"/>
        <v>0</v>
      </c>
      <c r="BQ164" s="14">
        <f>DISTRIBUSI!J162</f>
        <v>0</v>
      </c>
      <c r="BR164" s="14">
        <f>'PEMAKAIAN UNIT'!J161</f>
        <v>0</v>
      </c>
      <c r="BS164" s="14">
        <f t="shared" si="127"/>
        <v>0</v>
      </c>
      <c r="BT164" s="15">
        <f t="shared" si="128"/>
        <v>0</v>
      </c>
      <c r="BU164" s="14">
        <f t="shared" si="129"/>
        <v>0</v>
      </c>
      <c r="BV164" s="14">
        <f>DISTRIBUSI!K162</f>
        <v>0</v>
      </c>
      <c r="BW164" s="14">
        <f>'PEMAKAIAN UNIT'!K161</f>
        <v>0</v>
      </c>
      <c r="BX164" s="14">
        <f t="shared" si="130"/>
        <v>0</v>
      </c>
      <c r="BY164" s="15">
        <f t="shared" si="131"/>
        <v>0</v>
      </c>
      <c r="BZ164" s="14">
        <f t="shared" si="132"/>
        <v>0</v>
      </c>
      <c r="CA164" s="14">
        <f>DISTRIBUSI!L162</f>
        <v>0</v>
      </c>
      <c r="CB164" s="14">
        <f>'PEMAKAIAN UNIT'!L161</f>
        <v>0</v>
      </c>
      <c r="CC164" s="14">
        <f t="shared" si="133"/>
        <v>0</v>
      </c>
      <c r="CD164" s="15">
        <f t="shared" si="134"/>
        <v>0</v>
      </c>
      <c r="CE164" s="14">
        <f t="shared" si="135"/>
        <v>0</v>
      </c>
      <c r="CF164" s="14">
        <f>DISTRIBUSI!M162</f>
        <v>0</v>
      </c>
      <c r="CG164" s="14">
        <f>'PEMAKAIAN UNIT'!M161</f>
        <v>0</v>
      </c>
      <c r="CH164" s="14">
        <f t="shared" si="136"/>
        <v>0</v>
      </c>
      <c r="CI164" s="15">
        <f t="shared" si="137"/>
        <v>0</v>
      </c>
      <c r="CJ164" s="14">
        <f t="shared" si="138"/>
        <v>0</v>
      </c>
      <c r="CK164" s="14" t="e">
        <f>DISTRIBUSI!#REF!</f>
        <v>#REF!</v>
      </c>
      <c r="CL164" s="14">
        <f>'PEMAKAIAN UNIT'!N161</f>
        <v>0</v>
      </c>
      <c r="CM164" s="14" t="e">
        <f t="shared" si="139"/>
        <v>#REF!</v>
      </c>
      <c r="CN164" s="15" t="e">
        <f t="shared" si="140"/>
        <v>#REF!</v>
      </c>
      <c r="CO164" s="14" t="e">
        <f>DL164+DISTRIBUSI!#REF!-'PEMAKAIAN UNIT'!O161</f>
        <v>#REF!</v>
      </c>
      <c r="CP164" s="15" t="e">
        <f t="shared" si="141"/>
        <v>#REF!</v>
      </c>
      <c r="CQ164" s="226">
        <f t="shared" si="142"/>
        <v>38</v>
      </c>
      <c r="CR164" s="226">
        <f>DISTRIBUSI!R162</f>
        <v>10</v>
      </c>
      <c r="CS164" s="226">
        <f>'PEMAKAIAN UNIT'!P161</f>
        <v>0</v>
      </c>
      <c r="CT164" s="14">
        <f t="shared" si="143"/>
        <v>48</v>
      </c>
      <c r="CU164" s="15">
        <f t="shared" si="144"/>
        <v>10</v>
      </c>
      <c r="CV164" s="14" t="e">
        <f>DN164+DISTRIBUSI!#REF!-'PEMAKAIAN UNIT'!Q161</f>
        <v>#REF!</v>
      </c>
      <c r="CW164" s="15" t="e">
        <f t="shared" si="145"/>
        <v>#REF!</v>
      </c>
      <c r="CX164" s="14">
        <f>DO164+'LPLPO GUDANG'!E167-'LPLPO GUDANG'!G167</f>
        <v>0</v>
      </c>
      <c r="CY164" s="15">
        <f t="shared" si="146"/>
        <v>-25</v>
      </c>
      <c r="CZ164" s="28"/>
      <c r="DA164" s="14"/>
      <c r="DB164" s="14"/>
      <c r="DC164" s="14">
        <v>0</v>
      </c>
      <c r="DD164" s="14">
        <v>0</v>
      </c>
      <c r="DE164" s="14">
        <v>0</v>
      </c>
      <c r="DF164" s="14"/>
      <c r="DG164" s="14">
        <v>0</v>
      </c>
      <c r="DH164" s="14">
        <v>0</v>
      </c>
      <c r="DI164" s="14">
        <v>0</v>
      </c>
      <c r="DJ164" s="14">
        <v>0</v>
      </c>
      <c r="DK164" s="14">
        <v>0</v>
      </c>
      <c r="DL164" s="14">
        <v>0</v>
      </c>
      <c r="DM164" s="14">
        <v>38</v>
      </c>
      <c r="DN164" s="14">
        <v>0</v>
      </c>
      <c r="DO164" s="14">
        <v>20</v>
      </c>
      <c r="DP164" s="13">
        <f t="shared" si="147"/>
        <v>58</v>
      </c>
      <c r="DR164" t="s">
        <v>135</v>
      </c>
      <c r="DU164" s="20" t="e">
        <f t="shared" si="148"/>
        <v>#REF!</v>
      </c>
    </row>
    <row r="165" spans="1:125" customFormat="1" ht="20.149999999999999" customHeight="1" x14ac:dyDescent="0.35">
      <c r="A165" s="84">
        <f t="shared" si="149"/>
        <v>154</v>
      </c>
      <c r="B165" s="142" t="s">
        <v>134</v>
      </c>
      <c r="C165" s="153" t="s">
        <v>108</v>
      </c>
      <c r="D165" s="109">
        <v>0</v>
      </c>
      <c r="E165" s="110">
        <f>'LPLPO GUDANG'!E168</f>
        <v>0</v>
      </c>
      <c r="F165" s="110">
        <f t="shared" si="100"/>
        <v>0</v>
      </c>
      <c r="G165" s="110">
        <f>'PEMAKAIAN UNIT'!R162</f>
        <v>0</v>
      </c>
      <c r="H165" s="14">
        <v>0</v>
      </c>
      <c r="I165" s="14">
        <v>0</v>
      </c>
      <c r="J165" s="14">
        <v>0</v>
      </c>
      <c r="K165" s="14"/>
      <c r="L165" s="14"/>
      <c r="M165" s="14"/>
      <c r="N165" s="14"/>
      <c r="O165" s="14"/>
      <c r="P165" s="14"/>
      <c r="Q165" s="14"/>
      <c r="R165" s="14"/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09">
        <f t="shared" si="101"/>
        <v>0</v>
      </c>
      <c r="Z165" s="109" t="e">
        <f t="shared" si="102"/>
        <v>#REF!</v>
      </c>
      <c r="AA165" s="109" t="e">
        <f t="shared" si="103"/>
        <v>#REF!</v>
      </c>
      <c r="AB165" s="14">
        <v>14</v>
      </c>
      <c r="AC165" s="109" t="e">
        <f t="shared" si="104"/>
        <v>#REF!</v>
      </c>
      <c r="AD165" s="109">
        <f>'LPLPO GUDANG'!H168</f>
        <v>10</v>
      </c>
      <c r="AE165" s="111" t="e">
        <f t="shared" si="105"/>
        <v>#REF!</v>
      </c>
      <c r="AF165" s="212"/>
      <c r="AG165" s="212"/>
      <c r="AH165" s="20"/>
      <c r="AI165" s="14">
        <f t="shared" si="106"/>
        <v>0</v>
      </c>
      <c r="AJ165" s="209" t="e">
        <f t="shared" si="107"/>
        <v>#REF!</v>
      </c>
      <c r="AL165" s="14">
        <f t="shared" si="108"/>
        <v>0</v>
      </c>
      <c r="AM165" s="14">
        <f>DISTRIBUSI!D163</f>
        <v>0</v>
      </c>
      <c r="AN165" s="14">
        <f>'PEMAKAIAN UNIT'!D162</f>
        <v>0</v>
      </c>
      <c r="AO165" s="14">
        <f t="shared" si="109"/>
        <v>0</v>
      </c>
      <c r="AP165" s="15">
        <f t="shared" si="110"/>
        <v>0</v>
      </c>
      <c r="AQ165" s="14">
        <f t="shared" si="111"/>
        <v>0</v>
      </c>
      <c r="AR165" s="14">
        <f>DISTRIBUSI!E163</f>
        <v>0</v>
      </c>
      <c r="AS165" s="14">
        <f>'PEMAKAIAN UNIT'!E162</f>
        <v>0</v>
      </c>
      <c r="AT165" s="14">
        <f t="shared" si="112"/>
        <v>0</v>
      </c>
      <c r="AU165" s="15">
        <f t="shared" si="113"/>
        <v>0</v>
      </c>
      <c r="AV165" s="14">
        <f t="shared" si="114"/>
        <v>0</v>
      </c>
      <c r="AW165" s="14">
        <f>DISTRIBUSI!F163</f>
        <v>0</v>
      </c>
      <c r="AX165" s="14">
        <f>'PEMAKAIAN UNIT'!F162</f>
        <v>0</v>
      </c>
      <c r="AY165" s="14">
        <f t="shared" si="115"/>
        <v>0</v>
      </c>
      <c r="AZ165" s="15">
        <f t="shared" si="116"/>
        <v>0</v>
      </c>
      <c r="BA165" s="14">
        <f t="shared" si="117"/>
        <v>0</v>
      </c>
      <c r="BB165" s="14">
        <f>DISTRIBUSI!G163</f>
        <v>0</v>
      </c>
      <c r="BC165" s="14">
        <f>'PEMAKAIAN UNIT'!G162</f>
        <v>0</v>
      </c>
      <c r="BD165" s="14">
        <f t="shared" si="118"/>
        <v>0</v>
      </c>
      <c r="BE165" s="15">
        <f t="shared" si="119"/>
        <v>0</v>
      </c>
      <c r="BF165" s="14">
        <f t="shared" si="120"/>
        <v>0</v>
      </c>
      <c r="BG165" s="14">
        <f>DISTRIBUSI!H163</f>
        <v>0</v>
      </c>
      <c r="BH165" s="14">
        <f>'PEMAKAIAN UNIT'!H162</f>
        <v>0</v>
      </c>
      <c r="BI165" s="14">
        <f t="shared" si="121"/>
        <v>0</v>
      </c>
      <c r="BJ165" s="15">
        <f t="shared" si="122"/>
        <v>0</v>
      </c>
      <c r="BK165" s="14">
        <f t="shared" si="123"/>
        <v>0</v>
      </c>
      <c r="BL165" s="14">
        <f>DISTRIBUSI!I163</f>
        <v>0</v>
      </c>
      <c r="BM165" s="14">
        <f>'PEMAKAIAN UNIT'!I162</f>
        <v>0</v>
      </c>
      <c r="BN165" s="14">
        <f t="shared" si="124"/>
        <v>0</v>
      </c>
      <c r="BO165" s="15">
        <f t="shared" si="125"/>
        <v>0</v>
      </c>
      <c r="BP165" s="14">
        <f t="shared" si="126"/>
        <v>0</v>
      </c>
      <c r="BQ165" s="14">
        <f>DISTRIBUSI!J163</f>
        <v>0</v>
      </c>
      <c r="BR165" s="14">
        <f>'PEMAKAIAN UNIT'!J162</f>
        <v>0</v>
      </c>
      <c r="BS165" s="14">
        <f t="shared" si="127"/>
        <v>0</v>
      </c>
      <c r="BT165" s="15">
        <f t="shared" si="128"/>
        <v>0</v>
      </c>
      <c r="BU165" s="14">
        <f t="shared" si="129"/>
        <v>0</v>
      </c>
      <c r="BV165" s="14">
        <f>DISTRIBUSI!K163</f>
        <v>0</v>
      </c>
      <c r="BW165" s="14">
        <f>'PEMAKAIAN UNIT'!K162</f>
        <v>0</v>
      </c>
      <c r="BX165" s="14">
        <f t="shared" si="130"/>
        <v>0</v>
      </c>
      <c r="BY165" s="15">
        <f t="shared" si="131"/>
        <v>0</v>
      </c>
      <c r="BZ165" s="14">
        <f t="shared" si="132"/>
        <v>0</v>
      </c>
      <c r="CA165" s="14">
        <f>DISTRIBUSI!L163</f>
        <v>0</v>
      </c>
      <c r="CB165" s="14">
        <f>'PEMAKAIAN UNIT'!L162</f>
        <v>0</v>
      </c>
      <c r="CC165" s="14">
        <f t="shared" si="133"/>
        <v>0</v>
      </c>
      <c r="CD165" s="15">
        <f t="shared" si="134"/>
        <v>0</v>
      </c>
      <c r="CE165" s="14">
        <f t="shared" si="135"/>
        <v>0</v>
      </c>
      <c r="CF165" s="14">
        <f>DISTRIBUSI!M163</f>
        <v>0</v>
      </c>
      <c r="CG165" s="14">
        <f>'PEMAKAIAN UNIT'!M162</f>
        <v>0</v>
      </c>
      <c r="CH165" s="14">
        <f t="shared" si="136"/>
        <v>0</v>
      </c>
      <c r="CI165" s="15">
        <f t="shared" si="137"/>
        <v>0</v>
      </c>
      <c r="CJ165" s="14">
        <f t="shared" si="138"/>
        <v>0</v>
      </c>
      <c r="CK165" s="14" t="e">
        <f>DISTRIBUSI!#REF!</f>
        <v>#REF!</v>
      </c>
      <c r="CL165" s="14">
        <f>'PEMAKAIAN UNIT'!N162</f>
        <v>0</v>
      </c>
      <c r="CM165" s="14" t="e">
        <f t="shared" si="139"/>
        <v>#REF!</v>
      </c>
      <c r="CN165" s="15" t="e">
        <f t="shared" si="140"/>
        <v>#REF!</v>
      </c>
      <c r="CO165" s="14" t="e">
        <f>DL165+DISTRIBUSI!#REF!-'PEMAKAIAN UNIT'!O162</f>
        <v>#REF!</v>
      </c>
      <c r="CP165" s="15" t="e">
        <f t="shared" si="141"/>
        <v>#REF!</v>
      </c>
      <c r="CQ165" s="226">
        <f t="shared" si="142"/>
        <v>16</v>
      </c>
      <c r="CR165" s="226">
        <f>DISTRIBUSI!R163</f>
        <v>10</v>
      </c>
      <c r="CS165" s="226">
        <f>'PEMAKAIAN UNIT'!P162</f>
        <v>0</v>
      </c>
      <c r="CT165" s="14">
        <f t="shared" si="143"/>
        <v>26</v>
      </c>
      <c r="CU165" s="15">
        <f t="shared" si="144"/>
        <v>12</v>
      </c>
      <c r="CV165" s="14" t="e">
        <f>DN165+DISTRIBUSI!#REF!-'PEMAKAIAN UNIT'!Q162</f>
        <v>#REF!</v>
      </c>
      <c r="CW165" s="15" t="e">
        <f t="shared" si="145"/>
        <v>#REF!</v>
      </c>
      <c r="CX165" s="14">
        <f>DO165+'LPLPO GUDANG'!E168-'LPLPO GUDANG'!G168</f>
        <v>10</v>
      </c>
      <c r="CY165" s="15">
        <f t="shared" si="146"/>
        <v>0</v>
      </c>
      <c r="CZ165" s="28"/>
      <c r="DA165" s="14"/>
      <c r="DB165" s="14"/>
      <c r="DC165" s="14">
        <v>0</v>
      </c>
      <c r="DD165" s="14">
        <v>0</v>
      </c>
      <c r="DE165" s="14">
        <v>0</v>
      </c>
      <c r="DF165" s="14"/>
      <c r="DG165" s="14">
        <v>0</v>
      </c>
      <c r="DH165" s="14">
        <v>0</v>
      </c>
      <c r="DI165" s="14">
        <v>0</v>
      </c>
      <c r="DJ165" s="14">
        <v>0</v>
      </c>
      <c r="DK165" s="14">
        <v>0</v>
      </c>
      <c r="DL165" s="14">
        <v>0</v>
      </c>
      <c r="DM165" s="14">
        <v>16</v>
      </c>
      <c r="DN165" s="14">
        <v>0</v>
      </c>
      <c r="DO165" s="14">
        <v>20</v>
      </c>
      <c r="DP165" s="13">
        <f t="shared" si="147"/>
        <v>36</v>
      </c>
      <c r="DR165" t="s">
        <v>134</v>
      </c>
      <c r="DU165" s="20" t="e">
        <f t="shared" si="148"/>
        <v>#REF!</v>
      </c>
    </row>
    <row r="166" spans="1:125" customFormat="1" ht="20.149999999999999" customHeight="1" x14ac:dyDescent="0.35">
      <c r="A166" s="84">
        <f t="shared" si="149"/>
        <v>155</v>
      </c>
      <c r="B166" s="142" t="s">
        <v>133</v>
      </c>
      <c r="C166" s="153" t="s">
        <v>108</v>
      </c>
      <c r="D166" s="109">
        <v>0</v>
      </c>
      <c r="E166" s="110">
        <f>'LPLPO GUDANG'!E169</f>
        <v>0</v>
      </c>
      <c r="F166" s="110">
        <f t="shared" si="100"/>
        <v>0</v>
      </c>
      <c r="G166" s="110">
        <f>'PEMAKAIAN UNIT'!R163</f>
        <v>0</v>
      </c>
      <c r="H166" s="14">
        <v>0</v>
      </c>
      <c r="I166" s="14">
        <v>0</v>
      </c>
      <c r="J166" s="14">
        <v>0</v>
      </c>
      <c r="K166" s="14"/>
      <c r="L166" s="14"/>
      <c r="M166" s="14"/>
      <c r="N166" s="14"/>
      <c r="O166" s="14"/>
      <c r="P166" s="14"/>
      <c r="Q166" s="14"/>
      <c r="R166" s="14"/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09">
        <f t="shared" si="101"/>
        <v>0</v>
      </c>
      <c r="Z166" s="109" t="e">
        <f t="shared" si="102"/>
        <v>#REF!</v>
      </c>
      <c r="AA166" s="109" t="e">
        <f t="shared" si="103"/>
        <v>#REF!</v>
      </c>
      <c r="AB166" s="14">
        <v>64</v>
      </c>
      <c r="AC166" s="109" t="e">
        <f t="shared" si="104"/>
        <v>#REF!</v>
      </c>
      <c r="AD166" s="109">
        <f>'LPLPO GUDANG'!H169</f>
        <v>0</v>
      </c>
      <c r="AE166" s="111" t="e">
        <f t="shared" si="105"/>
        <v>#REF!</v>
      </c>
      <c r="AF166" s="212"/>
      <c r="AG166" s="212"/>
      <c r="AH166" s="20"/>
      <c r="AI166" s="14">
        <f t="shared" si="106"/>
        <v>0</v>
      </c>
      <c r="AJ166" s="209" t="e">
        <f t="shared" si="107"/>
        <v>#REF!</v>
      </c>
      <c r="AL166" s="14">
        <f t="shared" si="108"/>
        <v>0</v>
      </c>
      <c r="AM166" s="14">
        <f>DISTRIBUSI!D164</f>
        <v>0</v>
      </c>
      <c r="AN166" s="14">
        <f>'PEMAKAIAN UNIT'!D163</f>
        <v>0</v>
      </c>
      <c r="AO166" s="14">
        <f t="shared" si="109"/>
        <v>0</v>
      </c>
      <c r="AP166" s="15">
        <f t="shared" si="110"/>
        <v>0</v>
      </c>
      <c r="AQ166" s="14">
        <f t="shared" si="111"/>
        <v>0</v>
      </c>
      <c r="AR166" s="14">
        <f>DISTRIBUSI!E164</f>
        <v>0</v>
      </c>
      <c r="AS166" s="14">
        <f>'PEMAKAIAN UNIT'!E163</f>
        <v>0</v>
      </c>
      <c r="AT166" s="14">
        <f t="shared" si="112"/>
        <v>0</v>
      </c>
      <c r="AU166" s="15">
        <f t="shared" si="113"/>
        <v>0</v>
      </c>
      <c r="AV166" s="14">
        <f t="shared" si="114"/>
        <v>0</v>
      </c>
      <c r="AW166" s="14">
        <f>DISTRIBUSI!F164</f>
        <v>0</v>
      </c>
      <c r="AX166" s="14">
        <f>'PEMAKAIAN UNIT'!F163</f>
        <v>0</v>
      </c>
      <c r="AY166" s="14">
        <f t="shared" si="115"/>
        <v>0</v>
      </c>
      <c r="AZ166" s="15">
        <f t="shared" si="116"/>
        <v>0</v>
      </c>
      <c r="BA166" s="14">
        <f t="shared" si="117"/>
        <v>0</v>
      </c>
      <c r="BB166" s="14">
        <f>DISTRIBUSI!G164</f>
        <v>0</v>
      </c>
      <c r="BC166" s="14">
        <f>'PEMAKAIAN UNIT'!G163</f>
        <v>0</v>
      </c>
      <c r="BD166" s="14">
        <f t="shared" si="118"/>
        <v>0</v>
      </c>
      <c r="BE166" s="15">
        <f t="shared" si="119"/>
        <v>0</v>
      </c>
      <c r="BF166" s="14">
        <f t="shared" si="120"/>
        <v>0</v>
      </c>
      <c r="BG166" s="14">
        <f>DISTRIBUSI!H164</f>
        <v>0</v>
      </c>
      <c r="BH166" s="14">
        <f>'PEMAKAIAN UNIT'!H163</f>
        <v>0</v>
      </c>
      <c r="BI166" s="14">
        <f t="shared" si="121"/>
        <v>0</v>
      </c>
      <c r="BJ166" s="15">
        <f t="shared" si="122"/>
        <v>0</v>
      </c>
      <c r="BK166" s="14">
        <f t="shared" si="123"/>
        <v>0</v>
      </c>
      <c r="BL166" s="14">
        <f>DISTRIBUSI!I164</f>
        <v>0</v>
      </c>
      <c r="BM166" s="14">
        <f>'PEMAKAIAN UNIT'!I163</f>
        <v>0</v>
      </c>
      <c r="BN166" s="14">
        <f t="shared" si="124"/>
        <v>0</v>
      </c>
      <c r="BO166" s="15">
        <f t="shared" si="125"/>
        <v>0</v>
      </c>
      <c r="BP166" s="14">
        <f t="shared" si="126"/>
        <v>0</v>
      </c>
      <c r="BQ166" s="14">
        <f>DISTRIBUSI!J164</f>
        <v>0</v>
      </c>
      <c r="BR166" s="14">
        <f>'PEMAKAIAN UNIT'!J163</f>
        <v>0</v>
      </c>
      <c r="BS166" s="14">
        <f t="shared" si="127"/>
        <v>0</v>
      </c>
      <c r="BT166" s="15">
        <f t="shared" si="128"/>
        <v>0</v>
      </c>
      <c r="BU166" s="14">
        <f t="shared" si="129"/>
        <v>0</v>
      </c>
      <c r="BV166" s="14">
        <f>DISTRIBUSI!K164</f>
        <v>0</v>
      </c>
      <c r="BW166" s="14">
        <f>'PEMAKAIAN UNIT'!K163</f>
        <v>0</v>
      </c>
      <c r="BX166" s="14">
        <f t="shared" si="130"/>
        <v>0</v>
      </c>
      <c r="BY166" s="15">
        <f t="shared" si="131"/>
        <v>0</v>
      </c>
      <c r="BZ166" s="14">
        <f t="shared" si="132"/>
        <v>0</v>
      </c>
      <c r="CA166" s="14">
        <f>DISTRIBUSI!L164</f>
        <v>0</v>
      </c>
      <c r="CB166" s="14">
        <f>'PEMAKAIAN UNIT'!L163</f>
        <v>0</v>
      </c>
      <c r="CC166" s="14">
        <f t="shared" si="133"/>
        <v>0</v>
      </c>
      <c r="CD166" s="15">
        <f t="shared" si="134"/>
        <v>0</v>
      </c>
      <c r="CE166" s="14">
        <f t="shared" si="135"/>
        <v>0</v>
      </c>
      <c r="CF166" s="14">
        <f>DISTRIBUSI!M164</f>
        <v>0</v>
      </c>
      <c r="CG166" s="14">
        <f>'PEMAKAIAN UNIT'!M163</f>
        <v>0</v>
      </c>
      <c r="CH166" s="14">
        <f t="shared" si="136"/>
        <v>0</v>
      </c>
      <c r="CI166" s="15">
        <f t="shared" si="137"/>
        <v>0</v>
      </c>
      <c r="CJ166" s="14">
        <f t="shared" si="138"/>
        <v>0</v>
      </c>
      <c r="CK166" s="14" t="e">
        <f>DISTRIBUSI!#REF!</f>
        <v>#REF!</v>
      </c>
      <c r="CL166" s="14">
        <f>'PEMAKAIAN UNIT'!N163</f>
        <v>0</v>
      </c>
      <c r="CM166" s="14" t="e">
        <f t="shared" si="139"/>
        <v>#REF!</v>
      </c>
      <c r="CN166" s="15" t="e">
        <f t="shared" si="140"/>
        <v>#REF!</v>
      </c>
      <c r="CO166" s="14" t="e">
        <f>DL166+DISTRIBUSI!#REF!-'PEMAKAIAN UNIT'!O163</f>
        <v>#REF!</v>
      </c>
      <c r="CP166" s="15" t="e">
        <f t="shared" si="141"/>
        <v>#REF!</v>
      </c>
      <c r="CQ166" s="226">
        <f t="shared" si="142"/>
        <v>66</v>
      </c>
      <c r="CR166" s="226">
        <f>DISTRIBUSI!R164</f>
        <v>0</v>
      </c>
      <c r="CS166" s="226">
        <f>'PEMAKAIAN UNIT'!P163</f>
        <v>0</v>
      </c>
      <c r="CT166" s="14">
        <f t="shared" si="143"/>
        <v>66</v>
      </c>
      <c r="CU166" s="15">
        <f t="shared" si="144"/>
        <v>2</v>
      </c>
      <c r="CV166" s="14" t="e">
        <f>DN166+DISTRIBUSI!#REF!-'PEMAKAIAN UNIT'!Q163</f>
        <v>#REF!</v>
      </c>
      <c r="CW166" s="15" t="e">
        <f t="shared" si="145"/>
        <v>#REF!</v>
      </c>
      <c r="CX166" s="14">
        <f>DO166+'LPLPO GUDANG'!E169-'LPLPO GUDANG'!G169</f>
        <v>0</v>
      </c>
      <c r="CY166" s="15">
        <f t="shared" si="146"/>
        <v>0</v>
      </c>
      <c r="CZ166" s="28"/>
      <c r="DA166" s="14"/>
      <c r="DB166" s="14"/>
      <c r="DC166" s="14">
        <v>0</v>
      </c>
      <c r="DD166" s="14">
        <v>0</v>
      </c>
      <c r="DE166" s="14">
        <v>0</v>
      </c>
      <c r="DF166" s="14"/>
      <c r="DG166" s="14">
        <v>0</v>
      </c>
      <c r="DH166" s="14">
        <v>0</v>
      </c>
      <c r="DI166" s="14">
        <v>0</v>
      </c>
      <c r="DJ166" s="14">
        <v>0</v>
      </c>
      <c r="DK166" s="14">
        <v>0</v>
      </c>
      <c r="DL166" s="14">
        <v>0</v>
      </c>
      <c r="DM166" s="14">
        <v>66</v>
      </c>
      <c r="DN166" s="14">
        <v>0</v>
      </c>
      <c r="DO166" s="14">
        <v>0</v>
      </c>
      <c r="DP166" s="13">
        <f t="shared" si="147"/>
        <v>66</v>
      </c>
      <c r="DR166" t="s">
        <v>133</v>
      </c>
      <c r="DU166" s="20" t="e">
        <f t="shared" si="148"/>
        <v>#REF!</v>
      </c>
    </row>
    <row r="167" spans="1:125" customFormat="1" ht="20.149999999999999" customHeight="1" x14ac:dyDescent="0.35">
      <c r="A167" s="84">
        <f t="shared" si="149"/>
        <v>156</v>
      </c>
      <c r="B167" s="142" t="s">
        <v>136</v>
      </c>
      <c r="C167" s="153" t="s">
        <v>126</v>
      </c>
      <c r="D167" s="109">
        <v>0</v>
      </c>
      <c r="E167" s="110">
        <f>'LPLPO GUDANG'!E170</f>
        <v>0</v>
      </c>
      <c r="F167" s="110">
        <f t="shared" si="100"/>
        <v>0</v>
      </c>
      <c r="G167" s="110">
        <f>'PEMAKAIAN UNIT'!R164</f>
        <v>0</v>
      </c>
      <c r="H167" s="14">
        <v>0</v>
      </c>
      <c r="I167" s="14">
        <v>0</v>
      </c>
      <c r="J167" s="14">
        <v>0</v>
      </c>
      <c r="K167" s="14"/>
      <c r="L167" s="14"/>
      <c r="M167" s="14"/>
      <c r="N167" s="14"/>
      <c r="O167" s="14"/>
      <c r="P167" s="14"/>
      <c r="Q167" s="14"/>
      <c r="R167" s="14"/>
      <c r="S167" s="14">
        <v>1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09">
        <f t="shared" si="101"/>
        <v>0</v>
      </c>
      <c r="Z167" s="109" t="e">
        <f t="shared" si="102"/>
        <v>#REF!</v>
      </c>
      <c r="AA167" s="109" t="e">
        <f t="shared" si="103"/>
        <v>#REF!</v>
      </c>
      <c r="AB167" s="14">
        <v>16</v>
      </c>
      <c r="AC167" s="109" t="e">
        <f t="shared" si="104"/>
        <v>#REF!</v>
      </c>
      <c r="AD167" s="109">
        <f>'LPLPO GUDANG'!H170</f>
        <v>10</v>
      </c>
      <c r="AE167" s="111" t="e">
        <f t="shared" si="105"/>
        <v>#REF!</v>
      </c>
      <c r="AF167" s="212"/>
      <c r="AG167" s="212"/>
      <c r="AH167" s="20"/>
      <c r="AI167" s="14">
        <f t="shared" si="106"/>
        <v>0</v>
      </c>
      <c r="AJ167" s="209" t="e">
        <f t="shared" si="107"/>
        <v>#REF!</v>
      </c>
      <c r="AL167" s="14">
        <f t="shared" si="108"/>
        <v>0</v>
      </c>
      <c r="AM167" s="14">
        <f>DISTRIBUSI!D165</f>
        <v>0</v>
      </c>
      <c r="AN167" s="14">
        <f>'PEMAKAIAN UNIT'!D164</f>
        <v>0</v>
      </c>
      <c r="AO167" s="14">
        <f t="shared" si="109"/>
        <v>0</v>
      </c>
      <c r="AP167" s="15">
        <f t="shared" si="110"/>
        <v>0</v>
      </c>
      <c r="AQ167" s="14">
        <f t="shared" si="111"/>
        <v>0</v>
      </c>
      <c r="AR167" s="14">
        <f>DISTRIBUSI!E165</f>
        <v>0</v>
      </c>
      <c r="AS167" s="14">
        <f>'PEMAKAIAN UNIT'!E164</f>
        <v>0</v>
      </c>
      <c r="AT167" s="14">
        <f t="shared" si="112"/>
        <v>0</v>
      </c>
      <c r="AU167" s="15">
        <f t="shared" si="113"/>
        <v>0</v>
      </c>
      <c r="AV167" s="14">
        <f t="shared" si="114"/>
        <v>1</v>
      </c>
      <c r="AW167" s="14">
        <f>DISTRIBUSI!F165</f>
        <v>0</v>
      </c>
      <c r="AX167" s="14">
        <f>'PEMAKAIAN UNIT'!F164</f>
        <v>0</v>
      </c>
      <c r="AY167" s="14">
        <f t="shared" si="115"/>
        <v>1</v>
      </c>
      <c r="AZ167" s="15">
        <f t="shared" si="116"/>
        <v>1</v>
      </c>
      <c r="BA167" s="14">
        <f t="shared" si="117"/>
        <v>1</v>
      </c>
      <c r="BB167" s="14">
        <f>DISTRIBUSI!G165</f>
        <v>0</v>
      </c>
      <c r="BC167" s="14">
        <f>'PEMAKAIAN UNIT'!G164</f>
        <v>0</v>
      </c>
      <c r="BD167" s="14">
        <f t="shared" si="118"/>
        <v>1</v>
      </c>
      <c r="BE167" s="15">
        <f t="shared" si="119"/>
        <v>0</v>
      </c>
      <c r="BF167" s="14">
        <f t="shared" si="120"/>
        <v>0</v>
      </c>
      <c r="BG167" s="14">
        <f>DISTRIBUSI!H165</f>
        <v>0</v>
      </c>
      <c r="BH167" s="14">
        <f>'PEMAKAIAN UNIT'!H164</f>
        <v>0</v>
      </c>
      <c r="BI167" s="14">
        <f t="shared" si="121"/>
        <v>0</v>
      </c>
      <c r="BJ167" s="15">
        <f t="shared" si="122"/>
        <v>0</v>
      </c>
      <c r="BK167" s="14">
        <f t="shared" si="123"/>
        <v>0</v>
      </c>
      <c r="BL167" s="14">
        <f>DISTRIBUSI!I165</f>
        <v>0</v>
      </c>
      <c r="BM167" s="14">
        <f>'PEMAKAIAN UNIT'!I164</f>
        <v>0</v>
      </c>
      <c r="BN167" s="14">
        <f t="shared" si="124"/>
        <v>0</v>
      </c>
      <c r="BO167" s="15">
        <f t="shared" si="125"/>
        <v>0</v>
      </c>
      <c r="BP167" s="14">
        <f t="shared" si="126"/>
        <v>0</v>
      </c>
      <c r="BQ167" s="14">
        <f>DISTRIBUSI!J165</f>
        <v>0</v>
      </c>
      <c r="BR167" s="14">
        <f>'PEMAKAIAN UNIT'!J164</f>
        <v>0</v>
      </c>
      <c r="BS167" s="14">
        <f t="shared" si="127"/>
        <v>0</v>
      </c>
      <c r="BT167" s="15">
        <f t="shared" si="128"/>
        <v>0</v>
      </c>
      <c r="BU167" s="14">
        <f t="shared" si="129"/>
        <v>0</v>
      </c>
      <c r="BV167" s="14">
        <f>DISTRIBUSI!K165</f>
        <v>0</v>
      </c>
      <c r="BW167" s="14">
        <f>'PEMAKAIAN UNIT'!K164</f>
        <v>0</v>
      </c>
      <c r="BX167" s="14">
        <f t="shared" si="130"/>
        <v>0</v>
      </c>
      <c r="BY167" s="15">
        <f t="shared" si="131"/>
        <v>0</v>
      </c>
      <c r="BZ167" s="14">
        <f t="shared" si="132"/>
        <v>0</v>
      </c>
      <c r="CA167" s="14">
        <f>DISTRIBUSI!L165</f>
        <v>0</v>
      </c>
      <c r="CB167" s="14">
        <f>'PEMAKAIAN UNIT'!L164</f>
        <v>0</v>
      </c>
      <c r="CC167" s="14">
        <f t="shared" si="133"/>
        <v>0</v>
      </c>
      <c r="CD167" s="15">
        <f t="shared" si="134"/>
        <v>0</v>
      </c>
      <c r="CE167" s="14">
        <f t="shared" si="135"/>
        <v>0</v>
      </c>
      <c r="CF167" s="14">
        <f>DISTRIBUSI!M165</f>
        <v>0</v>
      </c>
      <c r="CG167" s="14">
        <f>'PEMAKAIAN UNIT'!M164</f>
        <v>0</v>
      </c>
      <c r="CH167" s="14">
        <f t="shared" si="136"/>
        <v>0</v>
      </c>
      <c r="CI167" s="15">
        <f t="shared" si="137"/>
        <v>0</v>
      </c>
      <c r="CJ167" s="14">
        <f t="shared" si="138"/>
        <v>0</v>
      </c>
      <c r="CK167" s="14" t="e">
        <f>DISTRIBUSI!#REF!</f>
        <v>#REF!</v>
      </c>
      <c r="CL167" s="14">
        <f>'PEMAKAIAN UNIT'!N164</f>
        <v>0</v>
      </c>
      <c r="CM167" s="14" t="e">
        <f t="shared" si="139"/>
        <v>#REF!</v>
      </c>
      <c r="CN167" s="15" t="e">
        <f t="shared" si="140"/>
        <v>#REF!</v>
      </c>
      <c r="CO167" s="14" t="e">
        <f>DL167+DISTRIBUSI!#REF!-'PEMAKAIAN UNIT'!O164</f>
        <v>#REF!</v>
      </c>
      <c r="CP167" s="15" t="e">
        <f t="shared" si="141"/>
        <v>#REF!</v>
      </c>
      <c r="CQ167" s="226">
        <f t="shared" si="142"/>
        <v>9</v>
      </c>
      <c r="CR167" s="226">
        <f>DISTRIBUSI!R165</f>
        <v>0</v>
      </c>
      <c r="CS167" s="226">
        <f>'PEMAKAIAN UNIT'!P164</f>
        <v>0</v>
      </c>
      <c r="CT167" s="14">
        <f t="shared" si="143"/>
        <v>9</v>
      </c>
      <c r="CU167" s="15">
        <f t="shared" si="144"/>
        <v>-7</v>
      </c>
      <c r="CV167" s="14" t="e">
        <f>DN167+DISTRIBUSI!#REF!-'PEMAKAIAN UNIT'!Q164</f>
        <v>#REF!</v>
      </c>
      <c r="CW167" s="15" t="e">
        <f t="shared" si="145"/>
        <v>#REF!</v>
      </c>
      <c r="CX167" s="14">
        <f>DO167+'LPLPO GUDANG'!E170-'LPLPO GUDANG'!G170</f>
        <v>0</v>
      </c>
      <c r="CY167" s="15">
        <f t="shared" si="146"/>
        <v>-10</v>
      </c>
      <c r="CZ167" s="28"/>
      <c r="DA167" s="14"/>
      <c r="DB167" s="14"/>
      <c r="DC167" s="14">
        <v>1</v>
      </c>
      <c r="DD167" s="14">
        <v>1</v>
      </c>
      <c r="DE167" s="14">
        <v>0</v>
      </c>
      <c r="DF167" s="14"/>
      <c r="DG167" s="14">
        <v>0</v>
      </c>
      <c r="DH167" s="14">
        <v>0</v>
      </c>
      <c r="DI167" s="14">
        <v>0</v>
      </c>
      <c r="DJ167" s="14">
        <v>0</v>
      </c>
      <c r="DK167" s="14">
        <v>0</v>
      </c>
      <c r="DL167" s="14">
        <v>0</v>
      </c>
      <c r="DM167" s="14">
        <v>9</v>
      </c>
      <c r="DN167" s="14">
        <v>0</v>
      </c>
      <c r="DO167" s="14">
        <v>0</v>
      </c>
      <c r="DP167" s="13">
        <f t="shared" si="147"/>
        <v>11</v>
      </c>
      <c r="DR167" t="s">
        <v>136</v>
      </c>
      <c r="DU167" s="20" t="e">
        <f t="shared" si="148"/>
        <v>#REF!</v>
      </c>
    </row>
    <row r="168" spans="1:125" customFormat="1" ht="20.149999999999999" customHeight="1" x14ac:dyDescent="0.35">
      <c r="A168" s="84">
        <f t="shared" si="149"/>
        <v>157</v>
      </c>
      <c r="B168" s="142" t="s">
        <v>137</v>
      </c>
      <c r="C168" s="165" t="s">
        <v>48</v>
      </c>
      <c r="D168" s="109">
        <v>0</v>
      </c>
      <c r="E168" s="110">
        <f>'LPLPO GUDANG'!E171</f>
        <v>0</v>
      </c>
      <c r="F168" s="110">
        <f t="shared" si="100"/>
        <v>0</v>
      </c>
      <c r="G168" s="110">
        <f>'PEMAKAIAN UNIT'!R165</f>
        <v>0</v>
      </c>
      <c r="H168" s="14">
        <v>0</v>
      </c>
      <c r="I168" s="14">
        <v>0</v>
      </c>
      <c r="J168" s="14">
        <v>0</v>
      </c>
      <c r="K168" s="14"/>
      <c r="L168" s="14"/>
      <c r="M168" s="14"/>
      <c r="N168" s="14"/>
      <c r="O168" s="14"/>
      <c r="P168" s="14"/>
      <c r="Q168" s="14"/>
      <c r="R168" s="14"/>
      <c r="S168" s="14">
        <v>1</v>
      </c>
      <c r="T168" s="14">
        <v>0</v>
      </c>
      <c r="U168" s="14">
        <v>2</v>
      </c>
      <c r="V168" s="14">
        <v>1</v>
      </c>
      <c r="W168" s="14">
        <v>0</v>
      </c>
      <c r="X168" s="14">
        <v>0</v>
      </c>
      <c r="Y168" s="109">
        <f t="shared" si="101"/>
        <v>0</v>
      </c>
      <c r="Z168" s="109" t="e">
        <f t="shared" si="102"/>
        <v>#REF!</v>
      </c>
      <c r="AA168" s="109" t="e">
        <f t="shared" si="103"/>
        <v>#REF!</v>
      </c>
      <c r="AB168" s="14">
        <v>2</v>
      </c>
      <c r="AC168" s="109" t="e">
        <f t="shared" si="104"/>
        <v>#REF!</v>
      </c>
      <c r="AD168" s="109">
        <f>'LPLPO GUDANG'!H171</f>
        <v>5</v>
      </c>
      <c r="AE168" s="111" t="e">
        <f t="shared" si="105"/>
        <v>#REF!</v>
      </c>
      <c r="AF168" s="212"/>
      <c r="AG168" s="212"/>
      <c r="AH168" s="20"/>
      <c r="AI168" s="14">
        <f t="shared" si="106"/>
        <v>0</v>
      </c>
      <c r="AJ168" s="209" t="e">
        <f t="shared" si="107"/>
        <v>#REF!</v>
      </c>
      <c r="AL168" s="14">
        <f t="shared" si="108"/>
        <v>0</v>
      </c>
      <c r="AM168" s="14">
        <f>DISTRIBUSI!D166</f>
        <v>0</v>
      </c>
      <c r="AN168" s="14">
        <f>'PEMAKAIAN UNIT'!D165</f>
        <v>0</v>
      </c>
      <c r="AO168" s="14">
        <f t="shared" si="109"/>
        <v>0</v>
      </c>
      <c r="AP168" s="15">
        <f t="shared" si="110"/>
        <v>0</v>
      </c>
      <c r="AQ168" s="14">
        <f t="shared" si="111"/>
        <v>0</v>
      </c>
      <c r="AR168" s="14">
        <f>DISTRIBUSI!E166</f>
        <v>0</v>
      </c>
      <c r="AS168" s="14">
        <f>'PEMAKAIAN UNIT'!E165</f>
        <v>0</v>
      </c>
      <c r="AT168" s="14">
        <f t="shared" si="112"/>
        <v>0</v>
      </c>
      <c r="AU168" s="15">
        <f t="shared" si="113"/>
        <v>0</v>
      </c>
      <c r="AV168" s="14">
        <f t="shared" si="114"/>
        <v>0</v>
      </c>
      <c r="AW168" s="14">
        <f>DISTRIBUSI!F166</f>
        <v>0</v>
      </c>
      <c r="AX168" s="14">
        <f>'PEMAKAIAN UNIT'!F165</f>
        <v>0</v>
      </c>
      <c r="AY168" s="14">
        <f t="shared" si="115"/>
        <v>0</v>
      </c>
      <c r="AZ168" s="15">
        <f t="shared" si="116"/>
        <v>0</v>
      </c>
      <c r="BA168" s="14">
        <f t="shared" si="117"/>
        <v>1</v>
      </c>
      <c r="BB168" s="14">
        <f>DISTRIBUSI!G166</f>
        <v>0</v>
      </c>
      <c r="BC168" s="14">
        <f>'PEMAKAIAN UNIT'!G165</f>
        <v>0</v>
      </c>
      <c r="BD168" s="14">
        <f t="shared" si="118"/>
        <v>1</v>
      </c>
      <c r="BE168" s="15">
        <f t="shared" si="119"/>
        <v>0</v>
      </c>
      <c r="BF168" s="14">
        <f t="shared" si="120"/>
        <v>0</v>
      </c>
      <c r="BG168" s="14">
        <f>DISTRIBUSI!H166</f>
        <v>0</v>
      </c>
      <c r="BH168" s="14">
        <f>'PEMAKAIAN UNIT'!H165</f>
        <v>0</v>
      </c>
      <c r="BI168" s="14">
        <f t="shared" si="121"/>
        <v>0</v>
      </c>
      <c r="BJ168" s="15">
        <f t="shared" si="122"/>
        <v>0</v>
      </c>
      <c r="BK168" s="14">
        <f t="shared" si="123"/>
        <v>1</v>
      </c>
      <c r="BL168" s="14">
        <f>DISTRIBUSI!I166</f>
        <v>0</v>
      </c>
      <c r="BM168" s="14">
        <f>'PEMAKAIAN UNIT'!I165</f>
        <v>0</v>
      </c>
      <c r="BN168" s="14">
        <f t="shared" si="124"/>
        <v>1</v>
      </c>
      <c r="BO168" s="15">
        <f t="shared" si="125"/>
        <v>-1</v>
      </c>
      <c r="BP168" s="14">
        <f t="shared" si="126"/>
        <v>1</v>
      </c>
      <c r="BQ168" s="14">
        <f>DISTRIBUSI!J166</f>
        <v>0</v>
      </c>
      <c r="BR168" s="14">
        <f>'PEMAKAIAN UNIT'!J165</f>
        <v>0</v>
      </c>
      <c r="BS168" s="14">
        <f t="shared" si="127"/>
        <v>1</v>
      </c>
      <c r="BT168" s="15">
        <f t="shared" si="128"/>
        <v>0</v>
      </c>
      <c r="BU168" s="14">
        <f t="shared" si="129"/>
        <v>0</v>
      </c>
      <c r="BV168" s="14">
        <f>DISTRIBUSI!K166</f>
        <v>0</v>
      </c>
      <c r="BW168" s="14">
        <f>'PEMAKAIAN UNIT'!K165</f>
        <v>0</v>
      </c>
      <c r="BX168" s="14">
        <f t="shared" si="130"/>
        <v>0</v>
      </c>
      <c r="BY168" s="15">
        <f t="shared" si="131"/>
        <v>0</v>
      </c>
      <c r="BZ168" s="14">
        <f t="shared" si="132"/>
        <v>0</v>
      </c>
      <c r="CA168" s="14">
        <f>DISTRIBUSI!L166</f>
        <v>0</v>
      </c>
      <c r="CB168" s="14">
        <f>'PEMAKAIAN UNIT'!L165</f>
        <v>0</v>
      </c>
      <c r="CC168" s="14">
        <f t="shared" si="133"/>
        <v>0</v>
      </c>
      <c r="CD168" s="15">
        <f t="shared" si="134"/>
        <v>0</v>
      </c>
      <c r="CE168" s="14">
        <f t="shared" si="135"/>
        <v>0</v>
      </c>
      <c r="CF168" s="14">
        <f>DISTRIBUSI!M166</f>
        <v>0</v>
      </c>
      <c r="CG168" s="14">
        <f>'PEMAKAIAN UNIT'!M165</f>
        <v>0</v>
      </c>
      <c r="CH168" s="14">
        <f t="shared" si="136"/>
        <v>0</v>
      </c>
      <c r="CI168" s="15">
        <f t="shared" si="137"/>
        <v>0</v>
      </c>
      <c r="CJ168" s="14">
        <f t="shared" si="138"/>
        <v>0</v>
      </c>
      <c r="CK168" s="14" t="e">
        <f>DISTRIBUSI!#REF!</f>
        <v>#REF!</v>
      </c>
      <c r="CL168" s="14">
        <f>'PEMAKAIAN UNIT'!N165</f>
        <v>0</v>
      </c>
      <c r="CM168" s="14" t="e">
        <f t="shared" si="139"/>
        <v>#REF!</v>
      </c>
      <c r="CN168" s="15" t="e">
        <f t="shared" si="140"/>
        <v>#REF!</v>
      </c>
      <c r="CO168" s="14" t="e">
        <f>DL168+DISTRIBUSI!#REF!-'PEMAKAIAN UNIT'!O165</f>
        <v>#REF!</v>
      </c>
      <c r="CP168" s="15" t="e">
        <f t="shared" si="141"/>
        <v>#REF!</v>
      </c>
      <c r="CQ168" s="226">
        <f t="shared" si="142"/>
        <v>4</v>
      </c>
      <c r="CR168" s="226">
        <f>DISTRIBUSI!R166</f>
        <v>0</v>
      </c>
      <c r="CS168" s="226">
        <f>'PEMAKAIAN UNIT'!P165</f>
        <v>0</v>
      </c>
      <c r="CT168" s="14">
        <f t="shared" si="143"/>
        <v>4</v>
      </c>
      <c r="CU168" s="15">
        <f t="shared" si="144"/>
        <v>2</v>
      </c>
      <c r="CV168" s="14" t="e">
        <f>DN168+DISTRIBUSI!#REF!-'PEMAKAIAN UNIT'!Q165</f>
        <v>#REF!</v>
      </c>
      <c r="CW168" s="15" t="e">
        <f t="shared" si="145"/>
        <v>#REF!</v>
      </c>
      <c r="CX168" s="14">
        <f>DO168+'LPLPO GUDANG'!E171-'LPLPO GUDANG'!G171</f>
        <v>5</v>
      </c>
      <c r="CY168" s="15">
        <f t="shared" si="146"/>
        <v>0</v>
      </c>
      <c r="CZ168" s="28"/>
      <c r="DA168" s="14"/>
      <c r="DB168" s="14">
        <v>0</v>
      </c>
      <c r="DC168" s="14">
        <v>0</v>
      </c>
      <c r="DD168" s="14">
        <v>1</v>
      </c>
      <c r="DE168" s="14">
        <v>0</v>
      </c>
      <c r="DF168" s="14">
        <v>1</v>
      </c>
      <c r="DG168" s="14">
        <v>1</v>
      </c>
      <c r="DH168" s="14">
        <v>0</v>
      </c>
      <c r="DI168" s="14">
        <v>0</v>
      </c>
      <c r="DJ168" s="14">
        <v>0</v>
      </c>
      <c r="DK168" s="14">
        <v>0</v>
      </c>
      <c r="DL168" s="14">
        <v>0</v>
      </c>
      <c r="DM168" s="14">
        <v>4</v>
      </c>
      <c r="DN168" s="14">
        <v>0</v>
      </c>
      <c r="DO168" s="14">
        <v>9</v>
      </c>
      <c r="DP168" s="13">
        <f t="shared" si="147"/>
        <v>16</v>
      </c>
      <c r="DR168" t="s">
        <v>137</v>
      </c>
      <c r="DU168" s="20" t="e">
        <f t="shared" si="148"/>
        <v>#REF!</v>
      </c>
    </row>
    <row r="169" spans="1:125" customFormat="1" ht="20.149999999999999" customHeight="1" x14ac:dyDescent="0.35">
      <c r="A169" s="84">
        <f t="shared" si="149"/>
        <v>158</v>
      </c>
      <c r="B169" s="142" t="s">
        <v>138</v>
      </c>
      <c r="C169" s="165" t="s">
        <v>108</v>
      </c>
      <c r="D169" s="109">
        <v>0</v>
      </c>
      <c r="E169" s="110">
        <f>'LPLPO GUDANG'!E172</f>
        <v>12</v>
      </c>
      <c r="F169" s="110">
        <f t="shared" si="100"/>
        <v>12</v>
      </c>
      <c r="G169" s="110">
        <f>'PEMAKAIAN UNIT'!R166</f>
        <v>0</v>
      </c>
      <c r="H169" s="14">
        <v>8</v>
      </c>
      <c r="I169" s="14">
        <v>3</v>
      </c>
      <c r="J169" s="14">
        <v>0</v>
      </c>
      <c r="K169" s="14"/>
      <c r="L169" s="14"/>
      <c r="M169" s="14"/>
      <c r="N169" s="14"/>
      <c r="O169" s="14"/>
      <c r="P169" s="14"/>
      <c r="Q169" s="14"/>
      <c r="R169" s="14"/>
      <c r="S169" s="14">
        <v>4</v>
      </c>
      <c r="T169" s="14">
        <v>0</v>
      </c>
      <c r="U169" s="14">
        <v>5</v>
      </c>
      <c r="V169" s="14">
        <v>6</v>
      </c>
      <c r="W169" s="14">
        <v>0</v>
      </c>
      <c r="X169" s="14">
        <v>3</v>
      </c>
      <c r="Y169" s="109">
        <f t="shared" si="101"/>
        <v>0</v>
      </c>
      <c r="Z169" s="109" t="e">
        <f t="shared" si="102"/>
        <v>#REF!</v>
      </c>
      <c r="AA169" s="109" t="e">
        <f t="shared" si="103"/>
        <v>#REF!</v>
      </c>
      <c r="AB169" s="14">
        <v>22</v>
      </c>
      <c r="AC169" s="109" t="e">
        <f t="shared" si="104"/>
        <v>#REF!</v>
      </c>
      <c r="AD169" s="109">
        <f>'LPLPO GUDANG'!H172</f>
        <v>0</v>
      </c>
      <c r="AE169" s="111" t="e">
        <f t="shared" si="105"/>
        <v>#REF!</v>
      </c>
      <c r="AF169" s="212"/>
      <c r="AG169" s="212"/>
      <c r="AH169" s="20"/>
      <c r="AI169" s="14">
        <f t="shared" si="106"/>
        <v>12</v>
      </c>
      <c r="AJ169" s="209" t="e">
        <f t="shared" si="107"/>
        <v>#REF!</v>
      </c>
      <c r="AL169" s="14">
        <f t="shared" si="108"/>
        <v>11</v>
      </c>
      <c r="AM169" s="14">
        <f>DISTRIBUSI!D167</f>
        <v>0</v>
      </c>
      <c r="AN169" s="14">
        <f>'PEMAKAIAN UNIT'!D166</f>
        <v>0</v>
      </c>
      <c r="AO169" s="14">
        <f t="shared" si="109"/>
        <v>11</v>
      </c>
      <c r="AP169" s="15">
        <f t="shared" si="110"/>
        <v>3</v>
      </c>
      <c r="AQ169" s="14">
        <f t="shared" si="111"/>
        <v>3</v>
      </c>
      <c r="AR169" s="14">
        <f>DISTRIBUSI!E167</f>
        <v>0</v>
      </c>
      <c r="AS169" s="14">
        <f>'PEMAKAIAN UNIT'!E166</f>
        <v>0</v>
      </c>
      <c r="AT169" s="14">
        <f t="shared" si="112"/>
        <v>3</v>
      </c>
      <c r="AU169" s="15">
        <f t="shared" si="113"/>
        <v>0</v>
      </c>
      <c r="AV169" s="14">
        <f t="shared" si="114"/>
        <v>5</v>
      </c>
      <c r="AW169" s="14">
        <f>DISTRIBUSI!F167</f>
        <v>0</v>
      </c>
      <c r="AX169" s="14">
        <f>'PEMAKAIAN UNIT'!F166</f>
        <v>0</v>
      </c>
      <c r="AY169" s="14">
        <f t="shared" si="115"/>
        <v>5</v>
      </c>
      <c r="AZ169" s="15">
        <f t="shared" si="116"/>
        <v>5</v>
      </c>
      <c r="BA169" s="14">
        <f t="shared" si="117"/>
        <v>4</v>
      </c>
      <c r="BB169" s="14">
        <f>DISTRIBUSI!G167</f>
        <v>0</v>
      </c>
      <c r="BC169" s="14">
        <f>'PEMAKAIAN UNIT'!G166</f>
        <v>0</v>
      </c>
      <c r="BD169" s="14">
        <f t="shared" si="118"/>
        <v>4</v>
      </c>
      <c r="BE169" s="15">
        <f t="shared" si="119"/>
        <v>0</v>
      </c>
      <c r="BF169" s="14">
        <f t="shared" si="120"/>
        <v>2</v>
      </c>
      <c r="BG169" s="14">
        <f>DISTRIBUSI!H167</f>
        <v>0</v>
      </c>
      <c r="BH169" s="14">
        <f>'PEMAKAIAN UNIT'!H166</f>
        <v>0</v>
      </c>
      <c r="BI169" s="14">
        <f t="shared" si="121"/>
        <v>2</v>
      </c>
      <c r="BJ169" s="15">
        <f t="shared" si="122"/>
        <v>2</v>
      </c>
      <c r="BK169" s="14">
        <f t="shared" si="123"/>
        <v>0</v>
      </c>
      <c r="BL169" s="14">
        <f>DISTRIBUSI!I167</f>
        <v>0</v>
      </c>
      <c r="BM169" s="14">
        <f>'PEMAKAIAN UNIT'!I166</f>
        <v>0</v>
      </c>
      <c r="BN169" s="14">
        <f t="shared" si="124"/>
        <v>0</v>
      </c>
      <c r="BO169" s="15">
        <f t="shared" si="125"/>
        <v>-5</v>
      </c>
      <c r="BP169" s="14">
        <f t="shared" si="126"/>
        <v>7</v>
      </c>
      <c r="BQ169" s="14">
        <f>DISTRIBUSI!J167</f>
        <v>0</v>
      </c>
      <c r="BR169" s="14">
        <f>'PEMAKAIAN UNIT'!J166</f>
        <v>0</v>
      </c>
      <c r="BS169" s="14">
        <f t="shared" si="127"/>
        <v>7</v>
      </c>
      <c r="BT169" s="15">
        <f t="shared" si="128"/>
        <v>1</v>
      </c>
      <c r="BU169" s="14">
        <f t="shared" si="129"/>
        <v>0</v>
      </c>
      <c r="BV169" s="14">
        <f>DISTRIBUSI!K167</f>
        <v>0</v>
      </c>
      <c r="BW169" s="14">
        <f>'PEMAKAIAN UNIT'!K166</f>
        <v>0</v>
      </c>
      <c r="BX169" s="14">
        <f t="shared" si="130"/>
        <v>0</v>
      </c>
      <c r="BY169" s="15">
        <f t="shared" si="131"/>
        <v>0</v>
      </c>
      <c r="BZ169" s="14">
        <f t="shared" si="132"/>
        <v>3</v>
      </c>
      <c r="CA169" s="14">
        <f>DISTRIBUSI!L167</f>
        <v>0</v>
      </c>
      <c r="CB169" s="14">
        <f>'PEMAKAIAN UNIT'!L166</f>
        <v>0</v>
      </c>
      <c r="CC169" s="14">
        <f t="shared" si="133"/>
        <v>3</v>
      </c>
      <c r="CD169" s="15">
        <f t="shared" si="134"/>
        <v>0</v>
      </c>
      <c r="CE169" s="14">
        <f t="shared" si="135"/>
        <v>0</v>
      </c>
      <c r="CF169" s="14">
        <f>DISTRIBUSI!M167</f>
        <v>0</v>
      </c>
      <c r="CG169" s="14">
        <f>'PEMAKAIAN UNIT'!M166</f>
        <v>0</v>
      </c>
      <c r="CH169" s="14">
        <f t="shared" si="136"/>
        <v>0</v>
      </c>
      <c r="CI169" s="15">
        <f t="shared" si="137"/>
        <v>0</v>
      </c>
      <c r="CJ169" s="14">
        <f t="shared" si="138"/>
        <v>0</v>
      </c>
      <c r="CK169" s="14" t="e">
        <f>DISTRIBUSI!#REF!</f>
        <v>#REF!</v>
      </c>
      <c r="CL169" s="14">
        <f>'PEMAKAIAN UNIT'!N166</f>
        <v>0</v>
      </c>
      <c r="CM169" s="14" t="e">
        <f t="shared" si="139"/>
        <v>#REF!</v>
      </c>
      <c r="CN169" s="15" t="e">
        <f t="shared" si="140"/>
        <v>#REF!</v>
      </c>
      <c r="CO169" s="14" t="e">
        <f>DL169+DISTRIBUSI!#REF!-'PEMAKAIAN UNIT'!O166</f>
        <v>#REF!</v>
      </c>
      <c r="CP169" s="15" t="e">
        <f t="shared" si="141"/>
        <v>#REF!</v>
      </c>
      <c r="CQ169" s="226">
        <f t="shared" si="142"/>
        <v>50</v>
      </c>
      <c r="CR169" s="226">
        <f>DISTRIBUSI!R167</f>
        <v>12</v>
      </c>
      <c r="CS169" s="226">
        <f>'PEMAKAIAN UNIT'!P166</f>
        <v>0</v>
      </c>
      <c r="CT169" s="14">
        <f t="shared" si="143"/>
        <v>62</v>
      </c>
      <c r="CU169" s="15">
        <f t="shared" si="144"/>
        <v>40</v>
      </c>
      <c r="CV169" s="14" t="e">
        <f>DN169+DISTRIBUSI!#REF!-'PEMAKAIAN UNIT'!Q166</f>
        <v>#REF!</v>
      </c>
      <c r="CW169" s="15" t="e">
        <f t="shared" si="145"/>
        <v>#REF!</v>
      </c>
      <c r="CX169" s="14">
        <f>DO169+'LPLPO GUDANG'!E172-'LPLPO GUDANG'!G172</f>
        <v>-11</v>
      </c>
      <c r="CY169" s="15">
        <f t="shared" si="146"/>
        <v>-11</v>
      </c>
      <c r="CZ169" s="28"/>
      <c r="DA169" s="14">
        <v>11</v>
      </c>
      <c r="DB169" s="14">
        <v>3</v>
      </c>
      <c r="DC169" s="14">
        <v>5</v>
      </c>
      <c r="DD169" s="14">
        <v>4</v>
      </c>
      <c r="DE169" s="14">
        <v>2</v>
      </c>
      <c r="DF169" s="14"/>
      <c r="DG169" s="14">
        <v>7</v>
      </c>
      <c r="DH169" s="14">
        <v>0</v>
      </c>
      <c r="DI169" s="14">
        <v>3</v>
      </c>
      <c r="DJ169" s="14">
        <v>0</v>
      </c>
      <c r="DK169" s="14">
        <v>0</v>
      </c>
      <c r="DL169" s="14">
        <v>0</v>
      </c>
      <c r="DM169" s="14">
        <v>50</v>
      </c>
      <c r="DN169" s="14">
        <v>0</v>
      </c>
      <c r="DO169" s="14">
        <v>1</v>
      </c>
      <c r="DP169" s="13">
        <f t="shared" si="147"/>
        <v>86</v>
      </c>
      <c r="DR169" t="s">
        <v>138</v>
      </c>
      <c r="DU169" s="20" t="e">
        <f t="shared" si="148"/>
        <v>#REF!</v>
      </c>
    </row>
    <row r="170" spans="1:125" customFormat="1" ht="20.149999999999999" customHeight="1" x14ac:dyDescent="0.35">
      <c r="A170" s="84">
        <f t="shared" si="149"/>
        <v>159</v>
      </c>
      <c r="B170" s="142" t="s">
        <v>139</v>
      </c>
      <c r="C170" s="165" t="s">
        <v>108</v>
      </c>
      <c r="D170" s="109">
        <v>0</v>
      </c>
      <c r="E170" s="110">
        <f>'LPLPO GUDANG'!E173</f>
        <v>0</v>
      </c>
      <c r="F170" s="110">
        <f t="shared" si="100"/>
        <v>0</v>
      </c>
      <c r="G170" s="110">
        <f>'PEMAKAIAN UNIT'!R167</f>
        <v>0</v>
      </c>
      <c r="H170" s="14">
        <v>7</v>
      </c>
      <c r="I170" s="14">
        <v>22</v>
      </c>
      <c r="J170" s="14">
        <v>0</v>
      </c>
      <c r="K170" s="14"/>
      <c r="L170" s="14"/>
      <c r="M170" s="14"/>
      <c r="N170" s="14"/>
      <c r="O170" s="14"/>
      <c r="P170" s="14"/>
      <c r="Q170" s="14"/>
      <c r="R170" s="14"/>
      <c r="S170" s="14">
        <v>13</v>
      </c>
      <c r="T170" s="14">
        <v>0</v>
      </c>
      <c r="U170" s="14">
        <v>5</v>
      </c>
      <c r="V170" s="14">
        <v>3</v>
      </c>
      <c r="W170" s="14">
        <v>0</v>
      </c>
      <c r="X170" s="14">
        <v>1</v>
      </c>
      <c r="Y170" s="109">
        <f t="shared" si="101"/>
        <v>0</v>
      </c>
      <c r="Z170" s="109" t="e">
        <f t="shared" si="102"/>
        <v>#REF!</v>
      </c>
      <c r="AA170" s="109" t="e">
        <f t="shared" si="103"/>
        <v>#REF!</v>
      </c>
      <c r="AB170" s="14">
        <v>12</v>
      </c>
      <c r="AC170" s="109" t="e">
        <f t="shared" si="104"/>
        <v>#REF!</v>
      </c>
      <c r="AD170" s="109">
        <f>'LPLPO GUDANG'!H173</f>
        <v>50</v>
      </c>
      <c r="AE170" s="111" t="e">
        <f t="shared" si="105"/>
        <v>#REF!</v>
      </c>
      <c r="AF170" s="212"/>
      <c r="AG170" s="212"/>
      <c r="AH170" s="20"/>
      <c r="AI170" s="14">
        <f t="shared" si="106"/>
        <v>0</v>
      </c>
      <c r="AJ170" s="209" t="e">
        <f t="shared" si="107"/>
        <v>#REF!</v>
      </c>
      <c r="AL170" s="14">
        <f t="shared" si="108"/>
        <v>10</v>
      </c>
      <c r="AM170" s="14">
        <f>DISTRIBUSI!D168</f>
        <v>0</v>
      </c>
      <c r="AN170" s="14">
        <f>'PEMAKAIAN UNIT'!D167</f>
        <v>0</v>
      </c>
      <c r="AO170" s="14">
        <f t="shared" si="109"/>
        <v>10</v>
      </c>
      <c r="AP170" s="15">
        <f t="shared" si="110"/>
        <v>3</v>
      </c>
      <c r="AQ170" s="14">
        <f t="shared" si="111"/>
        <v>22</v>
      </c>
      <c r="AR170" s="14">
        <f>DISTRIBUSI!E168</f>
        <v>0</v>
      </c>
      <c r="AS170" s="14">
        <f>'PEMAKAIAN UNIT'!E167</f>
        <v>0</v>
      </c>
      <c r="AT170" s="14">
        <f t="shared" si="112"/>
        <v>22</v>
      </c>
      <c r="AU170" s="15">
        <f t="shared" si="113"/>
        <v>0</v>
      </c>
      <c r="AV170" s="14">
        <f t="shared" si="114"/>
        <v>0</v>
      </c>
      <c r="AW170" s="14">
        <f>DISTRIBUSI!F168</f>
        <v>0</v>
      </c>
      <c r="AX170" s="14">
        <f>'PEMAKAIAN UNIT'!F167</f>
        <v>0</v>
      </c>
      <c r="AY170" s="14">
        <f t="shared" si="115"/>
        <v>0</v>
      </c>
      <c r="AZ170" s="15">
        <f t="shared" si="116"/>
        <v>0</v>
      </c>
      <c r="BA170" s="14">
        <f t="shared" si="117"/>
        <v>13</v>
      </c>
      <c r="BB170" s="14">
        <f>DISTRIBUSI!G168</f>
        <v>0</v>
      </c>
      <c r="BC170" s="14">
        <f>'PEMAKAIAN UNIT'!G167</f>
        <v>0</v>
      </c>
      <c r="BD170" s="14">
        <f t="shared" si="118"/>
        <v>13</v>
      </c>
      <c r="BE170" s="15">
        <f t="shared" si="119"/>
        <v>0</v>
      </c>
      <c r="BF170" s="14">
        <f t="shared" si="120"/>
        <v>3</v>
      </c>
      <c r="BG170" s="14">
        <f>DISTRIBUSI!H168</f>
        <v>0</v>
      </c>
      <c r="BH170" s="14">
        <f>'PEMAKAIAN UNIT'!H167</f>
        <v>0</v>
      </c>
      <c r="BI170" s="14">
        <f t="shared" si="121"/>
        <v>3</v>
      </c>
      <c r="BJ170" s="15">
        <f t="shared" si="122"/>
        <v>3</v>
      </c>
      <c r="BK170" s="14">
        <f t="shared" si="123"/>
        <v>5</v>
      </c>
      <c r="BL170" s="14">
        <f>DISTRIBUSI!I168</f>
        <v>0</v>
      </c>
      <c r="BM170" s="14">
        <f>'PEMAKAIAN UNIT'!I167</f>
        <v>0</v>
      </c>
      <c r="BN170" s="14">
        <f t="shared" si="124"/>
        <v>5</v>
      </c>
      <c r="BO170" s="15">
        <f t="shared" si="125"/>
        <v>0</v>
      </c>
      <c r="BP170" s="14">
        <f t="shared" si="126"/>
        <v>3</v>
      </c>
      <c r="BQ170" s="14">
        <f>DISTRIBUSI!J168</f>
        <v>0</v>
      </c>
      <c r="BR170" s="14">
        <f>'PEMAKAIAN UNIT'!J167</f>
        <v>0</v>
      </c>
      <c r="BS170" s="14">
        <f t="shared" si="127"/>
        <v>3</v>
      </c>
      <c r="BT170" s="15">
        <f t="shared" si="128"/>
        <v>0</v>
      </c>
      <c r="BU170" s="14">
        <f t="shared" si="129"/>
        <v>0</v>
      </c>
      <c r="BV170" s="14">
        <f>DISTRIBUSI!K168</f>
        <v>0</v>
      </c>
      <c r="BW170" s="14">
        <f>'PEMAKAIAN UNIT'!K167</f>
        <v>0</v>
      </c>
      <c r="BX170" s="14">
        <f t="shared" si="130"/>
        <v>0</v>
      </c>
      <c r="BY170" s="15">
        <f t="shared" si="131"/>
        <v>0</v>
      </c>
      <c r="BZ170" s="14">
        <f t="shared" si="132"/>
        <v>5</v>
      </c>
      <c r="CA170" s="14">
        <f>DISTRIBUSI!L168</f>
        <v>0</v>
      </c>
      <c r="CB170" s="14">
        <f>'PEMAKAIAN UNIT'!L167</f>
        <v>0</v>
      </c>
      <c r="CC170" s="14">
        <f t="shared" si="133"/>
        <v>5</v>
      </c>
      <c r="CD170" s="15">
        <f t="shared" si="134"/>
        <v>4</v>
      </c>
      <c r="CE170" s="14">
        <f t="shared" si="135"/>
        <v>0</v>
      </c>
      <c r="CF170" s="14">
        <f>DISTRIBUSI!M168</f>
        <v>0</v>
      </c>
      <c r="CG170" s="14">
        <f>'PEMAKAIAN UNIT'!M167</f>
        <v>0</v>
      </c>
      <c r="CH170" s="14">
        <f t="shared" si="136"/>
        <v>0</v>
      </c>
      <c r="CI170" s="15">
        <f t="shared" si="137"/>
        <v>0</v>
      </c>
      <c r="CJ170" s="14">
        <f t="shared" si="138"/>
        <v>0</v>
      </c>
      <c r="CK170" s="14" t="e">
        <f>DISTRIBUSI!#REF!</f>
        <v>#REF!</v>
      </c>
      <c r="CL170" s="14">
        <f>'PEMAKAIAN UNIT'!N167</f>
        <v>0</v>
      </c>
      <c r="CM170" s="14" t="e">
        <f t="shared" si="139"/>
        <v>#REF!</v>
      </c>
      <c r="CN170" s="15" t="e">
        <f t="shared" si="140"/>
        <v>#REF!</v>
      </c>
      <c r="CO170" s="14" t="e">
        <f>DL170+DISTRIBUSI!#REF!-'PEMAKAIAN UNIT'!O167</f>
        <v>#REF!</v>
      </c>
      <c r="CP170" s="15" t="e">
        <f t="shared" si="141"/>
        <v>#REF!</v>
      </c>
      <c r="CQ170" s="226">
        <f t="shared" si="142"/>
        <v>12</v>
      </c>
      <c r="CR170" s="226">
        <f>DISTRIBUSI!R168</f>
        <v>0</v>
      </c>
      <c r="CS170" s="226">
        <f>'PEMAKAIAN UNIT'!P167</f>
        <v>0</v>
      </c>
      <c r="CT170" s="14">
        <f t="shared" si="143"/>
        <v>12</v>
      </c>
      <c r="CU170" s="15">
        <f t="shared" si="144"/>
        <v>0</v>
      </c>
      <c r="CV170" s="14" t="e">
        <f>DN170+DISTRIBUSI!#REF!-'PEMAKAIAN UNIT'!Q167</f>
        <v>#REF!</v>
      </c>
      <c r="CW170" s="15" t="e">
        <f t="shared" si="145"/>
        <v>#REF!</v>
      </c>
      <c r="CX170" s="14">
        <f>DO170+'LPLPO GUDANG'!E173-'LPLPO GUDANG'!G173</f>
        <v>65</v>
      </c>
      <c r="CY170" s="15">
        <f t="shared" si="146"/>
        <v>15</v>
      </c>
      <c r="CZ170" s="28"/>
      <c r="DA170" s="14">
        <v>10</v>
      </c>
      <c r="DB170" s="14">
        <v>22</v>
      </c>
      <c r="DC170" s="14">
        <v>0</v>
      </c>
      <c r="DD170" s="14">
        <v>13</v>
      </c>
      <c r="DE170" s="14">
        <v>3</v>
      </c>
      <c r="DF170" s="14">
        <v>5</v>
      </c>
      <c r="DG170" s="14">
        <v>3</v>
      </c>
      <c r="DH170" s="14">
        <v>0</v>
      </c>
      <c r="DI170" s="14">
        <v>5</v>
      </c>
      <c r="DJ170" s="14">
        <v>0</v>
      </c>
      <c r="DK170" s="14">
        <v>0</v>
      </c>
      <c r="DL170" s="14">
        <v>0</v>
      </c>
      <c r="DM170" s="14">
        <v>12</v>
      </c>
      <c r="DN170" s="14">
        <v>0</v>
      </c>
      <c r="DO170" s="14">
        <v>115</v>
      </c>
      <c r="DP170" s="13">
        <f t="shared" si="147"/>
        <v>188</v>
      </c>
      <c r="DR170" t="s">
        <v>139</v>
      </c>
      <c r="DU170" s="20" t="e">
        <f t="shared" si="148"/>
        <v>#REF!</v>
      </c>
    </row>
    <row r="171" spans="1:125" customFormat="1" ht="20.149999999999999" customHeight="1" x14ac:dyDescent="0.35">
      <c r="A171" s="84">
        <f t="shared" si="149"/>
        <v>160</v>
      </c>
      <c r="B171" s="142" t="s">
        <v>140</v>
      </c>
      <c r="C171" s="115" t="s">
        <v>108</v>
      </c>
      <c r="D171" s="109">
        <v>0</v>
      </c>
      <c r="E171" s="110">
        <f>'LPLPO GUDANG'!E174</f>
        <v>0</v>
      </c>
      <c r="F171" s="110">
        <f t="shared" si="100"/>
        <v>0</v>
      </c>
      <c r="G171" s="110">
        <f>'PEMAKAIAN UNIT'!R168</f>
        <v>0</v>
      </c>
      <c r="H171" s="14">
        <v>0</v>
      </c>
      <c r="I171" s="14">
        <v>10</v>
      </c>
      <c r="J171" s="14">
        <v>0</v>
      </c>
      <c r="K171" s="14"/>
      <c r="L171" s="14"/>
      <c r="M171" s="14"/>
      <c r="N171" s="14"/>
      <c r="O171" s="14"/>
      <c r="P171" s="14"/>
      <c r="Q171" s="14"/>
      <c r="R171" s="14"/>
      <c r="S171" s="14">
        <v>3</v>
      </c>
      <c r="T171" s="14">
        <v>0</v>
      </c>
      <c r="U171" s="14">
        <v>3</v>
      </c>
      <c r="V171" s="14">
        <v>4</v>
      </c>
      <c r="W171" s="14">
        <v>5</v>
      </c>
      <c r="X171" s="14">
        <v>5</v>
      </c>
      <c r="Y171" s="109">
        <f t="shared" si="101"/>
        <v>0</v>
      </c>
      <c r="Z171" s="109" t="e">
        <f t="shared" si="102"/>
        <v>#REF!</v>
      </c>
      <c r="AA171" s="109" t="e">
        <f t="shared" si="103"/>
        <v>#REF!</v>
      </c>
      <c r="AB171" s="14">
        <v>27</v>
      </c>
      <c r="AC171" s="109" t="e">
        <f t="shared" si="104"/>
        <v>#REF!</v>
      </c>
      <c r="AD171" s="109">
        <f>'LPLPO GUDANG'!H174</f>
        <v>25</v>
      </c>
      <c r="AE171" s="111" t="e">
        <f t="shared" si="105"/>
        <v>#REF!</v>
      </c>
      <c r="AF171" s="212"/>
      <c r="AG171" s="212"/>
      <c r="AH171" s="20"/>
      <c r="AI171" s="14">
        <f t="shared" si="106"/>
        <v>0</v>
      </c>
      <c r="AJ171" s="209" t="e">
        <f t="shared" si="107"/>
        <v>#REF!</v>
      </c>
      <c r="AL171" s="14">
        <f t="shared" si="108"/>
        <v>0</v>
      </c>
      <c r="AM171" s="14">
        <f>DISTRIBUSI!D169</f>
        <v>0</v>
      </c>
      <c r="AN171" s="14">
        <f>'PEMAKAIAN UNIT'!D168</f>
        <v>0</v>
      </c>
      <c r="AO171" s="14">
        <f t="shared" si="109"/>
        <v>0</v>
      </c>
      <c r="AP171" s="15">
        <f t="shared" si="110"/>
        <v>0</v>
      </c>
      <c r="AQ171" s="14">
        <f t="shared" si="111"/>
        <v>10</v>
      </c>
      <c r="AR171" s="14">
        <f>DISTRIBUSI!E169</f>
        <v>0</v>
      </c>
      <c r="AS171" s="14">
        <f>'PEMAKAIAN UNIT'!E168</f>
        <v>0</v>
      </c>
      <c r="AT171" s="14">
        <f t="shared" si="112"/>
        <v>10</v>
      </c>
      <c r="AU171" s="15">
        <f t="shared" si="113"/>
        <v>0</v>
      </c>
      <c r="AV171" s="14">
        <f t="shared" si="114"/>
        <v>0</v>
      </c>
      <c r="AW171" s="14">
        <f>DISTRIBUSI!F169</f>
        <v>0</v>
      </c>
      <c r="AX171" s="14">
        <f>'PEMAKAIAN UNIT'!F168</f>
        <v>0</v>
      </c>
      <c r="AY171" s="14">
        <f t="shared" si="115"/>
        <v>0</v>
      </c>
      <c r="AZ171" s="15">
        <f t="shared" si="116"/>
        <v>0</v>
      </c>
      <c r="BA171" s="14">
        <f t="shared" si="117"/>
        <v>3</v>
      </c>
      <c r="BB171" s="14">
        <f>DISTRIBUSI!G169</f>
        <v>0</v>
      </c>
      <c r="BC171" s="14">
        <f>'PEMAKAIAN UNIT'!G168</f>
        <v>0</v>
      </c>
      <c r="BD171" s="14">
        <f t="shared" si="118"/>
        <v>3</v>
      </c>
      <c r="BE171" s="15">
        <f t="shared" si="119"/>
        <v>0</v>
      </c>
      <c r="BF171" s="14">
        <f t="shared" si="120"/>
        <v>18</v>
      </c>
      <c r="BG171" s="14">
        <f>DISTRIBUSI!H169</f>
        <v>0</v>
      </c>
      <c r="BH171" s="14">
        <f>'PEMAKAIAN UNIT'!H168</f>
        <v>0</v>
      </c>
      <c r="BI171" s="14">
        <f t="shared" si="121"/>
        <v>18</v>
      </c>
      <c r="BJ171" s="15">
        <f t="shared" si="122"/>
        <v>18</v>
      </c>
      <c r="BK171" s="14">
        <f t="shared" si="123"/>
        <v>3</v>
      </c>
      <c r="BL171" s="14">
        <f>DISTRIBUSI!I169</f>
        <v>0</v>
      </c>
      <c r="BM171" s="14">
        <f>'PEMAKAIAN UNIT'!I168</f>
        <v>0</v>
      </c>
      <c r="BN171" s="14">
        <f t="shared" si="124"/>
        <v>3</v>
      </c>
      <c r="BO171" s="15">
        <f t="shared" si="125"/>
        <v>0</v>
      </c>
      <c r="BP171" s="14">
        <f t="shared" si="126"/>
        <v>4</v>
      </c>
      <c r="BQ171" s="14">
        <f>DISTRIBUSI!J169</f>
        <v>0</v>
      </c>
      <c r="BR171" s="14">
        <f>'PEMAKAIAN UNIT'!J168</f>
        <v>0</v>
      </c>
      <c r="BS171" s="14">
        <f t="shared" si="127"/>
        <v>4</v>
      </c>
      <c r="BT171" s="15">
        <f t="shared" si="128"/>
        <v>0</v>
      </c>
      <c r="BU171" s="14">
        <f t="shared" si="129"/>
        <v>5</v>
      </c>
      <c r="BV171" s="14">
        <f>DISTRIBUSI!K169</f>
        <v>0</v>
      </c>
      <c r="BW171" s="14">
        <f>'PEMAKAIAN UNIT'!K168</f>
        <v>0</v>
      </c>
      <c r="BX171" s="14">
        <f t="shared" si="130"/>
        <v>5</v>
      </c>
      <c r="BY171" s="15">
        <f t="shared" si="131"/>
        <v>0</v>
      </c>
      <c r="BZ171" s="14">
        <f t="shared" si="132"/>
        <v>0</v>
      </c>
      <c r="CA171" s="14">
        <f>DISTRIBUSI!L169</f>
        <v>0</v>
      </c>
      <c r="CB171" s="14">
        <f>'PEMAKAIAN UNIT'!L168</f>
        <v>0</v>
      </c>
      <c r="CC171" s="14">
        <f t="shared" si="133"/>
        <v>0</v>
      </c>
      <c r="CD171" s="15">
        <f t="shared" si="134"/>
        <v>-5</v>
      </c>
      <c r="CE171" s="14">
        <f t="shared" si="135"/>
        <v>0</v>
      </c>
      <c r="CF171" s="14">
        <f>DISTRIBUSI!M169</f>
        <v>0</v>
      </c>
      <c r="CG171" s="14">
        <f>'PEMAKAIAN UNIT'!M168</f>
        <v>0</v>
      </c>
      <c r="CH171" s="14">
        <f t="shared" si="136"/>
        <v>0</v>
      </c>
      <c r="CI171" s="15">
        <f t="shared" si="137"/>
        <v>0</v>
      </c>
      <c r="CJ171" s="14">
        <f t="shared" si="138"/>
        <v>0</v>
      </c>
      <c r="CK171" s="14" t="e">
        <f>DISTRIBUSI!#REF!</f>
        <v>#REF!</v>
      </c>
      <c r="CL171" s="14">
        <f>'PEMAKAIAN UNIT'!N168</f>
        <v>0</v>
      </c>
      <c r="CM171" s="14" t="e">
        <f t="shared" si="139"/>
        <v>#REF!</v>
      </c>
      <c r="CN171" s="15" t="e">
        <f t="shared" si="140"/>
        <v>#REF!</v>
      </c>
      <c r="CO171" s="14" t="e">
        <f>DL171+DISTRIBUSI!#REF!-'PEMAKAIAN UNIT'!O168</f>
        <v>#REF!</v>
      </c>
      <c r="CP171" s="15" t="e">
        <f t="shared" si="141"/>
        <v>#REF!</v>
      </c>
      <c r="CQ171" s="226">
        <f t="shared" si="142"/>
        <v>28</v>
      </c>
      <c r="CR171" s="226">
        <f>DISTRIBUSI!R169</f>
        <v>0</v>
      </c>
      <c r="CS171" s="226">
        <f>'PEMAKAIAN UNIT'!P168</f>
        <v>0</v>
      </c>
      <c r="CT171" s="14">
        <f t="shared" si="143"/>
        <v>28</v>
      </c>
      <c r="CU171" s="15">
        <f t="shared" si="144"/>
        <v>1</v>
      </c>
      <c r="CV171" s="14" t="e">
        <f>DN171+DISTRIBUSI!#REF!-'PEMAKAIAN UNIT'!Q168</f>
        <v>#REF!</v>
      </c>
      <c r="CW171" s="15" t="e">
        <f t="shared" si="145"/>
        <v>#REF!</v>
      </c>
      <c r="CX171" s="14">
        <f>DO171+'LPLPO GUDANG'!E174-'LPLPO GUDANG'!G174</f>
        <v>90</v>
      </c>
      <c r="CY171" s="15">
        <f t="shared" si="146"/>
        <v>65</v>
      </c>
      <c r="CZ171" s="28"/>
      <c r="DA171" s="14"/>
      <c r="DB171" s="14">
        <v>10</v>
      </c>
      <c r="DC171" s="14">
        <v>0</v>
      </c>
      <c r="DD171" s="14">
        <v>3</v>
      </c>
      <c r="DE171" s="14">
        <v>18</v>
      </c>
      <c r="DF171" s="14">
        <v>3</v>
      </c>
      <c r="DG171" s="14">
        <v>4</v>
      </c>
      <c r="DH171" s="14">
        <v>5</v>
      </c>
      <c r="DI171" s="14">
        <v>0</v>
      </c>
      <c r="DJ171" s="14">
        <v>0</v>
      </c>
      <c r="DK171" s="14">
        <v>0</v>
      </c>
      <c r="DL171" s="14">
        <v>0</v>
      </c>
      <c r="DM171" s="14">
        <v>28</v>
      </c>
      <c r="DN171" s="14">
        <v>0</v>
      </c>
      <c r="DO171" s="14">
        <v>140</v>
      </c>
      <c r="DP171" s="13">
        <f t="shared" si="147"/>
        <v>211</v>
      </c>
      <c r="DR171" t="s">
        <v>140</v>
      </c>
      <c r="DU171" s="20" t="e">
        <f t="shared" si="148"/>
        <v>#REF!</v>
      </c>
    </row>
    <row r="172" spans="1:125" customFormat="1" ht="20.149999999999999" customHeight="1" x14ac:dyDescent="0.35">
      <c r="A172" s="84">
        <f t="shared" si="149"/>
        <v>161</v>
      </c>
      <c r="B172" s="142" t="s">
        <v>141</v>
      </c>
      <c r="C172" s="115" t="s">
        <v>108</v>
      </c>
      <c r="D172" s="109">
        <v>0</v>
      </c>
      <c r="E172" s="110">
        <f>'LPLPO GUDANG'!E175</f>
        <v>0</v>
      </c>
      <c r="F172" s="110">
        <f t="shared" si="100"/>
        <v>0</v>
      </c>
      <c r="G172" s="110">
        <f>'PEMAKAIAN UNIT'!R169</f>
        <v>0</v>
      </c>
      <c r="H172" s="14">
        <v>0</v>
      </c>
      <c r="I172" s="14">
        <v>0</v>
      </c>
      <c r="J172" s="14">
        <v>0</v>
      </c>
      <c r="K172" s="14"/>
      <c r="L172" s="14"/>
      <c r="M172" s="14"/>
      <c r="N172" s="14"/>
      <c r="O172" s="14"/>
      <c r="P172" s="14"/>
      <c r="Q172" s="14"/>
      <c r="R172" s="14"/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09">
        <f t="shared" si="101"/>
        <v>0</v>
      </c>
      <c r="Z172" s="109" t="e">
        <f t="shared" si="102"/>
        <v>#REF!</v>
      </c>
      <c r="AA172" s="109" t="e">
        <f t="shared" si="103"/>
        <v>#REF!</v>
      </c>
      <c r="AB172" s="14">
        <v>0</v>
      </c>
      <c r="AC172" s="109" t="e">
        <f t="shared" si="104"/>
        <v>#REF!</v>
      </c>
      <c r="AD172" s="109">
        <f>'LPLPO GUDANG'!H175</f>
        <v>0</v>
      </c>
      <c r="AE172" s="111" t="e">
        <f t="shared" si="105"/>
        <v>#REF!</v>
      </c>
      <c r="AF172" s="212"/>
      <c r="AG172" s="212"/>
      <c r="AH172" s="20"/>
      <c r="AI172" s="14">
        <f t="shared" si="106"/>
        <v>0</v>
      </c>
      <c r="AJ172" s="209" t="e">
        <f t="shared" si="107"/>
        <v>#REF!</v>
      </c>
      <c r="AL172" s="14">
        <f t="shared" si="108"/>
        <v>0</v>
      </c>
      <c r="AM172" s="14">
        <f>DISTRIBUSI!D170</f>
        <v>0</v>
      </c>
      <c r="AN172" s="14">
        <f>'PEMAKAIAN UNIT'!D169</f>
        <v>0</v>
      </c>
      <c r="AO172" s="14">
        <f t="shared" si="109"/>
        <v>0</v>
      </c>
      <c r="AP172" s="15">
        <f t="shared" si="110"/>
        <v>0</v>
      </c>
      <c r="AQ172" s="14">
        <f t="shared" si="111"/>
        <v>0</v>
      </c>
      <c r="AR172" s="14">
        <f>DISTRIBUSI!E170</f>
        <v>0</v>
      </c>
      <c r="AS172" s="14">
        <f>'PEMAKAIAN UNIT'!E169</f>
        <v>0</v>
      </c>
      <c r="AT172" s="14">
        <f t="shared" si="112"/>
        <v>0</v>
      </c>
      <c r="AU172" s="15">
        <f t="shared" si="113"/>
        <v>0</v>
      </c>
      <c r="AV172" s="14">
        <f t="shared" si="114"/>
        <v>0</v>
      </c>
      <c r="AW172" s="14">
        <f>DISTRIBUSI!F170</f>
        <v>0</v>
      </c>
      <c r="AX172" s="14">
        <f>'PEMAKAIAN UNIT'!F169</f>
        <v>0</v>
      </c>
      <c r="AY172" s="14">
        <f t="shared" si="115"/>
        <v>0</v>
      </c>
      <c r="AZ172" s="15">
        <f t="shared" si="116"/>
        <v>0</v>
      </c>
      <c r="BA172" s="14">
        <f t="shared" si="117"/>
        <v>0</v>
      </c>
      <c r="BB172" s="14">
        <f>DISTRIBUSI!G170</f>
        <v>0</v>
      </c>
      <c r="BC172" s="14">
        <f>'PEMAKAIAN UNIT'!G169</f>
        <v>0</v>
      </c>
      <c r="BD172" s="14">
        <f t="shared" si="118"/>
        <v>0</v>
      </c>
      <c r="BE172" s="15">
        <f t="shared" si="119"/>
        <v>0</v>
      </c>
      <c r="BF172" s="14">
        <f t="shared" si="120"/>
        <v>0</v>
      </c>
      <c r="BG172" s="14">
        <f>DISTRIBUSI!H170</f>
        <v>0</v>
      </c>
      <c r="BH172" s="14">
        <f>'PEMAKAIAN UNIT'!H169</f>
        <v>0</v>
      </c>
      <c r="BI172" s="14">
        <f t="shared" si="121"/>
        <v>0</v>
      </c>
      <c r="BJ172" s="15">
        <f t="shared" si="122"/>
        <v>0</v>
      </c>
      <c r="BK172" s="14">
        <f t="shared" si="123"/>
        <v>0</v>
      </c>
      <c r="BL172" s="14">
        <f>DISTRIBUSI!I170</f>
        <v>0</v>
      </c>
      <c r="BM172" s="14">
        <f>'PEMAKAIAN UNIT'!I169</f>
        <v>0</v>
      </c>
      <c r="BN172" s="14">
        <f t="shared" si="124"/>
        <v>0</v>
      </c>
      <c r="BO172" s="15">
        <f t="shared" si="125"/>
        <v>0</v>
      </c>
      <c r="BP172" s="14">
        <f t="shared" si="126"/>
        <v>0</v>
      </c>
      <c r="BQ172" s="14">
        <f>DISTRIBUSI!J170</f>
        <v>0</v>
      </c>
      <c r="BR172" s="14">
        <f>'PEMAKAIAN UNIT'!J169</f>
        <v>0</v>
      </c>
      <c r="BS172" s="14">
        <f t="shared" si="127"/>
        <v>0</v>
      </c>
      <c r="BT172" s="15">
        <f t="shared" si="128"/>
        <v>0</v>
      </c>
      <c r="BU172" s="14">
        <f t="shared" si="129"/>
        <v>0</v>
      </c>
      <c r="BV172" s="14">
        <f>DISTRIBUSI!K170</f>
        <v>0</v>
      </c>
      <c r="BW172" s="14">
        <f>'PEMAKAIAN UNIT'!K169</f>
        <v>0</v>
      </c>
      <c r="BX172" s="14">
        <f t="shared" si="130"/>
        <v>0</v>
      </c>
      <c r="BY172" s="15">
        <f t="shared" si="131"/>
        <v>0</v>
      </c>
      <c r="BZ172" s="14">
        <f t="shared" si="132"/>
        <v>0</v>
      </c>
      <c r="CA172" s="14">
        <f>DISTRIBUSI!L170</f>
        <v>0</v>
      </c>
      <c r="CB172" s="14">
        <f>'PEMAKAIAN UNIT'!L169</f>
        <v>0</v>
      </c>
      <c r="CC172" s="14">
        <f t="shared" si="133"/>
        <v>0</v>
      </c>
      <c r="CD172" s="15">
        <f t="shared" si="134"/>
        <v>0</v>
      </c>
      <c r="CE172" s="14">
        <f t="shared" si="135"/>
        <v>0</v>
      </c>
      <c r="CF172" s="14">
        <f>DISTRIBUSI!M170</f>
        <v>0</v>
      </c>
      <c r="CG172" s="14">
        <f>'PEMAKAIAN UNIT'!M169</f>
        <v>0</v>
      </c>
      <c r="CH172" s="14">
        <f t="shared" si="136"/>
        <v>0</v>
      </c>
      <c r="CI172" s="15">
        <f t="shared" si="137"/>
        <v>0</v>
      </c>
      <c r="CJ172" s="14">
        <f t="shared" si="138"/>
        <v>0</v>
      </c>
      <c r="CK172" s="14" t="e">
        <f>DISTRIBUSI!#REF!</f>
        <v>#REF!</v>
      </c>
      <c r="CL172" s="14">
        <f>'PEMAKAIAN UNIT'!N169</f>
        <v>0</v>
      </c>
      <c r="CM172" s="14" t="e">
        <f t="shared" si="139"/>
        <v>#REF!</v>
      </c>
      <c r="CN172" s="15" t="e">
        <f t="shared" si="140"/>
        <v>#REF!</v>
      </c>
      <c r="CO172" s="14" t="e">
        <f>DL172+DISTRIBUSI!#REF!-'PEMAKAIAN UNIT'!O169</f>
        <v>#REF!</v>
      </c>
      <c r="CP172" s="15" t="e">
        <f t="shared" si="141"/>
        <v>#REF!</v>
      </c>
      <c r="CQ172" s="226">
        <f t="shared" si="142"/>
        <v>0</v>
      </c>
      <c r="CR172" s="226">
        <f>DISTRIBUSI!R170</f>
        <v>0</v>
      </c>
      <c r="CS172" s="226">
        <f>'PEMAKAIAN UNIT'!P169</f>
        <v>0</v>
      </c>
      <c r="CT172" s="14">
        <f t="shared" si="143"/>
        <v>0</v>
      </c>
      <c r="CU172" s="15">
        <f t="shared" si="144"/>
        <v>0</v>
      </c>
      <c r="CV172" s="14" t="e">
        <f>DN172+DISTRIBUSI!#REF!-'PEMAKAIAN UNIT'!Q169</f>
        <v>#REF!</v>
      </c>
      <c r="CW172" s="15" t="e">
        <f t="shared" si="145"/>
        <v>#REF!</v>
      </c>
      <c r="CX172" s="14">
        <f>DO172+'LPLPO GUDANG'!E175-'LPLPO GUDANG'!G175</f>
        <v>0</v>
      </c>
      <c r="CY172" s="15">
        <f t="shared" si="146"/>
        <v>0</v>
      </c>
      <c r="CZ172" s="28"/>
      <c r="DA172" s="14"/>
      <c r="DB172" s="14"/>
      <c r="DC172" s="14">
        <v>0</v>
      </c>
      <c r="DD172" s="14">
        <v>0</v>
      </c>
      <c r="DE172" s="14">
        <v>0</v>
      </c>
      <c r="DF172" s="14">
        <v>0</v>
      </c>
      <c r="DG172" s="14">
        <v>0</v>
      </c>
      <c r="DH172" s="14">
        <v>0</v>
      </c>
      <c r="DI172" s="14">
        <v>0</v>
      </c>
      <c r="DJ172" s="14">
        <v>0</v>
      </c>
      <c r="DK172" s="14">
        <v>0</v>
      </c>
      <c r="DL172" s="14">
        <v>0</v>
      </c>
      <c r="DM172" s="14">
        <v>0</v>
      </c>
      <c r="DN172" s="14">
        <v>0</v>
      </c>
      <c r="DO172" s="14">
        <v>0</v>
      </c>
      <c r="DP172" s="13">
        <f t="shared" si="147"/>
        <v>0</v>
      </c>
      <c r="DR172" t="s">
        <v>141</v>
      </c>
      <c r="DU172" s="20" t="e">
        <f t="shared" si="148"/>
        <v>#REF!</v>
      </c>
    </row>
    <row r="173" spans="1:125" customFormat="1" ht="20.149999999999999" customHeight="1" x14ac:dyDescent="0.35">
      <c r="A173" s="84">
        <f t="shared" si="149"/>
        <v>162</v>
      </c>
      <c r="B173" s="142" t="s">
        <v>144</v>
      </c>
      <c r="C173" s="121" t="s">
        <v>108</v>
      </c>
      <c r="D173" s="109">
        <v>0</v>
      </c>
      <c r="E173" s="110">
        <f>'LPLPO GUDANG'!E176</f>
        <v>0</v>
      </c>
      <c r="F173" s="110">
        <f t="shared" si="100"/>
        <v>0</v>
      </c>
      <c r="G173" s="110">
        <f>'PEMAKAIAN UNIT'!R170</f>
        <v>0</v>
      </c>
      <c r="H173" s="14">
        <v>0</v>
      </c>
      <c r="I173" s="14">
        <v>0</v>
      </c>
      <c r="J173" s="14">
        <v>0</v>
      </c>
      <c r="K173" s="14"/>
      <c r="L173" s="14"/>
      <c r="M173" s="14"/>
      <c r="N173" s="14"/>
      <c r="O173" s="14"/>
      <c r="P173" s="14"/>
      <c r="Q173" s="14"/>
      <c r="R173" s="14"/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09">
        <f t="shared" si="101"/>
        <v>0</v>
      </c>
      <c r="Z173" s="109" t="e">
        <f t="shared" si="102"/>
        <v>#REF!</v>
      </c>
      <c r="AA173" s="109" t="e">
        <f t="shared" si="103"/>
        <v>#REF!</v>
      </c>
      <c r="AB173" s="14">
        <v>0</v>
      </c>
      <c r="AC173" s="109" t="e">
        <f t="shared" si="104"/>
        <v>#REF!</v>
      </c>
      <c r="AD173" s="109">
        <f>'LPLPO GUDANG'!H176</f>
        <v>400</v>
      </c>
      <c r="AE173" s="111" t="e">
        <f t="shared" si="105"/>
        <v>#REF!</v>
      </c>
      <c r="AF173" s="212"/>
      <c r="AG173" s="212"/>
      <c r="AH173" s="20"/>
      <c r="AI173" s="14">
        <f t="shared" si="106"/>
        <v>0</v>
      </c>
      <c r="AJ173" s="209" t="e">
        <f t="shared" si="107"/>
        <v>#REF!</v>
      </c>
      <c r="AL173" s="14">
        <f t="shared" si="108"/>
        <v>0</v>
      </c>
      <c r="AM173" s="14">
        <f>DISTRIBUSI!D171</f>
        <v>0</v>
      </c>
      <c r="AN173" s="14">
        <f>'PEMAKAIAN UNIT'!D170</f>
        <v>0</v>
      </c>
      <c r="AO173" s="14">
        <f t="shared" si="109"/>
        <v>0</v>
      </c>
      <c r="AP173" s="15">
        <f t="shared" si="110"/>
        <v>0</v>
      </c>
      <c r="AQ173" s="14">
        <f t="shared" si="111"/>
        <v>0</v>
      </c>
      <c r="AR173" s="14">
        <f>DISTRIBUSI!E171</f>
        <v>0</v>
      </c>
      <c r="AS173" s="14">
        <f>'PEMAKAIAN UNIT'!E170</f>
        <v>0</v>
      </c>
      <c r="AT173" s="14">
        <f t="shared" si="112"/>
        <v>0</v>
      </c>
      <c r="AU173" s="15">
        <f t="shared" si="113"/>
        <v>0</v>
      </c>
      <c r="AV173" s="14">
        <f t="shared" si="114"/>
        <v>0</v>
      </c>
      <c r="AW173" s="14">
        <f>DISTRIBUSI!F171</f>
        <v>0</v>
      </c>
      <c r="AX173" s="14">
        <f>'PEMAKAIAN UNIT'!F170</f>
        <v>0</v>
      </c>
      <c r="AY173" s="14">
        <f t="shared" si="115"/>
        <v>0</v>
      </c>
      <c r="AZ173" s="15">
        <f t="shared" si="116"/>
        <v>0</v>
      </c>
      <c r="BA173" s="14">
        <f t="shared" si="117"/>
        <v>0</v>
      </c>
      <c r="BB173" s="14">
        <f>DISTRIBUSI!G171</f>
        <v>0</v>
      </c>
      <c r="BC173" s="14">
        <f>'PEMAKAIAN UNIT'!G170</f>
        <v>0</v>
      </c>
      <c r="BD173" s="14">
        <f t="shared" si="118"/>
        <v>0</v>
      </c>
      <c r="BE173" s="15">
        <f t="shared" si="119"/>
        <v>0</v>
      </c>
      <c r="BF173" s="14">
        <f t="shared" si="120"/>
        <v>0</v>
      </c>
      <c r="BG173" s="14">
        <f>DISTRIBUSI!H171</f>
        <v>0</v>
      </c>
      <c r="BH173" s="14">
        <f>'PEMAKAIAN UNIT'!H170</f>
        <v>0</v>
      </c>
      <c r="BI173" s="14">
        <f t="shared" si="121"/>
        <v>0</v>
      </c>
      <c r="BJ173" s="15">
        <f t="shared" si="122"/>
        <v>0</v>
      </c>
      <c r="BK173" s="14">
        <f t="shared" si="123"/>
        <v>0</v>
      </c>
      <c r="BL173" s="14">
        <f>DISTRIBUSI!I171</f>
        <v>0</v>
      </c>
      <c r="BM173" s="14">
        <f>'PEMAKAIAN UNIT'!I170</f>
        <v>0</v>
      </c>
      <c r="BN173" s="14">
        <f t="shared" si="124"/>
        <v>0</v>
      </c>
      <c r="BO173" s="15">
        <f t="shared" si="125"/>
        <v>0</v>
      </c>
      <c r="BP173" s="14">
        <f t="shared" si="126"/>
        <v>0</v>
      </c>
      <c r="BQ173" s="14">
        <f>DISTRIBUSI!J171</f>
        <v>0</v>
      </c>
      <c r="BR173" s="14">
        <f>'PEMAKAIAN UNIT'!J170</f>
        <v>0</v>
      </c>
      <c r="BS173" s="14">
        <f t="shared" si="127"/>
        <v>0</v>
      </c>
      <c r="BT173" s="15">
        <f t="shared" si="128"/>
        <v>0</v>
      </c>
      <c r="BU173" s="14">
        <f t="shared" si="129"/>
        <v>0</v>
      </c>
      <c r="BV173" s="14">
        <f>DISTRIBUSI!K171</f>
        <v>0</v>
      </c>
      <c r="BW173" s="14">
        <f>'PEMAKAIAN UNIT'!K170</f>
        <v>0</v>
      </c>
      <c r="BX173" s="14">
        <f t="shared" si="130"/>
        <v>0</v>
      </c>
      <c r="BY173" s="15">
        <f t="shared" si="131"/>
        <v>0</v>
      </c>
      <c r="BZ173" s="14">
        <f t="shared" si="132"/>
        <v>0</v>
      </c>
      <c r="CA173" s="14">
        <f>DISTRIBUSI!L171</f>
        <v>0</v>
      </c>
      <c r="CB173" s="14">
        <f>'PEMAKAIAN UNIT'!L170</f>
        <v>0</v>
      </c>
      <c r="CC173" s="14">
        <f t="shared" si="133"/>
        <v>0</v>
      </c>
      <c r="CD173" s="15">
        <f t="shared" si="134"/>
        <v>0</v>
      </c>
      <c r="CE173" s="14">
        <f t="shared" si="135"/>
        <v>0</v>
      </c>
      <c r="CF173" s="14">
        <f>DISTRIBUSI!M171</f>
        <v>0</v>
      </c>
      <c r="CG173" s="14">
        <f>'PEMAKAIAN UNIT'!M170</f>
        <v>0</v>
      </c>
      <c r="CH173" s="14">
        <f t="shared" si="136"/>
        <v>0</v>
      </c>
      <c r="CI173" s="15">
        <f t="shared" si="137"/>
        <v>0</v>
      </c>
      <c r="CJ173" s="14">
        <f t="shared" si="138"/>
        <v>0</v>
      </c>
      <c r="CK173" s="14" t="e">
        <f>DISTRIBUSI!#REF!</f>
        <v>#REF!</v>
      </c>
      <c r="CL173" s="14">
        <f>'PEMAKAIAN UNIT'!N170</f>
        <v>0</v>
      </c>
      <c r="CM173" s="14" t="e">
        <f t="shared" si="139"/>
        <v>#REF!</v>
      </c>
      <c r="CN173" s="15" t="e">
        <f t="shared" si="140"/>
        <v>#REF!</v>
      </c>
      <c r="CO173" s="14" t="e">
        <f>DL173+DISTRIBUSI!#REF!-'PEMAKAIAN UNIT'!O170</f>
        <v>#REF!</v>
      </c>
      <c r="CP173" s="15" t="e">
        <f t="shared" si="141"/>
        <v>#REF!</v>
      </c>
      <c r="CQ173" s="226">
        <f t="shared" si="142"/>
        <v>0</v>
      </c>
      <c r="CR173" s="226">
        <f>DISTRIBUSI!R171</f>
        <v>0</v>
      </c>
      <c r="CS173" s="226">
        <f>'PEMAKAIAN UNIT'!P170</f>
        <v>0</v>
      </c>
      <c r="CT173" s="14">
        <f t="shared" si="143"/>
        <v>0</v>
      </c>
      <c r="CU173" s="15">
        <f t="shared" si="144"/>
        <v>0</v>
      </c>
      <c r="CV173" s="14" t="e">
        <f>DN173+DISTRIBUSI!#REF!-'PEMAKAIAN UNIT'!Q170</f>
        <v>#REF!</v>
      </c>
      <c r="CW173" s="15" t="e">
        <f t="shared" si="145"/>
        <v>#REF!</v>
      </c>
      <c r="CX173" s="14">
        <f>DO173+'LPLPO GUDANG'!E176-'LPLPO GUDANG'!G176</f>
        <v>-200</v>
      </c>
      <c r="CY173" s="15">
        <f t="shared" si="146"/>
        <v>-600</v>
      </c>
      <c r="CZ173" s="28"/>
      <c r="DA173" s="14"/>
      <c r="DB173" s="14"/>
      <c r="DC173" s="14">
        <v>0</v>
      </c>
      <c r="DD173" s="14">
        <v>0</v>
      </c>
      <c r="DE173" s="14">
        <v>0</v>
      </c>
      <c r="DF173" s="14"/>
      <c r="DG173" s="14">
        <v>0</v>
      </c>
      <c r="DH173" s="14">
        <v>0</v>
      </c>
      <c r="DI173" s="14">
        <v>0</v>
      </c>
      <c r="DJ173" s="14">
        <v>0</v>
      </c>
      <c r="DK173" s="14">
        <v>0</v>
      </c>
      <c r="DL173" s="14">
        <v>0</v>
      </c>
      <c r="DM173" s="14">
        <v>0</v>
      </c>
      <c r="DN173" s="14">
        <v>0</v>
      </c>
      <c r="DO173" s="14">
        <v>0</v>
      </c>
      <c r="DP173" s="13">
        <f t="shared" si="147"/>
        <v>0</v>
      </c>
      <c r="DR173" t="s">
        <v>144</v>
      </c>
      <c r="DU173" s="20" t="e">
        <f t="shared" si="148"/>
        <v>#REF!</v>
      </c>
    </row>
    <row r="174" spans="1:125" customFormat="1" ht="20.149999999999999" customHeight="1" x14ac:dyDescent="0.35">
      <c r="A174" s="84">
        <f t="shared" si="149"/>
        <v>163</v>
      </c>
      <c r="B174" s="142" t="s">
        <v>143</v>
      </c>
      <c r="C174" s="121" t="s">
        <v>108</v>
      </c>
      <c r="D174" s="109">
        <v>0</v>
      </c>
      <c r="E174" s="110">
        <f>'LPLPO GUDANG'!E177</f>
        <v>1500</v>
      </c>
      <c r="F174" s="110">
        <f t="shared" si="100"/>
        <v>1500</v>
      </c>
      <c r="G174" s="110">
        <f>'PEMAKAIAN UNIT'!R171</f>
        <v>0</v>
      </c>
      <c r="H174" s="14">
        <v>100</v>
      </c>
      <c r="I174" s="14">
        <v>0</v>
      </c>
      <c r="J174" s="14">
        <v>0</v>
      </c>
      <c r="K174" s="14"/>
      <c r="L174" s="14"/>
      <c r="M174" s="14"/>
      <c r="N174" s="14"/>
      <c r="O174" s="14"/>
      <c r="P174" s="14"/>
      <c r="Q174" s="14"/>
      <c r="R174" s="14"/>
      <c r="S174" s="14">
        <v>180</v>
      </c>
      <c r="T174" s="14">
        <v>0</v>
      </c>
      <c r="U174" s="14">
        <v>100</v>
      </c>
      <c r="V174" s="14">
        <v>0</v>
      </c>
      <c r="W174" s="14">
        <v>0</v>
      </c>
      <c r="X174" s="14">
        <v>0</v>
      </c>
      <c r="Y174" s="109">
        <f t="shared" si="101"/>
        <v>0</v>
      </c>
      <c r="Z174" s="109" t="e">
        <f t="shared" si="102"/>
        <v>#REF!</v>
      </c>
      <c r="AA174" s="109" t="e">
        <f t="shared" si="103"/>
        <v>#REF!</v>
      </c>
      <c r="AB174" s="14">
        <v>400</v>
      </c>
      <c r="AC174" s="109" t="e">
        <f t="shared" si="104"/>
        <v>#REF!</v>
      </c>
      <c r="AD174" s="109">
        <f>'LPLPO GUDANG'!H177</f>
        <v>0</v>
      </c>
      <c r="AE174" s="111" t="e">
        <f t="shared" si="105"/>
        <v>#REF!</v>
      </c>
      <c r="AF174" s="212"/>
      <c r="AG174" s="212"/>
      <c r="AH174" s="20"/>
      <c r="AI174" s="14">
        <f t="shared" si="106"/>
        <v>1500</v>
      </c>
      <c r="AJ174" s="209" t="e">
        <f t="shared" si="107"/>
        <v>#REF!</v>
      </c>
      <c r="AL174" s="14">
        <f t="shared" si="108"/>
        <v>0</v>
      </c>
      <c r="AM174" s="14">
        <f>DISTRIBUSI!D172</f>
        <v>0</v>
      </c>
      <c r="AN174" s="14">
        <f>'PEMAKAIAN UNIT'!D171</f>
        <v>0</v>
      </c>
      <c r="AO174" s="14">
        <f t="shared" si="109"/>
        <v>0</v>
      </c>
      <c r="AP174" s="15">
        <f t="shared" si="110"/>
        <v>-100</v>
      </c>
      <c r="AQ174" s="14">
        <f t="shared" si="111"/>
        <v>100</v>
      </c>
      <c r="AR174" s="14">
        <f>DISTRIBUSI!E172</f>
        <v>0</v>
      </c>
      <c r="AS174" s="14">
        <f>'PEMAKAIAN UNIT'!E171</f>
        <v>0</v>
      </c>
      <c r="AT174" s="14">
        <f t="shared" si="112"/>
        <v>100</v>
      </c>
      <c r="AU174" s="15">
        <f t="shared" si="113"/>
        <v>100</v>
      </c>
      <c r="AV174" s="14">
        <f t="shared" si="114"/>
        <v>0</v>
      </c>
      <c r="AW174" s="14">
        <f>DISTRIBUSI!F172</f>
        <v>0</v>
      </c>
      <c r="AX174" s="14">
        <f>'PEMAKAIAN UNIT'!F171</f>
        <v>0</v>
      </c>
      <c r="AY174" s="14">
        <f t="shared" si="115"/>
        <v>0</v>
      </c>
      <c r="AZ174" s="15">
        <f t="shared" si="116"/>
        <v>0</v>
      </c>
      <c r="BA174" s="14">
        <f t="shared" si="117"/>
        <v>200</v>
      </c>
      <c r="BB174" s="14">
        <f>DISTRIBUSI!G172</f>
        <v>0</v>
      </c>
      <c r="BC174" s="14">
        <f>'PEMAKAIAN UNIT'!G171</f>
        <v>0</v>
      </c>
      <c r="BD174" s="14">
        <f t="shared" si="118"/>
        <v>200</v>
      </c>
      <c r="BE174" s="15">
        <f t="shared" si="119"/>
        <v>20</v>
      </c>
      <c r="BF174" s="14">
        <f t="shared" si="120"/>
        <v>300</v>
      </c>
      <c r="BG174" s="14">
        <f>DISTRIBUSI!H172</f>
        <v>0</v>
      </c>
      <c r="BH174" s="14">
        <f>'PEMAKAIAN UNIT'!H171</f>
        <v>0</v>
      </c>
      <c r="BI174" s="14">
        <f t="shared" si="121"/>
        <v>300</v>
      </c>
      <c r="BJ174" s="15">
        <f t="shared" si="122"/>
        <v>300</v>
      </c>
      <c r="BK174" s="14">
        <f t="shared" si="123"/>
        <v>0</v>
      </c>
      <c r="BL174" s="14">
        <f>DISTRIBUSI!I172</f>
        <v>0</v>
      </c>
      <c r="BM174" s="14">
        <f>'PEMAKAIAN UNIT'!I171</f>
        <v>0</v>
      </c>
      <c r="BN174" s="14">
        <f t="shared" si="124"/>
        <v>0</v>
      </c>
      <c r="BO174" s="15">
        <f t="shared" si="125"/>
        <v>-100</v>
      </c>
      <c r="BP174" s="14">
        <f t="shared" si="126"/>
        <v>0</v>
      </c>
      <c r="BQ174" s="14">
        <f>DISTRIBUSI!J172</f>
        <v>0</v>
      </c>
      <c r="BR174" s="14">
        <f>'PEMAKAIAN UNIT'!J171</f>
        <v>0</v>
      </c>
      <c r="BS174" s="14">
        <f t="shared" si="127"/>
        <v>0</v>
      </c>
      <c r="BT174" s="15">
        <f t="shared" si="128"/>
        <v>0</v>
      </c>
      <c r="BU174" s="14">
        <f t="shared" si="129"/>
        <v>0</v>
      </c>
      <c r="BV174" s="14">
        <f>DISTRIBUSI!K172</f>
        <v>0</v>
      </c>
      <c r="BW174" s="14">
        <f>'PEMAKAIAN UNIT'!K171</f>
        <v>0</v>
      </c>
      <c r="BX174" s="14">
        <f t="shared" si="130"/>
        <v>0</v>
      </c>
      <c r="BY174" s="15">
        <f t="shared" si="131"/>
        <v>0</v>
      </c>
      <c r="BZ174" s="14">
        <f t="shared" si="132"/>
        <v>0</v>
      </c>
      <c r="CA174" s="14">
        <f>DISTRIBUSI!L172</f>
        <v>0</v>
      </c>
      <c r="CB174" s="14">
        <f>'PEMAKAIAN UNIT'!L171</f>
        <v>0</v>
      </c>
      <c r="CC174" s="14">
        <f t="shared" si="133"/>
        <v>0</v>
      </c>
      <c r="CD174" s="15">
        <f t="shared" si="134"/>
        <v>0</v>
      </c>
      <c r="CE174" s="14">
        <f t="shared" si="135"/>
        <v>0</v>
      </c>
      <c r="CF174" s="14">
        <f>DISTRIBUSI!M172</f>
        <v>0</v>
      </c>
      <c r="CG174" s="14">
        <f>'PEMAKAIAN UNIT'!M171</f>
        <v>0</v>
      </c>
      <c r="CH174" s="14">
        <f t="shared" si="136"/>
        <v>0</v>
      </c>
      <c r="CI174" s="15">
        <f t="shared" si="137"/>
        <v>0</v>
      </c>
      <c r="CJ174" s="14">
        <f t="shared" si="138"/>
        <v>0</v>
      </c>
      <c r="CK174" s="14" t="e">
        <f>DISTRIBUSI!#REF!</f>
        <v>#REF!</v>
      </c>
      <c r="CL174" s="14">
        <f>'PEMAKAIAN UNIT'!N171</f>
        <v>0</v>
      </c>
      <c r="CM174" s="14" t="e">
        <f t="shared" si="139"/>
        <v>#REF!</v>
      </c>
      <c r="CN174" s="15" t="e">
        <f t="shared" si="140"/>
        <v>#REF!</v>
      </c>
      <c r="CO174" s="14" t="e">
        <f>DL174+DISTRIBUSI!#REF!-'PEMAKAIAN UNIT'!O171</f>
        <v>#REF!</v>
      </c>
      <c r="CP174" s="15" t="e">
        <f t="shared" si="141"/>
        <v>#REF!</v>
      </c>
      <c r="CQ174" s="226">
        <f t="shared" si="142"/>
        <v>1100</v>
      </c>
      <c r="CR174" s="226">
        <f>DISTRIBUSI!R172</f>
        <v>0</v>
      </c>
      <c r="CS174" s="226">
        <f>'PEMAKAIAN UNIT'!P171</f>
        <v>0</v>
      </c>
      <c r="CT174" s="14">
        <f t="shared" si="143"/>
        <v>1100</v>
      </c>
      <c r="CU174" s="15">
        <f t="shared" si="144"/>
        <v>700</v>
      </c>
      <c r="CV174" s="14" t="e">
        <f>DN174+DISTRIBUSI!#REF!-'PEMAKAIAN UNIT'!Q171</f>
        <v>#REF!</v>
      </c>
      <c r="CW174" s="15" t="e">
        <f t="shared" si="145"/>
        <v>#REF!</v>
      </c>
      <c r="CX174" s="14">
        <f>DO174+'LPLPO GUDANG'!E177-'LPLPO GUDANG'!G177</f>
        <v>0</v>
      </c>
      <c r="CY174" s="15">
        <f t="shared" si="146"/>
        <v>0</v>
      </c>
      <c r="CZ174" s="28"/>
      <c r="DA174" s="14"/>
      <c r="DB174" s="14">
        <v>100</v>
      </c>
      <c r="DC174" s="14">
        <v>0</v>
      </c>
      <c r="DD174" s="14">
        <v>200</v>
      </c>
      <c r="DE174" s="14">
        <v>300</v>
      </c>
      <c r="DF174" s="14">
        <v>0</v>
      </c>
      <c r="DG174" s="14">
        <v>0</v>
      </c>
      <c r="DH174" s="14">
        <v>0</v>
      </c>
      <c r="DI174" s="14">
        <v>0</v>
      </c>
      <c r="DJ174" s="14">
        <v>0</v>
      </c>
      <c r="DK174" s="14">
        <v>0</v>
      </c>
      <c r="DL174" s="14">
        <v>0</v>
      </c>
      <c r="DM174" s="14">
        <v>1100</v>
      </c>
      <c r="DN174" s="14">
        <v>0</v>
      </c>
      <c r="DO174" s="14">
        <v>0</v>
      </c>
      <c r="DP174" s="13">
        <f t="shared" si="147"/>
        <v>1700</v>
      </c>
      <c r="DR174" t="s">
        <v>143</v>
      </c>
      <c r="DU174" s="20" t="e">
        <f t="shared" si="148"/>
        <v>#REF!</v>
      </c>
    </row>
    <row r="175" spans="1:125" customFormat="1" ht="20.149999999999999" customHeight="1" x14ac:dyDescent="0.35">
      <c r="A175" s="84">
        <f t="shared" si="149"/>
        <v>164</v>
      </c>
      <c r="B175" s="142" t="s">
        <v>142</v>
      </c>
      <c r="C175" s="126" t="s">
        <v>108</v>
      </c>
      <c r="D175" s="109">
        <v>0</v>
      </c>
      <c r="E175" s="110">
        <f>'LPLPO GUDANG'!E178</f>
        <v>1500</v>
      </c>
      <c r="F175" s="110">
        <f t="shared" si="100"/>
        <v>1500</v>
      </c>
      <c r="G175" s="110">
        <f>'PEMAKAIAN UNIT'!R172</f>
        <v>0</v>
      </c>
      <c r="H175" s="14">
        <v>68</v>
      </c>
      <c r="I175" s="14">
        <v>100</v>
      </c>
      <c r="J175" s="14">
        <v>0</v>
      </c>
      <c r="K175" s="14"/>
      <c r="L175" s="14"/>
      <c r="M175" s="14"/>
      <c r="N175" s="14"/>
      <c r="O175" s="14"/>
      <c r="P175" s="14"/>
      <c r="Q175" s="14"/>
      <c r="R175" s="14"/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152</v>
      </c>
      <c r="Y175" s="109">
        <f t="shared" si="101"/>
        <v>0</v>
      </c>
      <c r="Z175" s="109" t="e">
        <f t="shared" si="102"/>
        <v>#REF!</v>
      </c>
      <c r="AA175" s="109" t="e">
        <f t="shared" si="103"/>
        <v>#REF!</v>
      </c>
      <c r="AB175" s="14">
        <v>1400</v>
      </c>
      <c r="AC175" s="109" t="e">
        <f t="shared" si="104"/>
        <v>#REF!</v>
      </c>
      <c r="AD175" s="109">
        <f>'LPLPO GUDANG'!H178</f>
        <v>0</v>
      </c>
      <c r="AE175" s="111" t="e">
        <f t="shared" si="105"/>
        <v>#REF!</v>
      </c>
      <c r="AF175" s="212"/>
      <c r="AG175" s="212"/>
      <c r="AH175" s="20"/>
      <c r="AI175" s="14">
        <f t="shared" si="106"/>
        <v>1500</v>
      </c>
      <c r="AJ175" s="209" t="e">
        <f t="shared" si="107"/>
        <v>#REF!</v>
      </c>
      <c r="AL175" s="14">
        <f t="shared" si="108"/>
        <v>80</v>
      </c>
      <c r="AM175" s="14">
        <f>DISTRIBUSI!D173</f>
        <v>0</v>
      </c>
      <c r="AN175" s="14">
        <f>'PEMAKAIAN UNIT'!D172</f>
        <v>0</v>
      </c>
      <c r="AO175" s="14">
        <f t="shared" si="109"/>
        <v>80</v>
      </c>
      <c r="AP175" s="15">
        <f t="shared" si="110"/>
        <v>12</v>
      </c>
      <c r="AQ175" s="14">
        <f t="shared" si="111"/>
        <v>100</v>
      </c>
      <c r="AR175" s="14">
        <f>DISTRIBUSI!E173</f>
        <v>0</v>
      </c>
      <c r="AS175" s="14">
        <f>'PEMAKAIAN UNIT'!E172</f>
        <v>0</v>
      </c>
      <c r="AT175" s="14">
        <f t="shared" si="112"/>
        <v>100</v>
      </c>
      <c r="AU175" s="15">
        <f t="shared" si="113"/>
        <v>0</v>
      </c>
      <c r="AV175" s="14">
        <f t="shared" si="114"/>
        <v>0</v>
      </c>
      <c r="AW175" s="14">
        <f>DISTRIBUSI!F173</f>
        <v>0</v>
      </c>
      <c r="AX175" s="14">
        <f>'PEMAKAIAN UNIT'!F172</f>
        <v>0</v>
      </c>
      <c r="AY175" s="14">
        <f t="shared" si="115"/>
        <v>0</v>
      </c>
      <c r="AZ175" s="15">
        <f t="shared" si="116"/>
        <v>0</v>
      </c>
      <c r="BA175" s="14">
        <f t="shared" si="117"/>
        <v>0</v>
      </c>
      <c r="BB175" s="14">
        <f>DISTRIBUSI!G173</f>
        <v>0</v>
      </c>
      <c r="BC175" s="14">
        <f>'PEMAKAIAN UNIT'!G172</f>
        <v>0</v>
      </c>
      <c r="BD175" s="14">
        <f t="shared" si="118"/>
        <v>0</v>
      </c>
      <c r="BE175" s="15">
        <f t="shared" si="119"/>
        <v>0</v>
      </c>
      <c r="BF175" s="14">
        <f t="shared" si="120"/>
        <v>0</v>
      </c>
      <c r="BG175" s="14">
        <f>DISTRIBUSI!H173</f>
        <v>0</v>
      </c>
      <c r="BH175" s="14">
        <f>'PEMAKAIAN UNIT'!H172</f>
        <v>0</v>
      </c>
      <c r="BI175" s="14">
        <f t="shared" si="121"/>
        <v>0</v>
      </c>
      <c r="BJ175" s="15">
        <f t="shared" si="122"/>
        <v>0</v>
      </c>
      <c r="BK175" s="14">
        <f t="shared" si="123"/>
        <v>0</v>
      </c>
      <c r="BL175" s="14">
        <f>DISTRIBUSI!I173</f>
        <v>0</v>
      </c>
      <c r="BM175" s="14">
        <f>'PEMAKAIAN UNIT'!I172</f>
        <v>0</v>
      </c>
      <c r="BN175" s="14">
        <f t="shared" si="124"/>
        <v>0</v>
      </c>
      <c r="BO175" s="15">
        <f t="shared" si="125"/>
        <v>0</v>
      </c>
      <c r="BP175" s="14">
        <f t="shared" si="126"/>
        <v>0</v>
      </c>
      <c r="BQ175" s="14">
        <f>DISTRIBUSI!J173</f>
        <v>0</v>
      </c>
      <c r="BR175" s="14">
        <f>'PEMAKAIAN UNIT'!J172</f>
        <v>0</v>
      </c>
      <c r="BS175" s="14">
        <f t="shared" si="127"/>
        <v>0</v>
      </c>
      <c r="BT175" s="15">
        <f t="shared" si="128"/>
        <v>0</v>
      </c>
      <c r="BU175" s="14">
        <f t="shared" si="129"/>
        <v>0</v>
      </c>
      <c r="BV175" s="14">
        <f>DISTRIBUSI!K173</f>
        <v>0</v>
      </c>
      <c r="BW175" s="14">
        <f>'PEMAKAIAN UNIT'!K172</f>
        <v>0</v>
      </c>
      <c r="BX175" s="14">
        <f t="shared" si="130"/>
        <v>0</v>
      </c>
      <c r="BY175" s="15">
        <f t="shared" si="131"/>
        <v>0</v>
      </c>
      <c r="BZ175" s="14">
        <f t="shared" si="132"/>
        <v>158</v>
      </c>
      <c r="CA175" s="14">
        <f>DISTRIBUSI!L173</f>
        <v>0</v>
      </c>
      <c r="CB175" s="14">
        <f>'PEMAKAIAN UNIT'!L172</f>
        <v>0</v>
      </c>
      <c r="CC175" s="14">
        <f t="shared" si="133"/>
        <v>158</v>
      </c>
      <c r="CD175" s="15">
        <f t="shared" si="134"/>
        <v>6</v>
      </c>
      <c r="CE175" s="14">
        <f t="shared" si="135"/>
        <v>0</v>
      </c>
      <c r="CF175" s="14">
        <f>DISTRIBUSI!M173</f>
        <v>0</v>
      </c>
      <c r="CG175" s="14">
        <f>'PEMAKAIAN UNIT'!M172</f>
        <v>0</v>
      </c>
      <c r="CH175" s="14">
        <f t="shared" si="136"/>
        <v>0</v>
      </c>
      <c r="CI175" s="15">
        <f t="shared" si="137"/>
        <v>0</v>
      </c>
      <c r="CJ175" s="14">
        <f t="shared" si="138"/>
        <v>0</v>
      </c>
      <c r="CK175" s="14" t="e">
        <f>DISTRIBUSI!#REF!</f>
        <v>#REF!</v>
      </c>
      <c r="CL175" s="14">
        <f>'PEMAKAIAN UNIT'!N172</f>
        <v>0</v>
      </c>
      <c r="CM175" s="14" t="e">
        <f t="shared" si="139"/>
        <v>#REF!</v>
      </c>
      <c r="CN175" s="15" t="e">
        <f t="shared" si="140"/>
        <v>#REF!</v>
      </c>
      <c r="CO175" s="14" t="e">
        <f>DL175+DISTRIBUSI!#REF!-'PEMAKAIAN UNIT'!O172</f>
        <v>#REF!</v>
      </c>
      <c r="CP175" s="15" t="e">
        <f t="shared" si="141"/>
        <v>#REF!</v>
      </c>
      <c r="CQ175" s="226">
        <f t="shared" si="142"/>
        <v>1600</v>
      </c>
      <c r="CR175" s="226">
        <f>DISTRIBUSI!R173</f>
        <v>0</v>
      </c>
      <c r="CS175" s="226">
        <f>'PEMAKAIAN UNIT'!P172</f>
        <v>0</v>
      </c>
      <c r="CT175" s="14">
        <f t="shared" si="143"/>
        <v>1600</v>
      </c>
      <c r="CU175" s="15">
        <f t="shared" si="144"/>
        <v>200</v>
      </c>
      <c r="CV175" s="14" t="e">
        <f>DN175+DISTRIBUSI!#REF!-'PEMAKAIAN UNIT'!Q172</f>
        <v>#REF!</v>
      </c>
      <c r="CW175" s="15" t="e">
        <f t="shared" si="145"/>
        <v>#REF!</v>
      </c>
      <c r="CX175" s="14">
        <f>DO175+'LPLPO GUDANG'!E178-'LPLPO GUDANG'!G178</f>
        <v>1200</v>
      </c>
      <c r="CY175" s="15">
        <f t="shared" si="146"/>
        <v>1200</v>
      </c>
      <c r="CZ175" s="28"/>
      <c r="DA175" s="14">
        <v>80</v>
      </c>
      <c r="DB175" s="14">
        <v>100</v>
      </c>
      <c r="DC175" s="14">
        <v>0</v>
      </c>
      <c r="DD175" s="14">
        <v>0</v>
      </c>
      <c r="DE175" s="14">
        <v>0</v>
      </c>
      <c r="DF175" s="14"/>
      <c r="DG175" s="14">
        <v>0</v>
      </c>
      <c r="DH175" s="14">
        <v>0</v>
      </c>
      <c r="DI175" s="14">
        <v>158</v>
      </c>
      <c r="DJ175" s="14">
        <v>0</v>
      </c>
      <c r="DK175" s="14">
        <v>0</v>
      </c>
      <c r="DL175" s="14">
        <v>0</v>
      </c>
      <c r="DM175" s="14">
        <v>1600</v>
      </c>
      <c r="DN175" s="14">
        <v>0</v>
      </c>
      <c r="DO175" s="14">
        <v>1200</v>
      </c>
      <c r="DP175" s="13">
        <f t="shared" si="147"/>
        <v>3138</v>
      </c>
      <c r="DR175" t="s">
        <v>142</v>
      </c>
      <c r="DU175" s="20" t="e">
        <f t="shared" si="148"/>
        <v>#REF!</v>
      </c>
    </row>
    <row r="176" spans="1:125" customFormat="1" ht="20.149999999999999" customHeight="1" x14ac:dyDescent="0.35">
      <c r="A176" s="84">
        <f t="shared" si="149"/>
        <v>165</v>
      </c>
      <c r="B176" s="142" t="s">
        <v>145</v>
      </c>
      <c r="C176" s="121" t="s">
        <v>212</v>
      </c>
      <c r="D176" s="109">
        <v>0</v>
      </c>
      <c r="E176" s="110">
        <f>'LPLPO GUDANG'!E179</f>
        <v>1000</v>
      </c>
      <c r="F176" s="110">
        <f t="shared" si="100"/>
        <v>1000</v>
      </c>
      <c r="G176" s="110">
        <f>'PEMAKAIAN UNIT'!R173</f>
        <v>0</v>
      </c>
      <c r="H176" s="14">
        <v>0</v>
      </c>
      <c r="I176" s="14">
        <v>0</v>
      </c>
      <c r="J176" s="14">
        <v>0</v>
      </c>
      <c r="K176" s="14"/>
      <c r="L176" s="14"/>
      <c r="M176" s="14"/>
      <c r="N176" s="14"/>
      <c r="O176" s="14"/>
      <c r="P176" s="14"/>
      <c r="Q176" s="14"/>
      <c r="R176" s="14"/>
      <c r="S176" s="14">
        <v>35</v>
      </c>
      <c r="T176" s="14">
        <v>0</v>
      </c>
      <c r="U176" s="14">
        <v>50</v>
      </c>
      <c r="V176" s="14">
        <v>0</v>
      </c>
      <c r="W176" s="14">
        <v>0</v>
      </c>
      <c r="X176" s="14">
        <v>30</v>
      </c>
      <c r="Y176" s="109">
        <f t="shared" si="101"/>
        <v>0</v>
      </c>
      <c r="Z176" s="109" t="e">
        <f t="shared" si="102"/>
        <v>#REF!</v>
      </c>
      <c r="AA176" s="109" t="e">
        <f t="shared" si="103"/>
        <v>#REF!</v>
      </c>
      <c r="AB176" s="14">
        <v>0</v>
      </c>
      <c r="AC176" s="109" t="e">
        <f t="shared" si="104"/>
        <v>#REF!</v>
      </c>
      <c r="AD176" s="109">
        <f>'LPLPO GUDANG'!H179</f>
        <v>1000</v>
      </c>
      <c r="AE176" s="111" t="e">
        <f t="shared" si="105"/>
        <v>#REF!</v>
      </c>
      <c r="AF176" s="212"/>
      <c r="AG176" s="212"/>
      <c r="AH176" s="20"/>
      <c r="AI176" s="14">
        <f t="shared" si="106"/>
        <v>1000</v>
      </c>
      <c r="AJ176" s="209" t="e">
        <f t="shared" si="107"/>
        <v>#REF!</v>
      </c>
      <c r="AL176" s="14">
        <f t="shared" si="108"/>
        <v>0</v>
      </c>
      <c r="AM176" s="14">
        <f>DISTRIBUSI!D174</f>
        <v>0</v>
      </c>
      <c r="AN176" s="14">
        <f>'PEMAKAIAN UNIT'!D173</f>
        <v>0</v>
      </c>
      <c r="AO176" s="14">
        <f t="shared" si="109"/>
        <v>0</v>
      </c>
      <c r="AP176" s="15">
        <f t="shared" si="110"/>
        <v>0</v>
      </c>
      <c r="AQ176" s="14">
        <f t="shared" si="111"/>
        <v>50</v>
      </c>
      <c r="AR176" s="14">
        <f>DISTRIBUSI!E174</f>
        <v>0</v>
      </c>
      <c r="AS176" s="14">
        <f>'PEMAKAIAN UNIT'!E173</f>
        <v>0</v>
      </c>
      <c r="AT176" s="14">
        <f t="shared" si="112"/>
        <v>50</v>
      </c>
      <c r="AU176" s="15">
        <f t="shared" si="113"/>
        <v>50</v>
      </c>
      <c r="AV176" s="14">
        <f t="shared" si="114"/>
        <v>0</v>
      </c>
      <c r="AW176" s="14">
        <f>DISTRIBUSI!F174</f>
        <v>0</v>
      </c>
      <c r="AX176" s="14">
        <f>'PEMAKAIAN UNIT'!F173</f>
        <v>0</v>
      </c>
      <c r="AY176" s="14">
        <f t="shared" si="115"/>
        <v>0</v>
      </c>
      <c r="AZ176" s="15">
        <f t="shared" si="116"/>
        <v>0</v>
      </c>
      <c r="BA176" s="14">
        <f t="shared" si="117"/>
        <v>45</v>
      </c>
      <c r="BB176" s="14">
        <f>DISTRIBUSI!G174</f>
        <v>0</v>
      </c>
      <c r="BC176" s="14">
        <f>'PEMAKAIAN UNIT'!G173</f>
        <v>0</v>
      </c>
      <c r="BD176" s="14">
        <f t="shared" si="118"/>
        <v>45</v>
      </c>
      <c r="BE176" s="15">
        <f t="shared" si="119"/>
        <v>10</v>
      </c>
      <c r="BF176" s="14">
        <f t="shared" si="120"/>
        <v>0</v>
      </c>
      <c r="BG176" s="14">
        <f>DISTRIBUSI!H174</f>
        <v>0</v>
      </c>
      <c r="BH176" s="14">
        <f>'PEMAKAIAN UNIT'!H173</f>
        <v>0</v>
      </c>
      <c r="BI176" s="14">
        <f t="shared" si="121"/>
        <v>0</v>
      </c>
      <c r="BJ176" s="15">
        <f t="shared" si="122"/>
        <v>0</v>
      </c>
      <c r="BK176" s="14">
        <f t="shared" si="123"/>
        <v>0</v>
      </c>
      <c r="BL176" s="14">
        <f>DISTRIBUSI!I174</f>
        <v>0</v>
      </c>
      <c r="BM176" s="14">
        <f>'PEMAKAIAN UNIT'!I173</f>
        <v>0</v>
      </c>
      <c r="BN176" s="14">
        <f t="shared" si="124"/>
        <v>0</v>
      </c>
      <c r="BO176" s="15">
        <f t="shared" si="125"/>
        <v>-50</v>
      </c>
      <c r="BP176" s="14">
        <f t="shared" si="126"/>
        <v>0</v>
      </c>
      <c r="BQ176" s="14">
        <f>DISTRIBUSI!J174</f>
        <v>0</v>
      </c>
      <c r="BR176" s="14">
        <f>'PEMAKAIAN UNIT'!J173</f>
        <v>0</v>
      </c>
      <c r="BS176" s="14">
        <f t="shared" si="127"/>
        <v>0</v>
      </c>
      <c r="BT176" s="15">
        <f t="shared" si="128"/>
        <v>0</v>
      </c>
      <c r="BU176" s="14">
        <f t="shared" si="129"/>
        <v>0</v>
      </c>
      <c r="BV176" s="14">
        <f>DISTRIBUSI!K174</f>
        <v>0</v>
      </c>
      <c r="BW176" s="14">
        <f>'PEMAKAIAN UNIT'!K173</f>
        <v>0</v>
      </c>
      <c r="BX176" s="14">
        <f t="shared" si="130"/>
        <v>0</v>
      </c>
      <c r="BY176" s="15">
        <f t="shared" si="131"/>
        <v>0</v>
      </c>
      <c r="BZ176" s="14">
        <f t="shared" si="132"/>
        <v>60</v>
      </c>
      <c r="CA176" s="14">
        <f>DISTRIBUSI!L174</f>
        <v>0</v>
      </c>
      <c r="CB176" s="14">
        <f>'PEMAKAIAN UNIT'!L173</f>
        <v>0</v>
      </c>
      <c r="CC176" s="14">
        <f t="shared" si="133"/>
        <v>60</v>
      </c>
      <c r="CD176" s="15">
        <f t="shared" si="134"/>
        <v>30</v>
      </c>
      <c r="CE176" s="14">
        <f t="shared" si="135"/>
        <v>0</v>
      </c>
      <c r="CF176" s="14">
        <f>DISTRIBUSI!M174</f>
        <v>0</v>
      </c>
      <c r="CG176" s="14">
        <f>'PEMAKAIAN UNIT'!M173</f>
        <v>0</v>
      </c>
      <c r="CH176" s="14">
        <f t="shared" si="136"/>
        <v>0</v>
      </c>
      <c r="CI176" s="15">
        <f t="shared" si="137"/>
        <v>0</v>
      </c>
      <c r="CJ176" s="14">
        <f t="shared" si="138"/>
        <v>0</v>
      </c>
      <c r="CK176" s="14" t="e">
        <f>DISTRIBUSI!#REF!</f>
        <v>#REF!</v>
      </c>
      <c r="CL176" s="14">
        <f>'PEMAKAIAN UNIT'!N173</f>
        <v>0</v>
      </c>
      <c r="CM176" s="14" t="e">
        <f t="shared" si="139"/>
        <v>#REF!</v>
      </c>
      <c r="CN176" s="15" t="e">
        <f t="shared" si="140"/>
        <v>#REF!</v>
      </c>
      <c r="CO176" s="14" t="e">
        <f>DL176+DISTRIBUSI!#REF!-'PEMAKAIAN UNIT'!O173</f>
        <v>#REF!</v>
      </c>
      <c r="CP176" s="15" t="e">
        <f t="shared" si="141"/>
        <v>#REF!</v>
      </c>
      <c r="CQ176" s="226">
        <f t="shared" si="142"/>
        <v>0</v>
      </c>
      <c r="CR176" s="226">
        <f>DISTRIBUSI!R174</f>
        <v>250</v>
      </c>
      <c r="CS176" s="226">
        <f>'PEMAKAIAN UNIT'!P173</f>
        <v>0</v>
      </c>
      <c r="CT176" s="14">
        <f t="shared" si="143"/>
        <v>250</v>
      </c>
      <c r="CU176" s="15">
        <f t="shared" si="144"/>
        <v>250</v>
      </c>
      <c r="CV176" s="14" t="e">
        <f>DN176+DISTRIBUSI!#REF!-'PEMAKAIAN UNIT'!Q173</f>
        <v>#REF!</v>
      </c>
      <c r="CW176" s="15" t="e">
        <f t="shared" si="145"/>
        <v>#REF!</v>
      </c>
      <c r="CX176" s="14">
        <f>DO176+'LPLPO GUDANG'!E179-'LPLPO GUDANG'!G179</f>
        <v>-350</v>
      </c>
      <c r="CY176" s="15">
        <f t="shared" si="146"/>
        <v>-1350</v>
      </c>
      <c r="CZ176" s="28"/>
      <c r="DA176" s="14"/>
      <c r="DB176" s="14">
        <v>50</v>
      </c>
      <c r="DC176" s="14">
        <v>0</v>
      </c>
      <c r="DD176" s="14">
        <v>45</v>
      </c>
      <c r="DE176" s="14">
        <v>0</v>
      </c>
      <c r="DF176" s="14"/>
      <c r="DG176" s="14">
        <v>0</v>
      </c>
      <c r="DH176" s="14">
        <v>0</v>
      </c>
      <c r="DI176" s="14">
        <v>60</v>
      </c>
      <c r="DJ176" s="14">
        <v>0</v>
      </c>
      <c r="DK176" s="14">
        <v>0</v>
      </c>
      <c r="DL176" s="14">
        <v>0</v>
      </c>
      <c r="DM176" s="14">
        <v>0</v>
      </c>
      <c r="DN176" s="14">
        <v>0</v>
      </c>
      <c r="DO176" s="14">
        <v>50</v>
      </c>
      <c r="DP176" s="13">
        <f t="shared" si="147"/>
        <v>205</v>
      </c>
      <c r="DR176" t="s">
        <v>145</v>
      </c>
      <c r="DU176" s="20" t="e">
        <f t="shared" si="148"/>
        <v>#REF!</v>
      </c>
    </row>
    <row r="177" spans="1:125" customFormat="1" ht="18" x14ac:dyDescent="0.35">
      <c r="A177" s="84">
        <f t="shared" si="149"/>
        <v>166</v>
      </c>
      <c r="B177" s="142" t="s">
        <v>146</v>
      </c>
      <c r="C177" s="156" t="s">
        <v>212</v>
      </c>
      <c r="D177" s="109">
        <v>0</v>
      </c>
      <c r="E177" s="110">
        <f>'LPLPO GUDANG'!E180</f>
        <v>0</v>
      </c>
      <c r="F177" s="110">
        <f t="shared" si="100"/>
        <v>0</v>
      </c>
      <c r="G177" s="110">
        <f>'PEMAKAIAN UNIT'!R174</f>
        <v>0</v>
      </c>
      <c r="H177" s="14">
        <v>0</v>
      </c>
      <c r="I177" s="14">
        <v>7</v>
      </c>
      <c r="J177" s="14">
        <v>0</v>
      </c>
      <c r="K177" s="14"/>
      <c r="L177" s="14"/>
      <c r="M177" s="14"/>
      <c r="N177" s="14"/>
      <c r="O177" s="14"/>
      <c r="P177" s="14"/>
      <c r="Q177" s="14"/>
      <c r="R177" s="14"/>
      <c r="S177" s="14">
        <v>1</v>
      </c>
      <c r="T177" s="14">
        <v>0</v>
      </c>
      <c r="U177" s="14">
        <v>0</v>
      </c>
      <c r="V177" s="14">
        <v>14</v>
      </c>
      <c r="W177" s="14">
        <v>2</v>
      </c>
      <c r="X177" s="14">
        <v>0</v>
      </c>
      <c r="Y177" s="109">
        <f t="shared" si="101"/>
        <v>0</v>
      </c>
      <c r="Z177" s="109" t="e">
        <f t="shared" si="102"/>
        <v>#REF!</v>
      </c>
      <c r="AA177" s="109" t="e">
        <f t="shared" si="103"/>
        <v>#REF!</v>
      </c>
      <c r="AB177" s="14">
        <v>25</v>
      </c>
      <c r="AC177" s="109" t="e">
        <f t="shared" si="104"/>
        <v>#REF!</v>
      </c>
      <c r="AD177" s="109">
        <f>'LPLPO GUDANG'!H180</f>
        <v>40</v>
      </c>
      <c r="AE177" s="111" t="e">
        <f t="shared" si="105"/>
        <v>#REF!</v>
      </c>
      <c r="AF177" s="212"/>
      <c r="AG177" s="212"/>
      <c r="AH177" s="20"/>
      <c r="AI177" s="14">
        <f t="shared" si="106"/>
        <v>0</v>
      </c>
      <c r="AJ177" s="209" t="e">
        <f t="shared" si="107"/>
        <v>#REF!</v>
      </c>
      <c r="AL177" s="14">
        <f t="shared" si="108"/>
        <v>0</v>
      </c>
      <c r="AM177" s="14">
        <f>DISTRIBUSI!D175</f>
        <v>0</v>
      </c>
      <c r="AN177" s="14">
        <f>'PEMAKAIAN UNIT'!D174</f>
        <v>0</v>
      </c>
      <c r="AO177" s="14">
        <f t="shared" si="109"/>
        <v>0</v>
      </c>
      <c r="AP177" s="15">
        <f t="shared" si="110"/>
        <v>0</v>
      </c>
      <c r="AQ177" s="14">
        <f t="shared" si="111"/>
        <v>7</v>
      </c>
      <c r="AR177" s="14">
        <f>DISTRIBUSI!E175</f>
        <v>0</v>
      </c>
      <c r="AS177" s="14">
        <f>'PEMAKAIAN UNIT'!E174</f>
        <v>0</v>
      </c>
      <c r="AT177" s="14">
        <f t="shared" si="112"/>
        <v>7</v>
      </c>
      <c r="AU177" s="15">
        <f t="shared" si="113"/>
        <v>0</v>
      </c>
      <c r="AV177" s="14">
        <f t="shared" si="114"/>
        <v>5</v>
      </c>
      <c r="AW177" s="14">
        <f>DISTRIBUSI!F175</f>
        <v>0</v>
      </c>
      <c r="AX177" s="14">
        <f>'PEMAKAIAN UNIT'!F174</f>
        <v>0</v>
      </c>
      <c r="AY177" s="14">
        <f t="shared" si="115"/>
        <v>5</v>
      </c>
      <c r="AZ177" s="15">
        <f t="shared" si="116"/>
        <v>5</v>
      </c>
      <c r="BA177" s="14">
        <f t="shared" si="117"/>
        <v>1</v>
      </c>
      <c r="BB177" s="14">
        <f>DISTRIBUSI!G175</f>
        <v>0</v>
      </c>
      <c r="BC177" s="14">
        <f>'PEMAKAIAN UNIT'!G174</f>
        <v>0</v>
      </c>
      <c r="BD177" s="14">
        <f t="shared" si="118"/>
        <v>1</v>
      </c>
      <c r="BE177" s="15">
        <f t="shared" si="119"/>
        <v>0</v>
      </c>
      <c r="BF177" s="14">
        <f t="shared" si="120"/>
        <v>7</v>
      </c>
      <c r="BG177" s="14">
        <f>DISTRIBUSI!H175</f>
        <v>0</v>
      </c>
      <c r="BH177" s="14">
        <f>'PEMAKAIAN UNIT'!H174</f>
        <v>0</v>
      </c>
      <c r="BI177" s="14">
        <f t="shared" si="121"/>
        <v>7</v>
      </c>
      <c r="BJ177" s="15">
        <f t="shared" si="122"/>
        <v>7</v>
      </c>
      <c r="BK177" s="14">
        <f t="shared" si="123"/>
        <v>0</v>
      </c>
      <c r="BL177" s="14">
        <f>DISTRIBUSI!I175</f>
        <v>0</v>
      </c>
      <c r="BM177" s="14">
        <f>'PEMAKAIAN UNIT'!I174</f>
        <v>0</v>
      </c>
      <c r="BN177" s="14">
        <f t="shared" si="124"/>
        <v>0</v>
      </c>
      <c r="BO177" s="15">
        <f t="shared" si="125"/>
        <v>0</v>
      </c>
      <c r="BP177" s="14">
        <f t="shared" si="126"/>
        <v>14</v>
      </c>
      <c r="BQ177" s="14">
        <f>DISTRIBUSI!J175</f>
        <v>0</v>
      </c>
      <c r="BR177" s="14">
        <f>'PEMAKAIAN UNIT'!J174</f>
        <v>0</v>
      </c>
      <c r="BS177" s="14">
        <f t="shared" si="127"/>
        <v>14</v>
      </c>
      <c r="BT177" s="15">
        <f t="shared" si="128"/>
        <v>0</v>
      </c>
      <c r="BU177" s="14">
        <f t="shared" si="129"/>
        <v>2</v>
      </c>
      <c r="BV177" s="14">
        <f>DISTRIBUSI!K175</f>
        <v>0</v>
      </c>
      <c r="BW177" s="14">
        <f>'PEMAKAIAN UNIT'!K174</f>
        <v>0</v>
      </c>
      <c r="BX177" s="14">
        <f t="shared" si="130"/>
        <v>2</v>
      </c>
      <c r="BY177" s="15">
        <f t="shared" si="131"/>
        <v>0</v>
      </c>
      <c r="BZ177" s="14">
        <f t="shared" si="132"/>
        <v>0</v>
      </c>
      <c r="CA177" s="14">
        <f>DISTRIBUSI!L175</f>
        <v>0</v>
      </c>
      <c r="CB177" s="14">
        <f>'PEMAKAIAN UNIT'!L174</f>
        <v>0</v>
      </c>
      <c r="CC177" s="14">
        <f t="shared" si="133"/>
        <v>0</v>
      </c>
      <c r="CD177" s="15">
        <f t="shared" si="134"/>
        <v>0</v>
      </c>
      <c r="CE177" s="14">
        <f t="shared" si="135"/>
        <v>0</v>
      </c>
      <c r="CF177" s="14">
        <f>DISTRIBUSI!M175</f>
        <v>0</v>
      </c>
      <c r="CG177" s="14">
        <f>'PEMAKAIAN UNIT'!M174</f>
        <v>0</v>
      </c>
      <c r="CH177" s="14">
        <f t="shared" si="136"/>
        <v>0</v>
      </c>
      <c r="CI177" s="15">
        <f t="shared" si="137"/>
        <v>0</v>
      </c>
      <c r="CJ177" s="14">
        <f t="shared" si="138"/>
        <v>0</v>
      </c>
      <c r="CK177" s="14" t="e">
        <f>DISTRIBUSI!#REF!</f>
        <v>#REF!</v>
      </c>
      <c r="CL177" s="14">
        <f>'PEMAKAIAN UNIT'!N174</f>
        <v>0</v>
      </c>
      <c r="CM177" s="14" t="e">
        <f t="shared" si="139"/>
        <v>#REF!</v>
      </c>
      <c r="CN177" s="15" t="e">
        <f t="shared" si="140"/>
        <v>#REF!</v>
      </c>
      <c r="CO177" s="14" t="e">
        <f>DL177+DISTRIBUSI!#REF!-'PEMAKAIAN UNIT'!O174</f>
        <v>#REF!</v>
      </c>
      <c r="CP177" s="15" t="e">
        <f t="shared" si="141"/>
        <v>#REF!</v>
      </c>
      <c r="CQ177" s="226">
        <f t="shared" si="142"/>
        <v>34</v>
      </c>
      <c r="CR177" s="226">
        <f>DISTRIBUSI!R175</f>
        <v>0</v>
      </c>
      <c r="CS177" s="226">
        <f>'PEMAKAIAN UNIT'!P174</f>
        <v>0</v>
      </c>
      <c r="CT177" s="14">
        <f t="shared" si="143"/>
        <v>34</v>
      </c>
      <c r="CU177" s="15">
        <f t="shared" si="144"/>
        <v>9</v>
      </c>
      <c r="CV177" s="14" t="e">
        <f>DN177+DISTRIBUSI!#REF!-'PEMAKAIAN UNIT'!Q174</f>
        <v>#REF!</v>
      </c>
      <c r="CW177" s="15" t="e">
        <f t="shared" si="145"/>
        <v>#REF!</v>
      </c>
      <c r="CX177" s="14">
        <f>DO177+'LPLPO GUDANG'!E180-'LPLPO GUDANG'!G180</f>
        <v>100</v>
      </c>
      <c r="CY177" s="15">
        <f t="shared" si="146"/>
        <v>60</v>
      </c>
      <c r="CZ177" s="28"/>
      <c r="DA177" s="14">
        <v>0</v>
      </c>
      <c r="DB177" s="14">
        <v>7</v>
      </c>
      <c r="DC177" s="14">
        <v>5</v>
      </c>
      <c r="DD177" s="14">
        <v>1</v>
      </c>
      <c r="DE177" s="14">
        <v>7</v>
      </c>
      <c r="DF177" s="14">
        <v>0</v>
      </c>
      <c r="DG177" s="14">
        <v>14</v>
      </c>
      <c r="DH177" s="14">
        <v>2</v>
      </c>
      <c r="DI177" s="14">
        <v>0</v>
      </c>
      <c r="DJ177" s="14">
        <v>0</v>
      </c>
      <c r="DK177" s="14">
        <v>0</v>
      </c>
      <c r="DL177" s="14">
        <v>0</v>
      </c>
      <c r="DM177" s="14">
        <v>34</v>
      </c>
      <c r="DN177" s="14">
        <v>0</v>
      </c>
      <c r="DO177" s="14">
        <v>100</v>
      </c>
      <c r="DP177" s="13">
        <f t="shared" si="147"/>
        <v>170</v>
      </c>
      <c r="DR177" t="s">
        <v>446</v>
      </c>
      <c r="DU177" s="20" t="e">
        <f t="shared" si="148"/>
        <v>#REF!</v>
      </c>
    </row>
    <row r="178" spans="1:125" customFormat="1" ht="18" x14ac:dyDescent="0.35">
      <c r="A178" s="84">
        <f t="shared" si="149"/>
        <v>167</v>
      </c>
      <c r="B178" s="142" t="s">
        <v>147</v>
      </c>
      <c r="C178" s="156" t="s">
        <v>212</v>
      </c>
      <c r="D178" s="109">
        <v>0</v>
      </c>
      <c r="E178" s="110">
        <f>'LPLPO GUDANG'!E181</f>
        <v>0</v>
      </c>
      <c r="F178" s="110">
        <f t="shared" si="100"/>
        <v>0</v>
      </c>
      <c r="G178" s="110">
        <f>'PEMAKAIAN UNIT'!R175</f>
        <v>0</v>
      </c>
      <c r="H178" s="14">
        <v>0</v>
      </c>
      <c r="I178" s="14">
        <v>0</v>
      </c>
      <c r="J178" s="14">
        <v>0</v>
      </c>
      <c r="K178" s="14"/>
      <c r="L178" s="14"/>
      <c r="M178" s="14"/>
      <c r="N178" s="14"/>
      <c r="O178" s="14"/>
      <c r="P178" s="14"/>
      <c r="Q178" s="14"/>
      <c r="R178" s="14"/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09">
        <f t="shared" si="101"/>
        <v>0</v>
      </c>
      <c r="Z178" s="109" t="e">
        <f t="shared" si="102"/>
        <v>#REF!</v>
      </c>
      <c r="AA178" s="109" t="e">
        <f t="shared" si="103"/>
        <v>#REF!</v>
      </c>
      <c r="AB178" s="14">
        <v>6</v>
      </c>
      <c r="AC178" s="109" t="e">
        <f t="shared" si="104"/>
        <v>#REF!</v>
      </c>
      <c r="AD178" s="109">
        <f>'LPLPO GUDANG'!H181</f>
        <v>5</v>
      </c>
      <c r="AE178" s="111" t="e">
        <f t="shared" si="105"/>
        <v>#REF!</v>
      </c>
      <c r="AF178" s="212"/>
      <c r="AG178" s="212"/>
      <c r="AH178" s="20"/>
      <c r="AI178" s="14">
        <f t="shared" si="106"/>
        <v>0</v>
      </c>
      <c r="AJ178" s="209" t="e">
        <f t="shared" si="107"/>
        <v>#REF!</v>
      </c>
      <c r="AL178" s="14">
        <f t="shared" si="108"/>
        <v>0</v>
      </c>
      <c r="AM178" s="14">
        <f>DISTRIBUSI!D176</f>
        <v>0</v>
      </c>
      <c r="AN178" s="14">
        <f>'PEMAKAIAN UNIT'!D175</f>
        <v>0</v>
      </c>
      <c r="AO178" s="14">
        <f t="shared" si="109"/>
        <v>0</v>
      </c>
      <c r="AP178" s="15">
        <f t="shared" si="110"/>
        <v>0</v>
      </c>
      <c r="AQ178" s="14">
        <f t="shared" si="111"/>
        <v>0</v>
      </c>
      <c r="AR178" s="14">
        <f>DISTRIBUSI!E176</f>
        <v>0</v>
      </c>
      <c r="AS178" s="14">
        <f>'PEMAKAIAN UNIT'!E175</f>
        <v>0</v>
      </c>
      <c r="AT178" s="14">
        <f t="shared" si="112"/>
        <v>0</v>
      </c>
      <c r="AU178" s="15">
        <f t="shared" si="113"/>
        <v>0</v>
      </c>
      <c r="AV178" s="14">
        <f t="shared" si="114"/>
        <v>0</v>
      </c>
      <c r="AW178" s="14">
        <f>DISTRIBUSI!F176</f>
        <v>0</v>
      </c>
      <c r="AX178" s="14">
        <f>'PEMAKAIAN UNIT'!F175</f>
        <v>0</v>
      </c>
      <c r="AY178" s="14">
        <f t="shared" si="115"/>
        <v>0</v>
      </c>
      <c r="AZ178" s="15">
        <f t="shared" si="116"/>
        <v>0</v>
      </c>
      <c r="BA178" s="14">
        <f t="shared" si="117"/>
        <v>0</v>
      </c>
      <c r="BB178" s="14">
        <f>DISTRIBUSI!G176</f>
        <v>0</v>
      </c>
      <c r="BC178" s="14">
        <f>'PEMAKAIAN UNIT'!G175</f>
        <v>0</v>
      </c>
      <c r="BD178" s="14">
        <f t="shared" si="118"/>
        <v>0</v>
      </c>
      <c r="BE178" s="15">
        <f t="shared" si="119"/>
        <v>0</v>
      </c>
      <c r="BF178" s="14">
        <f t="shared" si="120"/>
        <v>0</v>
      </c>
      <c r="BG178" s="14">
        <f>DISTRIBUSI!H176</f>
        <v>0</v>
      </c>
      <c r="BH178" s="14">
        <f>'PEMAKAIAN UNIT'!H175</f>
        <v>0</v>
      </c>
      <c r="BI178" s="14">
        <f t="shared" si="121"/>
        <v>0</v>
      </c>
      <c r="BJ178" s="15">
        <f t="shared" si="122"/>
        <v>0</v>
      </c>
      <c r="BK178" s="14">
        <f t="shared" si="123"/>
        <v>0</v>
      </c>
      <c r="BL178" s="14">
        <f>DISTRIBUSI!I176</f>
        <v>0</v>
      </c>
      <c r="BM178" s="14">
        <f>'PEMAKAIAN UNIT'!I175</f>
        <v>0</v>
      </c>
      <c r="BN178" s="14">
        <f t="shared" si="124"/>
        <v>0</v>
      </c>
      <c r="BO178" s="15">
        <f t="shared" si="125"/>
        <v>0</v>
      </c>
      <c r="BP178" s="14">
        <f t="shared" si="126"/>
        <v>0</v>
      </c>
      <c r="BQ178" s="14">
        <f>DISTRIBUSI!J176</f>
        <v>0</v>
      </c>
      <c r="BR178" s="14">
        <f>'PEMAKAIAN UNIT'!J175</f>
        <v>0</v>
      </c>
      <c r="BS178" s="14">
        <f t="shared" si="127"/>
        <v>0</v>
      </c>
      <c r="BT178" s="15">
        <f t="shared" si="128"/>
        <v>0</v>
      </c>
      <c r="BU178" s="14">
        <f t="shared" si="129"/>
        <v>0</v>
      </c>
      <c r="BV178" s="14">
        <f>DISTRIBUSI!K176</f>
        <v>0</v>
      </c>
      <c r="BW178" s="14">
        <f>'PEMAKAIAN UNIT'!K175</f>
        <v>0</v>
      </c>
      <c r="BX178" s="14">
        <f t="shared" si="130"/>
        <v>0</v>
      </c>
      <c r="BY178" s="15">
        <f t="shared" si="131"/>
        <v>0</v>
      </c>
      <c r="BZ178" s="14">
        <f t="shared" si="132"/>
        <v>0</v>
      </c>
      <c r="CA178" s="14">
        <f>DISTRIBUSI!L176</f>
        <v>0</v>
      </c>
      <c r="CB178" s="14">
        <f>'PEMAKAIAN UNIT'!L175</f>
        <v>0</v>
      </c>
      <c r="CC178" s="14">
        <f t="shared" si="133"/>
        <v>0</v>
      </c>
      <c r="CD178" s="15">
        <f t="shared" si="134"/>
        <v>0</v>
      </c>
      <c r="CE178" s="14">
        <f t="shared" si="135"/>
        <v>0</v>
      </c>
      <c r="CF178" s="14">
        <f>DISTRIBUSI!M176</f>
        <v>0</v>
      </c>
      <c r="CG178" s="14">
        <f>'PEMAKAIAN UNIT'!M175</f>
        <v>0</v>
      </c>
      <c r="CH178" s="14">
        <f t="shared" si="136"/>
        <v>0</v>
      </c>
      <c r="CI178" s="15">
        <f t="shared" si="137"/>
        <v>0</v>
      </c>
      <c r="CJ178" s="14">
        <f t="shared" si="138"/>
        <v>0</v>
      </c>
      <c r="CK178" s="14" t="e">
        <f>DISTRIBUSI!#REF!</f>
        <v>#REF!</v>
      </c>
      <c r="CL178" s="14">
        <f>'PEMAKAIAN UNIT'!N175</f>
        <v>0</v>
      </c>
      <c r="CM178" s="14" t="e">
        <f t="shared" si="139"/>
        <v>#REF!</v>
      </c>
      <c r="CN178" s="15" t="e">
        <f t="shared" si="140"/>
        <v>#REF!</v>
      </c>
      <c r="CO178" s="14" t="e">
        <f>DL178+DISTRIBUSI!#REF!-'PEMAKAIAN UNIT'!O175</f>
        <v>#REF!</v>
      </c>
      <c r="CP178" s="15" t="e">
        <f t="shared" si="141"/>
        <v>#REF!</v>
      </c>
      <c r="CQ178" s="226">
        <f t="shared" si="142"/>
        <v>15</v>
      </c>
      <c r="CR178" s="226">
        <f>DISTRIBUSI!R176</f>
        <v>5</v>
      </c>
      <c r="CS178" s="226">
        <f>'PEMAKAIAN UNIT'!P175</f>
        <v>0</v>
      </c>
      <c r="CT178" s="14">
        <f t="shared" si="143"/>
        <v>20</v>
      </c>
      <c r="CU178" s="15">
        <f t="shared" si="144"/>
        <v>14</v>
      </c>
      <c r="CV178" s="14" t="e">
        <f>DN178+DISTRIBUSI!#REF!-'PEMAKAIAN UNIT'!Q175</f>
        <v>#REF!</v>
      </c>
      <c r="CW178" s="15" t="e">
        <f t="shared" si="145"/>
        <v>#REF!</v>
      </c>
      <c r="CX178" s="14">
        <f>DO178+'LPLPO GUDANG'!E181-'LPLPO GUDANG'!G181</f>
        <v>0</v>
      </c>
      <c r="CY178" s="15">
        <f t="shared" si="146"/>
        <v>-5</v>
      </c>
      <c r="CZ178" s="28"/>
      <c r="DA178" s="14">
        <v>0</v>
      </c>
      <c r="DB178" s="14">
        <v>0</v>
      </c>
      <c r="DC178" s="14">
        <v>0</v>
      </c>
      <c r="DD178" s="14">
        <v>0</v>
      </c>
      <c r="DE178" s="14">
        <v>0</v>
      </c>
      <c r="DF178" s="14">
        <v>0</v>
      </c>
      <c r="DG178" s="14">
        <v>0</v>
      </c>
      <c r="DH178" s="14">
        <v>0</v>
      </c>
      <c r="DI178" s="14">
        <v>0</v>
      </c>
      <c r="DJ178" s="14">
        <v>0</v>
      </c>
      <c r="DK178" s="14">
        <v>0</v>
      </c>
      <c r="DL178" s="14">
        <v>0</v>
      </c>
      <c r="DM178" s="14">
        <v>15</v>
      </c>
      <c r="DN178" s="14">
        <v>0</v>
      </c>
      <c r="DO178" s="14">
        <v>5</v>
      </c>
      <c r="DP178" s="13">
        <f t="shared" si="147"/>
        <v>20</v>
      </c>
      <c r="DR178" t="s">
        <v>146</v>
      </c>
      <c r="DU178" s="20" t="e">
        <f t="shared" si="148"/>
        <v>#REF!</v>
      </c>
    </row>
    <row r="179" spans="1:125" customFormat="1" ht="18" x14ac:dyDescent="0.35">
      <c r="A179" s="84"/>
      <c r="B179" s="142"/>
      <c r="C179" s="156"/>
      <c r="D179" s="14"/>
      <c r="E179" s="254"/>
      <c r="F179" s="254"/>
      <c r="G179" s="25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255">
        <f t="shared" ref="AE179:AE183" si="150">SUM(H179:AD179)</f>
        <v>0</v>
      </c>
      <c r="AF179" s="212"/>
      <c r="AG179" s="212"/>
      <c r="AH179" s="20"/>
      <c r="AI179" s="14">
        <f t="shared" si="106"/>
        <v>0</v>
      </c>
      <c r="AJ179" s="209">
        <f t="shared" si="107"/>
        <v>0</v>
      </c>
      <c r="AL179" s="14">
        <f t="shared" si="108"/>
        <v>0</v>
      </c>
      <c r="AM179" s="14">
        <f>DISTRIBUSI!D177</f>
        <v>0</v>
      </c>
      <c r="AN179" s="14">
        <f>'PEMAKAIAN UNIT'!D176</f>
        <v>0</v>
      </c>
      <c r="AO179" s="14">
        <f t="shared" si="109"/>
        <v>0</v>
      </c>
      <c r="AP179" s="15">
        <f t="shared" si="110"/>
        <v>0</v>
      </c>
      <c r="AQ179" s="14">
        <f t="shared" si="111"/>
        <v>0</v>
      </c>
      <c r="AR179" s="14">
        <f>DISTRIBUSI!E177</f>
        <v>0</v>
      </c>
      <c r="AS179" s="14">
        <f>'PEMAKAIAN UNIT'!E176</f>
        <v>0</v>
      </c>
      <c r="AT179" s="14">
        <f t="shared" si="112"/>
        <v>0</v>
      </c>
      <c r="AU179" s="15">
        <f t="shared" si="113"/>
        <v>0</v>
      </c>
      <c r="AV179" s="14">
        <f t="shared" si="114"/>
        <v>0</v>
      </c>
      <c r="AW179" s="14">
        <f>DISTRIBUSI!F177</f>
        <v>0</v>
      </c>
      <c r="AX179" s="14">
        <f>'PEMAKAIAN UNIT'!F176</f>
        <v>0</v>
      </c>
      <c r="AY179" s="14">
        <f t="shared" si="115"/>
        <v>0</v>
      </c>
      <c r="AZ179" s="15">
        <f t="shared" si="116"/>
        <v>0</v>
      </c>
      <c r="BA179" s="14">
        <f t="shared" si="117"/>
        <v>0</v>
      </c>
      <c r="BB179" s="14">
        <f>DISTRIBUSI!G177</f>
        <v>0</v>
      </c>
      <c r="BC179" s="14">
        <f>'PEMAKAIAN UNIT'!G176</f>
        <v>0</v>
      </c>
      <c r="BD179" s="14">
        <f t="shared" si="118"/>
        <v>0</v>
      </c>
      <c r="BE179" s="15">
        <f t="shared" si="119"/>
        <v>0</v>
      </c>
      <c r="BF179" s="14">
        <f t="shared" si="120"/>
        <v>0</v>
      </c>
      <c r="BG179" s="14">
        <f>DISTRIBUSI!H177</f>
        <v>0</v>
      </c>
      <c r="BH179" s="14">
        <f>'PEMAKAIAN UNIT'!H176</f>
        <v>0</v>
      </c>
      <c r="BI179" s="14">
        <f t="shared" si="121"/>
        <v>0</v>
      </c>
      <c r="BJ179" s="15">
        <f t="shared" si="122"/>
        <v>0</v>
      </c>
      <c r="BK179" s="14">
        <f t="shared" si="123"/>
        <v>0</v>
      </c>
      <c r="BL179" s="14">
        <f>DISTRIBUSI!I177</f>
        <v>0</v>
      </c>
      <c r="BM179" s="14">
        <f>'PEMAKAIAN UNIT'!I176</f>
        <v>0</v>
      </c>
      <c r="BN179" s="14">
        <f t="shared" si="124"/>
        <v>0</v>
      </c>
      <c r="BO179" s="15">
        <f t="shared" si="125"/>
        <v>0</v>
      </c>
      <c r="BP179" s="14">
        <f t="shared" si="126"/>
        <v>0</v>
      </c>
      <c r="BQ179" s="14">
        <f>DISTRIBUSI!J177</f>
        <v>0</v>
      </c>
      <c r="BR179" s="14">
        <f>'PEMAKAIAN UNIT'!J176</f>
        <v>0</v>
      </c>
      <c r="BS179" s="14">
        <f t="shared" si="127"/>
        <v>0</v>
      </c>
      <c r="BT179" s="15">
        <f t="shared" si="128"/>
        <v>0</v>
      </c>
      <c r="BU179" s="14">
        <f t="shared" si="129"/>
        <v>0</v>
      </c>
      <c r="BV179" s="14">
        <f>DISTRIBUSI!K177</f>
        <v>0</v>
      </c>
      <c r="BW179" s="14">
        <f>'PEMAKAIAN UNIT'!K176</f>
        <v>0</v>
      </c>
      <c r="BX179" s="14">
        <f t="shared" si="130"/>
        <v>0</v>
      </c>
      <c r="BY179" s="15">
        <f t="shared" si="131"/>
        <v>0</v>
      </c>
      <c r="BZ179" s="14">
        <f t="shared" si="132"/>
        <v>0</v>
      </c>
      <c r="CA179" s="14">
        <f>DISTRIBUSI!L177</f>
        <v>0</v>
      </c>
      <c r="CB179" s="14">
        <f>'PEMAKAIAN UNIT'!L176</f>
        <v>0</v>
      </c>
      <c r="CC179" s="14">
        <f t="shared" si="133"/>
        <v>0</v>
      </c>
      <c r="CD179" s="15">
        <f t="shared" si="134"/>
        <v>0</v>
      </c>
      <c r="CE179" s="14">
        <f t="shared" si="135"/>
        <v>0</v>
      </c>
      <c r="CF179" s="14">
        <f>DISTRIBUSI!M177</f>
        <v>0</v>
      </c>
      <c r="CG179" s="14">
        <f>'PEMAKAIAN UNIT'!M176</f>
        <v>0</v>
      </c>
      <c r="CH179" s="14">
        <f t="shared" si="136"/>
        <v>0</v>
      </c>
      <c r="CI179" s="15">
        <f t="shared" si="137"/>
        <v>0</v>
      </c>
      <c r="CJ179" s="14">
        <f t="shared" si="138"/>
        <v>0</v>
      </c>
      <c r="CK179" s="14" t="e">
        <f>DISTRIBUSI!#REF!</f>
        <v>#REF!</v>
      </c>
      <c r="CL179" s="14">
        <f>'PEMAKAIAN UNIT'!N176</f>
        <v>0</v>
      </c>
      <c r="CM179" s="14" t="e">
        <f t="shared" si="139"/>
        <v>#REF!</v>
      </c>
      <c r="CN179" s="15" t="e">
        <f t="shared" si="140"/>
        <v>#REF!</v>
      </c>
      <c r="CO179" s="14" t="e">
        <f>DL179+DISTRIBUSI!#REF!-'PEMAKAIAN UNIT'!O176</f>
        <v>#REF!</v>
      </c>
      <c r="CP179" s="15" t="e">
        <f t="shared" si="141"/>
        <v>#REF!</v>
      </c>
      <c r="CQ179" s="226">
        <f t="shared" si="142"/>
        <v>0</v>
      </c>
      <c r="CR179" s="226">
        <f>DISTRIBUSI!R177</f>
        <v>0</v>
      </c>
      <c r="CS179" s="226">
        <f>'PEMAKAIAN UNIT'!P176</f>
        <v>0</v>
      </c>
      <c r="CT179" s="14">
        <f t="shared" si="143"/>
        <v>0</v>
      </c>
      <c r="CU179" s="15">
        <f t="shared" si="144"/>
        <v>0</v>
      </c>
      <c r="CV179" s="14" t="e">
        <f>DN179+DISTRIBUSI!#REF!-'PEMAKAIAN UNIT'!Q176</f>
        <v>#REF!</v>
      </c>
      <c r="CW179" s="15" t="e">
        <f t="shared" si="145"/>
        <v>#REF!</v>
      </c>
      <c r="CX179" s="14">
        <f>DO179+'LPLPO GUDANG'!E182-'LPLPO GUDANG'!G182</f>
        <v>0</v>
      </c>
      <c r="CY179" s="15">
        <f t="shared" si="146"/>
        <v>0</v>
      </c>
      <c r="CZ179" s="28"/>
      <c r="DA179" s="14">
        <v>0</v>
      </c>
      <c r="DB179" s="14">
        <v>0</v>
      </c>
      <c r="DC179" s="14">
        <v>0</v>
      </c>
      <c r="DD179" s="14">
        <v>0</v>
      </c>
      <c r="DE179" s="14">
        <v>0</v>
      </c>
      <c r="DF179" s="14">
        <v>0</v>
      </c>
      <c r="DG179" s="14">
        <v>0</v>
      </c>
      <c r="DH179" s="14">
        <v>0</v>
      </c>
      <c r="DI179" s="14">
        <v>0</v>
      </c>
      <c r="DJ179" s="14">
        <v>0</v>
      </c>
      <c r="DK179" s="14">
        <v>0</v>
      </c>
      <c r="DL179" s="14">
        <v>0</v>
      </c>
      <c r="DM179" s="14">
        <v>0</v>
      </c>
      <c r="DN179" s="14">
        <v>0</v>
      </c>
      <c r="DO179" s="14">
        <v>0</v>
      </c>
      <c r="DP179" s="13">
        <f t="shared" si="147"/>
        <v>0</v>
      </c>
      <c r="DR179" t="s">
        <v>147</v>
      </c>
      <c r="DU179" s="20">
        <f t="shared" si="148"/>
        <v>0</v>
      </c>
    </row>
    <row r="180" spans="1:125" customFormat="1" ht="18" x14ac:dyDescent="0.35">
      <c r="A180" s="84"/>
      <c r="B180" s="142"/>
      <c r="C180" s="156"/>
      <c r="D180" s="14"/>
      <c r="E180" s="254"/>
      <c r="F180" s="254"/>
      <c r="G180" s="25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255">
        <f t="shared" si="150"/>
        <v>0</v>
      </c>
      <c r="AF180" s="212"/>
      <c r="AG180" s="212"/>
      <c r="AH180" s="20"/>
      <c r="AI180" s="14">
        <f t="shared" si="106"/>
        <v>0</v>
      </c>
      <c r="AJ180" s="209">
        <f t="shared" si="107"/>
        <v>0</v>
      </c>
      <c r="AL180" s="14">
        <f t="shared" si="108"/>
        <v>0</v>
      </c>
      <c r="AM180" s="14">
        <f>DISTRIBUSI!D178</f>
        <v>0</v>
      </c>
      <c r="AN180" s="14">
        <f>'PEMAKAIAN UNIT'!D177</f>
        <v>0</v>
      </c>
      <c r="AO180" s="14">
        <f t="shared" si="109"/>
        <v>0</v>
      </c>
      <c r="AP180" s="15">
        <f t="shared" si="110"/>
        <v>0</v>
      </c>
      <c r="AQ180" s="14">
        <f t="shared" si="111"/>
        <v>0</v>
      </c>
      <c r="AR180" s="14">
        <f>DISTRIBUSI!E178</f>
        <v>0</v>
      </c>
      <c r="AS180" s="14">
        <f>'PEMAKAIAN UNIT'!E177</f>
        <v>0</v>
      </c>
      <c r="AT180" s="14">
        <f t="shared" si="112"/>
        <v>0</v>
      </c>
      <c r="AU180" s="15">
        <f t="shared" si="113"/>
        <v>0</v>
      </c>
      <c r="AV180" s="14">
        <f t="shared" si="114"/>
        <v>0</v>
      </c>
      <c r="AW180" s="14">
        <f>DISTRIBUSI!F178</f>
        <v>0</v>
      </c>
      <c r="AX180" s="14">
        <f>'PEMAKAIAN UNIT'!F177</f>
        <v>0</v>
      </c>
      <c r="AY180" s="14">
        <f t="shared" si="115"/>
        <v>0</v>
      </c>
      <c r="AZ180" s="15">
        <f t="shared" si="116"/>
        <v>0</v>
      </c>
      <c r="BA180" s="14">
        <f t="shared" si="117"/>
        <v>0</v>
      </c>
      <c r="BB180" s="14">
        <f>DISTRIBUSI!G178</f>
        <v>0</v>
      </c>
      <c r="BC180" s="14">
        <f>'PEMAKAIAN UNIT'!G177</f>
        <v>0</v>
      </c>
      <c r="BD180" s="14">
        <f t="shared" si="118"/>
        <v>0</v>
      </c>
      <c r="BE180" s="15">
        <f t="shared" si="119"/>
        <v>0</v>
      </c>
      <c r="BF180" s="14">
        <f t="shared" si="120"/>
        <v>0</v>
      </c>
      <c r="BG180" s="14">
        <f>DISTRIBUSI!H178</f>
        <v>0</v>
      </c>
      <c r="BH180" s="14">
        <f>'PEMAKAIAN UNIT'!H177</f>
        <v>0</v>
      </c>
      <c r="BI180" s="14">
        <f t="shared" si="121"/>
        <v>0</v>
      </c>
      <c r="BJ180" s="15">
        <f t="shared" si="122"/>
        <v>0</v>
      </c>
      <c r="BK180" s="14">
        <f t="shared" si="123"/>
        <v>0</v>
      </c>
      <c r="BL180" s="14">
        <f>DISTRIBUSI!I178</f>
        <v>0</v>
      </c>
      <c r="BM180" s="14">
        <f>'PEMAKAIAN UNIT'!I177</f>
        <v>0</v>
      </c>
      <c r="BN180" s="14">
        <f t="shared" si="124"/>
        <v>0</v>
      </c>
      <c r="BO180" s="15">
        <f t="shared" si="125"/>
        <v>0</v>
      </c>
      <c r="BP180" s="14">
        <f t="shared" si="126"/>
        <v>0</v>
      </c>
      <c r="BQ180" s="14">
        <f>DISTRIBUSI!J178</f>
        <v>0</v>
      </c>
      <c r="BR180" s="14">
        <f>'PEMAKAIAN UNIT'!J177</f>
        <v>0</v>
      </c>
      <c r="BS180" s="14">
        <f t="shared" si="127"/>
        <v>0</v>
      </c>
      <c r="BT180" s="15">
        <f t="shared" si="128"/>
        <v>0</v>
      </c>
      <c r="BU180" s="14">
        <f t="shared" si="129"/>
        <v>0</v>
      </c>
      <c r="BV180" s="14">
        <f>DISTRIBUSI!K178</f>
        <v>0</v>
      </c>
      <c r="BW180" s="14">
        <f>'PEMAKAIAN UNIT'!K177</f>
        <v>0</v>
      </c>
      <c r="BX180" s="14">
        <f t="shared" si="130"/>
        <v>0</v>
      </c>
      <c r="BY180" s="15">
        <f t="shared" si="131"/>
        <v>0</v>
      </c>
      <c r="BZ180" s="14">
        <f t="shared" si="132"/>
        <v>0</v>
      </c>
      <c r="CA180" s="14">
        <f>DISTRIBUSI!L178</f>
        <v>0</v>
      </c>
      <c r="CB180" s="14">
        <f>'PEMAKAIAN UNIT'!L177</f>
        <v>0</v>
      </c>
      <c r="CC180" s="14">
        <f t="shared" si="133"/>
        <v>0</v>
      </c>
      <c r="CD180" s="15">
        <f t="shared" si="134"/>
        <v>0</v>
      </c>
      <c r="CE180" s="14">
        <f t="shared" si="135"/>
        <v>0</v>
      </c>
      <c r="CF180" s="14">
        <f>DISTRIBUSI!M178</f>
        <v>0</v>
      </c>
      <c r="CG180" s="14">
        <f>'PEMAKAIAN UNIT'!M177</f>
        <v>0</v>
      </c>
      <c r="CH180" s="14">
        <f t="shared" si="136"/>
        <v>0</v>
      </c>
      <c r="CI180" s="15">
        <f t="shared" si="137"/>
        <v>0</v>
      </c>
      <c r="CJ180" s="14">
        <f t="shared" si="138"/>
        <v>0</v>
      </c>
      <c r="CK180" s="14" t="e">
        <f>DISTRIBUSI!#REF!</f>
        <v>#REF!</v>
      </c>
      <c r="CL180" s="14">
        <f>'PEMAKAIAN UNIT'!N177</f>
        <v>0</v>
      </c>
      <c r="CM180" s="14" t="e">
        <f t="shared" si="139"/>
        <v>#REF!</v>
      </c>
      <c r="CN180" s="15" t="e">
        <f t="shared" si="140"/>
        <v>#REF!</v>
      </c>
      <c r="CO180" s="14" t="e">
        <f>DL180+DISTRIBUSI!#REF!-'PEMAKAIAN UNIT'!O177</f>
        <v>#REF!</v>
      </c>
      <c r="CP180" s="15" t="e">
        <f t="shared" si="141"/>
        <v>#REF!</v>
      </c>
      <c r="CQ180" s="226">
        <f t="shared" si="142"/>
        <v>0</v>
      </c>
      <c r="CR180" s="226">
        <f>DISTRIBUSI!R178</f>
        <v>0</v>
      </c>
      <c r="CS180" s="226">
        <f>'PEMAKAIAN UNIT'!P177</f>
        <v>0</v>
      </c>
      <c r="CT180" s="14">
        <f t="shared" si="143"/>
        <v>0</v>
      </c>
      <c r="CU180" s="15">
        <f t="shared" si="144"/>
        <v>0</v>
      </c>
      <c r="CV180" s="14" t="e">
        <f>DN180+DISTRIBUSI!#REF!-'PEMAKAIAN UNIT'!Q177</f>
        <v>#REF!</v>
      </c>
      <c r="CW180" s="15" t="e">
        <f t="shared" si="145"/>
        <v>#REF!</v>
      </c>
      <c r="CX180" s="14">
        <f>DO180+'LPLPO GUDANG'!E183-'LPLPO GUDANG'!G183</f>
        <v>0</v>
      </c>
      <c r="CY180" s="15">
        <f t="shared" si="146"/>
        <v>0</v>
      </c>
      <c r="CZ180" s="28"/>
      <c r="DA180" s="14">
        <v>0</v>
      </c>
      <c r="DB180" s="14">
        <v>0</v>
      </c>
      <c r="DC180" s="14">
        <v>0</v>
      </c>
      <c r="DD180" s="14">
        <v>0</v>
      </c>
      <c r="DE180" s="14">
        <v>0</v>
      </c>
      <c r="DF180" s="14">
        <v>0</v>
      </c>
      <c r="DG180" s="14">
        <v>0</v>
      </c>
      <c r="DH180" s="14">
        <v>0</v>
      </c>
      <c r="DI180" s="14">
        <v>0</v>
      </c>
      <c r="DJ180" s="14">
        <v>0</v>
      </c>
      <c r="DK180" s="14">
        <v>0</v>
      </c>
      <c r="DL180" s="14">
        <v>0</v>
      </c>
      <c r="DM180" s="14">
        <v>0</v>
      </c>
      <c r="DN180" s="14">
        <v>0</v>
      </c>
      <c r="DO180" s="14">
        <v>0</v>
      </c>
      <c r="DP180" s="13">
        <f t="shared" si="147"/>
        <v>0</v>
      </c>
      <c r="DR180" t="s">
        <v>447</v>
      </c>
      <c r="DU180" s="20">
        <f t="shared" si="148"/>
        <v>0</v>
      </c>
    </row>
    <row r="181" spans="1:125" customFormat="1" ht="18" x14ac:dyDescent="0.35">
      <c r="A181" s="84"/>
      <c r="B181" s="142"/>
      <c r="C181" s="156"/>
      <c r="D181" s="14"/>
      <c r="E181" s="254"/>
      <c r="F181" s="254"/>
      <c r="G181" s="25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255">
        <f t="shared" si="150"/>
        <v>0</v>
      </c>
      <c r="AF181" s="212"/>
      <c r="AG181" s="212"/>
      <c r="AH181" s="20"/>
      <c r="AI181" s="14">
        <f t="shared" si="106"/>
        <v>0</v>
      </c>
      <c r="AJ181" s="209">
        <f t="shared" si="107"/>
        <v>0</v>
      </c>
      <c r="AL181" s="14">
        <f t="shared" si="108"/>
        <v>0</v>
      </c>
      <c r="AM181" s="14">
        <f>DISTRIBUSI!D179</f>
        <v>0</v>
      </c>
      <c r="AN181" s="14">
        <f>'PEMAKAIAN UNIT'!D178</f>
        <v>0</v>
      </c>
      <c r="AO181" s="14">
        <f t="shared" si="109"/>
        <v>0</v>
      </c>
      <c r="AP181" s="15">
        <f t="shared" si="110"/>
        <v>0</v>
      </c>
      <c r="AQ181" s="14">
        <f t="shared" si="111"/>
        <v>0</v>
      </c>
      <c r="AR181" s="14">
        <f>DISTRIBUSI!E179</f>
        <v>0</v>
      </c>
      <c r="AS181" s="14">
        <f>'PEMAKAIAN UNIT'!E178</f>
        <v>0</v>
      </c>
      <c r="AT181" s="14">
        <f t="shared" si="112"/>
        <v>0</v>
      </c>
      <c r="AU181" s="15">
        <f t="shared" si="113"/>
        <v>0</v>
      </c>
      <c r="AV181" s="14">
        <f t="shared" si="114"/>
        <v>0</v>
      </c>
      <c r="AW181" s="14">
        <f>DISTRIBUSI!F179</f>
        <v>0</v>
      </c>
      <c r="AX181" s="14">
        <f>'PEMAKAIAN UNIT'!F178</f>
        <v>0</v>
      </c>
      <c r="AY181" s="14">
        <f t="shared" si="115"/>
        <v>0</v>
      </c>
      <c r="AZ181" s="15">
        <f t="shared" si="116"/>
        <v>0</v>
      </c>
      <c r="BA181" s="14">
        <f t="shared" si="117"/>
        <v>0</v>
      </c>
      <c r="BB181" s="14">
        <f>DISTRIBUSI!G179</f>
        <v>0</v>
      </c>
      <c r="BC181" s="14">
        <f>'PEMAKAIAN UNIT'!G178</f>
        <v>0</v>
      </c>
      <c r="BD181" s="14">
        <f t="shared" si="118"/>
        <v>0</v>
      </c>
      <c r="BE181" s="15">
        <f t="shared" si="119"/>
        <v>0</v>
      </c>
      <c r="BF181" s="14">
        <f t="shared" si="120"/>
        <v>0</v>
      </c>
      <c r="BG181" s="14">
        <f>DISTRIBUSI!H179</f>
        <v>0</v>
      </c>
      <c r="BH181" s="14">
        <f>'PEMAKAIAN UNIT'!H178</f>
        <v>0</v>
      </c>
      <c r="BI181" s="14">
        <f t="shared" si="121"/>
        <v>0</v>
      </c>
      <c r="BJ181" s="15">
        <f t="shared" si="122"/>
        <v>0</v>
      </c>
      <c r="BK181" s="14">
        <f t="shared" si="123"/>
        <v>0</v>
      </c>
      <c r="BL181" s="14">
        <f>DISTRIBUSI!I179</f>
        <v>0</v>
      </c>
      <c r="BM181" s="14">
        <f>'PEMAKAIAN UNIT'!I178</f>
        <v>0</v>
      </c>
      <c r="BN181" s="14">
        <f t="shared" si="124"/>
        <v>0</v>
      </c>
      <c r="BO181" s="15">
        <f t="shared" si="125"/>
        <v>0</v>
      </c>
      <c r="BP181" s="14">
        <f t="shared" si="126"/>
        <v>0</v>
      </c>
      <c r="BQ181" s="14">
        <f>DISTRIBUSI!J179</f>
        <v>0</v>
      </c>
      <c r="BR181" s="14">
        <f>'PEMAKAIAN UNIT'!J178</f>
        <v>0</v>
      </c>
      <c r="BS181" s="14">
        <f t="shared" si="127"/>
        <v>0</v>
      </c>
      <c r="BT181" s="15">
        <f t="shared" si="128"/>
        <v>0</v>
      </c>
      <c r="BU181" s="14">
        <f t="shared" si="129"/>
        <v>0</v>
      </c>
      <c r="BV181" s="14">
        <f>DISTRIBUSI!K179</f>
        <v>0</v>
      </c>
      <c r="BW181" s="14">
        <f>'PEMAKAIAN UNIT'!K178</f>
        <v>0</v>
      </c>
      <c r="BX181" s="14">
        <f t="shared" si="130"/>
        <v>0</v>
      </c>
      <c r="BY181" s="15">
        <f t="shared" si="131"/>
        <v>0</v>
      </c>
      <c r="BZ181" s="14">
        <f t="shared" si="132"/>
        <v>0</v>
      </c>
      <c r="CA181" s="14">
        <f>DISTRIBUSI!L179</f>
        <v>0</v>
      </c>
      <c r="CB181" s="14">
        <f>'PEMAKAIAN UNIT'!L178</f>
        <v>0</v>
      </c>
      <c r="CC181" s="14">
        <f t="shared" si="133"/>
        <v>0</v>
      </c>
      <c r="CD181" s="15">
        <f t="shared" si="134"/>
        <v>0</v>
      </c>
      <c r="CE181" s="14">
        <f t="shared" si="135"/>
        <v>0</v>
      </c>
      <c r="CF181" s="14">
        <f>DISTRIBUSI!M179</f>
        <v>0</v>
      </c>
      <c r="CG181" s="14">
        <f>'PEMAKAIAN UNIT'!M178</f>
        <v>0</v>
      </c>
      <c r="CH181" s="14">
        <f t="shared" si="136"/>
        <v>0</v>
      </c>
      <c r="CI181" s="15">
        <f t="shared" si="137"/>
        <v>0</v>
      </c>
      <c r="CJ181" s="14">
        <f t="shared" si="138"/>
        <v>0</v>
      </c>
      <c r="CK181" s="14" t="e">
        <f>DISTRIBUSI!#REF!</f>
        <v>#REF!</v>
      </c>
      <c r="CL181" s="14">
        <f>'PEMAKAIAN UNIT'!N178</f>
        <v>0</v>
      </c>
      <c r="CM181" s="14" t="e">
        <f t="shared" si="139"/>
        <v>#REF!</v>
      </c>
      <c r="CN181" s="15" t="e">
        <f t="shared" si="140"/>
        <v>#REF!</v>
      </c>
      <c r="CO181" s="14" t="e">
        <f>DL181+DISTRIBUSI!#REF!-'PEMAKAIAN UNIT'!O178</f>
        <v>#REF!</v>
      </c>
      <c r="CP181" s="15" t="e">
        <f t="shared" si="141"/>
        <v>#REF!</v>
      </c>
      <c r="CQ181" s="226">
        <f t="shared" si="142"/>
        <v>0</v>
      </c>
      <c r="CR181" s="226">
        <f>DISTRIBUSI!R179</f>
        <v>0</v>
      </c>
      <c r="CS181" s="226">
        <f>'PEMAKAIAN UNIT'!P178</f>
        <v>0</v>
      </c>
      <c r="CT181" s="14">
        <f t="shared" si="143"/>
        <v>0</v>
      </c>
      <c r="CU181" s="15">
        <f t="shared" si="144"/>
        <v>0</v>
      </c>
      <c r="CV181" s="14" t="e">
        <f>DN181+DISTRIBUSI!#REF!-'PEMAKAIAN UNIT'!Q178</f>
        <v>#REF!</v>
      </c>
      <c r="CW181" s="15" t="e">
        <f t="shared" si="145"/>
        <v>#REF!</v>
      </c>
      <c r="CX181" s="14">
        <f>DO181+'LPLPO GUDANG'!E184-'LPLPO GUDANG'!G184</f>
        <v>0</v>
      </c>
      <c r="CY181" s="15">
        <f t="shared" si="146"/>
        <v>0</v>
      </c>
      <c r="CZ181" s="28"/>
      <c r="DA181" s="14">
        <v>0</v>
      </c>
      <c r="DB181" s="14">
        <v>0</v>
      </c>
      <c r="DC181" s="14">
        <v>0</v>
      </c>
      <c r="DD181" s="14">
        <v>0</v>
      </c>
      <c r="DE181" s="14">
        <v>0</v>
      </c>
      <c r="DF181" s="14">
        <v>0</v>
      </c>
      <c r="DG181" s="14">
        <v>0</v>
      </c>
      <c r="DH181" s="14">
        <v>0</v>
      </c>
      <c r="DI181" s="14">
        <v>0</v>
      </c>
      <c r="DJ181" s="14">
        <v>0</v>
      </c>
      <c r="DK181" s="14">
        <v>0</v>
      </c>
      <c r="DL181" s="14">
        <v>0</v>
      </c>
      <c r="DM181" s="14">
        <v>0</v>
      </c>
      <c r="DN181" s="14">
        <v>0</v>
      </c>
      <c r="DO181" s="14">
        <v>0</v>
      </c>
      <c r="DP181" s="13">
        <f t="shared" si="147"/>
        <v>0</v>
      </c>
      <c r="DR181" t="s">
        <v>413</v>
      </c>
      <c r="DU181" s="20">
        <f t="shared" si="148"/>
        <v>0</v>
      </c>
    </row>
    <row r="182" spans="1:125" customFormat="1" ht="16.5" x14ac:dyDescent="0.35">
      <c r="A182" s="84"/>
      <c r="B182" s="142"/>
      <c r="C182" s="106"/>
      <c r="D182" s="14"/>
      <c r="E182" s="254"/>
      <c r="F182" s="254"/>
      <c r="G182" s="25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255">
        <f t="shared" si="150"/>
        <v>0</v>
      </c>
      <c r="AF182" s="212"/>
      <c r="AG182" s="212"/>
      <c r="AH182" s="20"/>
      <c r="AI182" s="14">
        <f t="shared" si="106"/>
        <v>0</v>
      </c>
      <c r="AJ182" s="209">
        <f t="shared" si="107"/>
        <v>0</v>
      </c>
      <c r="AL182" s="14"/>
      <c r="AM182" s="14"/>
      <c r="AN182" s="14"/>
      <c r="AO182" s="14"/>
      <c r="AP182" s="15"/>
      <c r="AQ182" s="14"/>
      <c r="AR182" s="14"/>
      <c r="AS182" s="14"/>
      <c r="AT182" s="14"/>
      <c r="AU182" s="15"/>
      <c r="AV182" s="14"/>
      <c r="AW182" s="14"/>
      <c r="AX182" s="14"/>
      <c r="AY182" s="14"/>
      <c r="AZ182" s="15"/>
      <c r="BA182" s="14"/>
      <c r="BB182" s="14"/>
      <c r="BC182" s="14"/>
      <c r="BD182" s="14"/>
      <c r="BE182" s="15"/>
      <c r="BF182" s="14"/>
      <c r="BG182" s="14"/>
      <c r="BH182" s="14"/>
      <c r="BI182" s="14"/>
      <c r="BJ182" s="15"/>
      <c r="BK182" s="14"/>
      <c r="BL182" s="14"/>
      <c r="BM182" s="14"/>
      <c r="BN182" s="14"/>
      <c r="BO182" s="15"/>
      <c r="BP182" s="14"/>
      <c r="BQ182" s="14"/>
      <c r="BR182" s="14"/>
      <c r="BS182" s="14"/>
      <c r="BT182" s="15"/>
      <c r="BU182" s="14"/>
      <c r="BV182" s="14"/>
      <c r="BW182" s="14"/>
      <c r="BX182" s="14"/>
      <c r="BY182" s="15"/>
      <c r="BZ182" s="14"/>
      <c r="CA182" s="14"/>
      <c r="CB182" s="14"/>
      <c r="CC182" s="14"/>
      <c r="CD182" s="15"/>
      <c r="CE182" s="14"/>
      <c r="CF182" s="14"/>
      <c r="CG182" s="14"/>
      <c r="CH182" s="14"/>
      <c r="CI182" s="15"/>
      <c r="CJ182" s="14"/>
      <c r="CK182" s="14"/>
      <c r="CL182" s="14"/>
      <c r="CM182" s="14"/>
      <c r="CN182" s="15"/>
      <c r="CO182" s="14"/>
      <c r="CP182" s="15"/>
      <c r="CQ182" s="226"/>
      <c r="CR182" s="226"/>
      <c r="CS182" s="226"/>
      <c r="CT182" s="14"/>
      <c r="CU182" s="15"/>
      <c r="CV182" s="14"/>
      <c r="CW182" s="15"/>
      <c r="CX182" s="14"/>
      <c r="CY182" s="15"/>
      <c r="CZ182" s="28"/>
      <c r="DA182" s="14">
        <v>0</v>
      </c>
      <c r="DB182" s="14">
        <v>0</v>
      </c>
      <c r="DC182" s="14">
        <v>0</v>
      </c>
      <c r="DD182" s="14">
        <v>0</v>
      </c>
      <c r="DE182" s="14">
        <v>0</v>
      </c>
      <c r="DF182" s="14">
        <v>0</v>
      </c>
      <c r="DG182" s="14">
        <v>0</v>
      </c>
      <c r="DH182" s="14">
        <v>0</v>
      </c>
      <c r="DI182" s="14">
        <v>0</v>
      </c>
      <c r="DJ182" s="14">
        <v>0</v>
      </c>
      <c r="DK182" s="14">
        <v>0</v>
      </c>
      <c r="DL182" s="14">
        <v>0</v>
      </c>
      <c r="DM182" s="14">
        <v>0</v>
      </c>
      <c r="DN182" s="14">
        <v>0</v>
      </c>
      <c r="DO182" s="14">
        <v>0</v>
      </c>
      <c r="DP182" s="13">
        <f t="shared" si="147"/>
        <v>0</v>
      </c>
      <c r="DR182" t="s">
        <v>417</v>
      </c>
      <c r="DU182" s="20">
        <f t="shared" si="148"/>
        <v>0</v>
      </c>
    </row>
    <row r="183" spans="1:125" customFormat="1" ht="16.5" x14ac:dyDescent="0.35">
      <c r="A183" s="84"/>
      <c r="B183" s="142"/>
      <c r="C183" s="106"/>
      <c r="D183" s="14"/>
      <c r="E183" s="254"/>
      <c r="F183" s="254"/>
      <c r="G183" s="25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255">
        <f t="shared" si="150"/>
        <v>0</v>
      </c>
      <c r="AF183" s="212"/>
      <c r="AG183" s="212"/>
      <c r="AH183" s="20"/>
      <c r="AI183" s="14">
        <f t="shared" si="106"/>
        <v>0</v>
      </c>
      <c r="AJ183" s="209">
        <f t="shared" si="107"/>
        <v>0</v>
      </c>
      <c r="AL183" s="14"/>
      <c r="AM183" s="14"/>
      <c r="AN183" s="14"/>
      <c r="AO183" s="14"/>
      <c r="AP183" s="15"/>
      <c r="AQ183" s="14"/>
      <c r="AR183" s="14"/>
      <c r="AS183" s="14"/>
      <c r="AT183" s="14"/>
      <c r="AU183" s="15"/>
      <c r="AV183" s="14"/>
      <c r="AW183" s="14"/>
      <c r="AX183" s="14"/>
      <c r="AY183" s="14"/>
      <c r="AZ183" s="15"/>
      <c r="BA183" s="14"/>
      <c r="BB183" s="14"/>
      <c r="BC183" s="14"/>
      <c r="BD183" s="14"/>
      <c r="BE183" s="15"/>
      <c r="BF183" s="14"/>
      <c r="BG183" s="14"/>
      <c r="BH183" s="14"/>
      <c r="BI183" s="14"/>
      <c r="BJ183" s="15"/>
      <c r="BK183" s="14"/>
      <c r="BL183" s="14"/>
      <c r="BM183" s="14"/>
      <c r="BN183" s="14"/>
      <c r="BO183" s="15"/>
      <c r="BP183" s="14"/>
      <c r="BQ183" s="14"/>
      <c r="BR183" s="14"/>
      <c r="BS183" s="14"/>
      <c r="BT183" s="15"/>
      <c r="BU183" s="14"/>
      <c r="BV183" s="14"/>
      <c r="BW183" s="14"/>
      <c r="BX183" s="14"/>
      <c r="BY183" s="15"/>
      <c r="BZ183" s="14"/>
      <c r="CA183" s="14"/>
      <c r="CB183" s="14"/>
      <c r="CC183" s="14"/>
      <c r="CD183" s="15"/>
      <c r="CE183" s="14"/>
      <c r="CF183" s="14"/>
      <c r="CG183" s="14"/>
      <c r="CH183" s="14"/>
      <c r="CI183" s="15"/>
      <c r="CJ183" s="14"/>
      <c r="CK183" s="14"/>
      <c r="CL183" s="14"/>
      <c r="CM183" s="14"/>
      <c r="CN183" s="15"/>
      <c r="CO183" s="14"/>
      <c r="CP183" s="15"/>
      <c r="CQ183" s="226"/>
      <c r="CR183" s="226"/>
      <c r="CS183" s="226"/>
      <c r="CT183" s="14"/>
      <c r="CU183" s="15"/>
      <c r="CV183" s="14"/>
      <c r="CW183" s="15"/>
      <c r="CX183" s="14"/>
      <c r="CY183" s="15"/>
      <c r="CZ183" s="28"/>
      <c r="DA183" s="14">
        <v>0</v>
      </c>
      <c r="DB183" s="14">
        <v>0</v>
      </c>
      <c r="DC183" s="14">
        <v>0</v>
      </c>
      <c r="DD183" s="14">
        <v>0</v>
      </c>
      <c r="DE183" s="14">
        <v>0</v>
      </c>
      <c r="DF183" s="14">
        <v>0</v>
      </c>
      <c r="DG183" s="14">
        <v>0</v>
      </c>
      <c r="DH183" s="14">
        <v>0</v>
      </c>
      <c r="DI183" s="14">
        <v>0</v>
      </c>
      <c r="DJ183" s="14">
        <v>0</v>
      </c>
      <c r="DK183" s="14">
        <v>0</v>
      </c>
      <c r="DL183" s="14">
        <v>0</v>
      </c>
      <c r="DM183" s="14">
        <v>0</v>
      </c>
      <c r="DN183" s="14">
        <v>0</v>
      </c>
      <c r="DO183" s="14">
        <v>0</v>
      </c>
      <c r="DP183" s="13">
        <f t="shared" si="147"/>
        <v>0</v>
      </c>
      <c r="DR183" s="21"/>
      <c r="DU183" s="20">
        <f t="shared" si="148"/>
        <v>0</v>
      </c>
    </row>
    <row r="184" spans="1:125" customFormat="1" ht="20.149999999999999" customHeight="1" x14ac:dyDescent="0.35">
      <c r="A184" s="108" t="s">
        <v>313</v>
      </c>
      <c r="B184" s="203"/>
      <c r="C184" s="106"/>
      <c r="D184" s="14"/>
      <c r="E184" s="254"/>
      <c r="F184" s="254"/>
      <c r="G184" s="25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255"/>
      <c r="AF184" s="212"/>
      <c r="AG184" s="212"/>
      <c r="AH184" s="20"/>
      <c r="AI184" s="14"/>
      <c r="AJ184" s="209"/>
      <c r="AL184" s="14"/>
      <c r="AM184" s="14"/>
      <c r="AN184" s="14"/>
      <c r="AO184" s="14"/>
      <c r="AP184" s="15"/>
      <c r="AQ184" s="14"/>
      <c r="AR184" s="14"/>
      <c r="AS184" s="14"/>
      <c r="AT184" s="14"/>
      <c r="AU184" s="15"/>
      <c r="AV184" s="14"/>
      <c r="AW184" s="14"/>
      <c r="AX184" s="14"/>
      <c r="AY184" s="14"/>
      <c r="AZ184" s="15"/>
      <c r="BA184" s="14"/>
      <c r="BB184" s="14"/>
      <c r="BC184" s="14"/>
      <c r="BD184" s="14"/>
      <c r="BE184" s="15"/>
      <c r="BF184" s="14"/>
      <c r="BG184" s="14"/>
      <c r="BH184" s="14"/>
      <c r="BI184" s="14"/>
      <c r="BJ184" s="15"/>
      <c r="BK184" s="14"/>
      <c r="BL184" s="14"/>
      <c r="BM184" s="14"/>
      <c r="BN184" s="14"/>
      <c r="BO184" s="15"/>
      <c r="BP184" s="14"/>
      <c r="BQ184" s="14"/>
      <c r="BR184" s="14"/>
      <c r="BS184" s="14"/>
      <c r="BT184" s="15"/>
      <c r="BU184" s="14"/>
      <c r="BV184" s="14"/>
      <c r="BW184" s="14"/>
      <c r="BX184" s="14"/>
      <c r="BY184" s="15"/>
      <c r="BZ184" s="14"/>
      <c r="CA184" s="14"/>
      <c r="CB184" s="14"/>
      <c r="CC184" s="14"/>
      <c r="CD184" s="15"/>
      <c r="CE184" s="14"/>
      <c r="CF184" s="14"/>
      <c r="CG184" s="14"/>
      <c r="CH184" s="14"/>
      <c r="CI184" s="15"/>
      <c r="CJ184" s="14"/>
      <c r="CK184" s="14"/>
      <c r="CL184" s="14"/>
      <c r="CM184" s="14"/>
      <c r="CN184" s="15"/>
      <c r="CO184" s="14"/>
      <c r="CP184" s="15"/>
      <c r="CQ184" s="226"/>
      <c r="CR184" s="226"/>
      <c r="CS184" s="226"/>
      <c r="CT184" s="14"/>
      <c r="CU184" s="15"/>
      <c r="CV184" s="14"/>
      <c r="CW184" s="15"/>
      <c r="CX184" s="14"/>
      <c r="CY184" s="15"/>
      <c r="CZ184" s="28"/>
      <c r="DA184" s="14">
        <v>0</v>
      </c>
      <c r="DB184" s="14">
        <v>0</v>
      </c>
      <c r="DC184" s="14">
        <v>0</v>
      </c>
      <c r="DD184" s="14">
        <v>0</v>
      </c>
      <c r="DE184" s="14">
        <v>0</v>
      </c>
      <c r="DF184" s="14">
        <v>0</v>
      </c>
      <c r="DG184" s="14">
        <v>0</v>
      </c>
      <c r="DH184" s="14">
        <v>0</v>
      </c>
      <c r="DI184" s="14">
        <v>0</v>
      </c>
      <c r="DJ184" s="14">
        <v>0</v>
      </c>
      <c r="DK184" s="14">
        <v>0</v>
      </c>
      <c r="DL184" s="14">
        <v>0</v>
      </c>
      <c r="DM184" s="14">
        <v>0</v>
      </c>
      <c r="DN184" s="14">
        <v>0</v>
      </c>
      <c r="DO184" s="14">
        <v>0</v>
      </c>
      <c r="DP184" s="13"/>
      <c r="DR184" s="21"/>
      <c r="DU184" s="20">
        <f t="shared" si="148"/>
        <v>0</v>
      </c>
    </row>
    <row r="185" spans="1:125" customFormat="1" ht="20.149999999999999" customHeight="1" x14ac:dyDescent="0.5">
      <c r="A185" s="204">
        <v>1</v>
      </c>
      <c r="B185" s="145" t="s">
        <v>309</v>
      </c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212"/>
      <c r="AG185" s="212"/>
      <c r="AH185" s="20"/>
      <c r="AI185" s="14"/>
      <c r="AJ185" s="209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  <c r="AW185" s="146"/>
      <c r="AX185" s="146"/>
      <c r="AY185" s="146"/>
      <c r="AZ185" s="146"/>
      <c r="BA185" s="146"/>
      <c r="BB185" s="146"/>
      <c r="BC185" s="146"/>
      <c r="BD185" s="146"/>
      <c r="BE185" s="146"/>
      <c r="BF185" s="146"/>
      <c r="BG185" s="146"/>
      <c r="BH185" s="146"/>
      <c r="BI185" s="146"/>
      <c r="BJ185" s="146"/>
      <c r="BK185" s="146"/>
      <c r="BL185" s="146"/>
      <c r="BM185" s="146"/>
      <c r="BN185" s="146"/>
      <c r="BO185" s="146"/>
      <c r="BP185" s="146"/>
      <c r="BQ185" s="146"/>
      <c r="BR185" s="146"/>
      <c r="BS185" s="146"/>
      <c r="BT185" s="146"/>
      <c r="BU185" s="146"/>
      <c r="BV185" s="146"/>
      <c r="BW185" s="146"/>
      <c r="BX185" s="146"/>
      <c r="BY185" s="146"/>
      <c r="BZ185" s="146"/>
      <c r="CA185" s="146"/>
      <c r="CB185" s="146"/>
      <c r="CC185" s="146"/>
      <c r="CD185" s="146"/>
      <c r="CE185" s="146"/>
      <c r="CF185" s="146"/>
      <c r="CG185" s="146"/>
      <c r="CH185" s="146"/>
      <c r="CI185" s="146"/>
      <c r="CJ185" s="146"/>
      <c r="CK185" s="146"/>
      <c r="CL185" s="146"/>
      <c r="CM185" s="146"/>
      <c r="CN185" s="146"/>
      <c r="CO185" s="146"/>
      <c r="CP185" s="146"/>
      <c r="CQ185" s="146"/>
      <c r="CR185" s="146"/>
      <c r="CS185" s="146"/>
      <c r="CT185" s="146"/>
      <c r="CU185" s="146"/>
      <c r="CV185" s="146"/>
      <c r="CW185" s="146"/>
      <c r="CX185" s="146"/>
      <c r="CY185" s="146"/>
      <c r="CZ185" s="28"/>
      <c r="DA185" s="14">
        <v>0</v>
      </c>
      <c r="DB185" s="14">
        <v>0</v>
      </c>
      <c r="DC185" s="14">
        <v>0</v>
      </c>
      <c r="DD185" s="14">
        <v>0</v>
      </c>
      <c r="DE185" s="14">
        <v>0</v>
      </c>
      <c r="DF185" s="14">
        <v>0</v>
      </c>
      <c r="DG185" s="14">
        <v>0</v>
      </c>
      <c r="DH185" s="14">
        <v>0</v>
      </c>
      <c r="DI185" s="14">
        <v>0</v>
      </c>
      <c r="DJ185" s="14">
        <v>0</v>
      </c>
      <c r="DK185" s="14">
        <v>0</v>
      </c>
      <c r="DL185" s="14">
        <v>0</v>
      </c>
      <c r="DM185" s="14">
        <v>0</v>
      </c>
      <c r="DN185" s="14">
        <v>0</v>
      </c>
      <c r="DO185" s="14">
        <v>0</v>
      </c>
      <c r="DP185" s="13">
        <f t="shared" ref="DP185:DP229" si="151">SUM(CZ185:DO185)</f>
        <v>0</v>
      </c>
      <c r="DR185" s="21"/>
      <c r="DU185" s="20">
        <f t="shared" si="148"/>
        <v>0</v>
      </c>
    </row>
    <row r="186" spans="1:125" customFormat="1" ht="20.149999999999999" customHeight="1" x14ac:dyDescent="0.35">
      <c r="A186" s="205">
        <v>2</v>
      </c>
      <c r="B186" s="178" t="s">
        <v>148</v>
      </c>
      <c r="C186" s="144" t="s">
        <v>177</v>
      </c>
      <c r="D186" s="14">
        <v>0</v>
      </c>
      <c r="E186" s="254">
        <f>'LPLPO PROGRAM'!E15</f>
        <v>0</v>
      </c>
      <c r="F186" s="254">
        <f t="shared" ref="F186" si="152">SUM(D186:E186)</f>
        <v>0</v>
      </c>
      <c r="G186" s="254">
        <f>'PEMAKAIAN UNIT'!R183</f>
        <v>0</v>
      </c>
      <c r="H186" s="14">
        <v>0</v>
      </c>
      <c r="I186" s="14">
        <v>0</v>
      </c>
      <c r="J186" s="14">
        <v>0</v>
      </c>
      <c r="K186" s="14"/>
      <c r="L186" s="14"/>
      <c r="M186" s="14"/>
      <c r="N186" s="14"/>
      <c r="O186" s="14"/>
      <c r="P186" s="14"/>
      <c r="Q186" s="14"/>
      <c r="R186" s="14"/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09">
        <f t="shared" ref="Y186" si="153">CH186</f>
        <v>0</v>
      </c>
      <c r="Z186" s="109" t="e">
        <f t="shared" ref="Z186" si="154">CM186</f>
        <v>#REF!</v>
      </c>
      <c r="AA186" s="109" t="e">
        <f t="shared" ref="AA186" si="155">CO186</f>
        <v>#REF!</v>
      </c>
      <c r="AB186" s="14">
        <v>0</v>
      </c>
      <c r="AC186" s="109" t="e">
        <f t="shared" ref="AC186" si="156">CV186</f>
        <v>#REF!</v>
      </c>
      <c r="AD186" s="109">
        <f>'LPLPO PROGRAM'!H15</f>
        <v>0</v>
      </c>
      <c r="AE186" s="111" t="e">
        <f t="shared" ref="AE186" si="157">SUM(H186:AD186)</f>
        <v>#REF!</v>
      </c>
      <c r="AF186" s="212"/>
      <c r="AG186" s="212"/>
      <c r="AH186" s="20"/>
      <c r="AI186" s="14">
        <f t="shared" ref="AI186" si="158">F186-G186</f>
        <v>0</v>
      </c>
      <c r="AJ186" s="209" t="e">
        <f t="shared" ref="AJ186" si="159">AE186-AI186</f>
        <v>#REF!</v>
      </c>
      <c r="AL186" s="14">
        <f t="shared" ref="AL186:AL247" si="160">DA186</f>
        <v>0</v>
      </c>
      <c r="AM186" s="14">
        <f>DISTRIBUSI!D184</f>
        <v>0</v>
      </c>
      <c r="AN186" s="14">
        <f>'PEMAKAIAN UNIT'!D183</f>
        <v>0</v>
      </c>
      <c r="AO186" s="14">
        <f t="shared" ref="AO186:AO247" si="161">AL186+AM186-AN186</f>
        <v>0</v>
      </c>
      <c r="AP186" s="15">
        <f t="shared" ref="AP186:AP247" si="162">AO186-H186</f>
        <v>0</v>
      </c>
      <c r="AQ186" s="14">
        <f t="shared" ref="AQ186:AQ247" si="163">DB186</f>
        <v>0</v>
      </c>
      <c r="AR186" s="14">
        <f>DISTRIBUSI!E184</f>
        <v>0</v>
      </c>
      <c r="AS186" s="14">
        <f>'PEMAKAIAN UNIT'!E183</f>
        <v>0</v>
      </c>
      <c r="AT186" s="14">
        <f t="shared" ref="AT186:AT247" si="164">AQ186+AR186-AS186</f>
        <v>0</v>
      </c>
      <c r="AU186" s="15">
        <f t="shared" ref="AU186:AU247" si="165">AT186-I186</f>
        <v>0</v>
      </c>
      <c r="AV186" s="14">
        <f t="shared" ref="AV186:AV247" si="166">DC186</f>
        <v>0</v>
      </c>
      <c r="AW186" s="14">
        <f>DISTRIBUSI!F184</f>
        <v>0</v>
      </c>
      <c r="AX186" s="14">
        <f>'PEMAKAIAN UNIT'!F183</f>
        <v>0</v>
      </c>
      <c r="AY186" s="14">
        <f t="shared" ref="AY186:AY247" si="167">AV186+AW186-AX186</f>
        <v>0</v>
      </c>
      <c r="AZ186" s="15">
        <f t="shared" ref="AZ186:AZ247" si="168">AY186-J186</f>
        <v>0</v>
      </c>
      <c r="BA186" s="14">
        <f t="shared" ref="BA186:BA247" si="169">DD186</f>
        <v>0</v>
      </c>
      <c r="BB186" s="14">
        <f>DISTRIBUSI!G184</f>
        <v>0</v>
      </c>
      <c r="BC186" s="14">
        <f>'PEMAKAIAN UNIT'!G183</f>
        <v>0</v>
      </c>
      <c r="BD186" s="14">
        <f t="shared" ref="BD186:BD247" si="170">BA186+BB186-BC186</f>
        <v>0</v>
      </c>
      <c r="BE186" s="15">
        <f t="shared" ref="BE186:BE247" si="171">BD186-S186</f>
        <v>0</v>
      </c>
      <c r="BF186" s="14">
        <f t="shared" ref="BF186:BF247" si="172">DE186</f>
        <v>0</v>
      </c>
      <c r="BG186" s="14">
        <f>DISTRIBUSI!H184</f>
        <v>0</v>
      </c>
      <c r="BH186" s="14">
        <f>'PEMAKAIAN UNIT'!H183</f>
        <v>0</v>
      </c>
      <c r="BI186" s="14">
        <f t="shared" ref="BI186:BI247" si="173">BF186+BG186-BH186</f>
        <v>0</v>
      </c>
      <c r="BJ186" s="15">
        <f t="shared" ref="BJ186:BJ247" si="174">BI186-T186</f>
        <v>0</v>
      </c>
      <c r="BK186" s="14">
        <f t="shared" ref="BK186:BK247" si="175">DF186</f>
        <v>0</v>
      </c>
      <c r="BL186" s="14">
        <f>DISTRIBUSI!I184</f>
        <v>0</v>
      </c>
      <c r="BM186" s="14">
        <f>'PEMAKAIAN UNIT'!I183</f>
        <v>0</v>
      </c>
      <c r="BN186" s="14">
        <f t="shared" ref="BN186:BN247" si="176">BK186+BL186-BM186</f>
        <v>0</v>
      </c>
      <c r="BO186" s="15">
        <f t="shared" ref="BO186:BO247" si="177">BN186-U186</f>
        <v>0</v>
      </c>
      <c r="BP186" s="14">
        <f t="shared" ref="BP186:BP247" si="178">DG186</f>
        <v>0</v>
      </c>
      <c r="BQ186" s="14">
        <f>DISTRIBUSI!J184</f>
        <v>0</v>
      </c>
      <c r="BR186" s="14">
        <f>'PEMAKAIAN UNIT'!J183</f>
        <v>0</v>
      </c>
      <c r="BS186" s="14">
        <f t="shared" ref="BS186:BS247" si="179">BP186+BQ186-BR186</f>
        <v>0</v>
      </c>
      <c r="BT186" s="15">
        <f t="shared" ref="BT186:BT247" si="180">BS186-V186</f>
        <v>0</v>
      </c>
      <c r="BU186" s="14">
        <f t="shared" ref="BU186:BU247" si="181">DH186</f>
        <v>0</v>
      </c>
      <c r="BV186" s="14">
        <f>DISTRIBUSI!K184</f>
        <v>0</v>
      </c>
      <c r="BW186" s="14">
        <f>'PEMAKAIAN UNIT'!K183</f>
        <v>0</v>
      </c>
      <c r="BX186" s="14">
        <f t="shared" ref="BX186:BX247" si="182">BU186+BV186-BW186</f>
        <v>0</v>
      </c>
      <c r="BY186" s="15">
        <f t="shared" ref="BY186:BY247" si="183">BX186-W186</f>
        <v>0</v>
      </c>
      <c r="BZ186" s="14">
        <f t="shared" ref="BZ186:BZ247" si="184">DI186</f>
        <v>0</v>
      </c>
      <c r="CA186" s="14">
        <f>DISTRIBUSI!L184</f>
        <v>0</v>
      </c>
      <c r="CB186" s="14">
        <f>'PEMAKAIAN UNIT'!L183</f>
        <v>0</v>
      </c>
      <c r="CC186" s="14">
        <f t="shared" ref="CC186:CC247" si="185">BZ186+CA186-CB186</f>
        <v>0</v>
      </c>
      <c r="CD186" s="15">
        <f t="shared" ref="CD186:CD247" si="186">CC186-X186</f>
        <v>0</v>
      </c>
      <c r="CE186" s="14">
        <f t="shared" ref="CE186:CE247" si="187">DJ186</f>
        <v>0</v>
      </c>
      <c r="CF186" s="14">
        <f>DISTRIBUSI!M184</f>
        <v>0</v>
      </c>
      <c r="CG186" s="14">
        <f>'PEMAKAIAN UNIT'!M183</f>
        <v>0</v>
      </c>
      <c r="CH186" s="14">
        <f t="shared" ref="CH186:CH247" si="188">CE186+CF186-CG186</f>
        <v>0</v>
      </c>
      <c r="CI186" s="15">
        <f t="shared" ref="CI186:CI247" si="189">CH186-Y186</f>
        <v>0</v>
      </c>
      <c r="CJ186" s="14">
        <f t="shared" ref="CJ186:CJ247" si="190">DK186</f>
        <v>0</v>
      </c>
      <c r="CK186" s="14" t="e">
        <f>DISTRIBUSI!#REF!</f>
        <v>#REF!</v>
      </c>
      <c r="CL186" s="14">
        <f>'PEMAKAIAN UNIT'!N183</f>
        <v>0</v>
      </c>
      <c r="CM186" s="14" t="e">
        <f t="shared" ref="CM186:CM247" si="191">CJ186+CK186-CL186</f>
        <v>#REF!</v>
      </c>
      <c r="CN186" s="15" t="e">
        <f t="shared" ref="CN186:CN247" si="192">CM186-Z186</f>
        <v>#REF!</v>
      </c>
      <c r="CO186" s="14" t="e">
        <f>DL186+DISTRIBUSI!#REF!-'PEMAKAIAN UNIT'!O183</f>
        <v>#REF!</v>
      </c>
      <c r="CP186" s="15" t="e">
        <f t="shared" ref="CP186:CP247" si="193">CO186-AA186</f>
        <v>#REF!</v>
      </c>
      <c r="CQ186" s="226">
        <f t="shared" ref="CQ186:CQ247" si="194">DM186</f>
        <v>0</v>
      </c>
      <c r="CR186" s="226">
        <f>DISTRIBUSI!R184</f>
        <v>0</v>
      </c>
      <c r="CS186" s="226">
        <f>'PEMAKAIAN UNIT'!P183</f>
        <v>0</v>
      </c>
      <c r="CT186" s="14">
        <f t="shared" ref="CT186:CT247" si="195">CQ186+CR186-CS186</f>
        <v>0</v>
      </c>
      <c r="CU186" s="15">
        <f t="shared" ref="CU186:CU247" si="196">CT186-AB186</f>
        <v>0</v>
      </c>
      <c r="CV186" s="14" t="e">
        <f>DN186+DISTRIBUSI!#REF!-'PEMAKAIAN UNIT'!Q183</f>
        <v>#REF!</v>
      </c>
      <c r="CW186" s="15" t="e">
        <f t="shared" ref="CW186:CW247" si="197">CV186-AC186</f>
        <v>#REF!</v>
      </c>
      <c r="CX186" s="14">
        <f>DO186+'LPLPO PROGRAM'!E15-'LPLPO PROGRAM'!G15</f>
        <v>0</v>
      </c>
      <c r="CY186" s="15">
        <f t="shared" ref="CY186:CY247" si="198">CX186-AD186</f>
        <v>0</v>
      </c>
      <c r="CZ186" s="28"/>
      <c r="DA186" s="14">
        <v>0</v>
      </c>
      <c r="DB186" s="14">
        <v>0</v>
      </c>
      <c r="DC186" s="14">
        <v>0</v>
      </c>
      <c r="DD186" s="14">
        <v>0</v>
      </c>
      <c r="DE186" s="14">
        <v>0</v>
      </c>
      <c r="DF186" s="14">
        <v>0</v>
      </c>
      <c r="DG186" s="14">
        <v>0</v>
      </c>
      <c r="DH186" s="14">
        <v>0</v>
      </c>
      <c r="DI186" s="14">
        <v>0</v>
      </c>
      <c r="DJ186" s="14">
        <v>0</v>
      </c>
      <c r="DK186" s="14">
        <v>0</v>
      </c>
      <c r="DL186" s="14">
        <v>0</v>
      </c>
      <c r="DM186" s="14">
        <v>0</v>
      </c>
      <c r="DN186" s="14">
        <v>0</v>
      </c>
      <c r="DO186" s="14">
        <v>0</v>
      </c>
      <c r="DP186" s="13">
        <f t="shared" si="151"/>
        <v>0</v>
      </c>
      <c r="DR186" s="21"/>
      <c r="DU186" s="20" t="e">
        <f t="shared" si="148"/>
        <v>#REF!</v>
      </c>
    </row>
    <row r="187" spans="1:125" customFormat="1" ht="20.149999999999999" customHeight="1" x14ac:dyDescent="0.35">
      <c r="A187" s="205">
        <v>3</v>
      </c>
      <c r="B187" s="178" t="s">
        <v>391</v>
      </c>
      <c r="C187" s="144" t="s">
        <v>48</v>
      </c>
      <c r="D187" s="14">
        <v>0</v>
      </c>
      <c r="E187" s="254">
        <f>'LPLPO PROGRAM'!E16</f>
        <v>0</v>
      </c>
      <c r="F187" s="254">
        <f t="shared" ref="F187:F250" si="199">SUM(D187:E187)</f>
        <v>0</v>
      </c>
      <c r="G187" s="254">
        <f>'PEMAKAIAN UNIT'!R184</f>
        <v>0</v>
      </c>
      <c r="H187" s="14">
        <v>0</v>
      </c>
      <c r="I187" s="14">
        <v>0</v>
      </c>
      <c r="J187" s="14">
        <v>0</v>
      </c>
      <c r="K187" s="14"/>
      <c r="L187" s="14"/>
      <c r="M187" s="14"/>
      <c r="N187" s="14"/>
      <c r="O187" s="14"/>
      <c r="P187" s="14"/>
      <c r="Q187" s="14"/>
      <c r="R187" s="14"/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09">
        <f t="shared" ref="Y187:Y250" si="200">CH187</f>
        <v>0</v>
      </c>
      <c r="Z187" s="109" t="e">
        <f t="shared" ref="Z187:Z250" si="201">CM187</f>
        <v>#REF!</v>
      </c>
      <c r="AA187" s="109" t="e">
        <f t="shared" ref="AA187:AA250" si="202">CO187</f>
        <v>#REF!</v>
      </c>
      <c r="AB187" s="14">
        <v>0</v>
      </c>
      <c r="AC187" s="109" t="e">
        <f t="shared" ref="AC187:AC250" si="203">CV187</f>
        <v>#REF!</v>
      </c>
      <c r="AD187" s="109">
        <f>'LPLPO PROGRAM'!H16</f>
        <v>0</v>
      </c>
      <c r="AE187" s="111" t="e">
        <f t="shared" ref="AE187:AE250" si="204">SUM(H187:AD187)</f>
        <v>#REF!</v>
      </c>
      <c r="AF187" s="212"/>
      <c r="AG187" s="212"/>
      <c r="AH187" s="20"/>
      <c r="AI187" s="14">
        <f t="shared" ref="AI187" si="205">F187-G187</f>
        <v>0</v>
      </c>
      <c r="AJ187" s="209" t="e">
        <f t="shared" ref="AJ187" si="206">AE187-AI187</f>
        <v>#REF!</v>
      </c>
      <c r="AL187" s="14">
        <f t="shared" si="160"/>
        <v>0</v>
      </c>
      <c r="AM187" s="14">
        <f>DISTRIBUSI!D185</f>
        <v>0</v>
      </c>
      <c r="AN187" s="14">
        <f>'PEMAKAIAN UNIT'!D184</f>
        <v>0</v>
      </c>
      <c r="AO187" s="14">
        <f t="shared" si="161"/>
        <v>0</v>
      </c>
      <c r="AP187" s="15">
        <f t="shared" si="162"/>
        <v>0</v>
      </c>
      <c r="AQ187" s="14">
        <f t="shared" si="163"/>
        <v>0</v>
      </c>
      <c r="AR187" s="14">
        <f>DISTRIBUSI!E185</f>
        <v>0</v>
      </c>
      <c r="AS187" s="14">
        <f>'PEMAKAIAN UNIT'!E184</f>
        <v>0</v>
      </c>
      <c r="AT187" s="14">
        <f t="shared" si="164"/>
        <v>0</v>
      </c>
      <c r="AU187" s="15">
        <f t="shared" si="165"/>
        <v>0</v>
      </c>
      <c r="AV187" s="14">
        <f t="shared" si="166"/>
        <v>0</v>
      </c>
      <c r="AW187" s="14">
        <f>DISTRIBUSI!F185</f>
        <v>0</v>
      </c>
      <c r="AX187" s="14">
        <f>'PEMAKAIAN UNIT'!F184</f>
        <v>0</v>
      </c>
      <c r="AY187" s="14">
        <f t="shared" si="167"/>
        <v>0</v>
      </c>
      <c r="AZ187" s="15">
        <f t="shared" si="168"/>
        <v>0</v>
      </c>
      <c r="BA187" s="14">
        <f t="shared" si="169"/>
        <v>0</v>
      </c>
      <c r="BB187" s="14">
        <f>DISTRIBUSI!G185</f>
        <v>0</v>
      </c>
      <c r="BC187" s="14">
        <f>'PEMAKAIAN UNIT'!G184</f>
        <v>0</v>
      </c>
      <c r="BD187" s="14">
        <f t="shared" si="170"/>
        <v>0</v>
      </c>
      <c r="BE187" s="15">
        <f t="shared" si="171"/>
        <v>0</v>
      </c>
      <c r="BF187" s="14">
        <f t="shared" si="172"/>
        <v>0</v>
      </c>
      <c r="BG187" s="14">
        <f>DISTRIBUSI!H185</f>
        <v>0</v>
      </c>
      <c r="BH187" s="14">
        <f>'PEMAKAIAN UNIT'!H184</f>
        <v>0</v>
      </c>
      <c r="BI187" s="14">
        <f t="shared" si="173"/>
        <v>0</v>
      </c>
      <c r="BJ187" s="15">
        <f t="shared" si="174"/>
        <v>0</v>
      </c>
      <c r="BK187" s="14">
        <f t="shared" si="175"/>
        <v>0</v>
      </c>
      <c r="BL187" s="14">
        <f>DISTRIBUSI!I185</f>
        <v>0</v>
      </c>
      <c r="BM187" s="14">
        <f>'PEMAKAIAN UNIT'!I184</f>
        <v>0</v>
      </c>
      <c r="BN187" s="14">
        <f t="shared" si="176"/>
        <v>0</v>
      </c>
      <c r="BO187" s="15">
        <f t="shared" si="177"/>
        <v>0</v>
      </c>
      <c r="BP187" s="14">
        <f t="shared" si="178"/>
        <v>0</v>
      </c>
      <c r="BQ187" s="14">
        <f>DISTRIBUSI!J185</f>
        <v>0</v>
      </c>
      <c r="BR187" s="14">
        <f>'PEMAKAIAN UNIT'!J184</f>
        <v>0</v>
      </c>
      <c r="BS187" s="14">
        <f t="shared" si="179"/>
        <v>0</v>
      </c>
      <c r="BT187" s="15">
        <f t="shared" si="180"/>
        <v>0</v>
      </c>
      <c r="BU187" s="14">
        <f t="shared" si="181"/>
        <v>0</v>
      </c>
      <c r="BV187" s="14">
        <f>DISTRIBUSI!K185</f>
        <v>0</v>
      </c>
      <c r="BW187" s="14">
        <f>'PEMAKAIAN UNIT'!K184</f>
        <v>0</v>
      </c>
      <c r="BX187" s="14">
        <f t="shared" si="182"/>
        <v>0</v>
      </c>
      <c r="BY187" s="15">
        <f t="shared" si="183"/>
        <v>0</v>
      </c>
      <c r="BZ187" s="14">
        <f t="shared" si="184"/>
        <v>0</v>
      </c>
      <c r="CA187" s="14">
        <f>DISTRIBUSI!L185</f>
        <v>0</v>
      </c>
      <c r="CB187" s="14">
        <f>'PEMAKAIAN UNIT'!L184</f>
        <v>0</v>
      </c>
      <c r="CC187" s="14">
        <f t="shared" si="185"/>
        <v>0</v>
      </c>
      <c r="CD187" s="15">
        <f t="shared" si="186"/>
        <v>0</v>
      </c>
      <c r="CE187" s="14">
        <f t="shared" si="187"/>
        <v>0</v>
      </c>
      <c r="CF187" s="14">
        <f>DISTRIBUSI!M185</f>
        <v>0</v>
      </c>
      <c r="CG187" s="14">
        <f>'PEMAKAIAN UNIT'!M184</f>
        <v>0</v>
      </c>
      <c r="CH187" s="14">
        <f t="shared" si="188"/>
        <v>0</v>
      </c>
      <c r="CI187" s="15">
        <f t="shared" si="189"/>
        <v>0</v>
      </c>
      <c r="CJ187" s="14">
        <f t="shared" si="190"/>
        <v>0</v>
      </c>
      <c r="CK187" s="14" t="e">
        <f>DISTRIBUSI!#REF!</f>
        <v>#REF!</v>
      </c>
      <c r="CL187" s="14">
        <f>'PEMAKAIAN UNIT'!N184</f>
        <v>0</v>
      </c>
      <c r="CM187" s="14" t="e">
        <f t="shared" si="191"/>
        <v>#REF!</v>
      </c>
      <c r="CN187" s="15" t="e">
        <f t="shared" si="192"/>
        <v>#REF!</v>
      </c>
      <c r="CO187" s="14" t="e">
        <f>DL187+DISTRIBUSI!#REF!-'PEMAKAIAN UNIT'!O184</f>
        <v>#REF!</v>
      </c>
      <c r="CP187" s="15" t="e">
        <f t="shared" si="193"/>
        <v>#REF!</v>
      </c>
      <c r="CQ187" s="226">
        <f t="shared" si="194"/>
        <v>0</v>
      </c>
      <c r="CR187" s="226">
        <f>DISTRIBUSI!R185</f>
        <v>0</v>
      </c>
      <c r="CS187" s="226">
        <f>'PEMAKAIAN UNIT'!P184</f>
        <v>0</v>
      </c>
      <c r="CT187" s="14">
        <f t="shared" si="195"/>
        <v>0</v>
      </c>
      <c r="CU187" s="15">
        <f t="shared" si="196"/>
        <v>0</v>
      </c>
      <c r="CV187" s="14" t="e">
        <f>DN187+DISTRIBUSI!#REF!-'PEMAKAIAN UNIT'!Q184</f>
        <v>#REF!</v>
      </c>
      <c r="CW187" s="15" t="e">
        <f t="shared" si="197"/>
        <v>#REF!</v>
      </c>
      <c r="CX187" s="14">
        <f>DO187+'LPLPO PROGRAM'!E16-'LPLPO PROGRAM'!G16</f>
        <v>0</v>
      </c>
      <c r="CY187" s="15">
        <f t="shared" si="198"/>
        <v>0</v>
      </c>
      <c r="CZ187" s="28"/>
      <c r="DA187" s="14">
        <v>0</v>
      </c>
      <c r="DB187" s="14">
        <v>0</v>
      </c>
      <c r="DC187" s="14">
        <v>0</v>
      </c>
      <c r="DD187" s="14">
        <v>0</v>
      </c>
      <c r="DE187" s="14">
        <v>0</v>
      </c>
      <c r="DF187" s="14">
        <v>0</v>
      </c>
      <c r="DG187" s="14">
        <v>0</v>
      </c>
      <c r="DH187" s="14">
        <v>0</v>
      </c>
      <c r="DI187" s="14">
        <v>0</v>
      </c>
      <c r="DJ187" s="14">
        <v>0</v>
      </c>
      <c r="DK187" s="14">
        <v>0</v>
      </c>
      <c r="DL187" s="14">
        <v>0</v>
      </c>
      <c r="DM187" s="14">
        <v>0</v>
      </c>
      <c r="DN187" s="14">
        <v>0</v>
      </c>
      <c r="DO187" s="14">
        <v>0</v>
      </c>
      <c r="DP187" s="13">
        <f t="shared" ref="DP187" si="207">SUM(CZ187:DO187)</f>
        <v>0</v>
      </c>
      <c r="DR187" s="21"/>
      <c r="DU187" s="20" t="e">
        <f t="shared" si="148"/>
        <v>#REF!</v>
      </c>
    </row>
    <row r="188" spans="1:125" customFormat="1" ht="20.149999999999999" customHeight="1" x14ac:dyDescent="0.35">
      <c r="A188" s="205">
        <v>4</v>
      </c>
      <c r="B188" s="178" t="s">
        <v>283</v>
      </c>
      <c r="C188" s="144" t="s">
        <v>6</v>
      </c>
      <c r="D188" s="14">
        <v>0</v>
      </c>
      <c r="E188" s="254">
        <f>'LPLPO PROGRAM'!E17</f>
        <v>20000</v>
      </c>
      <c r="F188" s="254">
        <f t="shared" si="199"/>
        <v>20000</v>
      </c>
      <c r="G188" s="254">
        <f>'PEMAKAIAN UNIT'!R185</f>
        <v>0</v>
      </c>
      <c r="H188" s="14">
        <v>440</v>
      </c>
      <c r="I188" s="14">
        <v>0</v>
      </c>
      <c r="J188" s="14">
        <v>0</v>
      </c>
      <c r="K188" s="14"/>
      <c r="L188" s="14"/>
      <c r="M188" s="14"/>
      <c r="N188" s="14"/>
      <c r="O188" s="14"/>
      <c r="P188" s="14"/>
      <c r="Q188" s="14"/>
      <c r="R188" s="14"/>
      <c r="S188" s="14">
        <v>350</v>
      </c>
      <c r="T188" s="14">
        <v>0</v>
      </c>
      <c r="U188" s="14">
        <v>400</v>
      </c>
      <c r="V188" s="14">
        <v>410</v>
      </c>
      <c r="W188" s="14">
        <v>300</v>
      </c>
      <c r="X188" s="14">
        <v>0</v>
      </c>
      <c r="Y188" s="109">
        <f t="shared" si="200"/>
        <v>0</v>
      </c>
      <c r="Z188" s="109" t="e">
        <f t="shared" si="201"/>
        <v>#REF!</v>
      </c>
      <c r="AA188" s="109" t="e">
        <f t="shared" si="202"/>
        <v>#REF!</v>
      </c>
      <c r="AB188" s="14">
        <v>1238</v>
      </c>
      <c r="AC188" s="109" t="e">
        <f t="shared" si="203"/>
        <v>#REF!</v>
      </c>
      <c r="AD188" s="109">
        <f>'LPLPO PROGRAM'!H17</f>
        <v>20000</v>
      </c>
      <c r="AE188" s="111" t="e">
        <f t="shared" si="204"/>
        <v>#REF!</v>
      </c>
      <c r="AF188" s="212"/>
      <c r="AG188" s="212"/>
      <c r="AH188" s="20"/>
      <c r="AI188" s="14"/>
      <c r="AJ188" s="209"/>
      <c r="AL188" s="14">
        <f t="shared" si="160"/>
        <v>470</v>
      </c>
      <c r="AM188" s="14">
        <f>DISTRIBUSI!D186</f>
        <v>0</v>
      </c>
      <c r="AN188" s="14">
        <f>'PEMAKAIAN UNIT'!D185</f>
        <v>0</v>
      </c>
      <c r="AO188" s="14">
        <f t="shared" si="161"/>
        <v>470</v>
      </c>
      <c r="AP188" s="15">
        <f t="shared" si="162"/>
        <v>30</v>
      </c>
      <c r="AQ188" s="14">
        <f t="shared" si="163"/>
        <v>0</v>
      </c>
      <c r="AR188" s="14">
        <f>DISTRIBUSI!E186</f>
        <v>0</v>
      </c>
      <c r="AS188" s="14">
        <f>'PEMAKAIAN UNIT'!E185</f>
        <v>0</v>
      </c>
      <c r="AT188" s="14">
        <f t="shared" si="164"/>
        <v>0</v>
      </c>
      <c r="AU188" s="15">
        <f t="shared" si="165"/>
        <v>0</v>
      </c>
      <c r="AV188" s="14">
        <f t="shared" si="166"/>
        <v>140</v>
      </c>
      <c r="AW188" s="14">
        <f>DISTRIBUSI!F186</f>
        <v>200</v>
      </c>
      <c r="AX188" s="14">
        <f>'PEMAKAIAN UNIT'!F185</f>
        <v>0</v>
      </c>
      <c r="AY188" s="14">
        <f t="shared" si="167"/>
        <v>340</v>
      </c>
      <c r="AZ188" s="15">
        <f t="shared" si="168"/>
        <v>340</v>
      </c>
      <c r="BA188" s="14">
        <f t="shared" si="169"/>
        <v>400</v>
      </c>
      <c r="BB188" s="14">
        <f>DISTRIBUSI!G186</f>
        <v>0</v>
      </c>
      <c r="BC188" s="14">
        <f>'PEMAKAIAN UNIT'!G185</f>
        <v>0</v>
      </c>
      <c r="BD188" s="14">
        <f t="shared" si="170"/>
        <v>400</v>
      </c>
      <c r="BE188" s="15">
        <f t="shared" si="171"/>
        <v>50</v>
      </c>
      <c r="BF188" s="14">
        <f t="shared" si="172"/>
        <v>0</v>
      </c>
      <c r="BG188" s="14">
        <f>DISTRIBUSI!H186</f>
        <v>100</v>
      </c>
      <c r="BH188" s="14">
        <f>'PEMAKAIAN UNIT'!H185</f>
        <v>0</v>
      </c>
      <c r="BI188" s="14">
        <f t="shared" si="173"/>
        <v>100</v>
      </c>
      <c r="BJ188" s="15">
        <f t="shared" si="174"/>
        <v>100</v>
      </c>
      <c r="BK188" s="14">
        <f t="shared" si="175"/>
        <v>0</v>
      </c>
      <c r="BL188" s="14">
        <f>DISTRIBUSI!I186</f>
        <v>0</v>
      </c>
      <c r="BM188" s="14">
        <f>'PEMAKAIAN UNIT'!I185</f>
        <v>0</v>
      </c>
      <c r="BN188" s="14">
        <f t="shared" si="176"/>
        <v>0</v>
      </c>
      <c r="BO188" s="15">
        <f t="shared" si="177"/>
        <v>-400</v>
      </c>
      <c r="BP188" s="14">
        <f t="shared" si="178"/>
        <v>220</v>
      </c>
      <c r="BQ188" s="14">
        <f>DISTRIBUSI!J186</f>
        <v>0</v>
      </c>
      <c r="BR188" s="14">
        <f>'PEMAKAIAN UNIT'!J185</f>
        <v>0</v>
      </c>
      <c r="BS188" s="14">
        <f t="shared" si="179"/>
        <v>220</v>
      </c>
      <c r="BT188" s="15">
        <f t="shared" si="180"/>
        <v>-190</v>
      </c>
      <c r="BU188" s="14">
        <f t="shared" si="181"/>
        <v>90</v>
      </c>
      <c r="BV188" s="14">
        <f>DISTRIBUSI!K186</f>
        <v>0</v>
      </c>
      <c r="BW188" s="14">
        <f>'PEMAKAIAN UNIT'!K185</f>
        <v>0</v>
      </c>
      <c r="BX188" s="14">
        <f t="shared" si="182"/>
        <v>90</v>
      </c>
      <c r="BY188" s="15">
        <f t="shared" si="183"/>
        <v>-210</v>
      </c>
      <c r="BZ188" s="14">
        <f t="shared" si="184"/>
        <v>130</v>
      </c>
      <c r="CA188" s="14">
        <f>DISTRIBUSI!L186</f>
        <v>0</v>
      </c>
      <c r="CB188" s="14">
        <f>'PEMAKAIAN UNIT'!L185</f>
        <v>0</v>
      </c>
      <c r="CC188" s="14">
        <f t="shared" si="185"/>
        <v>130</v>
      </c>
      <c r="CD188" s="15">
        <f t="shared" si="186"/>
        <v>130</v>
      </c>
      <c r="CE188" s="14">
        <f t="shared" si="187"/>
        <v>0</v>
      </c>
      <c r="CF188" s="14">
        <f>DISTRIBUSI!M186</f>
        <v>0</v>
      </c>
      <c r="CG188" s="14">
        <f>'PEMAKAIAN UNIT'!M185</f>
        <v>0</v>
      </c>
      <c r="CH188" s="14">
        <f t="shared" si="188"/>
        <v>0</v>
      </c>
      <c r="CI188" s="15">
        <f t="shared" si="189"/>
        <v>0</v>
      </c>
      <c r="CJ188" s="14">
        <f t="shared" si="190"/>
        <v>0</v>
      </c>
      <c r="CK188" s="14" t="e">
        <f>DISTRIBUSI!#REF!</f>
        <v>#REF!</v>
      </c>
      <c r="CL188" s="14">
        <f>'PEMAKAIAN UNIT'!N185</f>
        <v>0</v>
      </c>
      <c r="CM188" s="14" t="e">
        <f t="shared" si="191"/>
        <v>#REF!</v>
      </c>
      <c r="CN188" s="15" t="e">
        <f t="shared" si="192"/>
        <v>#REF!</v>
      </c>
      <c r="CO188" s="14" t="e">
        <f>DL188+DISTRIBUSI!#REF!-'PEMAKAIAN UNIT'!O185</f>
        <v>#REF!</v>
      </c>
      <c r="CP188" s="15" t="e">
        <f t="shared" si="193"/>
        <v>#REF!</v>
      </c>
      <c r="CQ188" s="226">
        <f t="shared" si="194"/>
        <v>688</v>
      </c>
      <c r="CR188" s="226">
        <f>DISTRIBUSI!R186</f>
        <v>4000</v>
      </c>
      <c r="CS188" s="226">
        <f>'PEMAKAIAN UNIT'!P185</f>
        <v>0</v>
      </c>
      <c r="CT188" s="14">
        <f t="shared" si="195"/>
        <v>4688</v>
      </c>
      <c r="CU188" s="15">
        <f t="shared" si="196"/>
        <v>3450</v>
      </c>
      <c r="CV188" s="14" t="e">
        <f>DN188+DISTRIBUSI!#REF!-'PEMAKAIAN UNIT'!Q185</f>
        <v>#REF!</v>
      </c>
      <c r="CW188" s="15" t="e">
        <f t="shared" si="197"/>
        <v>#REF!</v>
      </c>
      <c r="CX188" s="14">
        <f>DO188+'LPLPO PROGRAM'!E17-'LPLPO PROGRAM'!G17</f>
        <v>19900</v>
      </c>
      <c r="CY188" s="15">
        <f t="shared" si="198"/>
        <v>-100</v>
      </c>
      <c r="CZ188" s="28"/>
      <c r="DA188" s="14">
        <v>470</v>
      </c>
      <c r="DB188" s="14">
        <v>0</v>
      </c>
      <c r="DC188" s="14">
        <v>140</v>
      </c>
      <c r="DD188" s="14">
        <v>400</v>
      </c>
      <c r="DE188" s="14">
        <v>0</v>
      </c>
      <c r="DF188" s="14">
        <v>0</v>
      </c>
      <c r="DG188" s="14">
        <v>220</v>
      </c>
      <c r="DH188" s="14">
        <v>90</v>
      </c>
      <c r="DI188" s="14">
        <v>130</v>
      </c>
      <c r="DJ188" s="14">
        <v>0</v>
      </c>
      <c r="DK188" s="14">
        <v>0</v>
      </c>
      <c r="DL188" s="14">
        <v>0</v>
      </c>
      <c r="DM188" s="14">
        <v>688</v>
      </c>
      <c r="DN188" s="14">
        <v>0</v>
      </c>
      <c r="DO188" s="14">
        <v>4200</v>
      </c>
      <c r="DP188" s="13">
        <f t="shared" si="151"/>
        <v>6338</v>
      </c>
      <c r="DR188" s="21"/>
      <c r="DU188" s="20" t="e">
        <f t="shared" si="148"/>
        <v>#REF!</v>
      </c>
    </row>
    <row r="189" spans="1:125" customFormat="1" ht="20.149999999999999" customHeight="1" x14ac:dyDescent="0.35">
      <c r="A189" s="205">
        <v>5</v>
      </c>
      <c r="B189" s="178" t="s">
        <v>392</v>
      </c>
      <c r="C189" s="144" t="s">
        <v>177</v>
      </c>
      <c r="D189" s="14">
        <v>0</v>
      </c>
      <c r="E189" s="254">
        <f>'LPLPO PROGRAM'!E18</f>
        <v>0</v>
      </c>
      <c r="F189" s="254">
        <f t="shared" si="199"/>
        <v>0</v>
      </c>
      <c r="G189" s="254">
        <f>'PEMAKAIAN UNIT'!R186</f>
        <v>0</v>
      </c>
      <c r="H189" s="14">
        <v>0</v>
      </c>
      <c r="I189" s="14">
        <v>0</v>
      </c>
      <c r="J189" s="14">
        <v>0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09">
        <f t="shared" si="200"/>
        <v>0</v>
      </c>
      <c r="Z189" s="109" t="e">
        <f t="shared" si="201"/>
        <v>#REF!</v>
      </c>
      <c r="AA189" s="109" t="e">
        <f t="shared" si="202"/>
        <v>#REF!</v>
      </c>
      <c r="AB189" s="14">
        <v>0</v>
      </c>
      <c r="AC189" s="109" t="e">
        <f t="shared" si="203"/>
        <v>#REF!</v>
      </c>
      <c r="AD189" s="109">
        <f>'LPLPO PROGRAM'!H18</f>
        <v>0</v>
      </c>
      <c r="AE189" s="111" t="e">
        <f t="shared" si="204"/>
        <v>#REF!</v>
      </c>
      <c r="AF189" s="212"/>
      <c r="AG189" s="212"/>
      <c r="AH189" s="20"/>
      <c r="AI189" s="14"/>
      <c r="AJ189" s="209"/>
      <c r="AL189" s="14">
        <f t="shared" si="160"/>
        <v>0</v>
      </c>
      <c r="AM189" s="14">
        <f>DISTRIBUSI!D187</f>
        <v>0</v>
      </c>
      <c r="AN189" s="14">
        <f>'PEMAKAIAN UNIT'!D186</f>
        <v>0</v>
      </c>
      <c r="AO189" s="14">
        <f t="shared" si="161"/>
        <v>0</v>
      </c>
      <c r="AP189" s="15">
        <f t="shared" si="162"/>
        <v>0</v>
      </c>
      <c r="AQ189" s="14">
        <f t="shared" si="163"/>
        <v>0</v>
      </c>
      <c r="AR189" s="14">
        <f>DISTRIBUSI!E187</f>
        <v>0</v>
      </c>
      <c r="AS189" s="14">
        <f>'PEMAKAIAN UNIT'!E186</f>
        <v>0</v>
      </c>
      <c r="AT189" s="14">
        <f t="shared" si="164"/>
        <v>0</v>
      </c>
      <c r="AU189" s="15">
        <f t="shared" si="165"/>
        <v>0</v>
      </c>
      <c r="AV189" s="14">
        <f t="shared" si="166"/>
        <v>0</v>
      </c>
      <c r="AW189" s="14">
        <f>DISTRIBUSI!F187</f>
        <v>0</v>
      </c>
      <c r="AX189" s="14">
        <f>'PEMAKAIAN UNIT'!F186</f>
        <v>0</v>
      </c>
      <c r="AY189" s="14">
        <f t="shared" si="167"/>
        <v>0</v>
      </c>
      <c r="AZ189" s="15">
        <f t="shared" si="168"/>
        <v>0</v>
      </c>
      <c r="BA189" s="14">
        <f t="shared" si="169"/>
        <v>0</v>
      </c>
      <c r="BB189" s="14">
        <f>DISTRIBUSI!G187</f>
        <v>0</v>
      </c>
      <c r="BC189" s="14">
        <f>'PEMAKAIAN UNIT'!G186</f>
        <v>0</v>
      </c>
      <c r="BD189" s="14">
        <f t="shared" si="170"/>
        <v>0</v>
      </c>
      <c r="BE189" s="15">
        <f t="shared" si="171"/>
        <v>0</v>
      </c>
      <c r="BF189" s="14">
        <f t="shared" si="172"/>
        <v>0</v>
      </c>
      <c r="BG189" s="14">
        <f>DISTRIBUSI!H187</f>
        <v>0</v>
      </c>
      <c r="BH189" s="14">
        <f>'PEMAKAIAN UNIT'!H186</f>
        <v>0</v>
      </c>
      <c r="BI189" s="14">
        <f t="shared" si="173"/>
        <v>0</v>
      </c>
      <c r="BJ189" s="15">
        <f t="shared" si="174"/>
        <v>0</v>
      </c>
      <c r="BK189" s="14">
        <f t="shared" si="175"/>
        <v>0</v>
      </c>
      <c r="BL189" s="14">
        <f>DISTRIBUSI!I187</f>
        <v>0</v>
      </c>
      <c r="BM189" s="14">
        <f>'PEMAKAIAN UNIT'!I186</f>
        <v>0</v>
      </c>
      <c r="BN189" s="14">
        <f t="shared" si="176"/>
        <v>0</v>
      </c>
      <c r="BO189" s="15">
        <f t="shared" si="177"/>
        <v>0</v>
      </c>
      <c r="BP189" s="14">
        <f t="shared" si="178"/>
        <v>0</v>
      </c>
      <c r="BQ189" s="14">
        <f>DISTRIBUSI!J187</f>
        <v>0</v>
      </c>
      <c r="BR189" s="14">
        <f>'PEMAKAIAN UNIT'!J186</f>
        <v>0</v>
      </c>
      <c r="BS189" s="14">
        <f t="shared" si="179"/>
        <v>0</v>
      </c>
      <c r="BT189" s="15">
        <f t="shared" si="180"/>
        <v>0</v>
      </c>
      <c r="BU189" s="14">
        <f t="shared" si="181"/>
        <v>0</v>
      </c>
      <c r="BV189" s="14">
        <f>DISTRIBUSI!K187</f>
        <v>0</v>
      </c>
      <c r="BW189" s="14">
        <f>'PEMAKAIAN UNIT'!K186</f>
        <v>0</v>
      </c>
      <c r="BX189" s="14">
        <f t="shared" si="182"/>
        <v>0</v>
      </c>
      <c r="BY189" s="15">
        <f t="shared" si="183"/>
        <v>0</v>
      </c>
      <c r="BZ189" s="14">
        <f t="shared" si="184"/>
        <v>0</v>
      </c>
      <c r="CA189" s="14">
        <f>DISTRIBUSI!L187</f>
        <v>0</v>
      </c>
      <c r="CB189" s="14">
        <f>'PEMAKAIAN UNIT'!L186</f>
        <v>0</v>
      </c>
      <c r="CC189" s="14">
        <f t="shared" si="185"/>
        <v>0</v>
      </c>
      <c r="CD189" s="15">
        <f t="shared" si="186"/>
        <v>0</v>
      </c>
      <c r="CE189" s="14">
        <f t="shared" si="187"/>
        <v>0</v>
      </c>
      <c r="CF189" s="14">
        <f>DISTRIBUSI!M187</f>
        <v>0</v>
      </c>
      <c r="CG189" s="14">
        <f>'PEMAKAIAN UNIT'!M186</f>
        <v>0</v>
      </c>
      <c r="CH189" s="14">
        <f t="shared" si="188"/>
        <v>0</v>
      </c>
      <c r="CI189" s="15">
        <f t="shared" si="189"/>
        <v>0</v>
      </c>
      <c r="CJ189" s="14">
        <f t="shared" si="190"/>
        <v>0</v>
      </c>
      <c r="CK189" s="14" t="e">
        <f>DISTRIBUSI!#REF!</f>
        <v>#REF!</v>
      </c>
      <c r="CL189" s="14">
        <f>'PEMAKAIAN UNIT'!N186</f>
        <v>0</v>
      </c>
      <c r="CM189" s="14" t="e">
        <f t="shared" si="191"/>
        <v>#REF!</v>
      </c>
      <c r="CN189" s="15" t="e">
        <f t="shared" si="192"/>
        <v>#REF!</v>
      </c>
      <c r="CO189" s="14" t="e">
        <f>DL189+DISTRIBUSI!#REF!-'PEMAKAIAN UNIT'!O186</f>
        <v>#REF!</v>
      </c>
      <c r="CP189" s="15" t="e">
        <f t="shared" si="193"/>
        <v>#REF!</v>
      </c>
      <c r="CQ189" s="226">
        <f t="shared" si="194"/>
        <v>0</v>
      </c>
      <c r="CR189" s="226">
        <f>DISTRIBUSI!R187</f>
        <v>0</v>
      </c>
      <c r="CS189" s="226">
        <f>'PEMAKAIAN UNIT'!P186</f>
        <v>0</v>
      </c>
      <c r="CT189" s="14">
        <f t="shared" si="195"/>
        <v>0</v>
      </c>
      <c r="CU189" s="15">
        <f t="shared" si="196"/>
        <v>0</v>
      </c>
      <c r="CV189" s="14" t="e">
        <f>DN189+DISTRIBUSI!#REF!-'PEMAKAIAN UNIT'!Q186</f>
        <v>#REF!</v>
      </c>
      <c r="CW189" s="15" t="e">
        <f t="shared" si="197"/>
        <v>#REF!</v>
      </c>
      <c r="CX189" s="14">
        <f>DO189+'LPLPO PROGRAM'!E18-'LPLPO PROGRAM'!G18</f>
        <v>0</v>
      </c>
      <c r="CY189" s="15">
        <f t="shared" si="198"/>
        <v>0</v>
      </c>
      <c r="CZ189" s="28"/>
      <c r="DA189" s="14">
        <v>0</v>
      </c>
      <c r="DB189" s="14">
        <v>0</v>
      </c>
      <c r="DC189" s="14">
        <v>0</v>
      </c>
      <c r="DD189" s="14">
        <v>0</v>
      </c>
      <c r="DE189" s="14">
        <v>0</v>
      </c>
      <c r="DF189" s="14">
        <v>0</v>
      </c>
      <c r="DG189" s="14">
        <v>0</v>
      </c>
      <c r="DH189" s="14">
        <v>0</v>
      </c>
      <c r="DI189" s="14">
        <v>0</v>
      </c>
      <c r="DJ189" s="14">
        <v>0</v>
      </c>
      <c r="DK189" s="14">
        <v>0</v>
      </c>
      <c r="DL189" s="14">
        <v>0</v>
      </c>
      <c r="DM189" s="14">
        <v>0</v>
      </c>
      <c r="DN189" s="14">
        <v>0</v>
      </c>
      <c r="DO189" s="14">
        <v>0</v>
      </c>
      <c r="DP189" s="13">
        <f t="shared" si="151"/>
        <v>0</v>
      </c>
      <c r="DU189" s="20" t="e">
        <f t="shared" si="148"/>
        <v>#REF!</v>
      </c>
    </row>
    <row r="190" spans="1:125" customFormat="1" ht="20.149999999999999" customHeight="1" x14ac:dyDescent="0.35">
      <c r="A190" s="205">
        <v>6</v>
      </c>
      <c r="B190" s="178" t="s">
        <v>176</v>
      </c>
      <c r="C190" s="144" t="s">
        <v>33</v>
      </c>
      <c r="D190" s="14">
        <v>0</v>
      </c>
      <c r="E190" s="254">
        <f>'LPLPO PROGRAM'!E19</f>
        <v>0</v>
      </c>
      <c r="F190" s="254">
        <f t="shared" si="199"/>
        <v>0</v>
      </c>
      <c r="G190" s="254">
        <f>'PEMAKAIAN UNIT'!R187</f>
        <v>0</v>
      </c>
      <c r="H190" s="14">
        <v>0</v>
      </c>
      <c r="I190" s="14">
        <v>0</v>
      </c>
      <c r="J190" s="14">
        <v>0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09">
        <f t="shared" si="200"/>
        <v>0</v>
      </c>
      <c r="Z190" s="109" t="e">
        <f t="shared" si="201"/>
        <v>#REF!</v>
      </c>
      <c r="AA190" s="109" t="e">
        <f t="shared" si="202"/>
        <v>#REF!</v>
      </c>
      <c r="AB190" s="14">
        <v>0</v>
      </c>
      <c r="AC190" s="109" t="e">
        <f t="shared" si="203"/>
        <v>#REF!</v>
      </c>
      <c r="AD190" s="109">
        <f>'LPLPO PROGRAM'!H19</f>
        <v>0</v>
      </c>
      <c r="AE190" s="111" t="e">
        <f t="shared" si="204"/>
        <v>#REF!</v>
      </c>
      <c r="AF190" s="212"/>
      <c r="AG190" s="212"/>
      <c r="AH190" s="20"/>
      <c r="AI190" s="14"/>
      <c r="AJ190" s="209"/>
      <c r="AL190" s="14">
        <f t="shared" si="160"/>
        <v>0</v>
      </c>
      <c r="AM190" s="14">
        <f>DISTRIBUSI!D188</f>
        <v>0</v>
      </c>
      <c r="AN190" s="14">
        <f>'PEMAKAIAN UNIT'!D187</f>
        <v>0</v>
      </c>
      <c r="AO190" s="14">
        <f t="shared" si="161"/>
        <v>0</v>
      </c>
      <c r="AP190" s="15">
        <f t="shared" si="162"/>
        <v>0</v>
      </c>
      <c r="AQ190" s="14">
        <f t="shared" si="163"/>
        <v>0</v>
      </c>
      <c r="AR190" s="14">
        <f>DISTRIBUSI!E188</f>
        <v>0</v>
      </c>
      <c r="AS190" s="14">
        <f>'PEMAKAIAN UNIT'!E187</f>
        <v>0</v>
      </c>
      <c r="AT190" s="14">
        <f t="shared" si="164"/>
        <v>0</v>
      </c>
      <c r="AU190" s="15">
        <f t="shared" si="165"/>
        <v>0</v>
      </c>
      <c r="AV190" s="14">
        <f t="shared" si="166"/>
        <v>0</v>
      </c>
      <c r="AW190" s="14">
        <f>DISTRIBUSI!F188</f>
        <v>0</v>
      </c>
      <c r="AX190" s="14">
        <f>'PEMAKAIAN UNIT'!F187</f>
        <v>0</v>
      </c>
      <c r="AY190" s="14">
        <f t="shared" si="167"/>
        <v>0</v>
      </c>
      <c r="AZ190" s="15">
        <f t="shared" si="168"/>
        <v>0</v>
      </c>
      <c r="BA190" s="14">
        <f t="shared" si="169"/>
        <v>0</v>
      </c>
      <c r="BB190" s="14">
        <f>DISTRIBUSI!G188</f>
        <v>0</v>
      </c>
      <c r="BC190" s="14">
        <f>'PEMAKAIAN UNIT'!G187</f>
        <v>0</v>
      </c>
      <c r="BD190" s="14">
        <f t="shared" si="170"/>
        <v>0</v>
      </c>
      <c r="BE190" s="15">
        <f t="shared" si="171"/>
        <v>0</v>
      </c>
      <c r="BF190" s="14">
        <f t="shared" si="172"/>
        <v>0</v>
      </c>
      <c r="BG190" s="14">
        <f>DISTRIBUSI!H188</f>
        <v>0</v>
      </c>
      <c r="BH190" s="14">
        <f>'PEMAKAIAN UNIT'!H187</f>
        <v>0</v>
      </c>
      <c r="BI190" s="14">
        <f t="shared" si="173"/>
        <v>0</v>
      </c>
      <c r="BJ190" s="15">
        <f t="shared" si="174"/>
        <v>0</v>
      </c>
      <c r="BK190" s="14">
        <f t="shared" si="175"/>
        <v>0</v>
      </c>
      <c r="BL190" s="14">
        <f>DISTRIBUSI!I188</f>
        <v>0</v>
      </c>
      <c r="BM190" s="14">
        <f>'PEMAKAIAN UNIT'!I187</f>
        <v>0</v>
      </c>
      <c r="BN190" s="14">
        <f t="shared" si="176"/>
        <v>0</v>
      </c>
      <c r="BO190" s="15">
        <f t="shared" si="177"/>
        <v>0</v>
      </c>
      <c r="BP190" s="14">
        <f t="shared" si="178"/>
        <v>0</v>
      </c>
      <c r="BQ190" s="14">
        <f>DISTRIBUSI!J188</f>
        <v>0</v>
      </c>
      <c r="BR190" s="14">
        <f>'PEMAKAIAN UNIT'!J187</f>
        <v>0</v>
      </c>
      <c r="BS190" s="14">
        <f t="shared" si="179"/>
        <v>0</v>
      </c>
      <c r="BT190" s="15">
        <f t="shared" si="180"/>
        <v>0</v>
      </c>
      <c r="BU190" s="14">
        <f t="shared" si="181"/>
        <v>0</v>
      </c>
      <c r="BV190" s="14">
        <f>DISTRIBUSI!K188</f>
        <v>0</v>
      </c>
      <c r="BW190" s="14">
        <f>'PEMAKAIAN UNIT'!K187</f>
        <v>0</v>
      </c>
      <c r="BX190" s="14">
        <f t="shared" si="182"/>
        <v>0</v>
      </c>
      <c r="BY190" s="15">
        <f t="shared" si="183"/>
        <v>0</v>
      </c>
      <c r="BZ190" s="14">
        <f t="shared" si="184"/>
        <v>0</v>
      </c>
      <c r="CA190" s="14">
        <f>DISTRIBUSI!L188</f>
        <v>0</v>
      </c>
      <c r="CB190" s="14">
        <f>'PEMAKAIAN UNIT'!L187</f>
        <v>0</v>
      </c>
      <c r="CC190" s="14">
        <f t="shared" si="185"/>
        <v>0</v>
      </c>
      <c r="CD190" s="15">
        <f t="shared" si="186"/>
        <v>0</v>
      </c>
      <c r="CE190" s="14">
        <f t="shared" si="187"/>
        <v>0</v>
      </c>
      <c r="CF190" s="14">
        <f>DISTRIBUSI!M188</f>
        <v>0</v>
      </c>
      <c r="CG190" s="14">
        <f>'PEMAKAIAN UNIT'!M187</f>
        <v>0</v>
      </c>
      <c r="CH190" s="14">
        <f t="shared" si="188"/>
        <v>0</v>
      </c>
      <c r="CI190" s="15">
        <f t="shared" si="189"/>
        <v>0</v>
      </c>
      <c r="CJ190" s="14">
        <f t="shared" si="190"/>
        <v>0</v>
      </c>
      <c r="CK190" s="14" t="e">
        <f>DISTRIBUSI!#REF!</f>
        <v>#REF!</v>
      </c>
      <c r="CL190" s="14">
        <f>'PEMAKAIAN UNIT'!N187</f>
        <v>0</v>
      </c>
      <c r="CM190" s="14" t="e">
        <f t="shared" si="191"/>
        <v>#REF!</v>
      </c>
      <c r="CN190" s="15" t="e">
        <f t="shared" si="192"/>
        <v>#REF!</v>
      </c>
      <c r="CO190" s="14" t="e">
        <f>DL190+DISTRIBUSI!#REF!-'PEMAKAIAN UNIT'!O187</f>
        <v>#REF!</v>
      </c>
      <c r="CP190" s="15" t="e">
        <f t="shared" si="193"/>
        <v>#REF!</v>
      </c>
      <c r="CQ190" s="226">
        <f t="shared" si="194"/>
        <v>0</v>
      </c>
      <c r="CR190" s="226">
        <f>DISTRIBUSI!R188</f>
        <v>0</v>
      </c>
      <c r="CS190" s="226">
        <f>'PEMAKAIAN UNIT'!P187</f>
        <v>0</v>
      </c>
      <c r="CT190" s="14">
        <f t="shared" si="195"/>
        <v>0</v>
      </c>
      <c r="CU190" s="15">
        <f t="shared" si="196"/>
        <v>0</v>
      </c>
      <c r="CV190" s="14" t="e">
        <f>DN190+DISTRIBUSI!#REF!-'PEMAKAIAN UNIT'!Q187</f>
        <v>#REF!</v>
      </c>
      <c r="CW190" s="15" t="e">
        <f t="shared" si="197"/>
        <v>#REF!</v>
      </c>
      <c r="CX190" s="14">
        <f>DO190+'LPLPO PROGRAM'!E19-'LPLPO PROGRAM'!G19</f>
        <v>0</v>
      </c>
      <c r="CY190" s="15">
        <f t="shared" si="198"/>
        <v>0</v>
      </c>
      <c r="CZ190" s="28"/>
      <c r="DA190" s="14">
        <v>0</v>
      </c>
      <c r="DB190" s="14">
        <v>0</v>
      </c>
      <c r="DC190" s="14">
        <v>0</v>
      </c>
      <c r="DD190" s="14">
        <v>0</v>
      </c>
      <c r="DE190" s="14">
        <v>0</v>
      </c>
      <c r="DF190" s="14">
        <v>0</v>
      </c>
      <c r="DG190" s="14">
        <v>0</v>
      </c>
      <c r="DH190" s="14">
        <v>0</v>
      </c>
      <c r="DI190" s="14">
        <v>0</v>
      </c>
      <c r="DJ190" s="14">
        <v>0</v>
      </c>
      <c r="DK190" s="14">
        <v>0</v>
      </c>
      <c r="DL190" s="14">
        <v>0</v>
      </c>
      <c r="DM190" s="14">
        <v>0</v>
      </c>
      <c r="DN190" s="14">
        <v>0</v>
      </c>
      <c r="DO190" s="14">
        <v>0</v>
      </c>
      <c r="DP190" s="13">
        <f t="shared" si="151"/>
        <v>0</v>
      </c>
      <c r="DU190" s="20" t="e">
        <f t="shared" si="148"/>
        <v>#REF!</v>
      </c>
    </row>
    <row r="191" spans="1:125" customFormat="1" ht="20.149999999999999" customHeight="1" x14ac:dyDescent="0.35">
      <c r="A191" s="205">
        <v>7</v>
      </c>
      <c r="B191" s="181" t="s">
        <v>175</v>
      </c>
      <c r="C191" s="144" t="s">
        <v>33</v>
      </c>
      <c r="D191" s="14">
        <v>0</v>
      </c>
      <c r="E191" s="254">
        <f>'LPLPO PROGRAM'!E20</f>
        <v>0</v>
      </c>
      <c r="F191" s="254">
        <f t="shared" si="199"/>
        <v>0</v>
      </c>
      <c r="G191" s="254">
        <f>'PEMAKAIAN UNIT'!R188</f>
        <v>0</v>
      </c>
      <c r="H191" s="14">
        <v>0</v>
      </c>
      <c r="I191" s="14">
        <v>0</v>
      </c>
      <c r="J191" s="14">
        <v>0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09">
        <f t="shared" si="200"/>
        <v>0</v>
      </c>
      <c r="Z191" s="109" t="e">
        <f t="shared" si="201"/>
        <v>#REF!</v>
      </c>
      <c r="AA191" s="109" t="e">
        <f t="shared" si="202"/>
        <v>#REF!</v>
      </c>
      <c r="AB191" s="14">
        <v>0</v>
      </c>
      <c r="AC191" s="109" t="e">
        <f t="shared" si="203"/>
        <v>#REF!</v>
      </c>
      <c r="AD191" s="109">
        <f>'LPLPO PROGRAM'!H20</f>
        <v>50</v>
      </c>
      <c r="AE191" s="111" t="e">
        <f t="shared" si="204"/>
        <v>#REF!</v>
      </c>
      <c r="AF191" s="212"/>
      <c r="AG191" s="212"/>
      <c r="AH191" s="20"/>
      <c r="AI191" s="14"/>
      <c r="AJ191" s="209"/>
      <c r="AL191" s="14">
        <f t="shared" si="160"/>
        <v>0</v>
      </c>
      <c r="AM191" s="14">
        <f>DISTRIBUSI!D189</f>
        <v>0</v>
      </c>
      <c r="AN191" s="14">
        <f>'PEMAKAIAN UNIT'!D188</f>
        <v>0</v>
      </c>
      <c r="AO191" s="14">
        <f t="shared" si="161"/>
        <v>0</v>
      </c>
      <c r="AP191" s="15">
        <f t="shared" si="162"/>
        <v>0</v>
      </c>
      <c r="AQ191" s="14">
        <f t="shared" si="163"/>
        <v>0</v>
      </c>
      <c r="AR191" s="14">
        <f>DISTRIBUSI!E189</f>
        <v>0</v>
      </c>
      <c r="AS191" s="14">
        <f>'PEMAKAIAN UNIT'!E188</f>
        <v>0</v>
      </c>
      <c r="AT191" s="14">
        <f t="shared" si="164"/>
        <v>0</v>
      </c>
      <c r="AU191" s="15">
        <f t="shared" si="165"/>
        <v>0</v>
      </c>
      <c r="AV191" s="14">
        <f t="shared" si="166"/>
        <v>0</v>
      </c>
      <c r="AW191" s="14">
        <f>DISTRIBUSI!F189</f>
        <v>0</v>
      </c>
      <c r="AX191" s="14">
        <f>'PEMAKAIAN UNIT'!F188</f>
        <v>0</v>
      </c>
      <c r="AY191" s="14">
        <f t="shared" si="167"/>
        <v>0</v>
      </c>
      <c r="AZ191" s="15">
        <f t="shared" si="168"/>
        <v>0</v>
      </c>
      <c r="BA191" s="14">
        <f t="shared" si="169"/>
        <v>0</v>
      </c>
      <c r="BB191" s="14">
        <f>DISTRIBUSI!G189</f>
        <v>0</v>
      </c>
      <c r="BC191" s="14">
        <f>'PEMAKAIAN UNIT'!G188</f>
        <v>0</v>
      </c>
      <c r="BD191" s="14">
        <f t="shared" si="170"/>
        <v>0</v>
      </c>
      <c r="BE191" s="15">
        <f t="shared" si="171"/>
        <v>0</v>
      </c>
      <c r="BF191" s="14">
        <f t="shared" si="172"/>
        <v>0</v>
      </c>
      <c r="BG191" s="14">
        <f>DISTRIBUSI!H189</f>
        <v>0</v>
      </c>
      <c r="BH191" s="14">
        <f>'PEMAKAIAN UNIT'!H188</f>
        <v>0</v>
      </c>
      <c r="BI191" s="14">
        <f t="shared" si="173"/>
        <v>0</v>
      </c>
      <c r="BJ191" s="15">
        <f t="shared" si="174"/>
        <v>0</v>
      </c>
      <c r="BK191" s="14">
        <f t="shared" si="175"/>
        <v>0</v>
      </c>
      <c r="BL191" s="14">
        <f>DISTRIBUSI!I189</f>
        <v>0</v>
      </c>
      <c r="BM191" s="14">
        <f>'PEMAKAIAN UNIT'!I188</f>
        <v>0</v>
      </c>
      <c r="BN191" s="14">
        <f t="shared" si="176"/>
        <v>0</v>
      </c>
      <c r="BO191" s="15">
        <f t="shared" si="177"/>
        <v>0</v>
      </c>
      <c r="BP191" s="14">
        <f t="shared" si="178"/>
        <v>0</v>
      </c>
      <c r="BQ191" s="14">
        <f>DISTRIBUSI!J189</f>
        <v>0</v>
      </c>
      <c r="BR191" s="14">
        <f>'PEMAKAIAN UNIT'!J188</f>
        <v>0</v>
      </c>
      <c r="BS191" s="14">
        <f t="shared" si="179"/>
        <v>0</v>
      </c>
      <c r="BT191" s="15">
        <f t="shared" si="180"/>
        <v>0</v>
      </c>
      <c r="BU191" s="14">
        <f t="shared" si="181"/>
        <v>0</v>
      </c>
      <c r="BV191" s="14">
        <f>DISTRIBUSI!K189</f>
        <v>0</v>
      </c>
      <c r="BW191" s="14">
        <f>'PEMAKAIAN UNIT'!K188</f>
        <v>0</v>
      </c>
      <c r="BX191" s="14">
        <f t="shared" si="182"/>
        <v>0</v>
      </c>
      <c r="BY191" s="15">
        <f t="shared" si="183"/>
        <v>0</v>
      </c>
      <c r="BZ191" s="14">
        <f t="shared" si="184"/>
        <v>0</v>
      </c>
      <c r="CA191" s="14">
        <f>DISTRIBUSI!L189</f>
        <v>0</v>
      </c>
      <c r="CB191" s="14">
        <f>'PEMAKAIAN UNIT'!L188</f>
        <v>0</v>
      </c>
      <c r="CC191" s="14">
        <f t="shared" si="185"/>
        <v>0</v>
      </c>
      <c r="CD191" s="15">
        <f t="shared" si="186"/>
        <v>0</v>
      </c>
      <c r="CE191" s="14">
        <f t="shared" si="187"/>
        <v>0</v>
      </c>
      <c r="CF191" s="14">
        <f>DISTRIBUSI!M189</f>
        <v>0</v>
      </c>
      <c r="CG191" s="14">
        <f>'PEMAKAIAN UNIT'!M188</f>
        <v>0</v>
      </c>
      <c r="CH191" s="14">
        <f t="shared" si="188"/>
        <v>0</v>
      </c>
      <c r="CI191" s="15">
        <f t="shared" si="189"/>
        <v>0</v>
      </c>
      <c r="CJ191" s="14">
        <f t="shared" si="190"/>
        <v>0</v>
      </c>
      <c r="CK191" s="14" t="e">
        <f>DISTRIBUSI!#REF!</f>
        <v>#REF!</v>
      </c>
      <c r="CL191" s="14">
        <f>'PEMAKAIAN UNIT'!N188</f>
        <v>0</v>
      </c>
      <c r="CM191" s="14" t="e">
        <f t="shared" si="191"/>
        <v>#REF!</v>
      </c>
      <c r="CN191" s="15" t="e">
        <f t="shared" si="192"/>
        <v>#REF!</v>
      </c>
      <c r="CO191" s="14" t="e">
        <f>DL191+DISTRIBUSI!#REF!-'PEMAKAIAN UNIT'!O188</f>
        <v>#REF!</v>
      </c>
      <c r="CP191" s="15" t="e">
        <f t="shared" si="193"/>
        <v>#REF!</v>
      </c>
      <c r="CQ191" s="226">
        <f t="shared" si="194"/>
        <v>0</v>
      </c>
      <c r="CR191" s="226">
        <f>DISTRIBUSI!R189</f>
        <v>0</v>
      </c>
      <c r="CS191" s="226">
        <f>'PEMAKAIAN UNIT'!P188</f>
        <v>0</v>
      </c>
      <c r="CT191" s="14">
        <f t="shared" si="195"/>
        <v>0</v>
      </c>
      <c r="CU191" s="15">
        <f t="shared" si="196"/>
        <v>0</v>
      </c>
      <c r="CV191" s="14" t="e">
        <f>DN191+DISTRIBUSI!#REF!-'PEMAKAIAN UNIT'!Q188</f>
        <v>#REF!</v>
      </c>
      <c r="CW191" s="15" t="e">
        <f t="shared" si="197"/>
        <v>#REF!</v>
      </c>
      <c r="CX191" s="14">
        <f>DO191+'LPLPO PROGRAM'!E20-'LPLPO PROGRAM'!G20</f>
        <v>0</v>
      </c>
      <c r="CY191" s="15">
        <f t="shared" si="198"/>
        <v>-50</v>
      </c>
      <c r="CZ191" s="28"/>
      <c r="DA191" s="14">
        <v>0</v>
      </c>
      <c r="DB191" s="14">
        <v>0</v>
      </c>
      <c r="DC191" s="14">
        <v>0</v>
      </c>
      <c r="DD191" s="14">
        <v>0</v>
      </c>
      <c r="DE191" s="14">
        <v>0</v>
      </c>
      <c r="DF191" s="14">
        <v>0</v>
      </c>
      <c r="DG191" s="14">
        <v>0</v>
      </c>
      <c r="DH191" s="14">
        <v>0</v>
      </c>
      <c r="DI191" s="14">
        <v>0</v>
      </c>
      <c r="DJ191" s="14">
        <v>0</v>
      </c>
      <c r="DK191" s="14">
        <v>0</v>
      </c>
      <c r="DL191" s="14">
        <v>0</v>
      </c>
      <c r="DM191" s="14">
        <v>0</v>
      </c>
      <c r="DN191" s="14">
        <v>0</v>
      </c>
      <c r="DO191" s="14">
        <v>0</v>
      </c>
      <c r="DP191" s="13">
        <f t="shared" si="151"/>
        <v>0</v>
      </c>
      <c r="DU191" s="20" t="e">
        <f t="shared" si="148"/>
        <v>#REF!</v>
      </c>
    </row>
    <row r="192" spans="1:125" customFormat="1" ht="20.149999999999999" customHeight="1" x14ac:dyDescent="0.35">
      <c r="A192" s="205">
        <v>8</v>
      </c>
      <c r="B192" s="178"/>
      <c r="C192" s="144"/>
      <c r="D192" s="14">
        <v>0</v>
      </c>
      <c r="E192" s="254">
        <f>'LPLPO PROGRAM'!E21</f>
        <v>0</v>
      </c>
      <c r="F192" s="254">
        <f t="shared" si="199"/>
        <v>0</v>
      </c>
      <c r="G192" s="254">
        <f>'PEMAKAIAN UNIT'!R189</f>
        <v>0</v>
      </c>
      <c r="H192" s="14">
        <v>0</v>
      </c>
      <c r="I192" s="14">
        <v>0</v>
      </c>
      <c r="J192" s="14">
        <v>0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09">
        <f t="shared" si="200"/>
        <v>0</v>
      </c>
      <c r="Z192" s="109" t="e">
        <f t="shared" si="201"/>
        <v>#REF!</v>
      </c>
      <c r="AA192" s="109" t="e">
        <f t="shared" si="202"/>
        <v>#REF!</v>
      </c>
      <c r="AB192" s="14">
        <v>0</v>
      </c>
      <c r="AC192" s="109" t="e">
        <f t="shared" si="203"/>
        <v>#REF!</v>
      </c>
      <c r="AD192" s="109">
        <f>'LPLPO PROGRAM'!H21</f>
        <v>0</v>
      </c>
      <c r="AE192" s="111" t="e">
        <f t="shared" si="204"/>
        <v>#REF!</v>
      </c>
      <c r="AF192" s="212"/>
      <c r="AG192" s="212"/>
      <c r="AH192" s="20"/>
      <c r="AI192" s="14"/>
      <c r="AJ192" s="209"/>
      <c r="AL192" s="14">
        <f t="shared" si="160"/>
        <v>0</v>
      </c>
      <c r="AM192" s="14">
        <f>DISTRIBUSI!D190</f>
        <v>0</v>
      </c>
      <c r="AN192" s="14">
        <f>'PEMAKAIAN UNIT'!D189</f>
        <v>0</v>
      </c>
      <c r="AO192" s="14">
        <f t="shared" si="161"/>
        <v>0</v>
      </c>
      <c r="AP192" s="15">
        <f t="shared" si="162"/>
        <v>0</v>
      </c>
      <c r="AQ192" s="14">
        <f t="shared" si="163"/>
        <v>0</v>
      </c>
      <c r="AR192" s="14">
        <f>DISTRIBUSI!E190</f>
        <v>0</v>
      </c>
      <c r="AS192" s="14">
        <f>'PEMAKAIAN UNIT'!E189</f>
        <v>0</v>
      </c>
      <c r="AT192" s="14">
        <f t="shared" si="164"/>
        <v>0</v>
      </c>
      <c r="AU192" s="15">
        <f t="shared" si="165"/>
        <v>0</v>
      </c>
      <c r="AV192" s="14">
        <f t="shared" si="166"/>
        <v>0</v>
      </c>
      <c r="AW192" s="14">
        <f>DISTRIBUSI!F190</f>
        <v>0</v>
      </c>
      <c r="AX192" s="14">
        <f>'PEMAKAIAN UNIT'!F189</f>
        <v>0</v>
      </c>
      <c r="AY192" s="14">
        <f t="shared" si="167"/>
        <v>0</v>
      </c>
      <c r="AZ192" s="15">
        <f t="shared" si="168"/>
        <v>0</v>
      </c>
      <c r="BA192" s="14">
        <f t="shared" si="169"/>
        <v>0</v>
      </c>
      <c r="BB192" s="14">
        <f>DISTRIBUSI!G190</f>
        <v>0</v>
      </c>
      <c r="BC192" s="14">
        <f>'PEMAKAIAN UNIT'!G189</f>
        <v>0</v>
      </c>
      <c r="BD192" s="14">
        <f t="shared" si="170"/>
        <v>0</v>
      </c>
      <c r="BE192" s="15">
        <f t="shared" si="171"/>
        <v>0</v>
      </c>
      <c r="BF192" s="14">
        <f t="shared" si="172"/>
        <v>0</v>
      </c>
      <c r="BG192" s="14">
        <f>DISTRIBUSI!H190</f>
        <v>0</v>
      </c>
      <c r="BH192" s="14">
        <f>'PEMAKAIAN UNIT'!H189</f>
        <v>0</v>
      </c>
      <c r="BI192" s="14">
        <f t="shared" si="173"/>
        <v>0</v>
      </c>
      <c r="BJ192" s="15">
        <f t="shared" si="174"/>
        <v>0</v>
      </c>
      <c r="BK192" s="14">
        <f t="shared" si="175"/>
        <v>0</v>
      </c>
      <c r="BL192" s="14">
        <f>DISTRIBUSI!I190</f>
        <v>0</v>
      </c>
      <c r="BM192" s="14">
        <f>'PEMAKAIAN UNIT'!I189</f>
        <v>0</v>
      </c>
      <c r="BN192" s="14">
        <f t="shared" si="176"/>
        <v>0</v>
      </c>
      <c r="BO192" s="15">
        <f t="shared" si="177"/>
        <v>0</v>
      </c>
      <c r="BP192" s="14">
        <f t="shared" si="178"/>
        <v>0</v>
      </c>
      <c r="BQ192" s="14">
        <f>DISTRIBUSI!J190</f>
        <v>0</v>
      </c>
      <c r="BR192" s="14">
        <f>'PEMAKAIAN UNIT'!J189</f>
        <v>0</v>
      </c>
      <c r="BS192" s="14">
        <f t="shared" si="179"/>
        <v>0</v>
      </c>
      <c r="BT192" s="15">
        <f t="shared" si="180"/>
        <v>0</v>
      </c>
      <c r="BU192" s="14">
        <f t="shared" si="181"/>
        <v>0</v>
      </c>
      <c r="BV192" s="14">
        <f>DISTRIBUSI!K190</f>
        <v>0</v>
      </c>
      <c r="BW192" s="14">
        <f>'PEMAKAIAN UNIT'!K189</f>
        <v>0</v>
      </c>
      <c r="BX192" s="14">
        <f t="shared" si="182"/>
        <v>0</v>
      </c>
      <c r="BY192" s="15">
        <f t="shared" si="183"/>
        <v>0</v>
      </c>
      <c r="BZ192" s="14">
        <f t="shared" si="184"/>
        <v>0</v>
      </c>
      <c r="CA192" s="14">
        <f>DISTRIBUSI!L190</f>
        <v>0</v>
      </c>
      <c r="CB192" s="14">
        <f>'PEMAKAIAN UNIT'!L189</f>
        <v>0</v>
      </c>
      <c r="CC192" s="14">
        <f t="shared" si="185"/>
        <v>0</v>
      </c>
      <c r="CD192" s="15">
        <f t="shared" si="186"/>
        <v>0</v>
      </c>
      <c r="CE192" s="14">
        <f t="shared" si="187"/>
        <v>0</v>
      </c>
      <c r="CF192" s="14">
        <f>DISTRIBUSI!M190</f>
        <v>0</v>
      </c>
      <c r="CG192" s="14">
        <f>'PEMAKAIAN UNIT'!M189</f>
        <v>0</v>
      </c>
      <c r="CH192" s="14">
        <f t="shared" si="188"/>
        <v>0</v>
      </c>
      <c r="CI192" s="15">
        <f t="shared" si="189"/>
        <v>0</v>
      </c>
      <c r="CJ192" s="14">
        <f t="shared" si="190"/>
        <v>0</v>
      </c>
      <c r="CK192" s="14" t="e">
        <f>DISTRIBUSI!#REF!</f>
        <v>#REF!</v>
      </c>
      <c r="CL192" s="14">
        <f>'PEMAKAIAN UNIT'!N189</f>
        <v>0</v>
      </c>
      <c r="CM192" s="14" t="e">
        <f t="shared" si="191"/>
        <v>#REF!</v>
      </c>
      <c r="CN192" s="15" t="e">
        <f t="shared" si="192"/>
        <v>#REF!</v>
      </c>
      <c r="CO192" s="14" t="e">
        <f>DL192+DISTRIBUSI!#REF!-'PEMAKAIAN UNIT'!O189</f>
        <v>#REF!</v>
      </c>
      <c r="CP192" s="15" t="e">
        <f t="shared" si="193"/>
        <v>#REF!</v>
      </c>
      <c r="CQ192" s="226">
        <f t="shared" si="194"/>
        <v>0</v>
      </c>
      <c r="CR192" s="226">
        <f>DISTRIBUSI!R190</f>
        <v>0</v>
      </c>
      <c r="CS192" s="226">
        <f>'PEMAKAIAN UNIT'!P189</f>
        <v>0</v>
      </c>
      <c r="CT192" s="14">
        <f t="shared" si="195"/>
        <v>0</v>
      </c>
      <c r="CU192" s="15">
        <f t="shared" si="196"/>
        <v>0</v>
      </c>
      <c r="CV192" s="14" t="e">
        <f>DN192+DISTRIBUSI!#REF!-'PEMAKAIAN UNIT'!Q189</f>
        <v>#REF!</v>
      </c>
      <c r="CW192" s="15" t="e">
        <f t="shared" si="197"/>
        <v>#REF!</v>
      </c>
      <c r="CX192" s="14">
        <f>DO192+'LPLPO PROGRAM'!E21-'LPLPO PROGRAM'!G21</f>
        <v>0</v>
      </c>
      <c r="CY192" s="15">
        <f t="shared" si="198"/>
        <v>0</v>
      </c>
      <c r="CZ192" s="28"/>
      <c r="DA192" s="14">
        <v>0</v>
      </c>
      <c r="DB192" s="14">
        <v>0</v>
      </c>
      <c r="DC192" s="14">
        <v>0</v>
      </c>
      <c r="DD192" s="14">
        <v>0</v>
      </c>
      <c r="DE192" s="14">
        <v>0</v>
      </c>
      <c r="DF192" s="14">
        <v>0</v>
      </c>
      <c r="DG192" s="14">
        <v>0</v>
      </c>
      <c r="DH192" s="14">
        <v>0</v>
      </c>
      <c r="DI192" s="14">
        <v>0</v>
      </c>
      <c r="DJ192" s="14">
        <v>0</v>
      </c>
      <c r="DK192" s="14">
        <v>0</v>
      </c>
      <c r="DL192" s="14">
        <v>0</v>
      </c>
      <c r="DM192" s="14">
        <v>0</v>
      </c>
      <c r="DN192" s="14">
        <v>0</v>
      </c>
      <c r="DO192" s="14">
        <v>0</v>
      </c>
      <c r="DP192" s="13">
        <f t="shared" si="151"/>
        <v>0</v>
      </c>
      <c r="DU192" s="20" t="e">
        <f t="shared" si="148"/>
        <v>#REF!</v>
      </c>
    </row>
    <row r="193" spans="1:125" customFormat="1" ht="20.149999999999999" customHeight="1" x14ac:dyDescent="0.35">
      <c r="A193" s="205">
        <v>9</v>
      </c>
      <c r="B193" s="178"/>
      <c r="C193" s="144"/>
      <c r="D193" s="14">
        <v>0</v>
      </c>
      <c r="E193" s="254">
        <f>'LPLPO PROGRAM'!E22</f>
        <v>0</v>
      </c>
      <c r="F193" s="254">
        <f t="shared" si="199"/>
        <v>0</v>
      </c>
      <c r="G193" s="254">
        <f>'PEMAKAIAN UNIT'!R190</f>
        <v>0</v>
      </c>
      <c r="H193" s="14">
        <v>0</v>
      </c>
      <c r="I193" s="14">
        <v>0</v>
      </c>
      <c r="J193" s="14">
        <v>0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09">
        <f t="shared" si="200"/>
        <v>0</v>
      </c>
      <c r="Z193" s="109" t="e">
        <f t="shared" si="201"/>
        <v>#REF!</v>
      </c>
      <c r="AA193" s="109" t="e">
        <f t="shared" si="202"/>
        <v>#REF!</v>
      </c>
      <c r="AB193" s="14">
        <v>0</v>
      </c>
      <c r="AC193" s="109" t="e">
        <f t="shared" si="203"/>
        <v>#REF!</v>
      </c>
      <c r="AD193" s="109">
        <f>'LPLPO PROGRAM'!H22</f>
        <v>0</v>
      </c>
      <c r="AE193" s="111" t="e">
        <f t="shared" si="204"/>
        <v>#REF!</v>
      </c>
      <c r="AF193" s="212"/>
      <c r="AG193" s="212"/>
      <c r="AH193" s="20"/>
      <c r="AI193" s="14">
        <f t="shared" ref="AI193:AI241" si="208">F193-G193</f>
        <v>0</v>
      </c>
      <c r="AJ193" s="209" t="e">
        <f t="shared" ref="AJ193:AJ241" si="209">AE193-AI193</f>
        <v>#REF!</v>
      </c>
      <c r="AL193" s="14">
        <f t="shared" si="160"/>
        <v>0</v>
      </c>
      <c r="AM193" s="14">
        <f>DISTRIBUSI!D191</f>
        <v>0</v>
      </c>
      <c r="AN193" s="14">
        <f>'PEMAKAIAN UNIT'!D190</f>
        <v>0</v>
      </c>
      <c r="AO193" s="14">
        <f t="shared" si="161"/>
        <v>0</v>
      </c>
      <c r="AP193" s="15">
        <f t="shared" si="162"/>
        <v>0</v>
      </c>
      <c r="AQ193" s="14">
        <f t="shared" si="163"/>
        <v>0</v>
      </c>
      <c r="AR193" s="14">
        <f>DISTRIBUSI!E191</f>
        <v>0</v>
      </c>
      <c r="AS193" s="14">
        <f>'PEMAKAIAN UNIT'!E190</f>
        <v>0</v>
      </c>
      <c r="AT193" s="14">
        <f t="shared" si="164"/>
        <v>0</v>
      </c>
      <c r="AU193" s="15">
        <f t="shared" si="165"/>
        <v>0</v>
      </c>
      <c r="AV193" s="14">
        <f t="shared" si="166"/>
        <v>0</v>
      </c>
      <c r="AW193" s="14">
        <f>DISTRIBUSI!F191</f>
        <v>0</v>
      </c>
      <c r="AX193" s="14">
        <f>'PEMAKAIAN UNIT'!F190</f>
        <v>0</v>
      </c>
      <c r="AY193" s="14">
        <f t="shared" si="167"/>
        <v>0</v>
      </c>
      <c r="AZ193" s="15">
        <f t="shared" si="168"/>
        <v>0</v>
      </c>
      <c r="BA193" s="14">
        <f t="shared" si="169"/>
        <v>0</v>
      </c>
      <c r="BB193" s="14">
        <f>DISTRIBUSI!G191</f>
        <v>0</v>
      </c>
      <c r="BC193" s="14">
        <f>'PEMAKAIAN UNIT'!G190</f>
        <v>0</v>
      </c>
      <c r="BD193" s="14">
        <f t="shared" si="170"/>
        <v>0</v>
      </c>
      <c r="BE193" s="15">
        <f t="shared" si="171"/>
        <v>0</v>
      </c>
      <c r="BF193" s="14">
        <f t="shared" si="172"/>
        <v>0</v>
      </c>
      <c r="BG193" s="14">
        <f>DISTRIBUSI!H191</f>
        <v>0</v>
      </c>
      <c r="BH193" s="14">
        <f>'PEMAKAIAN UNIT'!H190</f>
        <v>0</v>
      </c>
      <c r="BI193" s="14">
        <f t="shared" si="173"/>
        <v>0</v>
      </c>
      <c r="BJ193" s="15">
        <f t="shared" si="174"/>
        <v>0</v>
      </c>
      <c r="BK193" s="14">
        <f t="shared" si="175"/>
        <v>0</v>
      </c>
      <c r="BL193" s="14">
        <f>DISTRIBUSI!I191</f>
        <v>0</v>
      </c>
      <c r="BM193" s="14">
        <f>'PEMAKAIAN UNIT'!I190</f>
        <v>0</v>
      </c>
      <c r="BN193" s="14">
        <f t="shared" si="176"/>
        <v>0</v>
      </c>
      <c r="BO193" s="15">
        <f t="shared" si="177"/>
        <v>0</v>
      </c>
      <c r="BP193" s="14">
        <f t="shared" si="178"/>
        <v>0</v>
      </c>
      <c r="BQ193" s="14">
        <f>DISTRIBUSI!J191</f>
        <v>0</v>
      </c>
      <c r="BR193" s="14">
        <f>'PEMAKAIAN UNIT'!J190</f>
        <v>0</v>
      </c>
      <c r="BS193" s="14">
        <f t="shared" si="179"/>
        <v>0</v>
      </c>
      <c r="BT193" s="15">
        <f t="shared" si="180"/>
        <v>0</v>
      </c>
      <c r="BU193" s="14">
        <f t="shared" si="181"/>
        <v>0</v>
      </c>
      <c r="BV193" s="14">
        <f>DISTRIBUSI!K191</f>
        <v>0</v>
      </c>
      <c r="BW193" s="14">
        <f>'PEMAKAIAN UNIT'!K190</f>
        <v>0</v>
      </c>
      <c r="BX193" s="14">
        <f t="shared" si="182"/>
        <v>0</v>
      </c>
      <c r="BY193" s="15">
        <f t="shared" si="183"/>
        <v>0</v>
      </c>
      <c r="BZ193" s="14">
        <f t="shared" si="184"/>
        <v>0</v>
      </c>
      <c r="CA193" s="14">
        <f>DISTRIBUSI!L191</f>
        <v>0</v>
      </c>
      <c r="CB193" s="14">
        <f>'PEMAKAIAN UNIT'!L190</f>
        <v>0</v>
      </c>
      <c r="CC193" s="14">
        <f t="shared" si="185"/>
        <v>0</v>
      </c>
      <c r="CD193" s="15">
        <f t="shared" si="186"/>
        <v>0</v>
      </c>
      <c r="CE193" s="14">
        <f t="shared" si="187"/>
        <v>0</v>
      </c>
      <c r="CF193" s="14">
        <f>DISTRIBUSI!M191</f>
        <v>0</v>
      </c>
      <c r="CG193" s="14">
        <f>'PEMAKAIAN UNIT'!M190</f>
        <v>0</v>
      </c>
      <c r="CH193" s="14">
        <f t="shared" si="188"/>
        <v>0</v>
      </c>
      <c r="CI193" s="15">
        <f t="shared" si="189"/>
        <v>0</v>
      </c>
      <c r="CJ193" s="14">
        <f t="shared" si="190"/>
        <v>0</v>
      </c>
      <c r="CK193" s="14" t="e">
        <f>DISTRIBUSI!#REF!</f>
        <v>#REF!</v>
      </c>
      <c r="CL193" s="14">
        <f>'PEMAKAIAN UNIT'!N190</f>
        <v>0</v>
      </c>
      <c r="CM193" s="14" t="e">
        <f t="shared" si="191"/>
        <v>#REF!</v>
      </c>
      <c r="CN193" s="15" t="e">
        <f t="shared" si="192"/>
        <v>#REF!</v>
      </c>
      <c r="CO193" s="14" t="e">
        <f>DL193+DISTRIBUSI!#REF!-'PEMAKAIAN UNIT'!O190</f>
        <v>#REF!</v>
      </c>
      <c r="CP193" s="15" t="e">
        <f t="shared" si="193"/>
        <v>#REF!</v>
      </c>
      <c r="CQ193" s="226">
        <f t="shared" si="194"/>
        <v>0</v>
      </c>
      <c r="CR193" s="226">
        <f>DISTRIBUSI!R191</f>
        <v>0</v>
      </c>
      <c r="CS193" s="226">
        <f>'PEMAKAIAN UNIT'!P190</f>
        <v>0</v>
      </c>
      <c r="CT193" s="14">
        <f t="shared" si="195"/>
        <v>0</v>
      </c>
      <c r="CU193" s="15">
        <f t="shared" si="196"/>
        <v>0</v>
      </c>
      <c r="CV193" s="14" t="e">
        <f>DN193+DISTRIBUSI!#REF!-'PEMAKAIAN UNIT'!Q190</f>
        <v>#REF!</v>
      </c>
      <c r="CW193" s="15" t="e">
        <f t="shared" si="197"/>
        <v>#REF!</v>
      </c>
      <c r="CX193" s="14">
        <f>DO193+'LPLPO PROGRAM'!E22-'LPLPO PROGRAM'!G22</f>
        <v>0</v>
      </c>
      <c r="CY193" s="15">
        <f t="shared" si="198"/>
        <v>0</v>
      </c>
      <c r="CZ193" s="28"/>
      <c r="DA193" s="14">
        <v>0</v>
      </c>
      <c r="DB193" s="14">
        <v>0</v>
      </c>
      <c r="DC193" s="14">
        <v>0</v>
      </c>
      <c r="DD193" s="14">
        <v>0</v>
      </c>
      <c r="DE193" s="14">
        <v>0</v>
      </c>
      <c r="DF193" s="14">
        <v>0</v>
      </c>
      <c r="DG193" s="14">
        <v>0</v>
      </c>
      <c r="DH193" s="14">
        <v>0</v>
      </c>
      <c r="DI193" s="14">
        <v>0</v>
      </c>
      <c r="DJ193" s="14">
        <v>0</v>
      </c>
      <c r="DK193" s="14">
        <v>0</v>
      </c>
      <c r="DL193" s="14">
        <v>0</v>
      </c>
      <c r="DM193" s="14">
        <v>0</v>
      </c>
      <c r="DN193" s="14">
        <v>0</v>
      </c>
      <c r="DO193" s="14">
        <v>0</v>
      </c>
      <c r="DP193" s="13">
        <f t="shared" si="151"/>
        <v>0</v>
      </c>
      <c r="DU193" s="20" t="e">
        <f t="shared" si="148"/>
        <v>#REF!</v>
      </c>
    </row>
    <row r="194" spans="1:125" customFormat="1" ht="20.149999999999999" customHeight="1" x14ac:dyDescent="0.35">
      <c r="A194" s="205">
        <v>10</v>
      </c>
      <c r="B194" s="178"/>
      <c r="C194" s="144"/>
      <c r="D194" s="14">
        <v>0</v>
      </c>
      <c r="E194" s="254">
        <f>'LPLPO PROGRAM'!E23</f>
        <v>0</v>
      </c>
      <c r="F194" s="254">
        <f t="shared" si="199"/>
        <v>0</v>
      </c>
      <c r="G194" s="254">
        <f>'PEMAKAIAN UNIT'!R191</f>
        <v>0</v>
      </c>
      <c r="H194" s="14">
        <v>0</v>
      </c>
      <c r="I194" s="14">
        <v>0</v>
      </c>
      <c r="J194" s="14">
        <v>0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09">
        <f t="shared" si="200"/>
        <v>0</v>
      </c>
      <c r="Z194" s="109" t="e">
        <f t="shared" si="201"/>
        <v>#REF!</v>
      </c>
      <c r="AA194" s="109" t="e">
        <f t="shared" si="202"/>
        <v>#REF!</v>
      </c>
      <c r="AB194" s="14">
        <v>0</v>
      </c>
      <c r="AC194" s="109" t="e">
        <f t="shared" si="203"/>
        <v>#REF!</v>
      </c>
      <c r="AD194" s="109">
        <f>'LPLPO PROGRAM'!H23</f>
        <v>0</v>
      </c>
      <c r="AE194" s="111" t="e">
        <f t="shared" si="204"/>
        <v>#REF!</v>
      </c>
      <c r="AF194" s="212"/>
      <c r="AG194" s="212"/>
      <c r="AH194" s="20"/>
      <c r="AI194" s="14">
        <f t="shared" si="208"/>
        <v>0</v>
      </c>
      <c r="AJ194" s="209" t="e">
        <f t="shared" si="209"/>
        <v>#REF!</v>
      </c>
      <c r="AL194" s="14">
        <f t="shared" si="160"/>
        <v>0</v>
      </c>
      <c r="AM194" s="14">
        <f>DISTRIBUSI!D192</f>
        <v>0</v>
      </c>
      <c r="AN194" s="14">
        <f>'PEMAKAIAN UNIT'!D191</f>
        <v>0</v>
      </c>
      <c r="AO194" s="14">
        <f t="shared" si="161"/>
        <v>0</v>
      </c>
      <c r="AP194" s="15">
        <f t="shared" si="162"/>
        <v>0</v>
      </c>
      <c r="AQ194" s="14">
        <f t="shared" si="163"/>
        <v>0</v>
      </c>
      <c r="AR194" s="14">
        <f>DISTRIBUSI!E192</f>
        <v>0</v>
      </c>
      <c r="AS194" s="14">
        <f>'PEMAKAIAN UNIT'!E191</f>
        <v>0</v>
      </c>
      <c r="AT194" s="14">
        <f t="shared" si="164"/>
        <v>0</v>
      </c>
      <c r="AU194" s="15">
        <f t="shared" si="165"/>
        <v>0</v>
      </c>
      <c r="AV194" s="14">
        <f t="shared" si="166"/>
        <v>0</v>
      </c>
      <c r="AW194" s="14">
        <f>DISTRIBUSI!F192</f>
        <v>0</v>
      </c>
      <c r="AX194" s="14">
        <f>'PEMAKAIAN UNIT'!F191</f>
        <v>0</v>
      </c>
      <c r="AY194" s="14">
        <f t="shared" si="167"/>
        <v>0</v>
      </c>
      <c r="AZ194" s="15">
        <f t="shared" si="168"/>
        <v>0</v>
      </c>
      <c r="BA194" s="14">
        <f t="shared" si="169"/>
        <v>0</v>
      </c>
      <c r="BB194" s="14">
        <f>DISTRIBUSI!G192</f>
        <v>0</v>
      </c>
      <c r="BC194" s="14">
        <f>'PEMAKAIAN UNIT'!G191</f>
        <v>0</v>
      </c>
      <c r="BD194" s="14">
        <f t="shared" si="170"/>
        <v>0</v>
      </c>
      <c r="BE194" s="15">
        <f t="shared" si="171"/>
        <v>0</v>
      </c>
      <c r="BF194" s="14">
        <f t="shared" si="172"/>
        <v>0</v>
      </c>
      <c r="BG194" s="14">
        <f>DISTRIBUSI!H192</f>
        <v>0</v>
      </c>
      <c r="BH194" s="14">
        <f>'PEMAKAIAN UNIT'!H191</f>
        <v>0</v>
      </c>
      <c r="BI194" s="14">
        <f t="shared" si="173"/>
        <v>0</v>
      </c>
      <c r="BJ194" s="15">
        <f t="shared" si="174"/>
        <v>0</v>
      </c>
      <c r="BK194" s="14">
        <f t="shared" si="175"/>
        <v>0</v>
      </c>
      <c r="BL194" s="14">
        <f>DISTRIBUSI!I192</f>
        <v>0</v>
      </c>
      <c r="BM194" s="14">
        <f>'PEMAKAIAN UNIT'!I191</f>
        <v>0</v>
      </c>
      <c r="BN194" s="14">
        <f t="shared" si="176"/>
        <v>0</v>
      </c>
      <c r="BO194" s="15">
        <f t="shared" si="177"/>
        <v>0</v>
      </c>
      <c r="BP194" s="14">
        <f t="shared" si="178"/>
        <v>0</v>
      </c>
      <c r="BQ194" s="14">
        <f>DISTRIBUSI!J192</f>
        <v>0</v>
      </c>
      <c r="BR194" s="14">
        <f>'PEMAKAIAN UNIT'!J191</f>
        <v>0</v>
      </c>
      <c r="BS194" s="14">
        <f t="shared" si="179"/>
        <v>0</v>
      </c>
      <c r="BT194" s="15">
        <f t="shared" si="180"/>
        <v>0</v>
      </c>
      <c r="BU194" s="14">
        <f t="shared" si="181"/>
        <v>0</v>
      </c>
      <c r="BV194" s="14">
        <f>DISTRIBUSI!K192</f>
        <v>0</v>
      </c>
      <c r="BW194" s="14">
        <f>'PEMAKAIAN UNIT'!K191</f>
        <v>0</v>
      </c>
      <c r="BX194" s="14">
        <f t="shared" si="182"/>
        <v>0</v>
      </c>
      <c r="BY194" s="15">
        <f t="shared" si="183"/>
        <v>0</v>
      </c>
      <c r="BZ194" s="14">
        <f t="shared" si="184"/>
        <v>0</v>
      </c>
      <c r="CA194" s="14">
        <f>DISTRIBUSI!L192</f>
        <v>0</v>
      </c>
      <c r="CB194" s="14">
        <f>'PEMAKAIAN UNIT'!L191</f>
        <v>0</v>
      </c>
      <c r="CC194" s="14">
        <f t="shared" si="185"/>
        <v>0</v>
      </c>
      <c r="CD194" s="15">
        <f t="shared" si="186"/>
        <v>0</v>
      </c>
      <c r="CE194" s="14">
        <f t="shared" si="187"/>
        <v>0</v>
      </c>
      <c r="CF194" s="14">
        <f>DISTRIBUSI!M192</f>
        <v>0</v>
      </c>
      <c r="CG194" s="14">
        <f>'PEMAKAIAN UNIT'!M191</f>
        <v>0</v>
      </c>
      <c r="CH194" s="14">
        <f t="shared" si="188"/>
        <v>0</v>
      </c>
      <c r="CI194" s="15">
        <f t="shared" si="189"/>
        <v>0</v>
      </c>
      <c r="CJ194" s="14">
        <f t="shared" si="190"/>
        <v>0</v>
      </c>
      <c r="CK194" s="14" t="e">
        <f>DISTRIBUSI!#REF!</f>
        <v>#REF!</v>
      </c>
      <c r="CL194" s="14">
        <f>'PEMAKAIAN UNIT'!N191</f>
        <v>0</v>
      </c>
      <c r="CM194" s="14" t="e">
        <f t="shared" si="191"/>
        <v>#REF!</v>
      </c>
      <c r="CN194" s="15" t="e">
        <f t="shared" si="192"/>
        <v>#REF!</v>
      </c>
      <c r="CO194" s="14" t="e">
        <f>DL194+DISTRIBUSI!#REF!-'PEMAKAIAN UNIT'!O191</f>
        <v>#REF!</v>
      </c>
      <c r="CP194" s="15" t="e">
        <f t="shared" si="193"/>
        <v>#REF!</v>
      </c>
      <c r="CQ194" s="226">
        <f t="shared" si="194"/>
        <v>0</v>
      </c>
      <c r="CR194" s="226">
        <f>DISTRIBUSI!R192</f>
        <v>0</v>
      </c>
      <c r="CS194" s="226">
        <f>'PEMAKAIAN UNIT'!P191</f>
        <v>0</v>
      </c>
      <c r="CT194" s="14">
        <f t="shared" si="195"/>
        <v>0</v>
      </c>
      <c r="CU194" s="15">
        <f t="shared" si="196"/>
        <v>0</v>
      </c>
      <c r="CV194" s="14" t="e">
        <f>DN194+DISTRIBUSI!#REF!-'PEMAKAIAN UNIT'!Q191</f>
        <v>#REF!</v>
      </c>
      <c r="CW194" s="15" t="e">
        <f t="shared" si="197"/>
        <v>#REF!</v>
      </c>
      <c r="CX194" s="14">
        <f>DO194+'LPLPO PROGRAM'!E23-'LPLPO PROGRAM'!G23</f>
        <v>0</v>
      </c>
      <c r="CY194" s="15">
        <f t="shared" si="198"/>
        <v>0</v>
      </c>
      <c r="CZ194" s="28"/>
      <c r="DA194" s="14">
        <v>0</v>
      </c>
      <c r="DB194" s="14">
        <v>0</v>
      </c>
      <c r="DC194" s="14">
        <v>0</v>
      </c>
      <c r="DD194" s="14">
        <v>0</v>
      </c>
      <c r="DE194" s="14">
        <v>0</v>
      </c>
      <c r="DF194" s="14">
        <v>0</v>
      </c>
      <c r="DG194" s="14">
        <v>0</v>
      </c>
      <c r="DH194" s="14">
        <v>0</v>
      </c>
      <c r="DI194" s="14">
        <v>0</v>
      </c>
      <c r="DJ194" s="14">
        <v>0</v>
      </c>
      <c r="DK194" s="14">
        <v>0</v>
      </c>
      <c r="DL194" s="14">
        <v>0</v>
      </c>
      <c r="DM194" s="14">
        <v>0</v>
      </c>
      <c r="DN194" s="14">
        <v>0</v>
      </c>
      <c r="DO194" s="14">
        <v>0</v>
      </c>
      <c r="DP194" s="13">
        <f t="shared" si="151"/>
        <v>0</v>
      </c>
      <c r="DU194" s="20" t="e">
        <f t="shared" si="148"/>
        <v>#REF!</v>
      </c>
    </row>
    <row r="195" spans="1:125" customFormat="1" ht="20.149999999999999" customHeight="1" x14ac:dyDescent="0.35">
      <c r="A195" s="204">
        <v>11</v>
      </c>
      <c r="B195" s="188" t="s">
        <v>178</v>
      </c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212"/>
      <c r="AG195" s="212"/>
      <c r="AH195" s="20"/>
      <c r="AI195" s="14">
        <f t="shared" si="208"/>
        <v>0</v>
      </c>
      <c r="AJ195" s="209">
        <f t="shared" si="209"/>
        <v>0</v>
      </c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/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  <c r="BM195" s="146"/>
      <c r="BN195" s="146"/>
      <c r="BO195" s="146"/>
      <c r="BP195" s="146"/>
      <c r="BQ195" s="146"/>
      <c r="BR195" s="146"/>
      <c r="BS195" s="146"/>
      <c r="BT195" s="146"/>
      <c r="BU195" s="146"/>
      <c r="BV195" s="146"/>
      <c r="BW195" s="146"/>
      <c r="BX195" s="146"/>
      <c r="BY195" s="146"/>
      <c r="BZ195" s="146"/>
      <c r="CA195" s="146"/>
      <c r="CB195" s="146"/>
      <c r="CC195" s="146"/>
      <c r="CD195" s="146"/>
      <c r="CE195" s="146"/>
      <c r="CF195" s="146"/>
      <c r="CG195" s="146"/>
      <c r="CH195" s="146"/>
      <c r="CI195" s="146"/>
      <c r="CJ195" s="146"/>
      <c r="CK195" s="146"/>
      <c r="CL195" s="146"/>
      <c r="CM195" s="146"/>
      <c r="CN195" s="146"/>
      <c r="CO195" s="146"/>
      <c r="CP195" s="146"/>
      <c r="CQ195" s="146"/>
      <c r="CR195" s="146"/>
      <c r="CS195" s="146"/>
      <c r="CT195" s="146"/>
      <c r="CU195" s="146"/>
      <c r="CV195" s="146"/>
      <c r="CW195" s="146"/>
      <c r="CX195" s="146"/>
      <c r="CY195" s="146"/>
      <c r="CZ195" s="28"/>
      <c r="DA195" s="14">
        <v>0</v>
      </c>
      <c r="DB195" s="14">
        <v>0</v>
      </c>
      <c r="DC195" s="14">
        <v>0</v>
      </c>
      <c r="DD195" s="14">
        <v>0</v>
      </c>
      <c r="DE195" s="14">
        <v>0</v>
      </c>
      <c r="DF195" s="14">
        <v>0</v>
      </c>
      <c r="DG195" s="14">
        <v>0</v>
      </c>
      <c r="DH195" s="14">
        <v>0</v>
      </c>
      <c r="DI195" s="14">
        <v>0</v>
      </c>
      <c r="DJ195" s="14">
        <v>0</v>
      </c>
      <c r="DK195" s="14">
        <v>0</v>
      </c>
      <c r="DL195" s="14">
        <v>0</v>
      </c>
      <c r="DM195" s="14">
        <v>0</v>
      </c>
      <c r="DN195" s="14">
        <v>0</v>
      </c>
      <c r="DO195" s="14">
        <v>0</v>
      </c>
      <c r="DP195" s="13">
        <f t="shared" si="151"/>
        <v>0</v>
      </c>
      <c r="DU195" s="20">
        <f t="shared" si="148"/>
        <v>0</v>
      </c>
    </row>
    <row r="196" spans="1:125" customFormat="1" ht="20.149999999999999" customHeight="1" x14ac:dyDescent="0.35">
      <c r="A196" s="205">
        <v>12</v>
      </c>
      <c r="B196" s="182" t="s">
        <v>179</v>
      </c>
      <c r="C196" s="144" t="s">
        <v>4</v>
      </c>
      <c r="D196" s="14">
        <v>0</v>
      </c>
      <c r="E196" s="254">
        <f>'LPLPO PROGRAM'!E25</f>
        <v>0</v>
      </c>
      <c r="F196" s="254">
        <f t="shared" si="199"/>
        <v>0</v>
      </c>
      <c r="G196" s="254">
        <f>'PEMAKAIAN UNIT'!R193</f>
        <v>0</v>
      </c>
      <c r="H196" s="14">
        <v>0</v>
      </c>
      <c r="I196" s="14">
        <v>0</v>
      </c>
      <c r="J196" s="14">
        <v>0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09">
        <f t="shared" si="200"/>
        <v>0</v>
      </c>
      <c r="Z196" s="109" t="e">
        <f t="shared" si="201"/>
        <v>#REF!</v>
      </c>
      <c r="AA196" s="109" t="e">
        <f t="shared" si="202"/>
        <v>#REF!</v>
      </c>
      <c r="AB196" s="14">
        <v>0</v>
      </c>
      <c r="AC196" s="109" t="e">
        <f t="shared" si="203"/>
        <v>#REF!</v>
      </c>
      <c r="AD196" s="109">
        <f>'LPLPO PROGRAM'!H25</f>
        <v>0</v>
      </c>
      <c r="AE196" s="111" t="e">
        <f t="shared" si="204"/>
        <v>#REF!</v>
      </c>
      <c r="AF196" s="212"/>
      <c r="AG196" s="212"/>
      <c r="AH196" s="20"/>
      <c r="AI196" s="14">
        <f t="shared" si="208"/>
        <v>0</v>
      </c>
      <c r="AJ196" s="209" t="e">
        <f t="shared" si="209"/>
        <v>#REF!</v>
      </c>
      <c r="AL196" s="14">
        <f t="shared" si="160"/>
        <v>0</v>
      </c>
      <c r="AM196" s="14">
        <f>DISTRIBUSI!D194</f>
        <v>0</v>
      </c>
      <c r="AN196" s="14">
        <f>'PEMAKAIAN UNIT'!D193</f>
        <v>0</v>
      </c>
      <c r="AO196" s="14">
        <f t="shared" si="161"/>
        <v>0</v>
      </c>
      <c r="AP196" s="15">
        <f t="shared" si="162"/>
        <v>0</v>
      </c>
      <c r="AQ196" s="14">
        <f t="shared" si="163"/>
        <v>0</v>
      </c>
      <c r="AR196" s="14">
        <f>DISTRIBUSI!E194</f>
        <v>0</v>
      </c>
      <c r="AS196" s="14">
        <f>'PEMAKAIAN UNIT'!E193</f>
        <v>0</v>
      </c>
      <c r="AT196" s="14">
        <f t="shared" si="164"/>
        <v>0</v>
      </c>
      <c r="AU196" s="15">
        <f t="shared" si="165"/>
        <v>0</v>
      </c>
      <c r="AV196" s="14">
        <f t="shared" si="166"/>
        <v>0</v>
      </c>
      <c r="AW196" s="14">
        <f>DISTRIBUSI!F194</f>
        <v>0</v>
      </c>
      <c r="AX196" s="14">
        <f>'PEMAKAIAN UNIT'!F193</f>
        <v>0</v>
      </c>
      <c r="AY196" s="14">
        <f t="shared" si="167"/>
        <v>0</v>
      </c>
      <c r="AZ196" s="15">
        <f t="shared" si="168"/>
        <v>0</v>
      </c>
      <c r="BA196" s="14">
        <f t="shared" si="169"/>
        <v>0</v>
      </c>
      <c r="BB196" s="14">
        <f>DISTRIBUSI!G194</f>
        <v>0</v>
      </c>
      <c r="BC196" s="14">
        <f>'PEMAKAIAN UNIT'!G193</f>
        <v>0</v>
      </c>
      <c r="BD196" s="14">
        <f t="shared" si="170"/>
        <v>0</v>
      </c>
      <c r="BE196" s="15">
        <f t="shared" si="171"/>
        <v>0</v>
      </c>
      <c r="BF196" s="14">
        <f t="shared" si="172"/>
        <v>0</v>
      </c>
      <c r="BG196" s="14">
        <f>DISTRIBUSI!H194</f>
        <v>0</v>
      </c>
      <c r="BH196" s="14">
        <f>'PEMAKAIAN UNIT'!H193</f>
        <v>0</v>
      </c>
      <c r="BI196" s="14">
        <f t="shared" si="173"/>
        <v>0</v>
      </c>
      <c r="BJ196" s="15">
        <f t="shared" si="174"/>
        <v>0</v>
      </c>
      <c r="BK196" s="14">
        <f t="shared" si="175"/>
        <v>0</v>
      </c>
      <c r="BL196" s="14">
        <f>DISTRIBUSI!I194</f>
        <v>0</v>
      </c>
      <c r="BM196" s="14">
        <f>'PEMAKAIAN UNIT'!I193</f>
        <v>0</v>
      </c>
      <c r="BN196" s="14">
        <f t="shared" si="176"/>
        <v>0</v>
      </c>
      <c r="BO196" s="15">
        <f t="shared" si="177"/>
        <v>0</v>
      </c>
      <c r="BP196" s="14">
        <f t="shared" si="178"/>
        <v>0</v>
      </c>
      <c r="BQ196" s="14">
        <f>DISTRIBUSI!J194</f>
        <v>0</v>
      </c>
      <c r="BR196" s="14">
        <f>'PEMAKAIAN UNIT'!J193</f>
        <v>0</v>
      </c>
      <c r="BS196" s="14">
        <f t="shared" si="179"/>
        <v>0</v>
      </c>
      <c r="BT196" s="15">
        <f t="shared" si="180"/>
        <v>0</v>
      </c>
      <c r="BU196" s="14">
        <f t="shared" si="181"/>
        <v>0</v>
      </c>
      <c r="BV196" s="14">
        <f>DISTRIBUSI!K194</f>
        <v>0</v>
      </c>
      <c r="BW196" s="14">
        <f>'PEMAKAIAN UNIT'!K193</f>
        <v>0</v>
      </c>
      <c r="BX196" s="14">
        <f t="shared" si="182"/>
        <v>0</v>
      </c>
      <c r="BY196" s="15">
        <f t="shared" si="183"/>
        <v>0</v>
      </c>
      <c r="BZ196" s="14">
        <f t="shared" si="184"/>
        <v>0</v>
      </c>
      <c r="CA196" s="14">
        <f>DISTRIBUSI!L194</f>
        <v>0</v>
      </c>
      <c r="CB196" s="14">
        <f>'PEMAKAIAN UNIT'!L193</f>
        <v>0</v>
      </c>
      <c r="CC196" s="14">
        <f t="shared" si="185"/>
        <v>0</v>
      </c>
      <c r="CD196" s="15">
        <f t="shared" si="186"/>
        <v>0</v>
      </c>
      <c r="CE196" s="14">
        <f t="shared" si="187"/>
        <v>0</v>
      </c>
      <c r="CF196" s="14">
        <f>DISTRIBUSI!M194</f>
        <v>0</v>
      </c>
      <c r="CG196" s="14">
        <f>'PEMAKAIAN UNIT'!M193</f>
        <v>0</v>
      </c>
      <c r="CH196" s="14">
        <f t="shared" si="188"/>
        <v>0</v>
      </c>
      <c r="CI196" s="15">
        <f t="shared" si="189"/>
        <v>0</v>
      </c>
      <c r="CJ196" s="14">
        <f t="shared" si="190"/>
        <v>0</v>
      </c>
      <c r="CK196" s="14" t="e">
        <f>DISTRIBUSI!#REF!</f>
        <v>#REF!</v>
      </c>
      <c r="CL196" s="14">
        <f>'PEMAKAIAN UNIT'!N193</f>
        <v>0</v>
      </c>
      <c r="CM196" s="14" t="e">
        <f t="shared" si="191"/>
        <v>#REF!</v>
      </c>
      <c r="CN196" s="15" t="e">
        <f t="shared" si="192"/>
        <v>#REF!</v>
      </c>
      <c r="CO196" s="14" t="e">
        <f>DL196+DISTRIBUSI!#REF!-'PEMAKAIAN UNIT'!O193</f>
        <v>#REF!</v>
      </c>
      <c r="CP196" s="15" t="e">
        <f t="shared" si="193"/>
        <v>#REF!</v>
      </c>
      <c r="CQ196" s="226">
        <f t="shared" si="194"/>
        <v>0</v>
      </c>
      <c r="CR196" s="226">
        <f>DISTRIBUSI!R194</f>
        <v>0</v>
      </c>
      <c r="CS196" s="226">
        <f>'PEMAKAIAN UNIT'!P193</f>
        <v>0</v>
      </c>
      <c r="CT196" s="14">
        <f t="shared" si="195"/>
        <v>0</v>
      </c>
      <c r="CU196" s="15">
        <f t="shared" si="196"/>
        <v>0</v>
      </c>
      <c r="CV196" s="14" t="e">
        <f>DN196+DISTRIBUSI!#REF!-'PEMAKAIAN UNIT'!Q193</f>
        <v>#REF!</v>
      </c>
      <c r="CW196" s="15" t="e">
        <f t="shared" si="197"/>
        <v>#REF!</v>
      </c>
      <c r="CX196" s="14">
        <f>DO196+'LPLPO PROGRAM'!E25-'LPLPO PROGRAM'!G25</f>
        <v>0</v>
      </c>
      <c r="CY196" s="15">
        <f t="shared" si="198"/>
        <v>0</v>
      </c>
      <c r="CZ196" s="28"/>
      <c r="DA196" s="14">
        <v>0</v>
      </c>
      <c r="DB196" s="14">
        <v>0</v>
      </c>
      <c r="DC196" s="14">
        <v>0</v>
      </c>
      <c r="DD196" s="14">
        <v>0</v>
      </c>
      <c r="DE196" s="14">
        <v>0</v>
      </c>
      <c r="DF196" s="14">
        <v>0</v>
      </c>
      <c r="DG196" s="14">
        <v>0</v>
      </c>
      <c r="DH196" s="14">
        <v>0</v>
      </c>
      <c r="DI196" s="14">
        <v>0</v>
      </c>
      <c r="DJ196" s="14">
        <v>0</v>
      </c>
      <c r="DK196" s="14">
        <v>0</v>
      </c>
      <c r="DL196" s="14">
        <v>0</v>
      </c>
      <c r="DM196" s="14">
        <v>0</v>
      </c>
      <c r="DN196" s="14">
        <v>0</v>
      </c>
      <c r="DO196" s="14">
        <v>0</v>
      </c>
      <c r="DP196" s="13">
        <f t="shared" si="151"/>
        <v>0</v>
      </c>
      <c r="DU196" s="20" t="e">
        <f t="shared" si="148"/>
        <v>#REF!</v>
      </c>
    </row>
    <row r="197" spans="1:125" customFormat="1" ht="20.149999999999999" customHeight="1" x14ac:dyDescent="0.35">
      <c r="A197" s="205">
        <v>13</v>
      </c>
      <c r="B197" s="183" t="s">
        <v>181</v>
      </c>
      <c r="C197" s="144" t="s">
        <v>182</v>
      </c>
      <c r="D197" s="14">
        <v>0</v>
      </c>
      <c r="E197" s="254">
        <f>'LPLPO PROGRAM'!E26</f>
        <v>0</v>
      </c>
      <c r="F197" s="254">
        <f t="shared" si="199"/>
        <v>0</v>
      </c>
      <c r="G197" s="254">
        <f>'PEMAKAIAN UNIT'!R194</f>
        <v>0</v>
      </c>
      <c r="H197" s="14">
        <v>0</v>
      </c>
      <c r="I197" s="14">
        <v>0</v>
      </c>
      <c r="J197" s="14">
        <v>0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09">
        <f t="shared" si="200"/>
        <v>0</v>
      </c>
      <c r="Z197" s="109" t="e">
        <f t="shared" si="201"/>
        <v>#REF!</v>
      </c>
      <c r="AA197" s="109" t="e">
        <f t="shared" si="202"/>
        <v>#REF!</v>
      </c>
      <c r="AB197" s="14">
        <v>0</v>
      </c>
      <c r="AC197" s="109" t="e">
        <f t="shared" si="203"/>
        <v>#REF!</v>
      </c>
      <c r="AD197" s="109">
        <f>'LPLPO PROGRAM'!H26</f>
        <v>0</v>
      </c>
      <c r="AE197" s="111" t="e">
        <f t="shared" si="204"/>
        <v>#REF!</v>
      </c>
      <c r="AF197" s="212"/>
      <c r="AG197" s="212"/>
      <c r="AH197" s="20"/>
      <c r="AI197" s="14">
        <f t="shared" si="208"/>
        <v>0</v>
      </c>
      <c r="AJ197" s="209" t="e">
        <f t="shared" si="209"/>
        <v>#REF!</v>
      </c>
      <c r="AL197" s="14">
        <f t="shared" si="160"/>
        <v>0</v>
      </c>
      <c r="AM197" s="14">
        <f>DISTRIBUSI!D195</f>
        <v>0</v>
      </c>
      <c r="AN197" s="14">
        <f>'PEMAKAIAN UNIT'!D194</f>
        <v>0</v>
      </c>
      <c r="AO197" s="14">
        <f t="shared" si="161"/>
        <v>0</v>
      </c>
      <c r="AP197" s="15">
        <f t="shared" si="162"/>
        <v>0</v>
      </c>
      <c r="AQ197" s="14">
        <f t="shared" si="163"/>
        <v>0</v>
      </c>
      <c r="AR197" s="14">
        <f>DISTRIBUSI!E195</f>
        <v>0</v>
      </c>
      <c r="AS197" s="14">
        <f>'PEMAKAIAN UNIT'!E194</f>
        <v>0</v>
      </c>
      <c r="AT197" s="14">
        <f t="shared" si="164"/>
        <v>0</v>
      </c>
      <c r="AU197" s="15">
        <f t="shared" si="165"/>
        <v>0</v>
      </c>
      <c r="AV197" s="14">
        <f t="shared" si="166"/>
        <v>0</v>
      </c>
      <c r="AW197" s="14">
        <f>DISTRIBUSI!F195</f>
        <v>0</v>
      </c>
      <c r="AX197" s="14">
        <f>'PEMAKAIAN UNIT'!F194</f>
        <v>0</v>
      </c>
      <c r="AY197" s="14">
        <f t="shared" si="167"/>
        <v>0</v>
      </c>
      <c r="AZ197" s="15">
        <f t="shared" si="168"/>
        <v>0</v>
      </c>
      <c r="BA197" s="14">
        <f t="shared" si="169"/>
        <v>0</v>
      </c>
      <c r="BB197" s="14">
        <f>DISTRIBUSI!G195</f>
        <v>0</v>
      </c>
      <c r="BC197" s="14">
        <f>'PEMAKAIAN UNIT'!G194</f>
        <v>0</v>
      </c>
      <c r="BD197" s="14">
        <f t="shared" si="170"/>
        <v>0</v>
      </c>
      <c r="BE197" s="15">
        <f t="shared" si="171"/>
        <v>0</v>
      </c>
      <c r="BF197" s="14">
        <f t="shared" si="172"/>
        <v>0</v>
      </c>
      <c r="BG197" s="14">
        <f>DISTRIBUSI!H195</f>
        <v>0</v>
      </c>
      <c r="BH197" s="14">
        <f>'PEMAKAIAN UNIT'!H194</f>
        <v>0</v>
      </c>
      <c r="BI197" s="14">
        <f t="shared" si="173"/>
        <v>0</v>
      </c>
      <c r="BJ197" s="15">
        <f t="shared" si="174"/>
        <v>0</v>
      </c>
      <c r="BK197" s="14">
        <f t="shared" si="175"/>
        <v>0</v>
      </c>
      <c r="BL197" s="14">
        <f>DISTRIBUSI!I195</f>
        <v>0</v>
      </c>
      <c r="BM197" s="14">
        <f>'PEMAKAIAN UNIT'!I194</f>
        <v>0</v>
      </c>
      <c r="BN197" s="14">
        <f t="shared" si="176"/>
        <v>0</v>
      </c>
      <c r="BO197" s="15">
        <f t="shared" si="177"/>
        <v>0</v>
      </c>
      <c r="BP197" s="14">
        <f t="shared" si="178"/>
        <v>0</v>
      </c>
      <c r="BQ197" s="14">
        <f>DISTRIBUSI!J195</f>
        <v>0</v>
      </c>
      <c r="BR197" s="14">
        <f>'PEMAKAIAN UNIT'!J194</f>
        <v>0</v>
      </c>
      <c r="BS197" s="14">
        <f t="shared" si="179"/>
        <v>0</v>
      </c>
      <c r="BT197" s="15">
        <f t="shared" si="180"/>
        <v>0</v>
      </c>
      <c r="BU197" s="14">
        <f t="shared" si="181"/>
        <v>0</v>
      </c>
      <c r="BV197" s="14">
        <f>DISTRIBUSI!K195</f>
        <v>0</v>
      </c>
      <c r="BW197" s="14">
        <f>'PEMAKAIAN UNIT'!K194</f>
        <v>0</v>
      </c>
      <c r="BX197" s="14">
        <f t="shared" si="182"/>
        <v>0</v>
      </c>
      <c r="BY197" s="15">
        <f t="shared" si="183"/>
        <v>0</v>
      </c>
      <c r="BZ197" s="14">
        <f t="shared" si="184"/>
        <v>0</v>
      </c>
      <c r="CA197" s="14">
        <f>DISTRIBUSI!L195</f>
        <v>0</v>
      </c>
      <c r="CB197" s="14">
        <f>'PEMAKAIAN UNIT'!L194</f>
        <v>0</v>
      </c>
      <c r="CC197" s="14">
        <f t="shared" si="185"/>
        <v>0</v>
      </c>
      <c r="CD197" s="15">
        <f t="shared" si="186"/>
        <v>0</v>
      </c>
      <c r="CE197" s="14">
        <f t="shared" si="187"/>
        <v>0</v>
      </c>
      <c r="CF197" s="14">
        <f>DISTRIBUSI!M195</f>
        <v>0</v>
      </c>
      <c r="CG197" s="14">
        <f>'PEMAKAIAN UNIT'!M194</f>
        <v>0</v>
      </c>
      <c r="CH197" s="14">
        <f t="shared" si="188"/>
        <v>0</v>
      </c>
      <c r="CI197" s="15">
        <f t="shared" si="189"/>
        <v>0</v>
      </c>
      <c r="CJ197" s="14">
        <f t="shared" si="190"/>
        <v>0</v>
      </c>
      <c r="CK197" s="14" t="e">
        <f>DISTRIBUSI!#REF!</f>
        <v>#REF!</v>
      </c>
      <c r="CL197" s="14">
        <f>'PEMAKAIAN UNIT'!N194</f>
        <v>0</v>
      </c>
      <c r="CM197" s="14" t="e">
        <f t="shared" si="191"/>
        <v>#REF!</v>
      </c>
      <c r="CN197" s="15" t="e">
        <f t="shared" si="192"/>
        <v>#REF!</v>
      </c>
      <c r="CO197" s="14" t="e">
        <f>DL197+DISTRIBUSI!#REF!-'PEMAKAIAN UNIT'!O194</f>
        <v>#REF!</v>
      </c>
      <c r="CP197" s="15" t="e">
        <f t="shared" si="193"/>
        <v>#REF!</v>
      </c>
      <c r="CQ197" s="226">
        <f t="shared" si="194"/>
        <v>0</v>
      </c>
      <c r="CR197" s="226">
        <f>DISTRIBUSI!R195</f>
        <v>0</v>
      </c>
      <c r="CS197" s="226">
        <f>'PEMAKAIAN UNIT'!P194</f>
        <v>0</v>
      </c>
      <c r="CT197" s="14">
        <f t="shared" si="195"/>
        <v>0</v>
      </c>
      <c r="CU197" s="15">
        <f t="shared" si="196"/>
        <v>0</v>
      </c>
      <c r="CV197" s="14" t="e">
        <f>DN197+DISTRIBUSI!#REF!-'PEMAKAIAN UNIT'!Q194</f>
        <v>#REF!</v>
      </c>
      <c r="CW197" s="15" t="e">
        <f t="shared" si="197"/>
        <v>#REF!</v>
      </c>
      <c r="CX197" s="14">
        <f>DO197+'LPLPO PROGRAM'!E26-'LPLPO PROGRAM'!G26</f>
        <v>0</v>
      </c>
      <c r="CY197" s="15">
        <f t="shared" si="198"/>
        <v>0</v>
      </c>
      <c r="CZ197" s="28"/>
      <c r="DA197" s="14">
        <v>0</v>
      </c>
      <c r="DB197" s="14">
        <v>0</v>
      </c>
      <c r="DC197" s="14">
        <v>0</v>
      </c>
      <c r="DD197" s="14">
        <v>0</v>
      </c>
      <c r="DE197" s="14">
        <v>0</v>
      </c>
      <c r="DF197" s="14">
        <v>0</v>
      </c>
      <c r="DG197" s="14">
        <v>0</v>
      </c>
      <c r="DH197" s="14">
        <v>0</v>
      </c>
      <c r="DI197" s="14">
        <v>0</v>
      </c>
      <c r="DJ197" s="14">
        <v>0</v>
      </c>
      <c r="DK197" s="14">
        <v>0</v>
      </c>
      <c r="DL197" s="14">
        <v>0</v>
      </c>
      <c r="DM197" s="14">
        <v>0</v>
      </c>
      <c r="DN197" s="14">
        <v>0</v>
      </c>
      <c r="DO197" s="14">
        <v>0</v>
      </c>
      <c r="DP197" s="13">
        <f t="shared" si="151"/>
        <v>0</v>
      </c>
      <c r="DU197" s="20" t="e">
        <f t="shared" si="148"/>
        <v>#REF!</v>
      </c>
    </row>
    <row r="198" spans="1:125" customFormat="1" ht="20.149999999999999" customHeight="1" x14ac:dyDescent="0.35">
      <c r="A198" s="205">
        <v>14</v>
      </c>
      <c r="B198" s="183" t="s">
        <v>184</v>
      </c>
      <c r="C198" s="144" t="s">
        <v>4</v>
      </c>
      <c r="D198" s="14">
        <v>0</v>
      </c>
      <c r="E198" s="254">
        <f>'LPLPO PROGRAM'!E27</f>
        <v>0</v>
      </c>
      <c r="F198" s="254">
        <f t="shared" si="199"/>
        <v>0</v>
      </c>
      <c r="G198" s="254">
        <f>'PEMAKAIAN UNIT'!R195</f>
        <v>0</v>
      </c>
      <c r="H198" s="14">
        <v>0</v>
      </c>
      <c r="I198" s="14">
        <v>0</v>
      </c>
      <c r="J198" s="14">
        <v>0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09">
        <f t="shared" si="200"/>
        <v>0</v>
      </c>
      <c r="Z198" s="109" t="e">
        <f t="shared" si="201"/>
        <v>#REF!</v>
      </c>
      <c r="AA198" s="109" t="e">
        <f t="shared" si="202"/>
        <v>#REF!</v>
      </c>
      <c r="AB198" s="14">
        <v>0</v>
      </c>
      <c r="AC198" s="109" t="e">
        <f t="shared" si="203"/>
        <v>#REF!</v>
      </c>
      <c r="AD198" s="109">
        <f>'LPLPO PROGRAM'!H27</f>
        <v>0</v>
      </c>
      <c r="AE198" s="111" t="e">
        <f t="shared" si="204"/>
        <v>#REF!</v>
      </c>
      <c r="AF198" s="212"/>
      <c r="AG198" s="212"/>
      <c r="AH198" s="20"/>
      <c r="AI198" s="14">
        <f t="shared" si="208"/>
        <v>0</v>
      </c>
      <c r="AJ198" s="209" t="e">
        <f t="shared" si="209"/>
        <v>#REF!</v>
      </c>
      <c r="AL198" s="14">
        <f t="shared" si="160"/>
        <v>0</v>
      </c>
      <c r="AM198" s="14">
        <f>DISTRIBUSI!D196</f>
        <v>0</v>
      </c>
      <c r="AN198" s="14">
        <f>'PEMAKAIAN UNIT'!D195</f>
        <v>0</v>
      </c>
      <c r="AO198" s="14">
        <f t="shared" si="161"/>
        <v>0</v>
      </c>
      <c r="AP198" s="15">
        <f t="shared" si="162"/>
        <v>0</v>
      </c>
      <c r="AQ198" s="14">
        <f t="shared" si="163"/>
        <v>0</v>
      </c>
      <c r="AR198" s="14">
        <f>DISTRIBUSI!E196</f>
        <v>0</v>
      </c>
      <c r="AS198" s="14">
        <f>'PEMAKAIAN UNIT'!E195</f>
        <v>0</v>
      </c>
      <c r="AT198" s="14">
        <f t="shared" si="164"/>
        <v>0</v>
      </c>
      <c r="AU198" s="15">
        <f t="shared" si="165"/>
        <v>0</v>
      </c>
      <c r="AV198" s="14">
        <f t="shared" si="166"/>
        <v>0</v>
      </c>
      <c r="AW198" s="14">
        <f>DISTRIBUSI!F196</f>
        <v>0</v>
      </c>
      <c r="AX198" s="14">
        <f>'PEMAKAIAN UNIT'!F195</f>
        <v>0</v>
      </c>
      <c r="AY198" s="14">
        <f t="shared" si="167"/>
        <v>0</v>
      </c>
      <c r="AZ198" s="15">
        <f t="shared" si="168"/>
        <v>0</v>
      </c>
      <c r="BA198" s="14">
        <f t="shared" si="169"/>
        <v>0</v>
      </c>
      <c r="BB198" s="14">
        <f>DISTRIBUSI!G196</f>
        <v>0</v>
      </c>
      <c r="BC198" s="14">
        <f>'PEMAKAIAN UNIT'!G195</f>
        <v>0</v>
      </c>
      <c r="BD198" s="14">
        <f t="shared" si="170"/>
        <v>0</v>
      </c>
      <c r="BE198" s="15">
        <f t="shared" si="171"/>
        <v>0</v>
      </c>
      <c r="BF198" s="14">
        <f t="shared" si="172"/>
        <v>0</v>
      </c>
      <c r="BG198" s="14">
        <f>DISTRIBUSI!H196</f>
        <v>0</v>
      </c>
      <c r="BH198" s="14">
        <f>'PEMAKAIAN UNIT'!H195</f>
        <v>0</v>
      </c>
      <c r="BI198" s="14">
        <f t="shared" si="173"/>
        <v>0</v>
      </c>
      <c r="BJ198" s="15">
        <f t="shared" si="174"/>
        <v>0</v>
      </c>
      <c r="BK198" s="14">
        <f t="shared" si="175"/>
        <v>0</v>
      </c>
      <c r="BL198" s="14">
        <f>DISTRIBUSI!I196</f>
        <v>0</v>
      </c>
      <c r="BM198" s="14">
        <f>'PEMAKAIAN UNIT'!I195</f>
        <v>0</v>
      </c>
      <c r="BN198" s="14">
        <f t="shared" si="176"/>
        <v>0</v>
      </c>
      <c r="BO198" s="15">
        <f t="shared" si="177"/>
        <v>0</v>
      </c>
      <c r="BP198" s="14">
        <f t="shared" si="178"/>
        <v>0</v>
      </c>
      <c r="BQ198" s="14">
        <f>DISTRIBUSI!J196</f>
        <v>0</v>
      </c>
      <c r="BR198" s="14">
        <f>'PEMAKAIAN UNIT'!J195</f>
        <v>0</v>
      </c>
      <c r="BS198" s="14">
        <f t="shared" si="179"/>
        <v>0</v>
      </c>
      <c r="BT198" s="15">
        <f t="shared" si="180"/>
        <v>0</v>
      </c>
      <c r="BU198" s="14">
        <f t="shared" si="181"/>
        <v>0</v>
      </c>
      <c r="BV198" s="14">
        <f>DISTRIBUSI!K196</f>
        <v>0</v>
      </c>
      <c r="BW198" s="14">
        <f>'PEMAKAIAN UNIT'!K195</f>
        <v>0</v>
      </c>
      <c r="BX198" s="14">
        <f t="shared" si="182"/>
        <v>0</v>
      </c>
      <c r="BY198" s="15">
        <f t="shared" si="183"/>
        <v>0</v>
      </c>
      <c r="BZ198" s="14">
        <f t="shared" si="184"/>
        <v>0</v>
      </c>
      <c r="CA198" s="14">
        <f>DISTRIBUSI!L196</f>
        <v>0</v>
      </c>
      <c r="CB198" s="14">
        <f>'PEMAKAIAN UNIT'!L195</f>
        <v>0</v>
      </c>
      <c r="CC198" s="14">
        <f t="shared" si="185"/>
        <v>0</v>
      </c>
      <c r="CD198" s="15">
        <f t="shared" si="186"/>
        <v>0</v>
      </c>
      <c r="CE198" s="14">
        <f t="shared" si="187"/>
        <v>0</v>
      </c>
      <c r="CF198" s="14">
        <f>DISTRIBUSI!M196</f>
        <v>0</v>
      </c>
      <c r="CG198" s="14">
        <f>'PEMAKAIAN UNIT'!M195</f>
        <v>0</v>
      </c>
      <c r="CH198" s="14">
        <f t="shared" si="188"/>
        <v>0</v>
      </c>
      <c r="CI198" s="15">
        <f t="shared" si="189"/>
        <v>0</v>
      </c>
      <c r="CJ198" s="14">
        <f t="shared" si="190"/>
        <v>0</v>
      </c>
      <c r="CK198" s="14" t="e">
        <f>DISTRIBUSI!#REF!</f>
        <v>#REF!</v>
      </c>
      <c r="CL198" s="14">
        <f>'PEMAKAIAN UNIT'!N195</f>
        <v>0</v>
      </c>
      <c r="CM198" s="14" t="e">
        <f t="shared" si="191"/>
        <v>#REF!</v>
      </c>
      <c r="CN198" s="15" t="e">
        <f t="shared" si="192"/>
        <v>#REF!</v>
      </c>
      <c r="CO198" s="14" t="e">
        <f>DL198+DISTRIBUSI!#REF!-'PEMAKAIAN UNIT'!O195</f>
        <v>#REF!</v>
      </c>
      <c r="CP198" s="15" t="e">
        <f t="shared" si="193"/>
        <v>#REF!</v>
      </c>
      <c r="CQ198" s="226">
        <f t="shared" si="194"/>
        <v>0</v>
      </c>
      <c r="CR198" s="226">
        <f>DISTRIBUSI!R196</f>
        <v>0</v>
      </c>
      <c r="CS198" s="226">
        <f>'PEMAKAIAN UNIT'!P195</f>
        <v>0</v>
      </c>
      <c r="CT198" s="14">
        <f t="shared" si="195"/>
        <v>0</v>
      </c>
      <c r="CU198" s="15">
        <f t="shared" si="196"/>
        <v>0</v>
      </c>
      <c r="CV198" s="14" t="e">
        <f>DN198+DISTRIBUSI!#REF!-'PEMAKAIAN UNIT'!Q195</f>
        <v>#REF!</v>
      </c>
      <c r="CW198" s="15" t="e">
        <f t="shared" si="197"/>
        <v>#REF!</v>
      </c>
      <c r="CX198" s="14">
        <f>DO198+'LPLPO PROGRAM'!E27-'LPLPO PROGRAM'!G27</f>
        <v>0</v>
      </c>
      <c r="CY198" s="15">
        <f t="shared" si="198"/>
        <v>0</v>
      </c>
      <c r="CZ198" s="28"/>
      <c r="DA198" s="14">
        <v>0</v>
      </c>
      <c r="DB198" s="14">
        <v>0</v>
      </c>
      <c r="DC198" s="14">
        <v>0</v>
      </c>
      <c r="DD198" s="14">
        <v>0</v>
      </c>
      <c r="DE198" s="14">
        <v>0</v>
      </c>
      <c r="DF198" s="14">
        <v>0</v>
      </c>
      <c r="DG198" s="14">
        <v>0</v>
      </c>
      <c r="DH198" s="14">
        <v>0</v>
      </c>
      <c r="DI198" s="14">
        <v>0</v>
      </c>
      <c r="DJ198" s="14">
        <v>0</v>
      </c>
      <c r="DK198" s="14">
        <v>0</v>
      </c>
      <c r="DL198" s="14">
        <v>0</v>
      </c>
      <c r="DM198" s="14">
        <v>0</v>
      </c>
      <c r="DN198" s="14">
        <v>0</v>
      </c>
      <c r="DO198" s="14">
        <v>0</v>
      </c>
      <c r="DP198" s="13">
        <f t="shared" si="151"/>
        <v>0</v>
      </c>
      <c r="DU198" s="20" t="e">
        <f t="shared" si="148"/>
        <v>#REF!</v>
      </c>
    </row>
    <row r="199" spans="1:125" customFormat="1" ht="20.149999999999999" customHeight="1" x14ac:dyDescent="0.35">
      <c r="A199" s="205">
        <v>15</v>
      </c>
      <c r="B199" s="183" t="s">
        <v>353</v>
      </c>
      <c r="C199" s="144" t="s">
        <v>48</v>
      </c>
      <c r="D199" s="14">
        <v>0</v>
      </c>
      <c r="E199" s="254">
        <f>'LPLPO PROGRAM'!E28</f>
        <v>0</v>
      </c>
      <c r="F199" s="254">
        <f t="shared" si="199"/>
        <v>0</v>
      </c>
      <c r="G199" s="254">
        <f>'PEMAKAIAN UNIT'!R196</f>
        <v>0</v>
      </c>
      <c r="H199" s="14">
        <v>0</v>
      </c>
      <c r="I199" s="14">
        <v>0</v>
      </c>
      <c r="J199" s="14">
        <v>0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09">
        <f t="shared" si="200"/>
        <v>0</v>
      </c>
      <c r="Z199" s="109" t="e">
        <f t="shared" si="201"/>
        <v>#REF!</v>
      </c>
      <c r="AA199" s="109" t="e">
        <f t="shared" si="202"/>
        <v>#REF!</v>
      </c>
      <c r="AB199" s="14">
        <v>0</v>
      </c>
      <c r="AC199" s="109" t="e">
        <f t="shared" si="203"/>
        <v>#REF!</v>
      </c>
      <c r="AD199" s="109">
        <f>'LPLPO PROGRAM'!H28</f>
        <v>0</v>
      </c>
      <c r="AE199" s="111" t="e">
        <f t="shared" si="204"/>
        <v>#REF!</v>
      </c>
      <c r="AF199" s="212"/>
      <c r="AG199" s="212"/>
      <c r="AH199" s="20"/>
      <c r="AI199" s="14">
        <f t="shared" si="208"/>
        <v>0</v>
      </c>
      <c r="AJ199" s="209" t="e">
        <f t="shared" si="209"/>
        <v>#REF!</v>
      </c>
      <c r="AL199" s="14">
        <f t="shared" si="160"/>
        <v>0</v>
      </c>
      <c r="AM199" s="14">
        <f>DISTRIBUSI!D197</f>
        <v>0</v>
      </c>
      <c r="AN199" s="14">
        <f>'PEMAKAIAN UNIT'!D196</f>
        <v>0</v>
      </c>
      <c r="AO199" s="14">
        <f t="shared" si="161"/>
        <v>0</v>
      </c>
      <c r="AP199" s="15">
        <f t="shared" si="162"/>
        <v>0</v>
      </c>
      <c r="AQ199" s="14">
        <f t="shared" si="163"/>
        <v>0</v>
      </c>
      <c r="AR199" s="14">
        <f>DISTRIBUSI!E197</f>
        <v>0</v>
      </c>
      <c r="AS199" s="14">
        <f>'PEMAKAIAN UNIT'!E196</f>
        <v>0</v>
      </c>
      <c r="AT199" s="14">
        <f t="shared" si="164"/>
        <v>0</v>
      </c>
      <c r="AU199" s="15">
        <f t="shared" si="165"/>
        <v>0</v>
      </c>
      <c r="AV199" s="14">
        <f t="shared" si="166"/>
        <v>0</v>
      </c>
      <c r="AW199" s="14">
        <f>DISTRIBUSI!F197</f>
        <v>0</v>
      </c>
      <c r="AX199" s="14">
        <f>'PEMAKAIAN UNIT'!F196</f>
        <v>0</v>
      </c>
      <c r="AY199" s="14">
        <f t="shared" si="167"/>
        <v>0</v>
      </c>
      <c r="AZ199" s="15">
        <f t="shared" si="168"/>
        <v>0</v>
      </c>
      <c r="BA199" s="14">
        <f t="shared" si="169"/>
        <v>0</v>
      </c>
      <c r="BB199" s="14">
        <f>DISTRIBUSI!G197</f>
        <v>0</v>
      </c>
      <c r="BC199" s="14">
        <f>'PEMAKAIAN UNIT'!G196</f>
        <v>0</v>
      </c>
      <c r="BD199" s="14">
        <f t="shared" si="170"/>
        <v>0</v>
      </c>
      <c r="BE199" s="15">
        <f t="shared" si="171"/>
        <v>0</v>
      </c>
      <c r="BF199" s="14">
        <f t="shared" si="172"/>
        <v>0</v>
      </c>
      <c r="BG199" s="14">
        <f>DISTRIBUSI!H197</f>
        <v>0</v>
      </c>
      <c r="BH199" s="14">
        <f>'PEMAKAIAN UNIT'!H196</f>
        <v>0</v>
      </c>
      <c r="BI199" s="14">
        <f t="shared" si="173"/>
        <v>0</v>
      </c>
      <c r="BJ199" s="15">
        <f t="shared" si="174"/>
        <v>0</v>
      </c>
      <c r="BK199" s="14">
        <f t="shared" si="175"/>
        <v>0</v>
      </c>
      <c r="BL199" s="14">
        <f>DISTRIBUSI!I197</f>
        <v>0</v>
      </c>
      <c r="BM199" s="14">
        <f>'PEMAKAIAN UNIT'!I196</f>
        <v>0</v>
      </c>
      <c r="BN199" s="14">
        <f t="shared" si="176"/>
        <v>0</v>
      </c>
      <c r="BO199" s="15">
        <f t="shared" si="177"/>
        <v>0</v>
      </c>
      <c r="BP199" s="14">
        <f t="shared" si="178"/>
        <v>0</v>
      </c>
      <c r="BQ199" s="14">
        <f>DISTRIBUSI!J197</f>
        <v>0</v>
      </c>
      <c r="BR199" s="14">
        <f>'PEMAKAIAN UNIT'!J196</f>
        <v>0</v>
      </c>
      <c r="BS199" s="14">
        <f t="shared" si="179"/>
        <v>0</v>
      </c>
      <c r="BT199" s="15">
        <f t="shared" si="180"/>
        <v>0</v>
      </c>
      <c r="BU199" s="14">
        <f t="shared" si="181"/>
        <v>0</v>
      </c>
      <c r="BV199" s="14">
        <f>DISTRIBUSI!K197</f>
        <v>0</v>
      </c>
      <c r="BW199" s="14">
        <f>'PEMAKAIAN UNIT'!K196</f>
        <v>0</v>
      </c>
      <c r="BX199" s="14">
        <f t="shared" si="182"/>
        <v>0</v>
      </c>
      <c r="BY199" s="15">
        <f t="shared" si="183"/>
        <v>0</v>
      </c>
      <c r="BZ199" s="14">
        <f t="shared" si="184"/>
        <v>0</v>
      </c>
      <c r="CA199" s="14">
        <f>DISTRIBUSI!L197</f>
        <v>0</v>
      </c>
      <c r="CB199" s="14">
        <f>'PEMAKAIAN UNIT'!L196</f>
        <v>0</v>
      </c>
      <c r="CC199" s="14">
        <f t="shared" si="185"/>
        <v>0</v>
      </c>
      <c r="CD199" s="15">
        <f t="shared" si="186"/>
        <v>0</v>
      </c>
      <c r="CE199" s="14">
        <f t="shared" si="187"/>
        <v>0</v>
      </c>
      <c r="CF199" s="14">
        <f>DISTRIBUSI!M197</f>
        <v>0</v>
      </c>
      <c r="CG199" s="14">
        <f>'PEMAKAIAN UNIT'!M196</f>
        <v>0</v>
      </c>
      <c r="CH199" s="14">
        <f t="shared" si="188"/>
        <v>0</v>
      </c>
      <c r="CI199" s="15">
        <f t="shared" si="189"/>
        <v>0</v>
      </c>
      <c r="CJ199" s="14">
        <f t="shared" si="190"/>
        <v>0</v>
      </c>
      <c r="CK199" s="14" t="e">
        <f>DISTRIBUSI!#REF!</f>
        <v>#REF!</v>
      </c>
      <c r="CL199" s="14">
        <f>'PEMAKAIAN UNIT'!N196</f>
        <v>0</v>
      </c>
      <c r="CM199" s="14" t="e">
        <f t="shared" si="191"/>
        <v>#REF!</v>
      </c>
      <c r="CN199" s="15" t="e">
        <f t="shared" si="192"/>
        <v>#REF!</v>
      </c>
      <c r="CO199" s="14" t="e">
        <f>DL199+DISTRIBUSI!#REF!-'PEMAKAIAN UNIT'!O196</f>
        <v>#REF!</v>
      </c>
      <c r="CP199" s="15" t="e">
        <f t="shared" si="193"/>
        <v>#REF!</v>
      </c>
      <c r="CQ199" s="226">
        <f t="shared" si="194"/>
        <v>0</v>
      </c>
      <c r="CR199" s="226">
        <f>DISTRIBUSI!R197</f>
        <v>0</v>
      </c>
      <c r="CS199" s="226">
        <f>'PEMAKAIAN UNIT'!P196</f>
        <v>0</v>
      </c>
      <c r="CT199" s="14">
        <f t="shared" si="195"/>
        <v>0</v>
      </c>
      <c r="CU199" s="15">
        <f t="shared" si="196"/>
        <v>0</v>
      </c>
      <c r="CV199" s="14" t="e">
        <f>DN199+DISTRIBUSI!#REF!-'PEMAKAIAN UNIT'!Q196</f>
        <v>#REF!</v>
      </c>
      <c r="CW199" s="15" t="e">
        <f t="shared" si="197"/>
        <v>#REF!</v>
      </c>
      <c r="CX199" s="14">
        <f>DO199+'LPLPO PROGRAM'!E28-'LPLPO PROGRAM'!G28</f>
        <v>0</v>
      </c>
      <c r="CY199" s="15">
        <f t="shared" si="198"/>
        <v>0</v>
      </c>
      <c r="CZ199" s="28"/>
      <c r="DA199" s="14">
        <v>0</v>
      </c>
      <c r="DB199" s="14">
        <v>0</v>
      </c>
      <c r="DC199" s="14">
        <v>0</v>
      </c>
      <c r="DD199" s="14">
        <v>0</v>
      </c>
      <c r="DE199" s="14">
        <v>0</v>
      </c>
      <c r="DF199" s="14">
        <v>0</v>
      </c>
      <c r="DG199" s="14">
        <v>0</v>
      </c>
      <c r="DH199" s="14">
        <v>0</v>
      </c>
      <c r="DI199" s="14">
        <v>0</v>
      </c>
      <c r="DJ199" s="14">
        <v>0</v>
      </c>
      <c r="DK199" s="14">
        <v>0</v>
      </c>
      <c r="DL199" s="14">
        <v>0</v>
      </c>
      <c r="DM199" s="14">
        <v>0</v>
      </c>
      <c r="DN199" s="14">
        <v>0</v>
      </c>
      <c r="DO199" s="14">
        <v>0</v>
      </c>
      <c r="DP199" s="13">
        <f t="shared" si="151"/>
        <v>0</v>
      </c>
      <c r="DU199" s="20" t="e">
        <f t="shared" si="148"/>
        <v>#REF!</v>
      </c>
    </row>
    <row r="200" spans="1:125" customFormat="1" ht="20.149999999999999" customHeight="1" x14ac:dyDescent="0.35">
      <c r="A200" s="205">
        <v>16</v>
      </c>
      <c r="B200" s="178" t="s">
        <v>183</v>
      </c>
      <c r="C200" s="144" t="s">
        <v>4</v>
      </c>
      <c r="D200" s="14">
        <v>0</v>
      </c>
      <c r="E200" s="254">
        <f>'LPLPO PROGRAM'!E29</f>
        <v>0</v>
      </c>
      <c r="F200" s="254">
        <f t="shared" si="199"/>
        <v>0</v>
      </c>
      <c r="G200" s="254">
        <f>'PEMAKAIAN UNIT'!R197</f>
        <v>0</v>
      </c>
      <c r="H200" s="14">
        <v>0</v>
      </c>
      <c r="I200" s="14">
        <v>0</v>
      </c>
      <c r="J200" s="14">
        <v>0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09">
        <f t="shared" si="200"/>
        <v>0</v>
      </c>
      <c r="Z200" s="109" t="e">
        <f t="shared" si="201"/>
        <v>#REF!</v>
      </c>
      <c r="AA200" s="109" t="e">
        <f t="shared" si="202"/>
        <v>#REF!</v>
      </c>
      <c r="AB200" s="14">
        <v>0</v>
      </c>
      <c r="AC200" s="109" t="e">
        <f t="shared" si="203"/>
        <v>#REF!</v>
      </c>
      <c r="AD200" s="109">
        <f>'LPLPO PROGRAM'!H29</f>
        <v>0</v>
      </c>
      <c r="AE200" s="111" t="e">
        <f t="shared" si="204"/>
        <v>#REF!</v>
      </c>
      <c r="AF200" s="212"/>
      <c r="AG200" s="212"/>
      <c r="AH200" s="20"/>
      <c r="AI200" s="14">
        <f t="shared" si="208"/>
        <v>0</v>
      </c>
      <c r="AJ200" s="209" t="e">
        <f t="shared" si="209"/>
        <v>#REF!</v>
      </c>
      <c r="AL200" s="14">
        <f t="shared" si="160"/>
        <v>0</v>
      </c>
      <c r="AM200" s="14">
        <f>DISTRIBUSI!D198</f>
        <v>0</v>
      </c>
      <c r="AN200" s="14">
        <f>'PEMAKAIAN UNIT'!D197</f>
        <v>0</v>
      </c>
      <c r="AO200" s="14">
        <f t="shared" si="161"/>
        <v>0</v>
      </c>
      <c r="AP200" s="15">
        <f t="shared" si="162"/>
        <v>0</v>
      </c>
      <c r="AQ200" s="14">
        <f t="shared" si="163"/>
        <v>0</v>
      </c>
      <c r="AR200" s="14">
        <f>DISTRIBUSI!E198</f>
        <v>0</v>
      </c>
      <c r="AS200" s="14">
        <f>'PEMAKAIAN UNIT'!E197</f>
        <v>0</v>
      </c>
      <c r="AT200" s="14">
        <f t="shared" si="164"/>
        <v>0</v>
      </c>
      <c r="AU200" s="15">
        <f t="shared" si="165"/>
        <v>0</v>
      </c>
      <c r="AV200" s="14">
        <f t="shared" si="166"/>
        <v>0</v>
      </c>
      <c r="AW200" s="14">
        <f>DISTRIBUSI!F198</f>
        <v>0</v>
      </c>
      <c r="AX200" s="14">
        <f>'PEMAKAIAN UNIT'!F197</f>
        <v>0</v>
      </c>
      <c r="AY200" s="14">
        <f t="shared" si="167"/>
        <v>0</v>
      </c>
      <c r="AZ200" s="15">
        <f t="shared" si="168"/>
        <v>0</v>
      </c>
      <c r="BA200" s="14">
        <f t="shared" si="169"/>
        <v>0</v>
      </c>
      <c r="BB200" s="14">
        <f>DISTRIBUSI!G198</f>
        <v>0</v>
      </c>
      <c r="BC200" s="14">
        <f>'PEMAKAIAN UNIT'!G197</f>
        <v>0</v>
      </c>
      <c r="BD200" s="14">
        <f t="shared" si="170"/>
        <v>0</v>
      </c>
      <c r="BE200" s="15">
        <f t="shared" si="171"/>
        <v>0</v>
      </c>
      <c r="BF200" s="14">
        <f t="shared" si="172"/>
        <v>0</v>
      </c>
      <c r="BG200" s="14">
        <f>DISTRIBUSI!H198</f>
        <v>0</v>
      </c>
      <c r="BH200" s="14">
        <f>'PEMAKAIAN UNIT'!H197</f>
        <v>0</v>
      </c>
      <c r="BI200" s="14">
        <f t="shared" si="173"/>
        <v>0</v>
      </c>
      <c r="BJ200" s="15">
        <f t="shared" si="174"/>
        <v>0</v>
      </c>
      <c r="BK200" s="14">
        <f t="shared" si="175"/>
        <v>0</v>
      </c>
      <c r="BL200" s="14">
        <f>DISTRIBUSI!I198</f>
        <v>0</v>
      </c>
      <c r="BM200" s="14">
        <f>'PEMAKAIAN UNIT'!I197</f>
        <v>0</v>
      </c>
      <c r="BN200" s="14">
        <f t="shared" si="176"/>
        <v>0</v>
      </c>
      <c r="BO200" s="15">
        <f t="shared" si="177"/>
        <v>0</v>
      </c>
      <c r="BP200" s="14">
        <f t="shared" si="178"/>
        <v>0</v>
      </c>
      <c r="BQ200" s="14">
        <f>DISTRIBUSI!J198</f>
        <v>0</v>
      </c>
      <c r="BR200" s="14">
        <f>'PEMAKAIAN UNIT'!J197</f>
        <v>0</v>
      </c>
      <c r="BS200" s="14">
        <f t="shared" si="179"/>
        <v>0</v>
      </c>
      <c r="BT200" s="15">
        <f t="shared" si="180"/>
        <v>0</v>
      </c>
      <c r="BU200" s="14">
        <f t="shared" si="181"/>
        <v>0</v>
      </c>
      <c r="BV200" s="14">
        <f>DISTRIBUSI!K198</f>
        <v>0</v>
      </c>
      <c r="BW200" s="14">
        <f>'PEMAKAIAN UNIT'!K197</f>
        <v>0</v>
      </c>
      <c r="BX200" s="14">
        <f t="shared" si="182"/>
        <v>0</v>
      </c>
      <c r="BY200" s="15">
        <f t="shared" si="183"/>
        <v>0</v>
      </c>
      <c r="BZ200" s="14">
        <f t="shared" si="184"/>
        <v>0</v>
      </c>
      <c r="CA200" s="14">
        <f>DISTRIBUSI!L198</f>
        <v>0</v>
      </c>
      <c r="CB200" s="14">
        <f>'PEMAKAIAN UNIT'!L197</f>
        <v>0</v>
      </c>
      <c r="CC200" s="14">
        <f t="shared" si="185"/>
        <v>0</v>
      </c>
      <c r="CD200" s="15">
        <f t="shared" si="186"/>
        <v>0</v>
      </c>
      <c r="CE200" s="14">
        <f t="shared" si="187"/>
        <v>0</v>
      </c>
      <c r="CF200" s="14">
        <f>DISTRIBUSI!M198</f>
        <v>0</v>
      </c>
      <c r="CG200" s="14">
        <f>'PEMAKAIAN UNIT'!M197</f>
        <v>0</v>
      </c>
      <c r="CH200" s="14">
        <f t="shared" si="188"/>
        <v>0</v>
      </c>
      <c r="CI200" s="15">
        <f t="shared" si="189"/>
        <v>0</v>
      </c>
      <c r="CJ200" s="14">
        <f t="shared" si="190"/>
        <v>0</v>
      </c>
      <c r="CK200" s="14" t="e">
        <f>DISTRIBUSI!#REF!</f>
        <v>#REF!</v>
      </c>
      <c r="CL200" s="14">
        <f>'PEMAKAIAN UNIT'!N197</f>
        <v>0</v>
      </c>
      <c r="CM200" s="14" t="e">
        <f t="shared" si="191"/>
        <v>#REF!</v>
      </c>
      <c r="CN200" s="15" t="e">
        <f t="shared" si="192"/>
        <v>#REF!</v>
      </c>
      <c r="CO200" s="14" t="e">
        <f>DL200+DISTRIBUSI!#REF!-'PEMAKAIAN UNIT'!O197</f>
        <v>#REF!</v>
      </c>
      <c r="CP200" s="15" t="e">
        <f t="shared" si="193"/>
        <v>#REF!</v>
      </c>
      <c r="CQ200" s="226">
        <f t="shared" si="194"/>
        <v>0</v>
      </c>
      <c r="CR200" s="226">
        <f>DISTRIBUSI!R198</f>
        <v>0</v>
      </c>
      <c r="CS200" s="226">
        <f>'PEMAKAIAN UNIT'!P197</f>
        <v>0</v>
      </c>
      <c r="CT200" s="14">
        <f t="shared" si="195"/>
        <v>0</v>
      </c>
      <c r="CU200" s="15">
        <f t="shared" si="196"/>
        <v>0</v>
      </c>
      <c r="CV200" s="14" t="e">
        <f>DN200+DISTRIBUSI!#REF!-'PEMAKAIAN UNIT'!Q197</f>
        <v>#REF!</v>
      </c>
      <c r="CW200" s="15" t="e">
        <f t="shared" si="197"/>
        <v>#REF!</v>
      </c>
      <c r="CX200" s="14">
        <f>DO200+'LPLPO PROGRAM'!E29-'LPLPO PROGRAM'!G29</f>
        <v>0</v>
      </c>
      <c r="CY200" s="15">
        <f t="shared" si="198"/>
        <v>0</v>
      </c>
      <c r="CZ200" s="28"/>
      <c r="DA200" s="14">
        <v>0</v>
      </c>
      <c r="DB200" s="14">
        <v>0</v>
      </c>
      <c r="DC200" s="14">
        <v>0</v>
      </c>
      <c r="DD200" s="14">
        <v>0</v>
      </c>
      <c r="DE200" s="14">
        <v>0</v>
      </c>
      <c r="DF200" s="14">
        <v>0</v>
      </c>
      <c r="DG200" s="14">
        <v>0</v>
      </c>
      <c r="DH200" s="14">
        <v>0</v>
      </c>
      <c r="DI200" s="14">
        <v>0</v>
      </c>
      <c r="DJ200" s="14">
        <v>0</v>
      </c>
      <c r="DK200" s="14">
        <v>0</v>
      </c>
      <c r="DL200" s="14">
        <v>0</v>
      </c>
      <c r="DM200" s="14">
        <v>0</v>
      </c>
      <c r="DN200" s="14">
        <v>0</v>
      </c>
      <c r="DO200" s="14">
        <v>0</v>
      </c>
      <c r="DP200" s="13">
        <f t="shared" si="151"/>
        <v>0</v>
      </c>
      <c r="DU200" s="20" t="e">
        <f t="shared" si="148"/>
        <v>#REF!</v>
      </c>
    </row>
    <row r="201" spans="1:125" customFormat="1" ht="20.149999999999999" customHeight="1" x14ac:dyDescent="0.35">
      <c r="A201" s="205">
        <v>17</v>
      </c>
      <c r="B201" s="178" t="s">
        <v>180</v>
      </c>
      <c r="C201" s="144" t="s">
        <v>4</v>
      </c>
      <c r="D201" s="14">
        <v>0</v>
      </c>
      <c r="E201" s="254">
        <f>'LPLPO PROGRAM'!E30</f>
        <v>0</v>
      </c>
      <c r="F201" s="254">
        <f t="shared" si="199"/>
        <v>0</v>
      </c>
      <c r="G201" s="254">
        <f>'PEMAKAIAN UNIT'!R198</f>
        <v>0</v>
      </c>
      <c r="H201" s="14">
        <v>0</v>
      </c>
      <c r="I201" s="14">
        <v>0</v>
      </c>
      <c r="J201" s="14">
        <v>0</v>
      </c>
      <c r="K201" s="14"/>
      <c r="L201" s="14"/>
      <c r="M201" s="14"/>
      <c r="N201" s="14"/>
      <c r="O201" s="14"/>
      <c r="P201" s="14"/>
      <c r="Q201" s="14"/>
      <c r="R201" s="14"/>
      <c r="S201" s="14">
        <v>6</v>
      </c>
      <c r="T201" s="14">
        <v>0</v>
      </c>
      <c r="U201" s="14">
        <v>0</v>
      </c>
      <c r="V201" s="14">
        <v>0</v>
      </c>
      <c r="W201" s="14">
        <v>1</v>
      </c>
      <c r="X201" s="14">
        <v>0</v>
      </c>
      <c r="Y201" s="109">
        <f t="shared" si="200"/>
        <v>0</v>
      </c>
      <c r="Z201" s="109" t="e">
        <f t="shared" si="201"/>
        <v>#REF!</v>
      </c>
      <c r="AA201" s="109" t="e">
        <f t="shared" si="202"/>
        <v>#REF!</v>
      </c>
      <c r="AB201" s="14">
        <v>41</v>
      </c>
      <c r="AC201" s="109" t="e">
        <f t="shared" si="203"/>
        <v>#REF!</v>
      </c>
      <c r="AD201" s="109">
        <f>'LPLPO PROGRAM'!H30</f>
        <v>0</v>
      </c>
      <c r="AE201" s="111" t="e">
        <f t="shared" si="204"/>
        <v>#REF!</v>
      </c>
      <c r="AF201" s="212"/>
      <c r="AG201" s="212"/>
      <c r="AH201" s="20"/>
      <c r="AI201" s="14">
        <f t="shared" si="208"/>
        <v>0</v>
      </c>
      <c r="AJ201" s="209" t="e">
        <f t="shared" si="209"/>
        <v>#REF!</v>
      </c>
      <c r="AL201" s="14">
        <f t="shared" si="160"/>
        <v>3</v>
      </c>
      <c r="AM201" s="14">
        <f>DISTRIBUSI!D199</f>
        <v>0</v>
      </c>
      <c r="AN201" s="14">
        <f>'PEMAKAIAN UNIT'!D198</f>
        <v>0</v>
      </c>
      <c r="AO201" s="14">
        <f t="shared" si="161"/>
        <v>3</v>
      </c>
      <c r="AP201" s="15">
        <f t="shared" si="162"/>
        <v>3</v>
      </c>
      <c r="AQ201" s="14">
        <f t="shared" si="163"/>
        <v>0</v>
      </c>
      <c r="AR201" s="14">
        <f>DISTRIBUSI!E199</f>
        <v>0</v>
      </c>
      <c r="AS201" s="14">
        <f>'PEMAKAIAN UNIT'!E198</f>
        <v>0</v>
      </c>
      <c r="AT201" s="14">
        <f t="shared" si="164"/>
        <v>0</v>
      </c>
      <c r="AU201" s="15">
        <f t="shared" si="165"/>
        <v>0</v>
      </c>
      <c r="AV201" s="14">
        <f t="shared" si="166"/>
        <v>3</v>
      </c>
      <c r="AW201" s="14">
        <f>DISTRIBUSI!F199</f>
        <v>0</v>
      </c>
      <c r="AX201" s="14">
        <f>'PEMAKAIAN UNIT'!F198</f>
        <v>0</v>
      </c>
      <c r="AY201" s="14">
        <f t="shared" si="167"/>
        <v>3</v>
      </c>
      <c r="AZ201" s="15">
        <f t="shared" si="168"/>
        <v>3</v>
      </c>
      <c r="BA201" s="14">
        <f t="shared" si="169"/>
        <v>6</v>
      </c>
      <c r="BB201" s="14">
        <f>DISTRIBUSI!G199</f>
        <v>0</v>
      </c>
      <c r="BC201" s="14">
        <f>'PEMAKAIAN UNIT'!G198</f>
        <v>0</v>
      </c>
      <c r="BD201" s="14">
        <f t="shared" si="170"/>
        <v>6</v>
      </c>
      <c r="BE201" s="15">
        <f t="shared" si="171"/>
        <v>0</v>
      </c>
      <c r="BF201" s="14">
        <f t="shared" si="172"/>
        <v>0</v>
      </c>
      <c r="BG201" s="14">
        <f>DISTRIBUSI!H199</f>
        <v>0</v>
      </c>
      <c r="BH201" s="14">
        <f>'PEMAKAIAN UNIT'!H198</f>
        <v>0</v>
      </c>
      <c r="BI201" s="14">
        <f t="shared" si="173"/>
        <v>0</v>
      </c>
      <c r="BJ201" s="15">
        <f t="shared" si="174"/>
        <v>0</v>
      </c>
      <c r="BK201" s="14">
        <f t="shared" si="175"/>
        <v>0</v>
      </c>
      <c r="BL201" s="14">
        <f>DISTRIBUSI!I199</f>
        <v>0</v>
      </c>
      <c r="BM201" s="14">
        <f>'PEMAKAIAN UNIT'!I198</f>
        <v>0</v>
      </c>
      <c r="BN201" s="14">
        <f t="shared" si="176"/>
        <v>0</v>
      </c>
      <c r="BO201" s="15">
        <f t="shared" si="177"/>
        <v>0</v>
      </c>
      <c r="BP201" s="14">
        <f t="shared" si="178"/>
        <v>0</v>
      </c>
      <c r="BQ201" s="14">
        <f>DISTRIBUSI!J199</f>
        <v>0</v>
      </c>
      <c r="BR201" s="14">
        <f>'PEMAKAIAN UNIT'!J198</f>
        <v>0</v>
      </c>
      <c r="BS201" s="14">
        <f t="shared" si="179"/>
        <v>0</v>
      </c>
      <c r="BT201" s="15">
        <f t="shared" si="180"/>
        <v>0</v>
      </c>
      <c r="BU201" s="14">
        <f t="shared" si="181"/>
        <v>1</v>
      </c>
      <c r="BV201" s="14">
        <f>DISTRIBUSI!K199</f>
        <v>0</v>
      </c>
      <c r="BW201" s="14">
        <f>'PEMAKAIAN UNIT'!K198</f>
        <v>0</v>
      </c>
      <c r="BX201" s="14">
        <f t="shared" si="182"/>
        <v>1</v>
      </c>
      <c r="BY201" s="15">
        <f t="shared" si="183"/>
        <v>0</v>
      </c>
      <c r="BZ201" s="14">
        <f t="shared" si="184"/>
        <v>0</v>
      </c>
      <c r="CA201" s="14">
        <f>DISTRIBUSI!L199</f>
        <v>0</v>
      </c>
      <c r="CB201" s="14">
        <f>'PEMAKAIAN UNIT'!L198</f>
        <v>0</v>
      </c>
      <c r="CC201" s="14">
        <f t="shared" si="185"/>
        <v>0</v>
      </c>
      <c r="CD201" s="15">
        <f t="shared" si="186"/>
        <v>0</v>
      </c>
      <c r="CE201" s="14">
        <f t="shared" si="187"/>
        <v>0</v>
      </c>
      <c r="CF201" s="14">
        <f>DISTRIBUSI!M199</f>
        <v>0</v>
      </c>
      <c r="CG201" s="14">
        <f>'PEMAKAIAN UNIT'!M198</f>
        <v>0</v>
      </c>
      <c r="CH201" s="14">
        <f t="shared" si="188"/>
        <v>0</v>
      </c>
      <c r="CI201" s="15">
        <f t="shared" si="189"/>
        <v>0</v>
      </c>
      <c r="CJ201" s="14">
        <f t="shared" si="190"/>
        <v>0</v>
      </c>
      <c r="CK201" s="14" t="e">
        <f>DISTRIBUSI!#REF!</f>
        <v>#REF!</v>
      </c>
      <c r="CL201" s="14">
        <f>'PEMAKAIAN UNIT'!N198</f>
        <v>0</v>
      </c>
      <c r="CM201" s="14" t="e">
        <f t="shared" si="191"/>
        <v>#REF!</v>
      </c>
      <c r="CN201" s="15" t="e">
        <f t="shared" si="192"/>
        <v>#REF!</v>
      </c>
      <c r="CO201" s="14" t="e">
        <f>DL201+DISTRIBUSI!#REF!-'PEMAKAIAN UNIT'!O198</f>
        <v>#REF!</v>
      </c>
      <c r="CP201" s="15" t="e">
        <f t="shared" si="193"/>
        <v>#REF!</v>
      </c>
      <c r="CQ201" s="226">
        <f t="shared" si="194"/>
        <v>47</v>
      </c>
      <c r="CR201" s="226">
        <f>DISTRIBUSI!R199</f>
        <v>0</v>
      </c>
      <c r="CS201" s="226">
        <f>'PEMAKAIAN UNIT'!P198</f>
        <v>0</v>
      </c>
      <c r="CT201" s="14">
        <f t="shared" si="195"/>
        <v>47</v>
      </c>
      <c r="CU201" s="15">
        <f t="shared" si="196"/>
        <v>6</v>
      </c>
      <c r="CV201" s="14" t="e">
        <f>DN201+DISTRIBUSI!#REF!-'PEMAKAIAN UNIT'!Q198</f>
        <v>#REF!</v>
      </c>
      <c r="CW201" s="15" t="e">
        <f t="shared" si="197"/>
        <v>#REF!</v>
      </c>
      <c r="CX201" s="14">
        <f>DO201+'LPLPO PROGRAM'!E30-'LPLPO PROGRAM'!G30</f>
        <v>-40</v>
      </c>
      <c r="CY201" s="15">
        <f t="shared" si="198"/>
        <v>-40</v>
      </c>
      <c r="CZ201" s="28"/>
      <c r="DA201" s="14">
        <v>3</v>
      </c>
      <c r="DB201" s="14">
        <v>0</v>
      </c>
      <c r="DC201" s="14">
        <v>3</v>
      </c>
      <c r="DD201" s="14">
        <v>6</v>
      </c>
      <c r="DE201" s="14">
        <v>0</v>
      </c>
      <c r="DF201" s="14">
        <v>0</v>
      </c>
      <c r="DG201" s="14">
        <v>0</v>
      </c>
      <c r="DH201" s="14">
        <v>1</v>
      </c>
      <c r="DI201" s="14">
        <v>0</v>
      </c>
      <c r="DJ201" s="14">
        <v>0</v>
      </c>
      <c r="DK201" s="14">
        <v>0</v>
      </c>
      <c r="DL201" s="14">
        <v>0</v>
      </c>
      <c r="DM201" s="14">
        <v>47</v>
      </c>
      <c r="DN201" s="14">
        <v>0</v>
      </c>
      <c r="DO201" s="14">
        <v>0</v>
      </c>
      <c r="DP201" s="13">
        <f t="shared" si="151"/>
        <v>60</v>
      </c>
      <c r="DU201" s="20" t="e">
        <f t="shared" si="148"/>
        <v>#REF!</v>
      </c>
    </row>
    <row r="202" spans="1:125" customFormat="1" ht="20.149999999999999" customHeight="1" x14ac:dyDescent="0.35">
      <c r="A202" s="205">
        <v>18</v>
      </c>
      <c r="B202" s="178" t="s">
        <v>185</v>
      </c>
      <c r="C202" s="144" t="s">
        <v>4</v>
      </c>
      <c r="D202" s="14">
        <v>0</v>
      </c>
      <c r="E202" s="254">
        <f>'LPLPO PROGRAM'!E31</f>
        <v>0</v>
      </c>
      <c r="F202" s="254">
        <f t="shared" si="199"/>
        <v>0</v>
      </c>
      <c r="G202" s="254">
        <f>'PEMAKAIAN UNIT'!R199</f>
        <v>0</v>
      </c>
      <c r="H202" s="14">
        <v>0</v>
      </c>
      <c r="I202" s="14">
        <v>0</v>
      </c>
      <c r="J202" s="14">
        <v>0</v>
      </c>
      <c r="K202" s="14"/>
      <c r="L202" s="14"/>
      <c r="M202" s="14"/>
      <c r="N202" s="14"/>
      <c r="O202" s="14"/>
      <c r="P202" s="14"/>
      <c r="Q202" s="14"/>
      <c r="R202" s="14"/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09">
        <f t="shared" si="200"/>
        <v>0</v>
      </c>
      <c r="Z202" s="109" t="e">
        <f t="shared" si="201"/>
        <v>#REF!</v>
      </c>
      <c r="AA202" s="109" t="e">
        <f t="shared" si="202"/>
        <v>#REF!</v>
      </c>
      <c r="AB202" s="14">
        <v>0</v>
      </c>
      <c r="AC202" s="109" t="e">
        <f t="shared" si="203"/>
        <v>#REF!</v>
      </c>
      <c r="AD202" s="109">
        <f>'LPLPO PROGRAM'!H31</f>
        <v>0</v>
      </c>
      <c r="AE202" s="111" t="e">
        <f t="shared" si="204"/>
        <v>#REF!</v>
      </c>
      <c r="AF202" s="212"/>
      <c r="AG202" s="212"/>
      <c r="AH202" s="20"/>
      <c r="AI202" s="14">
        <f t="shared" si="208"/>
        <v>0</v>
      </c>
      <c r="AJ202" s="209" t="e">
        <f t="shared" si="209"/>
        <v>#REF!</v>
      </c>
      <c r="AL202" s="14">
        <f t="shared" si="160"/>
        <v>0</v>
      </c>
      <c r="AM202" s="14">
        <f>DISTRIBUSI!D200</f>
        <v>0</v>
      </c>
      <c r="AN202" s="14">
        <f>'PEMAKAIAN UNIT'!D199</f>
        <v>0</v>
      </c>
      <c r="AO202" s="14">
        <f t="shared" si="161"/>
        <v>0</v>
      </c>
      <c r="AP202" s="15">
        <f t="shared" si="162"/>
        <v>0</v>
      </c>
      <c r="AQ202" s="14">
        <f t="shared" si="163"/>
        <v>0</v>
      </c>
      <c r="AR202" s="14">
        <f>DISTRIBUSI!E200</f>
        <v>0</v>
      </c>
      <c r="AS202" s="14">
        <f>'PEMAKAIAN UNIT'!E199</f>
        <v>0</v>
      </c>
      <c r="AT202" s="14">
        <f t="shared" si="164"/>
        <v>0</v>
      </c>
      <c r="AU202" s="15">
        <f t="shared" si="165"/>
        <v>0</v>
      </c>
      <c r="AV202" s="14">
        <f t="shared" si="166"/>
        <v>0</v>
      </c>
      <c r="AW202" s="14">
        <f>DISTRIBUSI!F200</f>
        <v>0</v>
      </c>
      <c r="AX202" s="14">
        <f>'PEMAKAIAN UNIT'!F199</f>
        <v>0</v>
      </c>
      <c r="AY202" s="14">
        <f t="shared" si="167"/>
        <v>0</v>
      </c>
      <c r="AZ202" s="15">
        <f t="shared" si="168"/>
        <v>0</v>
      </c>
      <c r="BA202" s="14">
        <f t="shared" si="169"/>
        <v>0</v>
      </c>
      <c r="BB202" s="14">
        <f>DISTRIBUSI!G200</f>
        <v>0</v>
      </c>
      <c r="BC202" s="14">
        <f>'PEMAKAIAN UNIT'!G199</f>
        <v>0</v>
      </c>
      <c r="BD202" s="14">
        <f t="shared" si="170"/>
        <v>0</v>
      </c>
      <c r="BE202" s="15">
        <f t="shared" si="171"/>
        <v>0</v>
      </c>
      <c r="BF202" s="14">
        <f t="shared" si="172"/>
        <v>0</v>
      </c>
      <c r="BG202" s="14">
        <f>DISTRIBUSI!H200</f>
        <v>0</v>
      </c>
      <c r="BH202" s="14">
        <f>'PEMAKAIAN UNIT'!H199</f>
        <v>0</v>
      </c>
      <c r="BI202" s="14">
        <f t="shared" si="173"/>
        <v>0</v>
      </c>
      <c r="BJ202" s="15">
        <f t="shared" si="174"/>
        <v>0</v>
      </c>
      <c r="BK202" s="14">
        <f t="shared" si="175"/>
        <v>0</v>
      </c>
      <c r="BL202" s="14">
        <f>DISTRIBUSI!I200</f>
        <v>0</v>
      </c>
      <c r="BM202" s="14">
        <f>'PEMAKAIAN UNIT'!I199</f>
        <v>0</v>
      </c>
      <c r="BN202" s="14">
        <f t="shared" si="176"/>
        <v>0</v>
      </c>
      <c r="BO202" s="15">
        <f t="shared" si="177"/>
        <v>0</v>
      </c>
      <c r="BP202" s="14">
        <f t="shared" si="178"/>
        <v>0</v>
      </c>
      <c r="BQ202" s="14">
        <f>DISTRIBUSI!J200</f>
        <v>0</v>
      </c>
      <c r="BR202" s="14">
        <f>'PEMAKAIAN UNIT'!J199</f>
        <v>0</v>
      </c>
      <c r="BS202" s="14">
        <f t="shared" si="179"/>
        <v>0</v>
      </c>
      <c r="BT202" s="15">
        <f t="shared" si="180"/>
        <v>0</v>
      </c>
      <c r="BU202" s="14">
        <f t="shared" si="181"/>
        <v>0</v>
      </c>
      <c r="BV202" s="14">
        <f>DISTRIBUSI!K200</f>
        <v>0</v>
      </c>
      <c r="BW202" s="14">
        <f>'PEMAKAIAN UNIT'!K199</f>
        <v>0</v>
      </c>
      <c r="BX202" s="14">
        <f t="shared" si="182"/>
        <v>0</v>
      </c>
      <c r="BY202" s="15">
        <f t="shared" si="183"/>
        <v>0</v>
      </c>
      <c r="BZ202" s="14">
        <f t="shared" si="184"/>
        <v>0</v>
      </c>
      <c r="CA202" s="14">
        <f>DISTRIBUSI!L200</f>
        <v>0</v>
      </c>
      <c r="CB202" s="14">
        <f>'PEMAKAIAN UNIT'!L199</f>
        <v>0</v>
      </c>
      <c r="CC202" s="14">
        <f t="shared" si="185"/>
        <v>0</v>
      </c>
      <c r="CD202" s="15">
        <f t="shared" si="186"/>
        <v>0</v>
      </c>
      <c r="CE202" s="14">
        <f t="shared" si="187"/>
        <v>0</v>
      </c>
      <c r="CF202" s="14">
        <f>DISTRIBUSI!M200</f>
        <v>0</v>
      </c>
      <c r="CG202" s="14">
        <f>'PEMAKAIAN UNIT'!M199</f>
        <v>0</v>
      </c>
      <c r="CH202" s="14">
        <f t="shared" si="188"/>
        <v>0</v>
      </c>
      <c r="CI202" s="15">
        <f t="shared" si="189"/>
        <v>0</v>
      </c>
      <c r="CJ202" s="14">
        <f t="shared" si="190"/>
        <v>0</v>
      </c>
      <c r="CK202" s="14" t="e">
        <f>DISTRIBUSI!#REF!</f>
        <v>#REF!</v>
      </c>
      <c r="CL202" s="14">
        <f>'PEMAKAIAN UNIT'!N199</f>
        <v>0</v>
      </c>
      <c r="CM202" s="14" t="e">
        <f t="shared" si="191"/>
        <v>#REF!</v>
      </c>
      <c r="CN202" s="15" t="e">
        <f t="shared" si="192"/>
        <v>#REF!</v>
      </c>
      <c r="CO202" s="14" t="e">
        <f>DL202+DISTRIBUSI!#REF!-'PEMAKAIAN UNIT'!O199</f>
        <v>#REF!</v>
      </c>
      <c r="CP202" s="15" t="e">
        <f t="shared" si="193"/>
        <v>#REF!</v>
      </c>
      <c r="CQ202" s="226">
        <f t="shared" si="194"/>
        <v>0</v>
      </c>
      <c r="CR202" s="226">
        <f>DISTRIBUSI!R200</f>
        <v>0</v>
      </c>
      <c r="CS202" s="226">
        <f>'PEMAKAIAN UNIT'!P199</f>
        <v>0</v>
      </c>
      <c r="CT202" s="14">
        <f t="shared" si="195"/>
        <v>0</v>
      </c>
      <c r="CU202" s="15">
        <f t="shared" si="196"/>
        <v>0</v>
      </c>
      <c r="CV202" s="14" t="e">
        <f>DN202+DISTRIBUSI!#REF!-'PEMAKAIAN UNIT'!Q199</f>
        <v>#REF!</v>
      </c>
      <c r="CW202" s="15" t="e">
        <f t="shared" si="197"/>
        <v>#REF!</v>
      </c>
      <c r="CX202" s="14">
        <f>DO202+'LPLPO PROGRAM'!E31-'LPLPO PROGRAM'!G31</f>
        <v>0</v>
      </c>
      <c r="CY202" s="15">
        <f t="shared" si="198"/>
        <v>0</v>
      </c>
      <c r="CZ202" s="28"/>
      <c r="DA202" s="14">
        <v>0</v>
      </c>
      <c r="DB202" s="14">
        <v>0</v>
      </c>
      <c r="DC202" s="14">
        <v>0</v>
      </c>
      <c r="DD202" s="14">
        <v>0</v>
      </c>
      <c r="DE202" s="14">
        <v>0</v>
      </c>
      <c r="DF202" s="14">
        <v>0</v>
      </c>
      <c r="DG202" s="14">
        <v>0</v>
      </c>
      <c r="DH202" s="14">
        <v>0</v>
      </c>
      <c r="DI202" s="14">
        <v>0</v>
      </c>
      <c r="DJ202" s="14">
        <v>0</v>
      </c>
      <c r="DK202" s="14">
        <v>0</v>
      </c>
      <c r="DL202" s="14">
        <v>0</v>
      </c>
      <c r="DM202" s="14">
        <v>0</v>
      </c>
      <c r="DN202" s="14">
        <v>0</v>
      </c>
      <c r="DO202" s="14">
        <v>0</v>
      </c>
      <c r="DP202" s="13">
        <f t="shared" si="151"/>
        <v>0</v>
      </c>
      <c r="DU202" s="20" t="e">
        <f t="shared" si="148"/>
        <v>#REF!</v>
      </c>
    </row>
    <row r="203" spans="1:125" customFormat="1" ht="20.149999999999999" customHeight="1" x14ac:dyDescent="0.35">
      <c r="A203" s="205">
        <v>19</v>
      </c>
      <c r="B203" s="178" t="s">
        <v>267</v>
      </c>
      <c r="C203" s="144" t="s">
        <v>4</v>
      </c>
      <c r="D203" s="14">
        <v>0</v>
      </c>
      <c r="E203" s="254">
        <f>'LPLPO PROGRAM'!E32</f>
        <v>0</v>
      </c>
      <c r="F203" s="254">
        <f t="shared" si="199"/>
        <v>0</v>
      </c>
      <c r="G203" s="254">
        <f>'PEMAKAIAN UNIT'!R200</f>
        <v>0</v>
      </c>
      <c r="H203" s="14">
        <v>0</v>
      </c>
      <c r="I203" s="14">
        <v>0</v>
      </c>
      <c r="J203" s="14">
        <v>0</v>
      </c>
      <c r="K203" s="14"/>
      <c r="L203" s="14"/>
      <c r="M203" s="14"/>
      <c r="N203" s="14"/>
      <c r="O203" s="14"/>
      <c r="P203" s="14"/>
      <c r="Q203" s="14"/>
      <c r="R203" s="14"/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09">
        <f t="shared" si="200"/>
        <v>0</v>
      </c>
      <c r="Z203" s="109" t="e">
        <f t="shared" si="201"/>
        <v>#REF!</v>
      </c>
      <c r="AA203" s="109" t="e">
        <f t="shared" si="202"/>
        <v>#REF!</v>
      </c>
      <c r="AB203" s="14">
        <v>0</v>
      </c>
      <c r="AC203" s="109" t="e">
        <f t="shared" si="203"/>
        <v>#REF!</v>
      </c>
      <c r="AD203" s="109">
        <f>'LPLPO PROGRAM'!H32</f>
        <v>0</v>
      </c>
      <c r="AE203" s="111" t="e">
        <f t="shared" si="204"/>
        <v>#REF!</v>
      </c>
      <c r="AF203" s="212"/>
      <c r="AG203" s="212"/>
      <c r="AH203" s="20"/>
      <c r="AI203" s="14">
        <f t="shared" si="208"/>
        <v>0</v>
      </c>
      <c r="AJ203" s="209" t="e">
        <f t="shared" si="209"/>
        <v>#REF!</v>
      </c>
      <c r="AL203" s="14">
        <f t="shared" si="160"/>
        <v>0</v>
      </c>
      <c r="AM203" s="14">
        <f>DISTRIBUSI!D201</f>
        <v>0</v>
      </c>
      <c r="AN203" s="14">
        <f>'PEMAKAIAN UNIT'!D200</f>
        <v>0</v>
      </c>
      <c r="AO203" s="14">
        <f t="shared" si="161"/>
        <v>0</v>
      </c>
      <c r="AP203" s="15">
        <f t="shared" si="162"/>
        <v>0</v>
      </c>
      <c r="AQ203" s="14">
        <f t="shared" si="163"/>
        <v>0</v>
      </c>
      <c r="AR203" s="14">
        <f>DISTRIBUSI!E201</f>
        <v>0</v>
      </c>
      <c r="AS203" s="14">
        <f>'PEMAKAIAN UNIT'!E200</f>
        <v>0</v>
      </c>
      <c r="AT203" s="14">
        <f t="shared" si="164"/>
        <v>0</v>
      </c>
      <c r="AU203" s="15">
        <f t="shared" si="165"/>
        <v>0</v>
      </c>
      <c r="AV203" s="14">
        <f t="shared" si="166"/>
        <v>0</v>
      </c>
      <c r="AW203" s="14">
        <f>DISTRIBUSI!F201</f>
        <v>0</v>
      </c>
      <c r="AX203" s="14">
        <f>'PEMAKAIAN UNIT'!F200</f>
        <v>0</v>
      </c>
      <c r="AY203" s="14">
        <f t="shared" si="167"/>
        <v>0</v>
      </c>
      <c r="AZ203" s="15">
        <f t="shared" si="168"/>
        <v>0</v>
      </c>
      <c r="BA203" s="14">
        <f t="shared" si="169"/>
        <v>0</v>
      </c>
      <c r="BB203" s="14">
        <f>DISTRIBUSI!G201</f>
        <v>0</v>
      </c>
      <c r="BC203" s="14">
        <f>'PEMAKAIAN UNIT'!G200</f>
        <v>0</v>
      </c>
      <c r="BD203" s="14">
        <f t="shared" si="170"/>
        <v>0</v>
      </c>
      <c r="BE203" s="15">
        <f t="shared" si="171"/>
        <v>0</v>
      </c>
      <c r="BF203" s="14">
        <f t="shared" si="172"/>
        <v>0</v>
      </c>
      <c r="BG203" s="14">
        <f>DISTRIBUSI!H201</f>
        <v>0</v>
      </c>
      <c r="BH203" s="14">
        <f>'PEMAKAIAN UNIT'!H200</f>
        <v>0</v>
      </c>
      <c r="BI203" s="14">
        <f t="shared" si="173"/>
        <v>0</v>
      </c>
      <c r="BJ203" s="15">
        <f t="shared" si="174"/>
        <v>0</v>
      </c>
      <c r="BK203" s="14">
        <f t="shared" si="175"/>
        <v>0</v>
      </c>
      <c r="BL203" s="14">
        <f>DISTRIBUSI!I201</f>
        <v>0</v>
      </c>
      <c r="BM203" s="14">
        <f>'PEMAKAIAN UNIT'!I200</f>
        <v>0</v>
      </c>
      <c r="BN203" s="14">
        <f t="shared" si="176"/>
        <v>0</v>
      </c>
      <c r="BO203" s="15">
        <f t="shared" si="177"/>
        <v>0</v>
      </c>
      <c r="BP203" s="14">
        <f t="shared" si="178"/>
        <v>0</v>
      </c>
      <c r="BQ203" s="14">
        <f>DISTRIBUSI!J201</f>
        <v>0</v>
      </c>
      <c r="BR203" s="14">
        <f>'PEMAKAIAN UNIT'!J200</f>
        <v>0</v>
      </c>
      <c r="BS203" s="14">
        <f t="shared" si="179"/>
        <v>0</v>
      </c>
      <c r="BT203" s="15">
        <f t="shared" si="180"/>
        <v>0</v>
      </c>
      <c r="BU203" s="14">
        <f t="shared" si="181"/>
        <v>0</v>
      </c>
      <c r="BV203" s="14">
        <f>DISTRIBUSI!K201</f>
        <v>0</v>
      </c>
      <c r="BW203" s="14">
        <f>'PEMAKAIAN UNIT'!K200</f>
        <v>0</v>
      </c>
      <c r="BX203" s="14">
        <f t="shared" si="182"/>
        <v>0</v>
      </c>
      <c r="BY203" s="15">
        <f t="shared" si="183"/>
        <v>0</v>
      </c>
      <c r="BZ203" s="14">
        <f t="shared" si="184"/>
        <v>0</v>
      </c>
      <c r="CA203" s="14">
        <f>DISTRIBUSI!L201</f>
        <v>0</v>
      </c>
      <c r="CB203" s="14">
        <f>'PEMAKAIAN UNIT'!L200</f>
        <v>0</v>
      </c>
      <c r="CC203" s="14">
        <f t="shared" si="185"/>
        <v>0</v>
      </c>
      <c r="CD203" s="15">
        <f t="shared" si="186"/>
        <v>0</v>
      </c>
      <c r="CE203" s="14">
        <f t="shared" si="187"/>
        <v>0</v>
      </c>
      <c r="CF203" s="14">
        <f>DISTRIBUSI!M201</f>
        <v>0</v>
      </c>
      <c r="CG203" s="14">
        <f>'PEMAKAIAN UNIT'!M200</f>
        <v>0</v>
      </c>
      <c r="CH203" s="14">
        <f t="shared" si="188"/>
        <v>0</v>
      </c>
      <c r="CI203" s="15">
        <f t="shared" si="189"/>
        <v>0</v>
      </c>
      <c r="CJ203" s="14">
        <f t="shared" si="190"/>
        <v>0</v>
      </c>
      <c r="CK203" s="14" t="e">
        <f>DISTRIBUSI!#REF!</f>
        <v>#REF!</v>
      </c>
      <c r="CL203" s="14">
        <f>'PEMAKAIAN UNIT'!N200</f>
        <v>0</v>
      </c>
      <c r="CM203" s="14" t="e">
        <f t="shared" si="191"/>
        <v>#REF!</v>
      </c>
      <c r="CN203" s="15" t="e">
        <f t="shared" si="192"/>
        <v>#REF!</v>
      </c>
      <c r="CO203" s="14" t="e">
        <f>DL203+DISTRIBUSI!#REF!-'PEMAKAIAN UNIT'!O200</f>
        <v>#REF!</v>
      </c>
      <c r="CP203" s="15" t="e">
        <f t="shared" si="193"/>
        <v>#REF!</v>
      </c>
      <c r="CQ203" s="226">
        <f t="shared" si="194"/>
        <v>0</v>
      </c>
      <c r="CR203" s="226">
        <f>DISTRIBUSI!R201</f>
        <v>0</v>
      </c>
      <c r="CS203" s="226">
        <f>'PEMAKAIAN UNIT'!P200</f>
        <v>0</v>
      </c>
      <c r="CT203" s="14">
        <f t="shared" si="195"/>
        <v>0</v>
      </c>
      <c r="CU203" s="15">
        <f t="shared" si="196"/>
        <v>0</v>
      </c>
      <c r="CV203" s="14" t="e">
        <f>DN203+DISTRIBUSI!#REF!-'PEMAKAIAN UNIT'!Q200</f>
        <v>#REF!</v>
      </c>
      <c r="CW203" s="15" t="e">
        <f t="shared" si="197"/>
        <v>#REF!</v>
      </c>
      <c r="CX203" s="14">
        <f>DO203+'LPLPO PROGRAM'!E32-'LPLPO PROGRAM'!G32</f>
        <v>0</v>
      </c>
      <c r="CY203" s="15">
        <f t="shared" si="198"/>
        <v>0</v>
      </c>
      <c r="CZ203" s="28"/>
      <c r="DA203" s="14">
        <v>0</v>
      </c>
      <c r="DB203" s="14">
        <v>0</v>
      </c>
      <c r="DC203" s="14">
        <v>0</v>
      </c>
      <c r="DD203" s="14">
        <v>0</v>
      </c>
      <c r="DE203" s="14">
        <v>0</v>
      </c>
      <c r="DF203" s="14">
        <v>0</v>
      </c>
      <c r="DG203" s="14">
        <v>0</v>
      </c>
      <c r="DH203" s="14">
        <v>0</v>
      </c>
      <c r="DI203" s="14">
        <v>0</v>
      </c>
      <c r="DJ203" s="14">
        <v>0</v>
      </c>
      <c r="DK203" s="14">
        <v>0</v>
      </c>
      <c r="DL203" s="14">
        <v>0</v>
      </c>
      <c r="DM203" s="14">
        <v>0</v>
      </c>
      <c r="DN203" s="14">
        <v>0</v>
      </c>
      <c r="DO203" s="14">
        <v>0</v>
      </c>
      <c r="DP203" s="13">
        <f t="shared" si="151"/>
        <v>0</v>
      </c>
      <c r="DU203" s="20" t="e">
        <f t="shared" si="148"/>
        <v>#REF!</v>
      </c>
    </row>
    <row r="204" spans="1:125" customFormat="1" ht="20.149999999999999" customHeight="1" x14ac:dyDescent="0.35">
      <c r="A204" s="205">
        <v>20</v>
      </c>
      <c r="B204" s="178" t="s">
        <v>186</v>
      </c>
      <c r="C204" s="144" t="s">
        <v>4</v>
      </c>
      <c r="D204" s="14">
        <v>0</v>
      </c>
      <c r="E204" s="254">
        <f>'LPLPO PROGRAM'!E33</f>
        <v>0</v>
      </c>
      <c r="F204" s="254">
        <f t="shared" si="199"/>
        <v>0</v>
      </c>
      <c r="G204" s="254">
        <f>'PEMAKAIAN UNIT'!R201</f>
        <v>0</v>
      </c>
      <c r="H204" s="14">
        <v>0</v>
      </c>
      <c r="I204" s="14">
        <v>0</v>
      </c>
      <c r="J204" s="14">
        <v>0</v>
      </c>
      <c r="K204" s="14"/>
      <c r="L204" s="14"/>
      <c r="M204" s="14"/>
      <c r="N204" s="14"/>
      <c r="O204" s="14"/>
      <c r="P204" s="14"/>
      <c r="Q204" s="14"/>
      <c r="R204" s="14"/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09">
        <f t="shared" si="200"/>
        <v>0</v>
      </c>
      <c r="Z204" s="109" t="e">
        <f t="shared" si="201"/>
        <v>#REF!</v>
      </c>
      <c r="AA204" s="109" t="e">
        <f t="shared" si="202"/>
        <v>#REF!</v>
      </c>
      <c r="AB204" s="14">
        <v>0</v>
      </c>
      <c r="AC204" s="109" t="e">
        <f t="shared" si="203"/>
        <v>#REF!</v>
      </c>
      <c r="AD204" s="109">
        <f>'LPLPO PROGRAM'!H33</f>
        <v>0</v>
      </c>
      <c r="AE204" s="111" t="e">
        <f t="shared" si="204"/>
        <v>#REF!</v>
      </c>
      <c r="AF204" s="212"/>
      <c r="AG204" s="212"/>
      <c r="AH204" s="20"/>
      <c r="AI204" s="14">
        <f t="shared" si="208"/>
        <v>0</v>
      </c>
      <c r="AJ204" s="209" t="e">
        <f t="shared" si="209"/>
        <v>#REF!</v>
      </c>
      <c r="AL204" s="14">
        <f t="shared" si="160"/>
        <v>0</v>
      </c>
      <c r="AM204" s="14">
        <f>DISTRIBUSI!D202</f>
        <v>0</v>
      </c>
      <c r="AN204" s="14">
        <f>'PEMAKAIAN UNIT'!D201</f>
        <v>0</v>
      </c>
      <c r="AO204" s="14">
        <f t="shared" si="161"/>
        <v>0</v>
      </c>
      <c r="AP204" s="15">
        <f t="shared" si="162"/>
        <v>0</v>
      </c>
      <c r="AQ204" s="14">
        <f t="shared" si="163"/>
        <v>0</v>
      </c>
      <c r="AR204" s="14">
        <f>DISTRIBUSI!E202</f>
        <v>0</v>
      </c>
      <c r="AS204" s="14">
        <f>'PEMAKAIAN UNIT'!E201</f>
        <v>0</v>
      </c>
      <c r="AT204" s="14">
        <f t="shared" si="164"/>
        <v>0</v>
      </c>
      <c r="AU204" s="15">
        <f t="shared" si="165"/>
        <v>0</v>
      </c>
      <c r="AV204" s="14">
        <f t="shared" si="166"/>
        <v>0</v>
      </c>
      <c r="AW204" s="14">
        <f>DISTRIBUSI!F202</f>
        <v>0</v>
      </c>
      <c r="AX204" s="14">
        <f>'PEMAKAIAN UNIT'!F201</f>
        <v>0</v>
      </c>
      <c r="AY204" s="14">
        <f t="shared" si="167"/>
        <v>0</v>
      </c>
      <c r="AZ204" s="15">
        <f t="shared" si="168"/>
        <v>0</v>
      </c>
      <c r="BA204" s="14">
        <f t="shared" si="169"/>
        <v>0</v>
      </c>
      <c r="BB204" s="14">
        <f>DISTRIBUSI!G202</f>
        <v>0</v>
      </c>
      <c r="BC204" s="14">
        <f>'PEMAKAIAN UNIT'!G201</f>
        <v>0</v>
      </c>
      <c r="BD204" s="14">
        <f t="shared" si="170"/>
        <v>0</v>
      </c>
      <c r="BE204" s="15">
        <f t="shared" si="171"/>
        <v>0</v>
      </c>
      <c r="BF204" s="14">
        <f t="shared" si="172"/>
        <v>0</v>
      </c>
      <c r="BG204" s="14">
        <f>DISTRIBUSI!H202</f>
        <v>0</v>
      </c>
      <c r="BH204" s="14">
        <f>'PEMAKAIAN UNIT'!H201</f>
        <v>0</v>
      </c>
      <c r="BI204" s="14">
        <f t="shared" si="173"/>
        <v>0</v>
      </c>
      <c r="BJ204" s="15">
        <f t="shared" si="174"/>
        <v>0</v>
      </c>
      <c r="BK204" s="14">
        <f t="shared" si="175"/>
        <v>0</v>
      </c>
      <c r="BL204" s="14">
        <f>DISTRIBUSI!I202</f>
        <v>0</v>
      </c>
      <c r="BM204" s="14">
        <f>'PEMAKAIAN UNIT'!I201</f>
        <v>0</v>
      </c>
      <c r="BN204" s="14">
        <f t="shared" si="176"/>
        <v>0</v>
      </c>
      <c r="BO204" s="15">
        <f t="shared" si="177"/>
        <v>0</v>
      </c>
      <c r="BP204" s="14">
        <f t="shared" si="178"/>
        <v>0</v>
      </c>
      <c r="BQ204" s="14">
        <f>DISTRIBUSI!J202</f>
        <v>0</v>
      </c>
      <c r="BR204" s="14">
        <f>'PEMAKAIAN UNIT'!J201</f>
        <v>0</v>
      </c>
      <c r="BS204" s="14">
        <f t="shared" si="179"/>
        <v>0</v>
      </c>
      <c r="BT204" s="15">
        <f t="shared" si="180"/>
        <v>0</v>
      </c>
      <c r="BU204" s="14">
        <f t="shared" si="181"/>
        <v>0</v>
      </c>
      <c r="BV204" s="14">
        <f>DISTRIBUSI!K202</f>
        <v>0</v>
      </c>
      <c r="BW204" s="14">
        <f>'PEMAKAIAN UNIT'!K201</f>
        <v>0</v>
      </c>
      <c r="BX204" s="14">
        <f t="shared" si="182"/>
        <v>0</v>
      </c>
      <c r="BY204" s="15">
        <f t="shared" si="183"/>
        <v>0</v>
      </c>
      <c r="BZ204" s="14">
        <f t="shared" si="184"/>
        <v>0</v>
      </c>
      <c r="CA204" s="14">
        <f>DISTRIBUSI!L202</f>
        <v>0</v>
      </c>
      <c r="CB204" s="14">
        <f>'PEMAKAIAN UNIT'!L201</f>
        <v>0</v>
      </c>
      <c r="CC204" s="14">
        <f t="shared" si="185"/>
        <v>0</v>
      </c>
      <c r="CD204" s="15">
        <f t="shared" si="186"/>
        <v>0</v>
      </c>
      <c r="CE204" s="14">
        <f t="shared" si="187"/>
        <v>0</v>
      </c>
      <c r="CF204" s="14">
        <f>DISTRIBUSI!M202</f>
        <v>0</v>
      </c>
      <c r="CG204" s="14">
        <f>'PEMAKAIAN UNIT'!M201</f>
        <v>0</v>
      </c>
      <c r="CH204" s="14">
        <f t="shared" si="188"/>
        <v>0</v>
      </c>
      <c r="CI204" s="15">
        <f t="shared" si="189"/>
        <v>0</v>
      </c>
      <c r="CJ204" s="14">
        <f t="shared" si="190"/>
        <v>0</v>
      </c>
      <c r="CK204" s="14" t="e">
        <f>DISTRIBUSI!#REF!</f>
        <v>#REF!</v>
      </c>
      <c r="CL204" s="14">
        <f>'PEMAKAIAN UNIT'!N201</f>
        <v>0</v>
      </c>
      <c r="CM204" s="14" t="e">
        <f t="shared" si="191"/>
        <v>#REF!</v>
      </c>
      <c r="CN204" s="15" t="e">
        <f t="shared" si="192"/>
        <v>#REF!</v>
      </c>
      <c r="CO204" s="14" t="e">
        <f>DL204+DISTRIBUSI!#REF!-'PEMAKAIAN UNIT'!O201</f>
        <v>#REF!</v>
      </c>
      <c r="CP204" s="15" t="e">
        <f t="shared" si="193"/>
        <v>#REF!</v>
      </c>
      <c r="CQ204" s="226">
        <f t="shared" si="194"/>
        <v>0</v>
      </c>
      <c r="CR204" s="226">
        <f>DISTRIBUSI!R202</f>
        <v>0</v>
      </c>
      <c r="CS204" s="226">
        <f>'PEMAKAIAN UNIT'!P201</f>
        <v>0</v>
      </c>
      <c r="CT204" s="14">
        <f t="shared" si="195"/>
        <v>0</v>
      </c>
      <c r="CU204" s="15">
        <f t="shared" si="196"/>
        <v>0</v>
      </c>
      <c r="CV204" s="14" t="e">
        <f>DN204+DISTRIBUSI!#REF!-'PEMAKAIAN UNIT'!Q201</f>
        <v>#REF!</v>
      </c>
      <c r="CW204" s="15" t="e">
        <f t="shared" si="197"/>
        <v>#REF!</v>
      </c>
      <c r="CX204" s="14">
        <f>DO204+'LPLPO PROGRAM'!E33-'LPLPO PROGRAM'!G33</f>
        <v>0</v>
      </c>
      <c r="CY204" s="15">
        <f t="shared" si="198"/>
        <v>0</v>
      </c>
      <c r="CZ204" s="28"/>
      <c r="DA204" s="14">
        <v>0</v>
      </c>
      <c r="DB204" s="14">
        <v>0</v>
      </c>
      <c r="DC204" s="14">
        <v>0</v>
      </c>
      <c r="DD204" s="14">
        <v>0</v>
      </c>
      <c r="DE204" s="14">
        <v>0</v>
      </c>
      <c r="DF204" s="14">
        <v>0</v>
      </c>
      <c r="DG204" s="14">
        <v>0</v>
      </c>
      <c r="DH204" s="14">
        <v>0</v>
      </c>
      <c r="DI204" s="14">
        <v>0</v>
      </c>
      <c r="DJ204" s="14">
        <v>0</v>
      </c>
      <c r="DK204" s="14">
        <v>0</v>
      </c>
      <c r="DL204" s="14">
        <v>0</v>
      </c>
      <c r="DM204" s="14">
        <v>0</v>
      </c>
      <c r="DN204" s="14">
        <v>0</v>
      </c>
      <c r="DO204" s="14">
        <v>0</v>
      </c>
      <c r="DP204" s="13">
        <f t="shared" si="151"/>
        <v>0</v>
      </c>
      <c r="DU204" s="20" t="e">
        <f t="shared" si="148"/>
        <v>#REF!</v>
      </c>
    </row>
    <row r="205" spans="1:125" customFormat="1" ht="20.149999999999999" customHeight="1" x14ac:dyDescent="0.35">
      <c r="A205" s="205">
        <v>21</v>
      </c>
      <c r="B205" s="178" t="s">
        <v>266</v>
      </c>
      <c r="C205" s="144" t="s">
        <v>4</v>
      </c>
      <c r="D205" s="14">
        <v>0</v>
      </c>
      <c r="E205" s="254">
        <f>'LPLPO PROGRAM'!E34</f>
        <v>50</v>
      </c>
      <c r="F205" s="254">
        <f t="shared" si="199"/>
        <v>50</v>
      </c>
      <c r="G205" s="254">
        <f>'PEMAKAIAN UNIT'!R202</f>
        <v>0</v>
      </c>
      <c r="H205" s="14">
        <v>0</v>
      </c>
      <c r="I205" s="14">
        <v>0</v>
      </c>
      <c r="J205" s="14">
        <v>0</v>
      </c>
      <c r="K205" s="14"/>
      <c r="L205" s="14"/>
      <c r="M205" s="14"/>
      <c r="N205" s="14"/>
      <c r="O205" s="14"/>
      <c r="P205" s="14"/>
      <c r="Q205" s="14"/>
      <c r="R205" s="14"/>
      <c r="S205" s="14">
        <v>4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09">
        <f t="shared" si="200"/>
        <v>0</v>
      </c>
      <c r="Z205" s="109" t="e">
        <f t="shared" si="201"/>
        <v>#REF!</v>
      </c>
      <c r="AA205" s="109" t="e">
        <f t="shared" si="202"/>
        <v>#REF!</v>
      </c>
      <c r="AB205" s="14">
        <v>45</v>
      </c>
      <c r="AC205" s="109" t="e">
        <f t="shared" si="203"/>
        <v>#REF!</v>
      </c>
      <c r="AD205" s="109">
        <f>'LPLPO PROGRAM'!H34</f>
        <v>10</v>
      </c>
      <c r="AE205" s="111" t="e">
        <f t="shared" si="204"/>
        <v>#REF!</v>
      </c>
      <c r="AF205" s="212"/>
      <c r="AG205" s="212"/>
      <c r="AH205" s="20"/>
      <c r="AI205" s="14">
        <f t="shared" si="208"/>
        <v>50</v>
      </c>
      <c r="AJ205" s="209" t="e">
        <f t="shared" si="209"/>
        <v>#REF!</v>
      </c>
      <c r="AL205" s="14">
        <f t="shared" si="160"/>
        <v>6</v>
      </c>
      <c r="AM205" s="14">
        <f>DISTRIBUSI!D203</f>
        <v>0</v>
      </c>
      <c r="AN205" s="14">
        <f>'PEMAKAIAN UNIT'!D202</f>
        <v>0</v>
      </c>
      <c r="AO205" s="14">
        <f t="shared" si="161"/>
        <v>6</v>
      </c>
      <c r="AP205" s="15">
        <f t="shared" si="162"/>
        <v>6</v>
      </c>
      <c r="AQ205" s="14">
        <f t="shared" si="163"/>
        <v>0</v>
      </c>
      <c r="AR205" s="14">
        <f>DISTRIBUSI!E203</f>
        <v>0</v>
      </c>
      <c r="AS205" s="14">
        <f>'PEMAKAIAN UNIT'!E202</f>
        <v>0</v>
      </c>
      <c r="AT205" s="14">
        <f t="shared" si="164"/>
        <v>0</v>
      </c>
      <c r="AU205" s="15">
        <f t="shared" si="165"/>
        <v>0</v>
      </c>
      <c r="AV205" s="14">
        <f t="shared" si="166"/>
        <v>5</v>
      </c>
      <c r="AW205" s="14">
        <f>DISTRIBUSI!F203</f>
        <v>0</v>
      </c>
      <c r="AX205" s="14">
        <f>'PEMAKAIAN UNIT'!F202</f>
        <v>0</v>
      </c>
      <c r="AY205" s="14">
        <f t="shared" si="167"/>
        <v>5</v>
      </c>
      <c r="AZ205" s="15">
        <f t="shared" si="168"/>
        <v>5</v>
      </c>
      <c r="BA205" s="14">
        <f t="shared" si="169"/>
        <v>4</v>
      </c>
      <c r="BB205" s="14">
        <f>DISTRIBUSI!G203</f>
        <v>0</v>
      </c>
      <c r="BC205" s="14">
        <f>'PEMAKAIAN UNIT'!G202</f>
        <v>0</v>
      </c>
      <c r="BD205" s="14">
        <f t="shared" si="170"/>
        <v>4</v>
      </c>
      <c r="BE205" s="15">
        <f t="shared" si="171"/>
        <v>0</v>
      </c>
      <c r="BF205" s="14">
        <f t="shared" si="172"/>
        <v>0</v>
      </c>
      <c r="BG205" s="14">
        <f>DISTRIBUSI!H203</f>
        <v>0</v>
      </c>
      <c r="BH205" s="14">
        <f>'PEMAKAIAN UNIT'!H202</f>
        <v>0</v>
      </c>
      <c r="BI205" s="14">
        <f t="shared" si="173"/>
        <v>0</v>
      </c>
      <c r="BJ205" s="15">
        <f t="shared" si="174"/>
        <v>0</v>
      </c>
      <c r="BK205" s="14">
        <f t="shared" si="175"/>
        <v>0</v>
      </c>
      <c r="BL205" s="14">
        <f>DISTRIBUSI!I203</f>
        <v>0</v>
      </c>
      <c r="BM205" s="14">
        <f>'PEMAKAIAN UNIT'!I202</f>
        <v>0</v>
      </c>
      <c r="BN205" s="14">
        <f t="shared" si="176"/>
        <v>0</v>
      </c>
      <c r="BO205" s="15">
        <f t="shared" si="177"/>
        <v>0</v>
      </c>
      <c r="BP205" s="14">
        <f t="shared" si="178"/>
        <v>0</v>
      </c>
      <c r="BQ205" s="14">
        <f>DISTRIBUSI!J203</f>
        <v>0</v>
      </c>
      <c r="BR205" s="14">
        <f>'PEMAKAIAN UNIT'!J202</f>
        <v>0</v>
      </c>
      <c r="BS205" s="14">
        <f t="shared" si="179"/>
        <v>0</v>
      </c>
      <c r="BT205" s="15">
        <f t="shared" si="180"/>
        <v>0</v>
      </c>
      <c r="BU205" s="14">
        <f t="shared" si="181"/>
        <v>0</v>
      </c>
      <c r="BV205" s="14">
        <f>DISTRIBUSI!K203</f>
        <v>0</v>
      </c>
      <c r="BW205" s="14">
        <f>'PEMAKAIAN UNIT'!K202</f>
        <v>0</v>
      </c>
      <c r="BX205" s="14">
        <f t="shared" si="182"/>
        <v>0</v>
      </c>
      <c r="BY205" s="15">
        <f t="shared" si="183"/>
        <v>0</v>
      </c>
      <c r="BZ205" s="14">
        <f t="shared" si="184"/>
        <v>0</v>
      </c>
      <c r="CA205" s="14">
        <f>DISTRIBUSI!L203</f>
        <v>0</v>
      </c>
      <c r="CB205" s="14">
        <f>'PEMAKAIAN UNIT'!L202</f>
        <v>0</v>
      </c>
      <c r="CC205" s="14">
        <f t="shared" si="185"/>
        <v>0</v>
      </c>
      <c r="CD205" s="15">
        <f t="shared" si="186"/>
        <v>0</v>
      </c>
      <c r="CE205" s="14">
        <f t="shared" si="187"/>
        <v>0</v>
      </c>
      <c r="CF205" s="14">
        <f>DISTRIBUSI!M203</f>
        <v>0</v>
      </c>
      <c r="CG205" s="14">
        <f>'PEMAKAIAN UNIT'!M202</f>
        <v>0</v>
      </c>
      <c r="CH205" s="14">
        <f t="shared" si="188"/>
        <v>0</v>
      </c>
      <c r="CI205" s="15">
        <f t="shared" si="189"/>
        <v>0</v>
      </c>
      <c r="CJ205" s="14">
        <f t="shared" si="190"/>
        <v>0</v>
      </c>
      <c r="CK205" s="14" t="e">
        <f>DISTRIBUSI!#REF!</f>
        <v>#REF!</v>
      </c>
      <c r="CL205" s="14">
        <f>'PEMAKAIAN UNIT'!N202</f>
        <v>0</v>
      </c>
      <c r="CM205" s="14" t="e">
        <f t="shared" si="191"/>
        <v>#REF!</v>
      </c>
      <c r="CN205" s="15" t="e">
        <f t="shared" si="192"/>
        <v>#REF!</v>
      </c>
      <c r="CO205" s="14" t="e">
        <f>DL205+DISTRIBUSI!#REF!-'PEMAKAIAN UNIT'!O202</f>
        <v>#REF!</v>
      </c>
      <c r="CP205" s="15" t="e">
        <f t="shared" si="193"/>
        <v>#REF!</v>
      </c>
      <c r="CQ205" s="226">
        <f t="shared" si="194"/>
        <v>21</v>
      </c>
      <c r="CR205" s="226">
        <f>DISTRIBUSI!R203</f>
        <v>20</v>
      </c>
      <c r="CS205" s="226">
        <f>'PEMAKAIAN UNIT'!P202</f>
        <v>0</v>
      </c>
      <c r="CT205" s="14">
        <f t="shared" si="195"/>
        <v>41</v>
      </c>
      <c r="CU205" s="15">
        <f t="shared" si="196"/>
        <v>-4</v>
      </c>
      <c r="CV205" s="14" t="e">
        <f>DN205+DISTRIBUSI!#REF!-'PEMAKAIAN UNIT'!Q202</f>
        <v>#REF!</v>
      </c>
      <c r="CW205" s="15" t="e">
        <f t="shared" si="197"/>
        <v>#REF!</v>
      </c>
      <c r="CX205" s="14">
        <f>DO205+'LPLPO PROGRAM'!E34-'LPLPO PROGRAM'!G34</f>
        <v>42</v>
      </c>
      <c r="CY205" s="15">
        <f t="shared" si="198"/>
        <v>32</v>
      </c>
      <c r="CZ205" s="28"/>
      <c r="DA205" s="14">
        <v>6</v>
      </c>
      <c r="DB205" s="14">
        <v>0</v>
      </c>
      <c r="DC205" s="14">
        <v>5</v>
      </c>
      <c r="DD205" s="14">
        <v>4</v>
      </c>
      <c r="DE205" s="14">
        <v>0</v>
      </c>
      <c r="DF205" s="14">
        <v>0</v>
      </c>
      <c r="DG205" s="14">
        <v>0</v>
      </c>
      <c r="DH205" s="14">
        <v>0</v>
      </c>
      <c r="DI205" s="14">
        <v>0</v>
      </c>
      <c r="DJ205" s="14">
        <v>0</v>
      </c>
      <c r="DK205" s="14">
        <v>0</v>
      </c>
      <c r="DL205" s="14">
        <v>0</v>
      </c>
      <c r="DM205" s="14">
        <v>21</v>
      </c>
      <c r="DN205" s="14">
        <v>0</v>
      </c>
      <c r="DO205" s="14">
        <v>32</v>
      </c>
      <c r="DP205" s="13">
        <f t="shared" si="151"/>
        <v>68</v>
      </c>
      <c r="DU205" s="20" t="e">
        <f t="shared" ref="DU205:DU268" si="210">H205+I205+J205+S205+T205+U205+V205+W205+X205+Y205+Z205+AA205+AC205</f>
        <v>#REF!</v>
      </c>
    </row>
    <row r="206" spans="1:125" customFormat="1" ht="20.149999999999999" customHeight="1" x14ac:dyDescent="0.35">
      <c r="A206" s="205">
        <v>22</v>
      </c>
      <c r="B206" s="178" t="s">
        <v>187</v>
      </c>
      <c r="C206" s="144" t="s">
        <v>188</v>
      </c>
      <c r="D206" s="14">
        <v>0</v>
      </c>
      <c r="E206" s="254">
        <f>'LPLPO PROGRAM'!E35</f>
        <v>0</v>
      </c>
      <c r="F206" s="254">
        <f t="shared" si="199"/>
        <v>0</v>
      </c>
      <c r="G206" s="254">
        <f>'PEMAKAIAN UNIT'!R203</f>
        <v>0</v>
      </c>
      <c r="H206" s="14">
        <v>0</v>
      </c>
      <c r="I206" s="14">
        <v>0</v>
      </c>
      <c r="J206" s="14">
        <v>0</v>
      </c>
      <c r="K206" s="14"/>
      <c r="L206" s="14"/>
      <c r="M206" s="14"/>
      <c r="N206" s="14"/>
      <c r="O206" s="14"/>
      <c r="P206" s="14"/>
      <c r="Q206" s="14"/>
      <c r="R206" s="14"/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09">
        <f t="shared" si="200"/>
        <v>0</v>
      </c>
      <c r="Z206" s="109" t="e">
        <f t="shared" si="201"/>
        <v>#REF!</v>
      </c>
      <c r="AA206" s="109" t="e">
        <f t="shared" si="202"/>
        <v>#REF!</v>
      </c>
      <c r="AB206" s="14">
        <v>0</v>
      </c>
      <c r="AC206" s="109" t="e">
        <f t="shared" si="203"/>
        <v>#REF!</v>
      </c>
      <c r="AD206" s="109">
        <f>'LPLPO PROGRAM'!H35</f>
        <v>0</v>
      </c>
      <c r="AE206" s="111" t="e">
        <f t="shared" si="204"/>
        <v>#REF!</v>
      </c>
      <c r="AF206" s="212"/>
      <c r="AG206" s="212"/>
      <c r="AH206" s="20"/>
      <c r="AI206" s="14">
        <f t="shared" si="208"/>
        <v>0</v>
      </c>
      <c r="AJ206" s="209" t="e">
        <f t="shared" si="209"/>
        <v>#REF!</v>
      </c>
      <c r="AL206" s="14">
        <f t="shared" si="160"/>
        <v>0</v>
      </c>
      <c r="AM206" s="14">
        <f>DISTRIBUSI!D204</f>
        <v>0</v>
      </c>
      <c r="AN206" s="14">
        <f>'PEMAKAIAN UNIT'!D203</f>
        <v>0</v>
      </c>
      <c r="AO206" s="14">
        <f t="shared" si="161"/>
        <v>0</v>
      </c>
      <c r="AP206" s="15">
        <f t="shared" si="162"/>
        <v>0</v>
      </c>
      <c r="AQ206" s="14">
        <f t="shared" si="163"/>
        <v>0</v>
      </c>
      <c r="AR206" s="14">
        <f>DISTRIBUSI!E204</f>
        <v>0</v>
      </c>
      <c r="AS206" s="14">
        <f>'PEMAKAIAN UNIT'!E203</f>
        <v>0</v>
      </c>
      <c r="AT206" s="14">
        <f t="shared" si="164"/>
        <v>0</v>
      </c>
      <c r="AU206" s="15">
        <f t="shared" si="165"/>
        <v>0</v>
      </c>
      <c r="AV206" s="14">
        <f t="shared" si="166"/>
        <v>0</v>
      </c>
      <c r="AW206" s="14">
        <f>DISTRIBUSI!F204</f>
        <v>0</v>
      </c>
      <c r="AX206" s="14">
        <f>'PEMAKAIAN UNIT'!F203</f>
        <v>0</v>
      </c>
      <c r="AY206" s="14">
        <f t="shared" si="167"/>
        <v>0</v>
      </c>
      <c r="AZ206" s="15">
        <f t="shared" si="168"/>
        <v>0</v>
      </c>
      <c r="BA206" s="14">
        <f t="shared" si="169"/>
        <v>0</v>
      </c>
      <c r="BB206" s="14">
        <f>DISTRIBUSI!G204</f>
        <v>0</v>
      </c>
      <c r="BC206" s="14">
        <f>'PEMAKAIAN UNIT'!G203</f>
        <v>0</v>
      </c>
      <c r="BD206" s="14">
        <f t="shared" si="170"/>
        <v>0</v>
      </c>
      <c r="BE206" s="15">
        <f t="shared" si="171"/>
        <v>0</v>
      </c>
      <c r="BF206" s="14">
        <f t="shared" si="172"/>
        <v>0</v>
      </c>
      <c r="BG206" s="14">
        <f>DISTRIBUSI!H204</f>
        <v>0</v>
      </c>
      <c r="BH206" s="14">
        <f>'PEMAKAIAN UNIT'!H203</f>
        <v>0</v>
      </c>
      <c r="BI206" s="14">
        <f t="shared" si="173"/>
        <v>0</v>
      </c>
      <c r="BJ206" s="15">
        <f t="shared" si="174"/>
        <v>0</v>
      </c>
      <c r="BK206" s="14">
        <f t="shared" si="175"/>
        <v>0</v>
      </c>
      <c r="BL206" s="14">
        <f>DISTRIBUSI!I204</f>
        <v>0</v>
      </c>
      <c r="BM206" s="14">
        <f>'PEMAKAIAN UNIT'!I203</f>
        <v>0</v>
      </c>
      <c r="BN206" s="14">
        <f t="shared" si="176"/>
        <v>0</v>
      </c>
      <c r="BO206" s="15">
        <f t="shared" si="177"/>
        <v>0</v>
      </c>
      <c r="BP206" s="14">
        <f t="shared" si="178"/>
        <v>0</v>
      </c>
      <c r="BQ206" s="14">
        <f>DISTRIBUSI!J204</f>
        <v>0</v>
      </c>
      <c r="BR206" s="14">
        <f>'PEMAKAIAN UNIT'!J203</f>
        <v>0</v>
      </c>
      <c r="BS206" s="14">
        <f t="shared" si="179"/>
        <v>0</v>
      </c>
      <c r="BT206" s="15">
        <f t="shared" si="180"/>
        <v>0</v>
      </c>
      <c r="BU206" s="14">
        <f t="shared" si="181"/>
        <v>0</v>
      </c>
      <c r="BV206" s="14">
        <f>DISTRIBUSI!K204</f>
        <v>0</v>
      </c>
      <c r="BW206" s="14">
        <f>'PEMAKAIAN UNIT'!K203</f>
        <v>0</v>
      </c>
      <c r="BX206" s="14">
        <f t="shared" si="182"/>
        <v>0</v>
      </c>
      <c r="BY206" s="15">
        <f t="shared" si="183"/>
        <v>0</v>
      </c>
      <c r="BZ206" s="14">
        <f t="shared" si="184"/>
        <v>0</v>
      </c>
      <c r="CA206" s="14">
        <f>DISTRIBUSI!L204</f>
        <v>0</v>
      </c>
      <c r="CB206" s="14">
        <f>'PEMAKAIAN UNIT'!L203</f>
        <v>0</v>
      </c>
      <c r="CC206" s="14">
        <f t="shared" si="185"/>
        <v>0</v>
      </c>
      <c r="CD206" s="15">
        <f t="shared" si="186"/>
        <v>0</v>
      </c>
      <c r="CE206" s="14">
        <f t="shared" si="187"/>
        <v>0</v>
      </c>
      <c r="CF206" s="14">
        <f>DISTRIBUSI!M204</f>
        <v>0</v>
      </c>
      <c r="CG206" s="14">
        <f>'PEMAKAIAN UNIT'!M203</f>
        <v>0</v>
      </c>
      <c r="CH206" s="14">
        <f t="shared" si="188"/>
        <v>0</v>
      </c>
      <c r="CI206" s="15">
        <f t="shared" si="189"/>
        <v>0</v>
      </c>
      <c r="CJ206" s="14">
        <f t="shared" si="190"/>
        <v>0</v>
      </c>
      <c r="CK206" s="14" t="e">
        <f>DISTRIBUSI!#REF!</f>
        <v>#REF!</v>
      </c>
      <c r="CL206" s="14">
        <f>'PEMAKAIAN UNIT'!N203</f>
        <v>0</v>
      </c>
      <c r="CM206" s="14" t="e">
        <f t="shared" si="191"/>
        <v>#REF!</v>
      </c>
      <c r="CN206" s="15" t="e">
        <f t="shared" si="192"/>
        <v>#REF!</v>
      </c>
      <c r="CO206" s="14" t="e">
        <f>DL206+DISTRIBUSI!#REF!-'PEMAKAIAN UNIT'!O203</f>
        <v>#REF!</v>
      </c>
      <c r="CP206" s="15" t="e">
        <f t="shared" si="193"/>
        <v>#REF!</v>
      </c>
      <c r="CQ206" s="226">
        <f t="shared" si="194"/>
        <v>0</v>
      </c>
      <c r="CR206" s="226">
        <f>DISTRIBUSI!R204</f>
        <v>0</v>
      </c>
      <c r="CS206" s="226">
        <f>'PEMAKAIAN UNIT'!P203</f>
        <v>0</v>
      </c>
      <c r="CT206" s="14">
        <f t="shared" si="195"/>
        <v>0</v>
      </c>
      <c r="CU206" s="15">
        <f t="shared" si="196"/>
        <v>0</v>
      </c>
      <c r="CV206" s="14" t="e">
        <f>DN206+DISTRIBUSI!#REF!-'PEMAKAIAN UNIT'!Q203</f>
        <v>#REF!</v>
      </c>
      <c r="CW206" s="15" t="e">
        <f t="shared" si="197"/>
        <v>#REF!</v>
      </c>
      <c r="CX206" s="14">
        <f>DO206+'LPLPO PROGRAM'!E35-'LPLPO PROGRAM'!G35</f>
        <v>0</v>
      </c>
      <c r="CY206" s="15">
        <f t="shared" si="198"/>
        <v>0</v>
      </c>
      <c r="CZ206" s="28"/>
      <c r="DA206" s="14">
        <v>0</v>
      </c>
      <c r="DB206" s="14">
        <v>0</v>
      </c>
      <c r="DC206" s="14">
        <v>0</v>
      </c>
      <c r="DD206" s="14">
        <v>0</v>
      </c>
      <c r="DE206" s="14">
        <v>0</v>
      </c>
      <c r="DF206" s="14">
        <v>0</v>
      </c>
      <c r="DG206" s="14">
        <v>0</v>
      </c>
      <c r="DH206" s="14">
        <v>0</v>
      </c>
      <c r="DI206" s="14">
        <v>0</v>
      </c>
      <c r="DJ206" s="14">
        <v>0</v>
      </c>
      <c r="DK206" s="14">
        <v>0</v>
      </c>
      <c r="DL206" s="14">
        <v>0</v>
      </c>
      <c r="DM206" s="14">
        <v>0</v>
      </c>
      <c r="DN206" s="14">
        <v>0</v>
      </c>
      <c r="DO206" s="14">
        <v>0</v>
      </c>
      <c r="DP206" s="13">
        <f t="shared" si="151"/>
        <v>0</v>
      </c>
      <c r="DU206" s="20" t="e">
        <f t="shared" si="210"/>
        <v>#REF!</v>
      </c>
    </row>
    <row r="207" spans="1:125" customFormat="1" ht="20.149999999999999" customHeight="1" x14ac:dyDescent="0.35">
      <c r="A207" s="205">
        <v>23</v>
      </c>
      <c r="B207" s="178" t="s">
        <v>393</v>
      </c>
      <c r="C207" s="144"/>
      <c r="D207" s="14">
        <v>0</v>
      </c>
      <c r="E207" s="254">
        <f>'LPLPO PROGRAM'!E36</f>
        <v>0</v>
      </c>
      <c r="F207" s="254">
        <f t="shared" si="199"/>
        <v>0</v>
      </c>
      <c r="G207" s="254">
        <f>'PEMAKAIAN UNIT'!R204</f>
        <v>0</v>
      </c>
      <c r="H207" s="14">
        <v>0</v>
      </c>
      <c r="I207" s="14">
        <v>0</v>
      </c>
      <c r="J207" s="14">
        <v>0</v>
      </c>
      <c r="K207" s="14"/>
      <c r="L207" s="14"/>
      <c r="M207" s="14"/>
      <c r="N207" s="14"/>
      <c r="O207" s="14"/>
      <c r="P207" s="14"/>
      <c r="Q207" s="14"/>
      <c r="R207" s="14"/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09">
        <f t="shared" si="200"/>
        <v>0</v>
      </c>
      <c r="Z207" s="109" t="e">
        <f t="shared" si="201"/>
        <v>#REF!</v>
      </c>
      <c r="AA207" s="109" t="e">
        <f t="shared" si="202"/>
        <v>#REF!</v>
      </c>
      <c r="AB207" s="14">
        <v>0</v>
      </c>
      <c r="AC207" s="109" t="e">
        <f t="shared" si="203"/>
        <v>#REF!</v>
      </c>
      <c r="AD207" s="109">
        <f>'LPLPO PROGRAM'!H36</f>
        <v>0</v>
      </c>
      <c r="AE207" s="111" t="e">
        <f t="shared" si="204"/>
        <v>#REF!</v>
      </c>
      <c r="AF207" s="212"/>
      <c r="AG207" s="212"/>
      <c r="AH207" s="20"/>
      <c r="AI207" s="14">
        <f t="shared" si="208"/>
        <v>0</v>
      </c>
      <c r="AJ207" s="209" t="e">
        <f t="shared" si="209"/>
        <v>#REF!</v>
      </c>
      <c r="AL207" s="14">
        <f t="shared" si="160"/>
        <v>0</v>
      </c>
      <c r="AM207" s="14">
        <f>DISTRIBUSI!D205</f>
        <v>0</v>
      </c>
      <c r="AN207" s="14">
        <f>'PEMAKAIAN UNIT'!D204</f>
        <v>0</v>
      </c>
      <c r="AO207" s="14">
        <f t="shared" si="161"/>
        <v>0</v>
      </c>
      <c r="AP207" s="15">
        <f t="shared" si="162"/>
        <v>0</v>
      </c>
      <c r="AQ207" s="14">
        <f t="shared" si="163"/>
        <v>0</v>
      </c>
      <c r="AR207" s="14">
        <f>DISTRIBUSI!E205</f>
        <v>0</v>
      </c>
      <c r="AS207" s="14">
        <f>'PEMAKAIAN UNIT'!E204</f>
        <v>0</v>
      </c>
      <c r="AT207" s="14">
        <f t="shared" si="164"/>
        <v>0</v>
      </c>
      <c r="AU207" s="15">
        <f t="shared" si="165"/>
        <v>0</v>
      </c>
      <c r="AV207" s="14">
        <f t="shared" si="166"/>
        <v>0</v>
      </c>
      <c r="AW207" s="14">
        <f>DISTRIBUSI!F205</f>
        <v>0</v>
      </c>
      <c r="AX207" s="14">
        <f>'PEMAKAIAN UNIT'!F204</f>
        <v>0</v>
      </c>
      <c r="AY207" s="14">
        <f t="shared" si="167"/>
        <v>0</v>
      </c>
      <c r="AZ207" s="15">
        <f t="shared" si="168"/>
        <v>0</v>
      </c>
      <c r="BA207" s="14">
        <f t="shared" si="169"/>
        <v>0</v>
      </c>
      <c r="BB207" s="14">
        <f>DISTRIBUSI!G205</f>
        <v>0</v>
      </c>
      <c r="BC207" s="14">
        <f>'PEMAKAIAN UNIT'!G204</f>
        <v>0</v>
      </c>
      <c r="BD207" s="14">
        <f t="shared" si="170"/>
        <v>0</v>
      </c>
      <c r="BE207" s="15">
        <f t="shared" si="171"/>
        <v>0</v>
      </c>
      <c r="BF207" s="14">
        <f t="shared" si="172"/>
        <v>0</v>
      </c>
      <c r="BG207" s="14">
        <f>DISTRIBUSI!H205</f>
        <v>0</v>
      </c>
      <c r="BH207" s="14">
        <f>'PEMAKAIAN UNIT'!H204</f>
        <v>0</v>
      </c>
      <c r="BI207" s="14">
        <f t="shared" si="173"/>
        <v>0</v>
      </c>
      <c r="BJ207" s="15">
        <f t="shared" si="174"/>
        <v>0</v>
      </c>
      <c r="BK207" s="14">
        <f t="shared" si="175"/>
        <v>0</v>
      </c>
      <c r="BL207" s="14">
        <f>DISTRIBUSI!I205</f>
        <v>0</v>
      </c>
      <c r="BM207" s="14">
        <f>'PEMAKAIAN UNIT'!I204</f>
        <v>0</v>
      </c>
      <c r="BN207" s="14">
        <f t="shared" si="176"/>
        <v>0</v>
      </c>
      <c r="BO207" s="15">
        <f t="shared" si="177"/>
        <v>0</v>
      </c>
      <c r="BP207" s="14">
        <f t="shared" si="178"/>
        <v>0</v>
      </c>
      <c r="BQ207" s="14">
        <f>DISTRIBUSI!J205</f>
        <v>0</v>
      </c>
      <c r="BR207" s="14">
        <f>'PEMAKAIAN UNIT'!J204</f>
        <v>0</v>
      </c>
      <c r="BS207" s="14">
        <f t="shared" si="179"/>
        <v>0</v>
      </c>
      <c r="BT207" s="15">
        <f t="shared" si="180"/>
        <v>0</v>
      </c>
      <c r="BU207" s="14">
        <f t="shared" si="181"/>
        <v>0</v>
      </c>
      <c r="BV207" s="14">
        <f>DISTRIBUSI!K205</f>
        <v>0</v>
      </c>
      <c r="BW207" s="14">
        <f>'PEMAKAIAN UNIT'!K204</f>
        <v>0</v>
      </c>
      <c r="BX207" s="14">
        <f t="shared" si="182"/>
        <v>0</v>
      </c>
      <c r="BY207" s="15">
        <f t="shared" si="183"/>
        <v>0</v>
      </c>
      <c r="BZ207" s="14">
        <f t="shared" si="184"/>
        <v>0</v>
      </c>
      <c r="CA207" s="14">
        <f>DISTRIBUSI!L205</f>
        <v>0</v>
      </c>
      <c r="CB207" s="14">
        <f>'PEMAKAIAN UNIT'!L204</f>
        <v>0</v>
      </c>
      <c r="CC207" s="14">
        <f t="shared" si="185"/>
        <v>0</v>
      </c>
      <c r="CD207" s="15">
        <f t="shared" si="186"/>
        <v>0</v>
      </c>
      <c r="CE207" s="14">
        <f t="shared" si="187"/>
        <v>0</v>
      </c>
      <c r="CF207" s="14">
        <f>DISTRIBUSI!M205</f>
        <v>0</v>
      </c>
      <c r="CG207" s="14">
        <f>'PEMAKAIAN UNIT'!M204</f>
        <v>0</v>
      </c>
      <c r="CH207" s="14">
        <f t="shared" si="188"/>
        <v>0</v>
      </c>
      <c r="CI207" s="15">
        <f t="shared" si="189"/>
        <v>0</v>
      </c>
      <c r="CJ207" s="14">
        <f t="shared" si="190"/>
        <v>0</v>
      </c>
      <c r="CK207" s="14" t="e">
        <f>DISTRIBUSI!#REF!</f>
        <v>#REF!</v>
      </c>
      <c r="CL207" s="14">
        <f>'PEMAKAIAN UNIT'!N204</f>
        <v>0</v>
      </c>
      <c r="CM207" s="14" t="e">
        <f t="shared" si="191"/>
        <v>#REF!</v>
      </c>
      <c r="CN207" s="15" t="e">
        <f t="shared" si="192"/>
        <v>#REF!</v>
      </c>
      <c r="CO207" s="14" t="e">
        <f>DL207+DISTRIBUSI!#REF!-'PEMAKAIAN UNIT'!O204</f>
        <v>#REF!</v>
      </c>
      <c r="CP207" s="15" t="e">
        <f t="shared" si="193"/>
        <v>#REF!</v>
      </c>
      <c r="CQ207" s="226">
        <f t="shared" si="194"/>
        <v>0</v>
      </c>
      <c r="CR207" s="226">
        <f>DISTRIBUSI!R205</f>
        <v>0</v>
      </c>
      <c r="CS207" s="226">
        <f>'PEMAKAIAN UNIT'!P204</f>
        <v>0</v>
      </c>
      <c r="CT207" s="14">
        <f t="shared" si="195"/>
        <v>0</v>
      </c>
      <c r="CU207" s="15">
        <f t="shared" si="196"/>
        <v>0</v>
      </c>
      <c r="CV207" s="14" t="e">
        <f>DN207+DISTRIBUSI!#REF!-'PEMAKAIAN UNIT'!Q204</f>
        <v>#REF!</v>
      </c>
      <c r="CW207" s="15" t="e">
        <f t="shared" si="197"/>
        <v>#REF!</v>
      </c>
      <c r="CX207" s="14">
        <f>DO207+'LPLPO PROGRAM'!E36-'LPLPO PROGRAM'!G36</f>
        <v>0</v>
      </c>
      <c r="CY207" s="15">
        <f t="shared" si="198"/>
        <v>0</v>
      </c>
      <c r="CZ207" s="28"/>
      <c r="DA207" s="14">
        <v>0</v>
      </c>
      <c r="DB207" s="14">
        <v>0</v>
      </c>
      <c r="DC207" s="14">
        <v>0</v>
      </c>
      <c r="DD207" s="14">
        <v>0</v>
      </c>
      <c r="DE207" s="14">
        <v>0</v>
      </c>
      <c r="DF207" s="14">
        <v>0</v>
      </c>
      <c r="DG207" s="14">
        <v>0</v>
      </c>
      <c r="DH207" s="14">
        <v>0</v>
      </c>
      <c r="DI207" s="14">
        <v>0</v>
      </c>
      <c r="DJ207" s="14">
        <v>0</v>
      </c>
      <c r="DK207" s="14">
        <v>0</v>
      </c>
      <c r="DL207" s="14">
        <v>0</v>
      </c>
      <c r="DM207" s="14">
        <v>0</v>
      </c>
      <c r="DN207" s="14">
        <v>0</v>
      </c>
      <c r="DO207" s="14">
        <v>0</v>
      </c>
      <c r="DP207" s="13">
        <f t="shared" si="151"/>
        <v>0</v>
      </c>
      <c r="DU207" s="20" t="e">
        <f t="shared" si="210"/>
        <v>#REF!</v>
      </c>
    </row>
    <row r="208" spans="1:125" customFormat="1" ht="20.149999999999999" customHeight="1" x14ac:dyDescent="0.35">
      <c r="A208" s="205">
        <v>24</v>
      </c>
      <c r="B208" s="183" t="s">
        <v>428</v>
      </c>
      <c r="C208" s="144" t="s">
        <v>6</v>
      </c>
      <c r="D208" s="14">
        <v>0</v>
      </c>
      <c r="E208" s="254">
        <f>'LPLPO PROGRAM'!E37</f>
        <v>0</v>
      </c>
      <c r="F208" s="254">
        <f t="shared" si="199"/>
        <v>0</v>
      </c>
      <c r="G208" s="254">
        <f>'PEMAKAIAN UNIT'!R205</f>
        <v>0</v>
      </c>
      <c r="H208" s="14">
        <v>0</v>
      </c>
      <c r="I208" s="14">
        <v>0</v>
      </c>
      <c r="J208" s="14">
        <v>0</v>
      </c>
      <c r="K208" s="14"/>
      <c r="L208" s="14"/>
      <c r="M208" s="14"/>
      <c r="N208" s="14"/>
      <c r="O208" s="14"/>
      <c r="P208" s="14"/>
      <c r="Q208" s="14"/>
      <c r="R208" s="14"/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09">
        <f t="shared" si="200"/>
        <v>0</v>
      </c>
      <c r="Z208" s="109" t="e">
        <f t="shared" si="201"/>
        <v>#REF!</v>
      </c>
      <c r="AA208" s="109" t="e">
        <f t="shared" si="202"/>
        <v>#REF!</v>
      </c>
      <c r="AB208" s="14">
        <v>0</v>
      </c>
      <c r="AC208" s="109" t="e">
        <f t="shared" si="203"/>
        <v>#REF!</v>
      </c>
      <c r="AD208" s="109">
        <f>'LPLPO PROGRAM'!H37</f>
        <v>0</v>
      </c>
      <c r="AE208" s="111" t="e">
        <f t="shared" si="204"/>
        <v>#REF!</v>
      </c>
      <c r="AF208" s="212"/>
      <c r="AG208" s="212"/>
      <c r="AH208" s="20"/>
      <c r="AI208" s="14">
        <f t="shared" si="208"/>
        <v>0</v>
      </c>
      <c r="AJ208" s="209" t="e">
        <f t="shared" si="209"/>
        <v>#REF!</v>
      </c>
      <c r="AL208" s="14">
        <f t="shared" si="160"/>
        <v>0</v>
      </c>
      <c r="AM208" s="14">
        <f>DISTRIBUSI!D206</f>
        <v>0</v>
      </c>
      <c r="AN208" s="14">
        <f>'PEMAKAIAN UNIT'!D205</f>
        <v>0</v>
      </c>
      <c r="AO208" s="14">
        <f t="shared" si="161"/>
        <v>0</v>
      </c>
      <c r="AP208" s="15">
        <f t="shared" si="162"/>
        <v>0</v>
      </c>
      <c r="AQ208" s="14">
        <f t="shared" si="163"/>
        <v>0</v>
      </c>
      <c r="AR208" s="14">
        <f>DISTRIBUSI!E206</f>
        <v>0</v>
      </c>
      <c r="AS208" s="14">
        <f>'PEMAKAIAN UNIT'!E205</f>
        <v>0</v>
      </c>
      <c r="AT208" s="14">
        <f t="shared" si="164"/>
        <v>0</v>
      </c>
      <c r="AU208" s="15">
        <f t="shared" si="165"/>
        <v>0</v>
      </c>
      <c r="AV208" s="14">
        <f t="shared" si="166"/>
        <v>0</v>
      </c>
      <c r="AW208" s="14">
        <f>DISTRIBUSI!F206</f>
        <v>0</v>
      </c>
      <c r="AX208" s="14">
        <f>'PEMAKAIAN UNIT'!F205</f>
        <v>0</v>
      </c>
      <c r="AY208" s="14">
        <f t="shared" si="167"/>
        <v>0</v>
      </c>
      <c r="AZ208" s="15">
        <f t="shared" si="168"/>
        <v>0</v>
      </c>
      <c r="BA208" s="14">
        <f t="shared" si="169"/>
        <v>0</v>
      </c>
      <c r="BB208" s="14">
        <f>DISTRIBUSI!G206</f>
        <v>0</v>
      </c>
      <c r="BC208" s="14">
        <f>'PEMAKAIAN UNIT'!G205</f>
        <v>0</v>
      </c>
      <c r="BD208" s="14">
        <f t="shared" si="170"/>
        <v>0</v>
      </c>
      <c r="BE208" s="15">
        <f t="shared" si="171"/>
        <v>0</v>
      </c>
      <c r="BF208" s="14">
        <f t="shared" si="172"/>
        <v>0</v>
      </c>
      <c r="BG208" s="14">
        <f>DISTRIBUSI!H206</f>
        <v>0</v>
      </c>
      <c r="BH208" s="14">
        <f>'PEMAKAIAN UNIT'!H205</f>
        <v>0</v>
      </c>
      <c r="BI208" s="14">
        <f t="shared" si="173"/>
        <v>0</v>
      </c>
      <c r="BJ208" s="15">
        <f t="shared" si="174"/>
        <v>0</v>
      </c>
      <c r="BK208" s="14">
        <f t="shared" si="175"/>
        <v>0</v>
      </c>
      <c r="BL208" s="14">
        <f>DISTRIBUSI!I206</f>
        <v>0</v>
      </c>
      <c r="BM208" s="14">
        <f>'PEMAKAIAN UNIT'!I205</f>
        <v>0</v>
      </c>
      <c r="BN208" s="14">
        <f t="shared" si="176"/>
        <v>0</v>
      </c>
      <c r="BO208" s="15">
        <f t="shared" si="177"/>
        <v>0</v>
      </c>
      <c r="BP208" s="14">
        <f t="shared" si="178"/>
        <v>0</v>
      </c>
      <c r="BQ208" s="14">
        <f>DISTRIBUSI!J206</f>
        <v>0</v>
      </c>
      <c r="BR208" s="14">
        <f>'PEMAKAIAN UNIT'!J205</f>
        <v>0</v>
      </c>
      <c r="BS208" s="14">
        <f t="shared" si="179"/>
        <v>0</v>
      </c>
      <c r="BT208" s="15">
        <f t="shared" si="180"/>
        <v>0</v>
      </c>
      <c r="BU208" s="14">
        <f t="shared" si="181"/>
        <v>0</v>
      </c>
      <c r="BV208" s="14">
        <f>DISTRIBUSI!K206</f>
        <v>0</v>
      </c>
      <c r="BW208" s="14">
        <f>'PEMAKAIAN UNIT'!K205</f>
        <v>0</v>
      </c>
      <c r="BX208" s="14">
        <f t="shared" si="182"/>
        <v>0</v>
      </c>
      <c r="BY208" s="15">
        <f t="shared" si="183"/>
        <v>0</v>
      </c>
      <c r="BZ208" s="14">
        <f t="shared" si="184"/>
        <v>0</v>
      </c>
      <c r="CA208" s="14">
        <f>DISTRIBUSI!L206</f>
        <v>0</v>
      </c>
      <c r="CB208" s="14">
        <f>'PEMAKAIAN UNIT'!L205</f>
        <v>0</v>
      </c>
      <c r="CC208" s="14">
        <f t="shared" si="185"/>
        <v>0</v>
      </c>
      <c r="CD208" s="15">
        <f t="shared" si="186"/>
        <v>0</v>
      </c>
      <c r="CE208" s="14">
        <f t="shared" si="187"/>
        <v>0</v>
      </c>
      <c r="CF208" s="14">
        <f>DISTRIBUSI!M206</f>
        <v>0</v>
      </c>
      <c r="CG208" s="14">
        <f>'PEMAKAIAN UNIT'!M205</f>
        <v>0</v>
      </c>
      <c r="CH208" s="14">
        <f t="shared" si="188"/>
        <v>0</v>
      </c>
      <c r="CI208" s="15">
        <f t="shared" si="189"/>
        <v>0</v>
      </c>
      <c r="CJ208" s="14">
        <f t="shared" si="190"/>
        <v>0</v>
      </c>
      <c r="CK208" s="14" t="e">
        <f>DISTRIBUSI!#REF!</f>
        <v>#REF!</v>
      </c>
      <c r="CL208" s="14">
        <f>'PEMAKAIAN UNIT'!N205</f>
        <v>0</v>
      </c>
      <c r="CM208" s="14" t="e">
        <f t="shared" si="191"/>
        <v>#REF!</v>
      </c>
      <c r="CN208" s="15" t="e">
        <f t="shared" si="192"/>
        <v>#REF!</v>
      </c>
      <c r="CO208" s="14" t="e">
        <f>DL208+DISTRIBUSI!#REF!-'PEMAKAIAN UNIT'!O205</f>
        <v>#REF!</v>
      </c>
      <c r="CP208" s="15" t="e">
        <f t="shared" si="193"/>
        <v>#REF!</v>
      </c>
      <c r="CQ208" s="226">
        <f t="shared" si="194"/>
        <v>0</v>
      </c>
      <c r="CR208" s="226">
        <f>DISTRIBUSI!R206</f>
        <v>0</v>
      </c>
      <c r="CS208" s="226">
        <f>'PEMAKAIAN UNIT'!P205</f>
        <v>0</v>
      </c>
      <c r="CT208" s="14">
        <f t="shared" si="195"/>
        <v>0</v>
      </c>
      <c r="CU208" s="15">
        <f t="shared" si="196"/>
        <v>0</v>
      </c>
      <c r="CV208" s="14" t="e">
        <f>DN208+DISTRIBUSI!#REF!-'PEMAKAIAN UNIT'!Q205</f>
        <v>#REF!</v>
      </c>
      <c r="CW208" s="15" t="e">
        <f t="shared" si="197"/>
        <v>#REF!</v>
      </c>
      <c r="CX208" s="14">
        <f>DO208+'LPLPO PROGRAM'!E37-'LPLPO PROGRAM'!G37</f>
        <v>0</v>
      </c>
      <c r="CY208" s="15">
        <f t="shared" si="198"/>
        <v>0</v>
      </c>
      <c r="CZ208" s="28"/>
      <c r="DA208" s="14">
        <v>0</v>
      </c>
      <c r="DB208" s="14">
        <v>0</v>
      </c>
      <c r="DC208" s="14">
        <v>0</v>
      </c>
      <c r="DD208" s="14">
        <v>0</v>
      </c>
      <c r="DE208" s="14">
        <v>0</v>
      </c>
      <c r="DF208" s="14">
        <v>0</v>
      </c>
      <c r="DG208" s="14">
        <v>0</v>
      </c>
      <c r="DH208" s="14">
        <v>0</v>
      </c>
      <c r="DI208" s="14">
        <v>0</v>
      </c>
      <c r="DJ208" s="14">
        <v>0</v>
      </c>
      <c r="DK208" s="14">
        <v>0</v>
      </c>
      <c r="DL208" s="14">
        <v>0</v>
      </c>
      <c r="DM208" s="14">
        <v>0</v>
      </c>
      <c r="DN208" s="14">
        <v>0</v>
      </c>
      <c r="DO208" s="14">
        <v>0</v>
      </c>
      <c r="DP208" s="13">
        <f t="shared" si="151"/>
        <v>0</v>
      </c>
      <c r="DU208" s="20" t="e">
        <f t="shared" si="210"/>
        <v>#REF!</v>
      </c>
    </row>
    <row r="209" spans="1:125" customFormat="1" ht="20.149999999999999" customHeight="1" x14ac:dyDescent="0.35">
      <c r="A209" s="205">
        <v>25</v>
      </c>
      <c r="B209" s="183" t="s">
        <v>429</v>
      </c>
      <c r="C209" s="144" t="s">
        <v>48</v>
      </c>
      <c r="D209" s="14">
        <v>0</v>
      </c>
      <c r="E209" s="254">
        <f>'LPLPO PROGRAM'!E38</f>
        <v>409</v>
      </c>
      <c r="F209" s="254">
        <f t="shared" si="199"/>
        <v>409</v>
      </c>
      <c r="G209" s="254">
        <f>'PEMAKAIAN UNIT'!R206</f>
        <v>0</v>
      </c>
      <c r="H209" s="14">
        <v>2</v>
      </c>
      <c r="I209" s="14">
        <v>0</v>
      </c>
      <c r="J209" s="14">
        <v>0</v>
      </c>
      <c r="K209" s="14"/>
      <c r="L209" s="14"/>
      <c r="M209" s="14"/>
      <c r="N209" s="14"/>
      <c r="O209" s="14"/>
      <c r="P209" s="14"/>
      <c r="Q209" s="14"/>
      <c r="R209" s="14"/>
      <c r="S209" s="14">
        <v>0</v>
      </c>
      <c r="T209" s="14">
        <v>0</v>
      </c>
      <c r="U209" s="14">
        <v>1</v>
      </c>
      <c r="V209" s="14">
        <v>0</v>
      </c>
      <c r="W209" s="14">
        <v>2</v>
      </c>
      <c r="X209" s="14">
        <v>0</v>
      </c>
      <c r="Y209" s="109">
        <f t="shared" si="200"/>
        <v>0</v>
      </c>
      <c r="Z209" s="109" t="e">
        <f t="shared" si="201"/>
        <v>#REF!</v>
      </c>
      <c r="AA209" s="109" t="e">
        <f t="shared" si="202"/>
        <v>#REF!</v>
      </c>
      <c r="AB209" s="14">
        <v>0</v>
      </c>
      <c r="AC209" s="109" t="e">
        <f t="shared" si="203"/>
        <v>#REF!</v>
      </c>
      <c r="AD209" s="109">
        <f>'LPLPO PROGRAM'!H38</f>
        <v>362</v>
      </c>
      <c r="AE209" s="111" t="e">
        <f t="shared" si="204"/>
        <v>#REF!</v>
      </c>
      <c r="AF209" s="212"/>
      <c r="AG209" s="212"/>
      <c r="AH209" s="20"/>
      <c r="AI209" s="14">
        <f t="shared" si="208"/>
        <v>409</v>
      </c>
      <c r="AJ209" s="209" t="e">
        <f t="shared" si="209"/>
        <v>#REF!</v>
      </c>
      <c r="AL209" s="14">
        <f t="shared" si="160"/>
        <v>0</v>
      </c>
      <c r="AM209" s="14">
        <f>DISTRIBUSI!D207</f>
        <v>0</v>
      </c>
      <c r="AN209" s="14">
        <f>'PEMAKAIAN UNIT'!D206</f>
        <v>0</v>
      </c>
      <c r="AO209" s="14">
        <f t="shared" si="161"/>
        <v>0</v>
      </c>
      <c r="AP209" s="15">
        <f t="shared" si="162"/>
        <v>-2</v>
      </c>
      <c r="AQ209" s="14">
        <f t="shared" si="163"/>
        <v>0</v>
      </c>
      <c r="AR209" s="14">
        <f>DISTRIBUSI!E207</f>
        <v>0</v>
      </c>
      <c r="AS209" s="14">
        <f>'PEMAKAIAN UNIT'!E206</f>
        <v>0</v>
      </c>
      <c r="AT209" s="14">
        <f t="shared" si="164"/>
        <v>0</v>
      </c>
      <c r="AU209" s="15">
        <f t="shared" si="165"/>
        <v>0</v>
      </c>
      <c r="AV209" s="14">
        <f t="shared" si="166"/>
        <v>0</v>
      </c>
      <c r="AW209" s="14">
        <f>DISTRIBUSI!F207</f>
        <v>0</v>
      </c>
      <c r="AX209" s="14">
        <f>'PEMAKAIAN UNIT'!F206</f>
        <v>0</v>
      </c>
      <c r="AY209" s="14">
        <f t="shared" si="167"/>
        <v>0</v>
      </c>
      <c r="AZ209" s="15">
        <f t="shared" si="168"/>
        <v>0</v>
      </c>
      <c r="BA209" s="14">
        <f t="shared" si="169"/>
        <v>0</v>
      </c>
      <c r="BB209" s="14">
        <f>DISTRIBUSI!G207</f>
        <v>0</v>
      </c>
      <c r="BC209" s="14">
        <f>'PEMAKAIAN UNIT'!G206</f>
        <v>0</v>
      </c>
      <c r="BD209" s="14">
        <f t="shared" si="170"/>
        <v>0</v>
      </c>
      <c r="BE209" s="15">
        <f t="shared" si="171"/>
        <v>0</v>
      </c>
      <c r="BF209" s="14">
        <f t="shared" si="172"/>
        <v>0</v>
      </c>
      <c r="BG209" s="14">
        <f>DISTRIBUSI!H207</f>
        <v>0</v>
      </c>
      <c r="BH209" s="14">
        <f>'PEMAKAIAN UNIT'!H206</f>
        <v>0</v>
      </c>
      <c r="BI209" s="14">
        <f t="shared" si="173"/>
        <v>0</v>
      </c>
      <c r="BJ209" s="15">
        <f t="shared" si="174"/>
        <v>0</v>
      </c>
      <c r="BK209" s="14">
        <f t="shared" si="175"/>
        <v>0</v>
      </c>
      <c r="BL209" s="14">
        <f>DISTRIBUSI!I207</f>
        <v>0</v>
      </c>
      <c r="BM209" s="14">
        <f>'PEMAKAIAN UNIT'!I206</f>
        <v>0</v>
      </c>
      <c r="BN209" s="14">
        <f t="shared" si="176"/>
        <v>0</v>
      </c>
      <c r="BO209" s="15">
        <f t="shared" si="177"/>
        <v>-1</v>
      </c>
      <c r="BP209" s="14">
        <f t="shared" si="178"/>
        <v>0</v>
      </c>
      <c r="BQ209" s="14">
        <f>DISTRIBUSI!J207</f>
        <v>0</v>
      </c>
      <c r="BR209" s="14">
        <f>'PEMAKAIAN UNIT'!J206</f>
        <v>0</v>
      </c>
      <c r="BS209" s="14">
        <f t="shared" si="179"/>
        <v>0</v>
      </c>
      <c r="BT209" s="15">
        <f t="shared" si="180"/>
        <v>0</v>
      </c>
      <c r="BU209" s="14">
        <f t="shared" si="181"/>
        <v>0</v>
      </c>
      <c r="BV209" s="14">
        <f>DISTRIBUSI!K207</f>
        <v>0</v>
      </c>
      <c r="BW209" s="14">
        <f>'PEMAKAIAN UNIT'!K206</f>
        <v>0</v>
      </c>
      <c r="BX209" s="14">
        <f t="shared" si="182"/>
        <v>0</v>
      </c>
      <c r="BY209" s="15">
        <f t="shared" si="183"/>
        <v>-2</v>
      </c>
      <c r="BZ209" s="14">
        <f t="shared" si="184"/>
        <v>0</v>
      </c>
      <c r="CA209" s="14">
        <f>DISTRIBUSI!L207</f>
        <v>0</v>
      </c>
      <c r="CB209" s="14">
        <f>'PEMAKAIAN UNIT'!L206</f>
        <v>0</v>
      </c>
      <c r="CC209" s="14">
        <f t="shared" si="185"/>
        <v>0</v>
      </c>
      <c r="CD209" s="15">
        <f t="shared" si="186"/>
        <v>0</v>
      </c>
      <c r="CE209" s="14">
        <f t="shared" si="187"/>
        <v>0</v>
      </c>
      <c r="CF209" s="14">
        <f>DISTRIBUSI!M207</f>
        <v>0</v>
      </c>
      <c r="CG209" s="14">
        <f>'PEMAKAIAN UNIT'!M206</f>
        <v>0</v>
      </c>
      <c r="CH209" s="14">
        <f t="shared" si="188"/>
        <v>0</v>
      </c>
      <c r="CI209" s="15">
        <f t="shared" si="189"/>
        <v>0</v>
      </c>
      <c r="CJ209" s="14">
        <f t="shared" si="190"/>
        <v>0</v>
      </c>
      <c r="CK209" s="14" t="e">
        <f>DISTRIBUSI!#REF!</f>
        <v>#REF!</v>
      </c>
      <c r="CL209" s="14">
        <f>'PEMAKAIAN UNIT'!N206</f>
        <v>0</v>
      </c>
      <c r="CM209" s="14" t="e">
        <f t="shared" si="191"/>
        <v>#REF!</v>
      </c>
      <c r="CN209" s="15" t="e">
        <f t="shared" si="192"/>
        <v>#REF!</v>
      </c>
      <c r="CO209" s="14" t="e">
        <f>DL209+DISTRIBUSI!#REF!-'PEMAKAIAN UNIT'!O206</f>
        <v>#REF!</v>
      </c>
      <c r="CP209" s="15" t="e">
        <f t="shared" si="193"/>
        <v>#REF!</v>
      </c>
      <c r="CQ209" s="226">
        <f t="shared" si="194"/>
        <v>0</v>
      </c>
      <c r="CR209" s="226">
        <f>DISTRIBUSI!R207</f>
        <v>47</v>
      </c>
      <c r="CS209" s="226">
        <f>'PEMAKAIAN UNIT'!P206</f>
        <v>0</v>
      </c>
      <c r="CT209" s="14">
        <f t="shared" si="195"/>
        <v>47</v>
      </c>
      <c r="CU209" s="15">
        <f t="shared" si="196"/>
        <v>47</v>
      </c>
      <c r="CV209" s="14" t="e">
        <f>DN209+DISTRIBUSI!#REF!-'PEMAKAIAN UNIT'!Q206</f>
        <v>#REF!</v>
      </c>
      <c r="CW209" s="15" t="e">
        <f t="shared" si="197"/>
        <v>#REF!</v>
      </c>
      <c r="CX209" s="14">
        <f>DO209+'LPLPO PROGRAM'!E38-'LPLPO PROGRAM'!G38</f>
        <v>370</v>
      </c>
      <c r="CY209" s="15">
        <f t="shared" si="198"/>
        <v>8</v>
      </c>
      <c r="CZ209" s="28"/>
      <c r="DA209" s="14">
        <v>0</v>
      </c>
      <c r="DB209" s="14">
        <v>0</v>
      </c>
      <c r="DC209" s="14">
        <v>0</v>
      </c>
      <c r="DD209" s="14">
        <v>0</v>
      </c>
      <c r="DE209" s="14">
        <v>0</v>
      </c>
      <c r="DF209" s="14">
        <v>0</v>
      </c>
      <c r="DG209" s="14">
        <v>0</v>
      </c>
      <c r="DH209" s="14">
        <v>0</v>
      </c>
      <c r="DI209" s="14">
        <v>0</v>
      </c>
      <c r="DJ209" s="14">
        <v>0</v>
      </c>
      <c r="DK209" s="14">
        <v>0</v>
      </c>
      <c r="DL209" s="14">
        <v>0</v>
      </c>
      <c r="DM209" s="14">
        <v>0</v>
      </c>
      <c r="DN209" s="14">
        <v>0</v>
      </c>
      <c r="DO209" s="14">
        <v>8</v>
      </c>
      <c r="DP209" s="13">
        <f t="shared" si="151"/>
        <v>8</v>
      </c>
      <c r="DU209" s="20" t="e">
        <f t="shared" si="210"/>
        <v>#REF!</v>
      </c>
    </row>
    <row r="210" spans="1:125" customFormat="1" ht="20.149999999999999" customHeight="1" x14ac:dyDescent="0.35">
      <c r="A210" s="205">
        <v>26</v>
      </c>
      <c r="B210" s="178" t="s">
        <v>430</v>
      </c>
      <c r="C210" s="144" t="s">
        <v>188</v>
      </c>
      <c r="D210" s="14">
        <v>0</v>
      </c>
      <c r="E210" s="254">
        <f>'LPLPO PROGRAM'!E39</f>
        <v>0</v>
      </c>
      <c r="F210" s="254">
        <f t="shared" si="199"/>
        <v>0</v>
      </c>
      <c r="G210" s="254">
        <f>'PEMAKAIAN UNIT'!R207</f>
        <v>0</v>
      </c>
      <c r="H210" s="14">
        <v>2</v>
      </c>
      <c r="I210" s="14">
        <v>0</v>
      </c>
      <c r="J210" s="14">
        <v>0</v>
      </c>
      <c r="K210" s="14"/>
      <c r="L210" s="14"/>
      <c r="M210" s="14"/>
      <c r="N210" s="14"/>
      <c r="O210" s="14"/>
      <c r="P210" s="14"/>
      <c r="Q210" s="14"/>
      <c r="R210" s="14"/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09">
        <f t="shared" si="200"/>
        <v>0</v>
      </c>
      <c r="Z210" s="109" t="e">
        <f t="shared" si="201"/>
        <v>#REF!</v>
      </c>
      <c r="AA210" s="109" t="e">
        <f t="shared" si="202"/>
        <v>#REF!</v>
      </c>
      <c r="AB210" s="14">
        <v>0</v>
      </c>
      <c r="AC210" s="109" t="e">
        <f t="shared" si="203"/>
        <v>#REF!</v>
      </c>
      <c r="AD210" s="109">
        <f>'LPLPO PROGRAM'!H39</f>
        <v>0</v>
      </c>
      <c r="AE210" s="111" t="e">
        <f t="shared" si="204"/>
        <v>#REF!</v>
      </c>
      <c r="AF210" s="212"/>
      <c r="AG210" s="212"/>
      <c r="AH210" s="20"/>
      <c r="AI210" s="14">
        <f t="shared" si="208"/>
        <v>0</v>
      </c>
      <c r="AJ210" s="209" t="e">
        <f t="shared" si="209"/>
        <v>#REF!</v>
      </c>
      <c r="AL210" s="14">
        <f t="shared" si="160"/>
        <v>0</v>
      </c>
      <c r="AM210" s="14">
        <f>DISTRIBUSI!D208</f>
        <v>0</v>
      </c>
      <c r="AN210" s="14">
        <f>'PEMAKAIAN UNIT'!D207</f>
        <v>0</v>
      </c>
      <c r="AO210" s="14">
        <f t="shared" si="161"/>
        <v>0</v>
      </c>
      <c r="AP210" s="15">
        <f t="shared" si="162"/>
        <v>-2</v>
      </c>
      <c r="AQ210" s="14">
        <f t="shared" si="163"/>
        <v>0</v>
      </c>
      <c r="AR210" s="14">
        <f>DISTRIBUSI!E208</f>
        <v>0</v>
      </c>
      <c r="AS210" s="14">
        <f>'PEMAKAIAN UNIT'!E207</f>
        <v>0</v>
      </c>
      <c r="AT210" s="14">
        <f t="shared" si="164"/>
        <v>0</v>
      </c>
      <c r="AU210" s="15">
        <f t="shared" si="165"/>
        <v>0</v>
      </c>
      <c r="AV210" s="14">
        <f t="shared" si="166"/>
        <v>0</v>
      </c>
      <c r="AW210" s="14">
        <f>DISTRIBUSI!F208</f>
        <v>0</v>
      </c>
      <c r="AX210" s="14">
        <f>'PEMAKAIAN UNIT'!F207</f>
        <v>0</v>
      </c>
      <c r="AY210" s="14">
        <f t="shared" si="167"/>
        <v>0</v>
      </c>
      <c r="AZ210" s="15">
        <f t="shared" si="168"/>
        <v>0</v>
      </c>
      <c r="BA210" s="14">
        <f t="shared" si="169"/>
        <v>0</v>
      </c>
      <c r="BB210" s="14">
        <f>DISTRIBUSI!G208</f>
        <v>0</v>
      </c>
      <c r="BC210" s="14">
        <f>'PEMAKAIAN UNIT'!G207</f>
        <v>0</v>
      </c>
      <c r="BD210" s="14">
        <f t="shared" si="170"/>
        <v>0</v>
      </c>
      <c r="BE210" s="15">
        <f t="shared" si="171"/>
        <v>0</v>
      </c>
      <c r="BF210" s="14">
        <f t="shared" si="172"/>
        <v>0</v>
      </c>
      <c r="BG210" s="14">
        <f>DISTRIBUSI!H208</f>
        <v>0</v>
      </c>
      <c r="BH210" s="14">
        <f>'PEMAKAIAN UNIT'!H207</f>
        <v>0</v>
      </c>
      <c r="BI210" s="14">
        <f t="shared" si="173"/>
        <v>0</v>
      </c>
      <c r="BJ210" s="15">
        <f t="shared" si="174"/>
        <v>0</v>
      </c>
      <c r="BK210" s="14">
        <f t="shared" si="175"/>
        <v>0</v>
      </c>
      <c r="BL210" s="14">
        <f>DISTRIBUSI!I208</f>
        <v>0</v>
      </c>
      <c r="BM210" s="14">
        <f>'PEMAKAIAN UNIT'!I207</f>
        <v>0</v>
      </c>
      <c r="BN210" s="14">
        <f t="shared" si="176"/>
        <v>0</v>
      </c>
      <c r="BO210" s="15">
        <f t="shared" si="177"/>
        <v>0</v>
      </c>
      <c r="BP210" s="14">
        <f t="shared" si="178"/>
        <v>0</v>
      </c>
      <c r="BQ210" s="14">
        <f>DISTRIBUSI!J208</f>
        <v>0</v>
      </c>
      <c r="BR210" s="14">
        <f>'PEMAKAIAN UNIT'!J207</f>
        <v>0</v>
      </c>
      <c r="BS210" s="14">
        <f t="shared" si="179"/>
        <v>0</v>
      </c>
      <c r="BT210" s="15">
        <f t="shared" si="180"/>
        <v>0</v>
      </c>
      <c r="BU210" s="14">
        <f t="shared" si="181"/>
        <v>0</v>
      </c>
      <c r="BV210" s="14">
        <f>DISTRIBUSI!K208</f>
        <v>0</v>
      </c>
      <c r="BW210" s="14">
        <f>'PEMAKAIAN UNIT'!K207</f>
        <v>0</v>
      </c>
      <c r="BX210" s="14">
        <f t="shared" si="182"/>
        <v>0</v>
      </c>
      <c r="BY210" s="15">
        <f t="shared" si="183"/>
        <v>0</v>
      </c>
      <c r="BZ210" s="14">
        <f t="shared" si="184"/>
        <v>0</v>
      </c>
      <c r="CA210" s="14">
        <f>DISTRIBUSI!L208</f>
        <v>0</v>
      </c>
      <c r="CB210" s="14">
        <f>'PEMAKAIAN UNIT'!L207</f>
        <v>0</v>
      </c>
      <c r="CC210" s="14">
        <f t="shared" si="185"/>
        <v>0</v>
      </c>
      <c r="CD210" s="15">
        <f t="shared" si="186"/>
        <v>0</v>
      </c>
      <c r="CE210" s="14">
        <f t="shared" si="187"/>
        <v>0</v>
      </c>
      <c r="CF210" s="14">
        <f>DISTRIBUSI!M208</f>
        <v>0</v>
      </c>
      <c r="CG210" s="14">
        <f>'PEMAKAIAN UNIT'!M207</f>
        <v>0</v>
      </c>
      <c r="CH210" s="14">
        <f t="shared" si="188"/>
        <v>0</v>
      </c>
      <c r="CI210" s="15">
        <f t="shared" si="189"/>
        <v>0</v>
      </c>
      <c r="CJ210" s="14">
        <f t="shared" si="190"/>
        <v>0</v>
      </c>
      <c r="CK210" s="14" t="e">
        <f>DISTRIBUSI!#REF!</f>
        <v>#REF!</v>
      </c>
      <c r="CL210" s="14">
        <f>'PEMAKAIAN UNIT'!N207</f>
        <v>0</v>
      </c>
      <c r="CM210" s="14" t="e">
        <f t="shared" si="191"/>
        <v>#REF!</v>
      </c>
      <c r="CN210" s="15" t="e">
        <f t="shared" si="192"/>
        <v>#REF!</v>
      </c>
      <c r="CO210" s="14" t="e">
        <f>DL210+DISTRIBUSI!#REF!-'PEMAKAIAN UNIT'!O207</f>
        <v>#REF!</v>
      </c>
      <c r="CP210" s="15" t="e">
        <f t="shared" si="193"/>
        <v>#REF!</v>
      </c>
      <c r="CQ210" s="226">
        <f t="shared" si="194"/>
        <v>0</v>
      </c>
      <c r="CR210" s="226">
        <f>DISTRIBUSI!R208</f>
        <v>0</v>
      </c>
      <c r="CS210" s="226">
        <f>'PEMAKAIAN UNIT'!P207</f>
        <v>0</v>
      </c>
      <c r="CT210" s="14">
        <f t="shared" si="195"/>
        <v>0</v>
      </c>
      <c r="CU210" s="15">
        <f t="shared" si="196"/>
        <v>0</v>
      </c>
      <c r="CV210" s="14" t="e">
        <f>DN210+DISTRIBUSI!#REF!-'PEMAKAIAN UNIT'!Q207</f>
        <v>#REF!</v>
      </c>
      <c r="CW210" s="15" t="e">
        <f t="shared" si="197"/>
        <v>#REF!</v>
      </c>
      <c r="CX210" s="14">
        <f>DO210+'LPLPO PROGRAM'!E39-'LPLPO PROGRAM'!G39</f>
        <v>0</v>
      </c>
      <c r="CY210" s="15">
        <f t="shared" si="198"/>
        <v>0</v>
      </c>
      <c r="CZ210" s="28"/>
      <c r="DA210" s="14">
        <v>0</v>
      </c>
      <c r="DB210" s="14">
        <v>0</v>
      </c>
      <c r="DC210" s="14">
        <v>0</v>
      </c>
      <c r="DD210" s="14">
        <v>0</v>
      </c>
      <c r="DE210" s="14">
        <v>0</v>
      </c>
      <c r="DF210" s="14">
        <v>0</v>
      </c>
      <c r="DG210" s="14">
        <v>0</v>
      </c>
      <c r="DH210" s="14">
        <v>0</v>
      </c>
      <c r="DI210" s="14">
        <v>0</v>
      </c>
      <c r="DJ210" s="14">
        <v>0</v>
      </c>
      <c r="DK210" s="14">
        <v>0</v>
      </c>
      <c r="DL210" s="14">
        <v>0</v>
      </c>
      <c r="DM210" s="14">
        <v>0</v>
      </c>
      <c r="DN210" s="14">
        <v>0</v>
      </c>
      <c r="DO210" s="14">
        <v>0</v>
      </c>
      <c r="DP210" s="13">
        <f t="shared" si="151"/>
        <v>0</v>
      </c>
      <c r="DU210" s="20" t="e">
        <f t="shared" si="210"/>
        <v>#REF!</v>
      </c>
    </row>
    <row r="211" spans="1:125" customFormat="1" ht="20.149999999999999" customHeight="1" x14ac:dyDescent="0.35">
      <c r="A211" s="205">
        <v>27</v>
      </c>
      <c r="B211" s="184"/>
      <c r="C211" s="144"/>
      <c r="D211" s="14">
        <v>0</v>
      </c>
      <c r="E211" s="254">
        <f>'LPLPO PROGRAM'!E40</f>
        <v>0</v>
      </c>
      <c r="F211" s="254">
        <f t="shared" si="199"/>
        <v>0</v>
      </c>
      <c r="G211" s="254">
        <f>'PEMAKAIAN UNIT'!R208</f>
        <v>0</v>
      </c>
      <c r="H211" s="14">
        <v>0</v>
      </c>
      <c r="I211" s="14">
        <v>0</v>
      </c>
      <c r="J211" s="14">
        <v>0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09">
        <f t="shared" si="200"/>
        <v>0</v>
      </c>
      <c r="Z211" s="109" t="e">
        <f t="shared" si="201"/>
        <v>#REF!</v>
      </c>
      <c r="AA211" s="109" t="e">
        <f t="shared" si="202"/>
        <v>#REF!</v>
      </c>
      <c r="AB211" s="14">
        <v>0</v>
      </c>
      <c r="AC211" s="109" t="e">
        <f t="shared" si="203"/>
        <v>#REF!</v>
      </c>
      <c r="AD211" s="109">
        <f>'LPLPO PROGRAM'!H40</f>
        <v>0</v>
      </c>
      <c r="AE211" s="111" t="e">
        <f t="shared" si="204"/>
        <v>#REF!</v>
      </c>
      <c r="AF211" s="212"/>
      <c r="AG211" s="212"/>
      <c r="AH211" s="20"/>
      <c r="AI211" s="14">
        <f t="shared" si="208"/>
        <v>0</v>
      </c>
      <c r="AJ211" s="209" t="e">
        <f t="shared" si="209"/>
        <v>#REF!</v>
      </c>
      <c r="AL211" s="14">
        <f t="shared" si="160"/>
        <v>0</v>
      </c>
      <c r="AM211" s="14">
        <f>DISTRIBUSI!D209</f>
        <v>0</v>
      </c>
      <c r="AN211" s="14">
        <f>'PEMAKAIAN UNIT'!D208</f>
        <v>0</v>
      </c>
      <c r="AO211" s="14">
        <f t="shared" si="161"/>
        <v>0</v>
      </c>
      <c r="AP211" s="15">
        <f t="shared" si="162"/>
        <v>0</v>
      </c>
      <c r="AQ211" s="14">
        <f t="shared" si="163"/>
        <v>0</v>
      </c>
      <c r="AR211" s="14">
        <f>DISTRIBUSI!E209</f>
        <v>0</v>
      </c>
      <c r="AS211" s="14">
        <f>'PEMAKAIAN UNIT'!E208</f>
        <v>0</v>
      </c>
      <c r="AT211" s="14">
        <f t="shared" si="164"/>
        <v>0</v>
      </c>
      <c r="AU211" s="15">
        <f t="shared" si="165"/>
        <v>0</v>
      </c>
      <c r="AV211" s="14">
        <f t="shared" si="166"/>
        <v>0</v>
      </c>
      <c r="AW211" s="14">
        <f>DISTRIBUSI!F209</f>
        <v>0</v>
      </c>
      <c r="AX211" s="14">
        <f>'PEMAKAIAN UNIT'!F208</f>
        <v>0</v>
      </c>
      <c r="AY211" s="14">
        <f t="shared" si="167"/>
        <v>0</v>
      </c>
      <c r="AZ211" s="15">
        <f t="shared" si="168"/>
        <v>0</v>
      </c>
      <c r="BA211" s="14">
        <f t="shared" si="169"/>
        <v>0</v>
      </c>
      <c r="BB211" s="14">
        <f>DISTRIBUSI!G209</f>
        <v>0</v>
      </c>
      <c r="BC211" s="14">
        <f>'PEMAKAIAN UNIT'!G208</f>
        <v>0</v>
      </c>
      <c r="BD211" s="14">
        <f t="shared" si="170"/>
        <v>0</v>
      </c>
      <c r="BE211" s="15">
        <f t="shared" si="171"/>
        <v>0</v>
      </c>
      <c r="BF211" s="14">
        <f t="shared" si="172"/>
        <v>0</v>
      </c>
      <c r="BG211" s="14">
        <f>DISTRIBUSI!H209</f>
        <v>0</v>
      </c>
      <c r="BH211" s="14">
        <f>'PEMAKAIAN UNIT'!H208</f>
        <v>0</v>
      </c>
      <c r="BI211" s="14">
        <f t="shared" si="173"/>
        <v>0</v>
      </c>
      <c r="BJ211" s="15">
        <f t="shared" si="174"/>
        <v>0</v>
      </c>
      <c r="BK211" s="14">
        <f t="shared" si="175"/>
        <v>0</v>
      </c>
      <c r="BL211" s="14">
        <f>DISTRIBUSI!I209</f>
        <v>0</v>
      </c>
      <c r="BM211" s="14">
        <f>'PEMAKAIAN UNIT'!I208</f>
        <v>0</v>
      </c>
      <c r="BN211" s="14">
        <f t="shared" si="176"/>
        <v>0</v>
      </c>
      <c r="BO211" s="15">
        <f t="shared" si="177"/>
        <v>0</v>
      </c>
      <c r="BP211" s="14">
        <f t="shared" si="178"/>
        <v>0</v>
      </c>
      <c r="BQ211" s="14">
        <f>DISTRIBUSI!J209</f>
        <v>0</v>
      </c>
      <c r="BR211" s="14">
        <f>'PEMAKAIAN UNIT'!J208</f>
        <v>0</v>
      </c>
      <c r="BS211" s="14">
        <f t="shared" si="179"/>
        <v>0</v>
      </c>
      <c r="BT211" s="15">
        <f t="shared" si="180"/>
        <v>0</v>
      </c>
      <c r="BU211" s="14">
        <f t="shared" si="181"/>
        <v>0</v>
      </c>
      <c r="BV211" s="14">
        <f>DISTRIBUSI!K209</f>
        <v>0</v>
      </c>
      <c r="BW211" s="14">
        <f>'PEMAKAIAN UNIT'!K208</f>
        <v>0</v>
      </c>
      <c r="BX211" s="14">
        <f t="shared" si="182"/>
        <v>0</v>
      </c>
      <c r="BY211" s="15">
        <f t="shared" si="183"/>
        <v>0</v>
      </c>
      <c r="BZ211" s="14">
        <f t="shared" si="184"/>
        <v>0</v>
      </c>
      <c r="CA211" s="14">
        <f>DISTRIBUSI!L209</f>
        <v>0</v>
      </c>
      <c r="CB211" s="14">
        <f>'PEMAKAIAN UNIT'!L208</f>
        <v>0</v>
      </c>
      <c r="CC211" s="14">
        <f t="shared" si="185"/>
        <v>0</v>
      </c>
      <c r="CD211" s="15">
        <f t="shared" si="186"/>
        <v>0</v>
      </c>
      <c r="CE211" s="14">
        <f t="shared" si="187"/>
        <v>0</v>
      </c>
      <c r="CF211" s="14">
        <f>DISTRIBUSI!M209</f>
        <v>0</v>
      </c>
      <c r="CG211" s="14">
        <f>'PEMAKAIAN UNIT'!M208</f>
        <v>0</v>
      </c>
      <c r="CH211" s="14">
        <f t="shared" si="188"/>
        <v>0</v>
      </c>
      <c r="CI211" s="15">
        <f t="shared" si="189"/>
        <v>0</v>
      </c>
      <c r="CJ211" s="14">
        <f t="shared" si="190"/>
        <v>0</v>
      </c>
      <c r="CK211" s="14" t="e">
        <f>DISTRIBUSI!#REF!</f>
        <v>#REF!</v>
      </c>
      <c r="CL211" s="14">
        <f>'PEMAKAIAN UNIT'!N208</f>
        <v>0</v>
      </c>
      <c r="CM211" s="14" t="e">
        <f t="shared" si="191"/>
        <v>#REF!</v>
      </c>
      <c r="CN211" s="15" t="e">
        <f t="shared" si="192"/>
        <v>#REF!</v>
      </c>
      <c r="CO211" s="14" t="e">
        <f>DL211+DISTRIBUSI!#REF!-'PEMAKAIAN UNIT'!O208</f>
        <v>#REF!</v>
      </c>
      <c r="CP211" s="15" t="e">
        <f t="shared" si="193"/>
        <v>#REF!</v>
      </c>
      <c r="CQ211" s="226">
        <f t="shared" si="194"/>
        <v>0</v>
      </c>
      <c r="CR211" s="226">
        <f>DISTRIBUSI!R209</f>
        <v>0</v>
      </c>
      <c r="CS211" s="226">
        <f>'PEMAKAIAN UNIT'!P208</f>
        <v>0</v>
      </c>
      <c r="CT211" s="14">
        <f t="shared" si="195"/>
        <v>0</v>
      </c>
      <c r="CU211" s="15">
        <f t="shared" si="196"/>
        <v>0</v>
      </c>
      <c r="CV211" s="14" t="e">
        <f>DN211+DISTRIBUSI!#REF!-'PEMAKAIAN UNIT'!Q208</f>
        <v>#REF!</v>
      </c>
      <c r="CW211" s="15" t="e">
        <f t="shared" si="197"/>
        <v>#REF!</v>
      </c>
      <c r="CX211" s="14">
        <f>DO211+'LPLPO PROGRAM'!E40-'LPLPO PROGRAM'!G40</f>
        <v>0</v>
      </c>
      <c r="CY211" s="15">
        <f t="shared" si="198"/>
        <v>0</v>
      </c>
      <c r="CZ211" s="28"/>
      <c r="DA211" s="14">
        <v>0</v>
      </c>
      <c r="DB211" s="14">
        <v>0</v>
      </c>
      <c r="DC211" s="14">
        <v>0</v>
      </c>
      <c r="DD211" s="14">
        <v>0</v>
      </c>
      <c r="DE211" s="14">
        <v>0</v>
      </c>
      <c r="DF211" s="14">
        <v>0</v>
      </c>
      <c r="DG211" s="14">
        <v>0</v>
      </c>
      <c r="DH211" s="14">
        <v>0</v>
      </c>
      <c r="DI211" s="14">
        <v>0</v>
      </c>
      <c r="DJ211" s="14">
        <v>0</v>
      </c>
      <c r="DK211" s="14">
        <v>0</v>
      </c>
      <c r="DL211" s="14">
        <v>0</v>
      </c>
      <c r="DM211" s="14">
        <v>0</v>
      </c>
      <c r="DN211" s="14">
        <v>0</v>
      </c>
      <c r="DO211" s="14">
        <v>0</v>
      </c>
      <c r="DP211" s="13">
        <f t="shared" si="151"/>
        <v>0</v>
      </c>
      <c r="DU211" s="20" t="e">
        <f t="shared" si="210"/>
        <v>#REF!</v>
      </c>
    </row>
    <row r="212" spans="1:125" customFormat="1" ht="20.149999999999999" customHeight="1" x14ac:dyDescent="0.35">
      <c r="A212" s="204">
        <v>28</v>
      </c>
      <c r="B212" s="189" t="s">
        <v>189</v>
      </c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212"/>
      <c r="AG212" s="212"/>
      <c r="AH212" s="20"/>
      <c r="AI212" s="14">
        <f t="shared" si="208"/>
        <v>0</v>
      </c>
      <c r="AJ212" s="209">
        <f t="shared" si="209"/>
        <v>0</v>
      </c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  <c r="AW212" s="146"/>
      <c r="AX212" s="146"/>
      <c r="AY212" s="146"/>
      <c r="AZ212" s="146"/>
      <c r="BA212" s="146"/>
      <c r="BB212" s="146"/>
      <c r="BC212" s="146"/>
      <c r="BD212" s="146"/>
      <c r="BE212" s="146"/>
      <c r="BF212" s="146"/>
      <c r="BG212" s="146"/>
      <c r="BH212" s="146"/>
      <c r="BI212" s="146"/>
      <c r="BJ212" s="146"/>
      <c r="BK212" s="146"/>
      <c r="BL212" s="146"/>
      <c r="BM212" s="146"/>
      <c r="BN212" s="146"/>
      <c r="BO212" s="146"/>
      <c r="BP212" s="146"/>
      <c r="BQ212" s="146"/>
      <c r="BR212" s="146"/>
      <c r="BS212" s="146"/>
      <c r="BT212" s="146"/>
      <c r="BU212" s="146"/>
      <c r="BV212" s="146"/>
      <c r="BW212" s="146"/>
      <c r="BX212" s="146"/>
      <c r="BY212" s="146"/>
      <c r="BZ212" s="146"/>
      <c r="CA212" s="146"/>
      <c r="CB212" s="146"/>
      <c r="CC212" s="146"/>
      <c r="CD212" s="146"/>
      <c r="CE212" s="146"/>
      <c r="CF212" s="146"/>
      <c r="CG212" s="146"/>
      <c r="CH212" s="146"/>
      <c r="CI212" s="146"/>
      <c r="CJ212" s="146"/>
      <c r="CK212" s="146"/>
      <c r="CL212" s="146"/>
      <c r="CM212" s="146"/>
      <c r="CN212" s="146"/>
      <c r="CO212" s="146"/>
      <c r="CP212" s="146"/>
      <c r="CQ212" s="146"/>
      <c r="CR212" s="146"/>
      <c r="CS212" s="146"/>
      <c r="CT212" s="146"/>
      <c r="CU212" s="146"/>
      <c r="CV212" s="146"/>
      <c r="CW212" s="146"/>
      <c r="CX212" s="146"/>
      <c r="CY212" s="146"/>
      <c r="CZ212" s="28"/>
      <c r="DA212" s="14">
        <v>0</v>
      </c>
      <c r="DB212" s="14">
        <v>0</v>
      </c>
      <c r="DC212" s="14">
        <v>0</v>
      </c>
      <c r="DD212" s="14">
        <v>0</v>
      </c>
      <c r="DE212" s="14">
        <v>0</v>
      </c>
      <c r="DF212" s="14">
        <v>0</v>
      </c>
      <c r="DG212" s="14">
        <v>0</v>
      </c>
      <c r="DH212" s="14">
        <v>0</v>
      </c>
      <c r="DI212" s="14">
        <v>0</v>
      </c>
      <c r="DJ212" s="14">
        <v>0</v>
      </c>
      <c r="DK212" s="14">
        <v>0</v>
      </c>
      <c r="DL212" s="14">
        <v>0</v>
      </c>
      <c r="DM212" s="14">
        <v>0</v>
      </c>
      <c r="DN212" s="14">
        <v>0</v>
      </c>
      <c r="DO212" s="14">
        <v>0</v>
      </c>
      <c r="DP212" s="13">
        <f t="shared" si="151"/>
        <v>0</v>
      </c>
      <c r="DU212" s="20">
        <f t="shared" si="210"/>
        <v>0</v>
      </c>
    </row>
    <row r="213" spans="1:125" customFormat="1" ht="20.149999999999999" customHeight="1" x14ac:dyDescent="0.35">
      <c r="A213" s="205">
        <v>29</v>
      </c>
      <c r="B213" s="183" t="s">
        <v>268</v>
      </c>
      <c r="C213" s="144" t="s">
        <v>6</v>
      </c>
      <c r="D213" s="14">
        <v>0</v>
      </c>
      <c r="E213" s="254">
        <f>'LPLPO PROGRAM'!E42</f>
        <v>0</v>
      </c>
      <c r="F213" s="254">
        <f t="shared" si="199"/>
        <v>0</v>
      </c>
      <c r="G213" s="254">
        <f>'PEMAKAIAN UNIT'!R210</f>
        <v>0</v>
      </c>
      <c r="H213" s="14">
        <v>0</v>
      </c>
      <c r="I213" s="14">
        <v>0</v>
      </c>
      <c r="J213" s="14">
        <v>0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09">
        <f t="shared" si="200"/>
        <v>0</v>
      </c>
      <c r="Z213" s="109" t="e">
        <f t="shared" si="201"/>
        <v>#REF!</v>
      </c>
      <c r="AA213" s="109" t="e">
        <f t="shared" si="202"/>
        <v>#REF!</v>
      </c>
      <c r="AB213" s="14">
        <v>0</v>
      </c>
      <c r="AC213" s="109" t="e">
        <f t="shared" si="203"/>
        <v>#REF!</v>
      </c>
      <c r="AD213" s="109">
        <f>'LPLPO PROGRAM'!H42</f>
        <v>0</v>
      </c>
      <c r="AE213" s="111" t="e">
        <f t="shared" si="204"/>
        <v>#REF!</v>
      </c>
      <c r="AF213" s="212"/>
      <c r="AG213" s="212"/>
      <c r="AH213" s="20"/>
      <c r="AI213" s="14">
        <f t="shared" si="208"/>
        <v>0</v>
      </c>
      <c r="AJ213" s="209" t="e">
        <f t="shared" si="209"/>
        <v>#REF!</v>
      </c>
      <c r="AL213" s="14">
        <f t="shared" si="160"/>
        <v>0</v>
      </c>
      <c r="AM213" s="14">
        <f>DISTRIBUSI!D211</f>
        <v>0</v>
      </c>
      <c r="AN213" s="14">
        <f>'PEMAKAIAN UNIT'!D210</f>
        <v>0</v>
      </c>
      <c r="AO213" s="14">
        <f t="shared" si="161"/>
        <v>0</v>
      </c>
      <c r="AP213" s="15">
        <f t="shared" si="162"/>
        <v>0</v>
      </c>
      <c r="AQ213" s="14">
        <f t="shared" si="163"/>
        <v>0</v>
      </c>
      <c r="AR213" s="14">
        <f>DISTRIBUSI!E211</f>
        <v>0</v>
      </c>
      <c r="AS213" s="14">
        <f>'PEMAKAIAN UNIT'!E210</f>
        <v>0</v>
      </c>
      <c r="AT213" s="14">
        <f t="shared" si="164"/>
        <v>0</v>
      </c>
      <c r="AU213" s="15">
        <f t="shared" si="165"/>
        <v>0</v>
      </c>
      <c r="AV213" s="14">
        <f t="shared" si="166"/>
        <v>0</v>
      </c>
      <c r="AW213" s="14">
        <f>DISTRIBUSI!F211</f>
        <v>0</v>
      </c>
      <c r="AX213" s="14">
        <f>'PEMAKAIAN UNIT'!F210</f>
        <v>0</v>
      </c>
      <c r="AY213" s="14">
        <f t="shared" si="167"/>
        <v>0</v>
      </c>
      <c r="AZ213" s="15">
        <f t="shared" si="168"/>
        <v>0</v>
      </c>
      <c r="BA213" s="14">
        <f t="shared" si="169"/>
        <v>0</v>
      </c>
      <c r="BB213" s="14">
        <f>DISTRIBUSI!G211</f>
        <v>0</v>
      </c>
      <c r="BC213" s="14">
        <f>'PEMAKAIAN UNIT'!G210</f>
        <v>0</v>
      </c>
      <c r="BD213" s="14">
        <f t="shared" si="170"/>
        <v>0</v>
      </c>
      <c r="BE213" s="15">
        <f t="shared" si="171"/>
        <v>0</v>
      </c>
      <c r="BF213" s="14">
        <f t="shared" si="172"/>
        <v>0</v>
      </c>
      <c r="BG213" s="14">
        <f>DISTRIBUSI!H211</f>
        <v>0</v>
      </c>
      <c r="BH213" s="14">
        <f>'PEMAKAIAN UNIT'!H210</f>
        <v>0</v>
      </c>
      <c r="BI213" s="14">
        <f t="shared" si="173"/>
        <v>0</v>
      </c>
      <c r="BJ213" s="15">
        <f t="shared" si="174"/>
        <v>0</v>
      </c>
      <c r="BK213" s="14">
        <f t="shared" si="175"/>
        <v>0</v>
      </c>
      <c r="BL213" s="14">
        <f>DISTRIBUSI!I211</f>
        <v>0</v>
      </c>
      <c r="BM213" s="14">
        <f>'PEMAKAIAN UNIT'!I210</f>
        <v>0</v>
      </c>
      <c r="BN213" s="14">
        <f t="shared" si="176"/>
        <v>0</v>
      </c>
      <c r="BO213" s="15">
        <f t="shared" si="177"/>
        <v>0</v>
      </c>
      <c r="BP213" s="14">
        <f t="shared" si="178"/>
        <v>0</v>
      </c>
      <c r="BQ213" s="14">
        <f>DISTRIBUSI!J211</f>
        <v>0</v>
      </c>
      <c r="BR213" s="14">
        <f>'PEMAKAIAN UNIT'!J210</f>
        <v>0</v>
      </c>
      <c r="BS213" s="14">
        <f t="shared" si="179"/>
        <v>0</v>
      </c>
      <c r="BT213" s="15">
        <f t="shared" si="180"/>
        <v>0</v>
      </c>
      <c r="BU213" s="14">
        <f t="shared" si="181"/>
        <v>0</v>
      </c>
      <c r="BV213" s="14">
        <f>DISTRIBUSI!K211</f>
        <v>0</v>
      </c>
      <c r="BW213" s="14">
        <f>'PEMAKAIAN UNIT'!K210</f>
        <v>0</v>
      </c>
      <c r="BX213" s="14">
        <f t="shared" si="182"/>
        <v>0</v>
      </c>
      <c r="BY213" s="15">
        <f t="shared" si="183"/>
        <v>0</v>
      </c>
      <c r="BZ213" s="14">
        <f t="shared" si="184"/>
        <v>0</v>
      </c>
      <c r="CA213" s="14">
        <f>DISTRIBUSI!L211</f>
        <v>0</v>
      </c>
      <c r="CB213" s="14">
        <f>'PEMAKAIAN UNIT'!L210</f>
        <v>0</v>
      </c>
      <c r="CC213" s="14">
        <f t="shared" si="185"/>
        <v>0</v>
      </c>
      <c r="CD213" s="15">
        <f t="shared" si="186"/>
        <v>0</v>
      </c>
      <c r="CE213" s="14">
        <f t="shared" si="187"/>
        <v>0</v>
      </c>
      <c r="CF213" s="14">
        <f>DISTRIBUSI!M211</f>
        <v>0</v>
      </c>
      <c r="CG213" s="14">
        <f>'PEMAKAIAN UNIT'!M210</f>
        <v>0</v>
      </c>
      <c r="CH213" s="14">
        <f t="shared" si="188"/>
        <v>0</v>
      </c>
      <c r="CI213" s="15">
        <f t="shared" si="189"/>
        <v>0</v>
      </c>
      <c r="CJ213" s="14">
        <f t="shared" si="190"/>
        <v>0</v>
      </c>
      <c r="CK213" s="14" t="e">
        <f>DISTRIBUSI!#REF!</f>
        <v>#REF!</v>
      </c>
      <c r="CL213" s="14">
        <f>'PEMAKAIAN UNIT'!N210</f>
        <v>0</v>
      </c>
      <c r="CM213" s="14" t="e">
        <f t="shared" si="191"/>
        <v>#REF!</v>
      </c>
      <c r="CN213" s="15" t="e">
        <f t="shared" si="192"/>
        <v>#REF!</v>
      </c>
      <c r="CO213" s="14" t="e">
        <f>DL213+DISTRIBUSI!#REF!-'PEMAKAIAN UNIT'!O210</f>
        <v>#REF!</v>
      </c>
      <c r="CP213" s="15" t="e">
        <f t="shared" si="193"/>
        <v>#REF!</v>
      </c>
      <c r="CQ213" s="226">
        <f t="shared" si="194"/>
        <v>6</v>
      </c>
      <c r="CR213" s="226">
        <f>DISTRIBUSI!R211</f>
        <v>0</v>
      </c>
      <c r="CS213" s="226">
        <f>'PEMAKAIAN UNIT'!P210</f>
        <v>0</v>
      </c>
      <c r="CT213" s="14">
        <f t="shared" si="195"/>
        <v>6</v>
      </c>
      <c r="CU213" s="15">
        <f t="shared" si="196"/>
        <v>6</v>
      </c>
      <c r="CV213" s="14" t="e">
        <f>DN213+DISTRIBUSI!#REF!-'PEMAKAIAN UNIT'!Q210</f>
        <v>#REF!</v>
      </c>
      <c r="CW213" s="15" t="e">
        <f t="shared" si="197"/>
        <v>#REF!</v>
      </c>
      <c r="CX213" s="14">
        <f>DO213+'LPLPO PROGRAM'!E42-'LPLPO PROGRAM'!G42</f>
        <v>45</v>
      </c>
      <c r="CY213" s="15">
        <f t="shared" si="198"/>
        <v>45</v>
      </c>
      <c r="CZ213" s="28"/>
      <c r="DA213" s="14">
        <v>0</v>
      </c>
      <c r="DB213" s="14">
        <v>0</v>
      </c>
      <c r="DC213" s="14">
        <v>0</v>
      </c>
      <c r="DD213" s="14">
        <v>0</v>
      </c>
      <c r="DE213" s="14">
        <v>0</v>
      </c>
      <c r="DF213" s="14">
        <v>0</v>
      </c>
      <c r="DG213" s="14">
        <v>0</v>
      </c>
      <c r="DH213" s="14">
        <v>0</v>
      </c>
      <c r="DI213" s="14">
        <v>0</v>
      </c>
      <c r="DJ213" s="14">
        <v>0</v>
      </c>
      <c r="DK213" s="14">
        <v>0</v>
      </c>
      <c r="DL213" s="14">
        <v>0</v>
      </c>
      <c r="DM213" s="14">
        <v>6</v>
      </c>
      <c r="DN213" s="14">
        <v>0</v>
      </c>
      <c r="DO213" s="14">
        <v>45</v>
      </c>
      <c r="DP213" s="13">
        <f t="shared" si="151"/>
        <v>51</v>
      </c>
      <c r="DU213" s="20" t="e">
        <f t="shared" si="210"/>
        <v>#REF!</v>
      </c>
    </row>
    <row r="214" spans="1:125" customFormat="1" ht="20.149999999999999" customHeight="1" x14ac:dyDescent="0.35">
      <c r="A214" s="205">
        <v>30</v>
      </c>
      <c r="B214" s="178" t="s">
        <v>269</v>
      </c>
      <c r="C214" s="144" t="s">
        <v>182</v>
      </c>
      <c r="D214" s="14">
        <v>0</v>
      </c>
      <c r="E214" s="254">
        <f>'LPLPO PROGRAM'!E43</f>
        <v>0</v>
      </c>
      <c r="F214" s="254">
        <f t="shared" si="199"/>
        <v>0</v>
      </c>
      <c r="G214" s="254">
        <f>'PEMAKAIAN UNIT'!R211</f>
        <v>0</v>
      </c>
      <c r="H214" s="14">
        <v>0</v>
      </c>
      <c r="I214" s="14">
        <v>0</v>
      </c>
      <c r="J214" s="14">
        <v>0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09">
        <f t="shared" si="200"/>
        <v>0</v>
      </c>
      <c r="Z214" s="109" t="e">
        <f t="shared" si="201"/>
        <v>#REF!</v>
      </c>
      <c r="AA214" s="109" t="e">
        <f t="shared" si="202"/>
        <v>#REF!</v>
      </c>
      <c r="AB214" s="14">
        <v>0</v>
      </c>
      <c r="AC214" s="109" t="e">
        <f t="shared" si="203"/>
        <v>#REF!</v>
      </c>
      <c r="AD214" s="109">
        <f>'LPLPO PROGRAM'!H43</f>
        <v>0</v>
      </c>
      <c r="AE214" s="111" t="e">
        <f t="shared" si="204"/>
        <v>#REF!</v>
      </c>
      <c r="AF214" s="212"/>
      <c r="AG214" s="212"/>
      <c r="AH214" s="20"/>
      <c r="AI214" s="14">
        <f t="shared" si="208"/>
        <v>0</v>
      </c>
      <c r="AJ214" s="209" t="e">
        <f t="shared" si="209"/>
        <v>#REF!</v>
      </c>
      <c r="AL214" s="14">
        <f t="shared" si="160"/>
        <v>0</v>
      </c>
      <c r="AM214" s="14">
        <f>DISTRIBUSI!D212</f>
        <v>0</v>
      </c>
      <c r="AN214" s="14">
        <f>'PEMAKAIAN UNIT'!D211</f>
        <v>0</v>
      </c>
      <c r="AO214" s="14">
        <f t="shared" si="161"/>
        <v>0</v>
      </c>
      <c r="AP214" s="15">
        <f t="shared" si="162"/>
        <v>0</v>
      </c>
      <c r="AQ214" s="14">
        <f t="shared" si="163"/>
        <v>0</v>
      </c>
      <c r="AR214" s="14">
        <f>DISTRIBUSI!E212</f>
        <v>0</v>
      </c>
      <c r="AS214" s="14">
        <f>'PEMAKAIAN UNIT'!E211</f>
        <v>0</v>
      </c>
      <c r="AT214" s="14">
        <f t="shared" si="164"/>
        <v>0</v>
      </c>
      <c r="AU214" s="15">
        <f t="shared" si="165"/>
        <v>0</v>
      </c>
      <c r="AV214" s="14">
        <f t="shared" si="166"/>
        <v>0</v>
      </c>
      <c r="AW214" s="14">
        <f>DISTRIBUSI!F212</f>
        <v>0</v>
      </c>
      <c r="AX214" s="14">
        <f>'PEMAKAIAN UNIT'!F211</f>
        <v>0</v>
      </c>
      <c r="AY214" s="14">
        <f t="shared" si="167"/>
        <v>0</v>
      </c>
      <c r="AZ214" s="15">
        <f t="shared" si="168"/>
        <v>0</v>
      </c>
      <c r="BA214" s="14">
        <f t="shared" si="169"/>
        <v>0</v>
      </c>
      <c r="BB214" s="14">
        <f>DISTRIBUSI!G212</f>
        <v>0</v>
      </c>
      <c r="BC214" s="14">
        <f>'PEMAKAIAN UNIT'!G211</f>
        <v>0</v>
      </c>
      <c r="BD214" s="14">
        <f t="shared" si="170"/>
        <v>0</v>
      </c>
      <c r="BE214" s="15">
        <f t="shared" si="171"/>
        <v>0</v>
      </c>
      <c r="BF214" s="14">
        <f t="shared" si="172"/>
        <v>0</v>
      </c>
      <c r="BG214" s="14">
        <f>DISTRIBUSI!H212</f>
        <v>0</v>
      </c>
      <c r="BH214" s="14">
        <f>'PEMAKAIAN UNIT'!H211</f>
        <v>0</v>
      </c>
      <c r="BI214" s="14">
        <f t="shared" si="173"/>
        <v>0</v>
      </c>
      <c r="BJ214" s="15">
        <f t="shared" si="174"/>
        <v>0</v>
      </c>
      <c r="BK214" s="14">
        <f t="shared" si="175"/>
        <v>0</v>
      </c>
      <c r="BL214" s="14">
        <f>DISTRIBUSI!I212</f>
        <v>0</v>
      </c>
      <c r="BM214" s="14">
        <f>'PEMAKAIAN UNIT'!I211</f>
        <v>0</v>
      </c>
      <c r="BN214" s="14">
        <f t="shared" si="176"/>
        <v>0</v>
      </c>
      <c r="BO214" s="15">
        <f t="shared" si="177"/>
        <v>0</v>
      </c>
      <c r="BP214" s="14">
        <f t="shared" si="178"/>
        <v>0</v>
      </c>
      <c r="BQ214" s="14">
        <f>DISTRIBUSI!J212</f>
        <v>0</v>
      </c>
      <c r="BR214" s="14">
        <f>'PEMAKAIAN UNIT'!J211</f>
        <v>0</v>
      </c>
      <c r="BS214" s="14">
        <f t="shared" si="179"/>
        <v>0</v>
      </c>
      <c r="BT214" s="15">
        <f t="shared" si="180"/>
        <v>0</v>
      </c>
      <c r="BU214" s="14">
        <f t="shared" si="181"/>
        <v>0</v>
      </c>
      <c r="BV214" s="14">
        <f>DISTRIBUSI!K212</f>
        <v>0</v>
      </c>
      <c r="BW214" s="14">
        <f>'PEMAKAIAN UNIT'!K211</f>
        <v>0</v>
      </c>
      <c r="BX214" s="14">
        <f t="shared" si="182"/>
        <v>0</v>
      </c>
      <c r="BY214" s="15">
        <f t="shared" si="183"/>
        <v>0</v>
      </c>
      <c r="BZ214" s="14">
        <f t="shared" si="184"/>
        <v>0</v>
      </c>
      <c r="CA214" s="14">
        <f>DISTRIBUSI!L212</f>
        <v>0</v>
      </c>
      <c r="CB214" s="14">
        <f>'PEMAKAIAN UNIT'!L211</f>
        <v>0</v>
      </c>
      <c r="CC214" s="14">
        <f t="shared" si="185"/>
        <v>0</v>
      </c>
      <c r="CD214" s="15">
        <f t="shared" si="186"/>
        <v>0</v>
      </c>
      <c r="CE214" s="14">
        <f t="shared" si="187"/>
        <v>0</v>
      </c>
      <c r="CF214" s="14">
        <f>DISTRIBUSI!M212</f>
        <v>0</v>
      </c>
      <c r="CG214" s="14">
        <f>'PEMAKAIAN UNIT'!M211</f>
        <v>0</v>
      </c>
      <c r="CH214" s="14">
        <f t="shared" si="188"/>
        <v>0</v>
      </c>
      <c r="CI214" s="15">
        <f t="shared" si="189"/>
        <v>0</v>
      </c>
      <c r="CJ214" s="14">
        <f t="shared" si="190"/>
        <v>0</v>
      </c>
      <c r="CK214" s="14" t="e">
        <f>DISTRIBUSI!#REF!</f>
        <v>#REF!</v>
      </c>
      <c r="CL214" s="14">
        <f>'PEMAKAIAN UNIT'!N211</f>
        <v>0</v>
      </c>
      <c r="CM214" s="14" t="e">
        <f t="shared" si="191"/>
        <v>#REF!</v>
      </c>
      <c r="CN214" s="15" t="e">
        <f t="shared" si="192"/>
        <v>#REF!</v>
      </c>
      <c r="CO214" s="14" t="e">
        <f>DL214+DISTRIBUSI!#REF!-'PEMAKAIAN UNIT'!O211</f>
        <v>#REF!</v>
      </c>
      <c r="CP214" s="15" t="e">
        <f t="shared" si="193"/>
        <v>#REF!</v>
      </c>
      <c r="CQ214" s="226">
        <f t="shared" si="194"/>
        <v>0</v>
      </c>
      <c r="CR214" s="226">
        <f>DISTRIBUSI!R212</f>
        <v>0</v>
      </c>
      <c r="CS214" s="226">
        <f>'PEMAKAIAN UNIT'!P211</f>
        <v>0</v>
      </c>
      <c r="CT214" s="14">
        <f t="shared" si="195"/>
        <v>0</v>
      </c>
      <c r="CU214" s="15">
        <f t="shared" si="196"/>
        <v>0</v>
      </c>
      <c r="CV214" s="14" t="e">
        <f>DN214+DISTRIBUSI!#REF!-'PEMAKAIAN UNIT'!Q211</f>
        <v>#REF!</v>
      </c>
      <c r="CW214" s="15" t="e">
        <f t="shared" si="197"/>
        <v>#REF!</v>
      </c>
      <c r="CX214" s="14">
        <f>DO214+'LPLPO PROGRAM'!E43-'LPLPO PROGRAM'!G43</f>
        <v>0</v>
      </c>
      <c r="CY214" s="15">
        <f t="shared" si="198"/>
        <v>0</v>
      </c>
      <c r="CZ214" s="28"/>
      <c r="DA214" s="14">
        <v>0</v>
      </c>
      <c r="DB214" s="14">
        <v>0</v>
      </c>
      <c r="DC214" s="14">
        <v>0</v>
      </c>
      <c r="DD214" s="14">
        <v>0</v>
      </c>
      <c r="DE214" s="14">
        <v>0</v>
      </c>
      <c r="DF214" s="14">
        <v>0</v>
      </c>
      <c r="DG214" s="14">
        <v>0</v>
      </c>
      <c r="DH214" s="14">
        <v>0</v>
      </c>
      <c r="DI214" s="14">
        <v>0</v>
      </c>
      <c r="DJ214" s="14">
        <v>0</v>
      </c>
      <c r="DK214" s="14">
        <v>0</v>
      </c>
      <c r="DL214" s="14">
        <v>0</v>
      </c>
      <c r="DM214" s="14">
        <v>0</v>
      </c>
      <c r="DN214" s="14">
        <v>0</v>
      </c>
      <c r="DO214" s="14">
        <v>0</v>
      </c>
      <c r="DP214" s="13">
        <f t="shared" si="151"/>
        <v>0</v>
      </c>
      <c r="DU214" s="20" t="e">
        <f t="shared" si="210"/>
        <v>#REF!</v>
      </c>
    </row>
    <row r="215" spans="1:125" customFormat="1" ht="20.149999999999999" customHeight="1" x14ac:dyDescent="0.35">
      <c r="A215" s="205">
        <v>31</v>
      </c>
      <c r="B215" s="178" t="s">
        <v>284</v>
      </c>
      <c r="C215" s="144" t="s">
        <v>48</v>
      </c>
      <c r="D215" s="14">
        <v>0</v>
      </c>
      <c r="E215" s="254">
        <f>'LPLPO PROGRAM'!E44</f>
        <v>0</v>
      </c>
      <c r="F215" s="254">
        <f t="shared" si="199"/>
        <v>0</v>
      </c>
      <c r="G215" s="254">
        <f>'PEMAKAIAN UNIT'!R212</f>
        <v>0</v>
      </c>
      <c r="H215" s="14">
        <v>0</v>
      </c>
      <c r="I215" s="14">
        <v>0</v>
      </c>
      <c r="J215" s="14">
        <v>0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09">
        <f t="shared" si="200"/>
        <v>0</v>
      </c>
      <c r="Z215" s="109" t="e">
        <f t="shared" si="201"/>
        <v>#REF!</v>
      </c>
      <c r="AA215" s="109" t="e">
        <f t="shared" si="202"/>
        <v>#REF!</v>
      </c>
      <c r="AB215" s="14">
        <v>0</v>
      </c>
      <c r="AC215" s="109" t="e">
        <f t="shared" si="203"/>
        <v>#REF!</v>
      </c>
      <c r="AD215" s="109">
        <f>'LPLPO PROGRAM'!H44</f>
        <v>0</v>
      </c>
      <c r="AE215" s="111" t="e">
        <f t="shared" si="204"/>
        <v>#REF!</v>
      </c>
      <c r="AF215" s="212"/>
      <c r="AG215" s="212"/>
      <c r="AH215" s="20"/>
      <c r="AI215" s="14">
        <f t="shared" si="208"/>
        <v>0</v>
      </c>
      <c r="AJ215" s="209" t="e">
        <f t="shared" si="209"/>
        <v>#REF!</v>
      </c>
      <c r="AL215" s="14">
        <f t="shared" si="160"/>
        <v>0</v>
      </c>
      <c r="AM215" s="14">
        <f>DISTRIBUSI!D213</f>
        <v>0</v>
      </c>
      <c r="AN215" s="14">
        <f>'PEMAKAIAN UNIT'!D212</f>
        <v>0</v>
      </c>
      <c r="AO215" s="14">
        <f t="shared" si="161"/>
        <v>0</v>
      </c>
      <c r="AP215" s="15">
        <f t="shared" si="162"/>
        <v>0</v>
      </c>
      <c r="AQ215" s="14">
        <f t="shared" si="163"/>
        <v>0</v>
      </c>
      <c r="AR215" s="14">
        <f>DISTRIBUSI!E213</f>
        <v>0</v>
      </c>
      <c r="AS215" s="14">
        <f>'PEMAKAIAN UNIT'!E212</f>
        <v>0</v>
      </c>
      <c r="AT215" s="14">
        <f t="shared" si="164"/>
        <v>0</v>
      </c>
      <c r="AU215" s="15">
        <f t="shared" si="165"/>
        <v>0</v>
      </c>
      <c r="AV215" s="14">
        <f t="shared" si="166"/>
        <v>0</v>
      </c>
      <c r="AW215" s="14">
        <f>DISTRIBUSI!F213</f>
        <v>0</v>
      </c>
      <c r="AX215" s="14">
        <f>'PEMAKAIAN UNIT'!F212</f>
        <v>0</v>
      </c>
      <c r="AY215" s="14">
        <f t="shared" si="167"/>
        <v>0</v>
      </c>
      <c r="AZ215" s="15">
        <f t="shared" si="168"/>
        <v>0</v>
      </c>
      <c r="BA215" s="14">
        <f t="shared" si="169"/>
        <v>0</v>
      </c>
      <c r="BB215" s="14">
        <f>DISTRIBUSI!G213</f>
        <v>0</v>
      </c>
      <c r="BC215" s="14">
        <f>'PEMAKAIAN UNIT'!G212</f>
        <v>0</v>
      </c>
      <c r="BD215" s="14">
        <f t="shared" si="170"/>
        <v>0</v>
      </c>
      <c r="BE215" s="15">
        <f t="shared" si="171"/>
        <v>0</v>
      </c>
      <c r="BF215" s="14">
        <f t="shared" si="172"/>
        <v>0</v>
      </c>
      <c r="BG215" s="14">
        <f>DISTRIBUSI!H213</f>
        <v>0</v>
      </c>
      <c r="BH215" s="14">
        <f>'PEMAKAIAN UNIT'!H212</f>
        <v>0</v>
      </c>
      <c r="BI215" s="14">
        <f t="shared" si="173"/>
        <v>0</v>
      </c>
      <c r="BJ215" s="15">
        <f t="shared" si="174"/>
        <v>0</v>
      </c>
      <c r="BK215" s="14">
        <f t="shared" si="175"/>
        <v>0</v>
      </c>
      <c r="BL215" s="14">
        <f>DISTRIBUSI!I213</f>
        <v>0</v>
      </c>
      <c r="BM215" s="14">
        <f>'PEMAKAIAN UNIT'!I212</f>
        <v>0</v>
      </c>
      <c r="BN215" s="14">
        <f t="shared" si="176"/>
        <v>0</v>
      </c>
      <c r="BO215" s="15">
        <f t="shared" si="177"/>
        <v>0</v>
      </c>
      <c r="BP215" s="14">
        <f t="shared" si="178"/>
        <v>0</v>
      </c>
      <c r="BQ215" s="14">
        <f>DISTRIBUSI!J213</f>
        <v>0</v>
      </c>
      <c r="BR215" s="14">
        <f>'PEMAKAIAN UNIT'!J212</f>
        <v>0</v>
      </c>
      <c r="BS215" s="14">
        <f t="shared" si="179"/>
        <v>0</v>
      </c>
      <c r="BT215" s="15">
        <f t="shared" si="180"/>
        <v>0</v>
      </c>
      <c r="BU215" s="14">
        <f t="shared" si="181"/>
        <v>0</v>
      </c>
      <c r="BV215" s="14">
        <f>DISTRIBUSI!K213</f>
        <v>0</v>
      </c>
      <c r="BW215" s="14">
        <f>'PEMAKAIAN UNIT'!K212</f>
        <v>0</v>
      </c>
      <c r="BX215" s="14">
        <f t="shared" si="182"/>
        <v>0</v>
      </c>
      <c r="BY215" s="15">
        <f t="shared" si="183"/>
        <v>0</v>
      </c>
      <c r="BZ215" s="14">
        <f t="shared" si="184"/>
        <v>0</v>
      </c>
      <c r="CA215" s="14">
        <f>DISTRIBUSI!L213</f>
        <v>0</v>
      </c>
      <c r="CB215" s="14">
        <f>'PEMAKAIAN UNIT'!L212</f>
        <v>0</v>
      </c>
      <c r="CC215" s="14">
        <f t="shared" si="185"/>
        <v>0</v>
      </c>
      <c r="CD215" s="15">
        <f t="shared" si="186"/>
        <v>0</v>
      </c>
      <c r="CE215" s="14">
        <f t="shared" si="187"/>
        <v>0</v>
      </c>
      <c r="CF215" s="14">
        <f>DISTRIBUSI!M213</f>
        <v>0</v>
      </c>
      <c r="CG215" s="14">
        <f>'PEMAKAIAN UNIT'!M212</f>
        <v>0</v>
      </c>
      <c r="CH215" s="14">
        <f t="shared" si="188"/>
        <v>0</v>
      </c>
      <c r="CI215" s="15">
        <f t="shared" si="189"/>
        <v>0</v>
      </c>
      <c r="CJ215" s="14">
        <f t="shared" si="190"/>
        <v>0</v>
      </c>
      <c r="CK215" s="14" t="e">
        <f>DISTRIBUSI!#REF!</f>
        <v>#REF!</v>
      </c>
      <c r="CL215" s="14">
        <f>'PEMAKAIAN UNIT'!N212</f>
        <v>0</v>
      </c>
      <c r="CM215" s="14" t="e">
        <f t="shared" si="191"/>
        <v>#REF!</v>
      </c>
      <c r="CN215" s="15" t="e">
        <f t="shared" si="192"/>
        <v>#REF!</v>
      </c>
      <c r="CO215" s="14" t="e">
        <f>DL215+DISTRIBUSI!#REF!-'PEMAKAIAN UNIT'!O212</f>
        <v>#REF!</v>
      </c>
      <c r="CP215" s="15" t="e">
        <f t="shared" si="193"/>
        <v>#REF!</v>
      </c>
      <c r="CQ215" s="226">
        <f t="shared" si="194"/>
        <v>0</v>
      </c>
      <c r="CR215" s="226">
        <f>DISTRIBUSI!R213</f>
        <v>0</v>
      </c>
      <c r="CS215" s="226">
        <f>'PEMAKAIAN UNIT'!P212</f>
        <v>0</v>
      </c>
      <c r="CT215" s="14">
        <f t="shared" si="195"/>
        <v>0</v>
      </c>
      <c r="CU215" s="15">
        <f t="shared" si="196"/>
        <v>0</v>
      </c>
      <c r="CV215" s="14" t="e">
        <f>DN215+DISTRIBUSI!#REF!-'PEMAKAIAN UNIT'!Q212</f>
        <v>#REF!</v>
      </c>
      <c r="CW215" s="15" t="e">
        <f t="shared" si="197"/>
        <v>#REF!</v>
      </c>
      <c r="CX215" s="14">
        <f>DO215+'LPLPO PROGRAM'!E44-'LPLPO PROGRAM'!G44</f>
        <v>0</v>
      </c>
      <c r="CY215" s="15">
        <f t="shared" si="198"/>
        <v>0</v>
      </c>
      <c r="CZ215" s="28"/>
      <c r="DA215" s="14">
        <v>0</v>
      </c>
      <c r="DB215" s="14">
        <v>0</v>
      </c>
      <c r="DC215" s="14">
        <v>0</v>
      </c>
      <c r="DD215" s="14">
        <v>0</v>
      </c>
      <c r="DE215" s="14">
        <v>0</v>
      </c>
      <c r="DF215" s="14">
        <v>0</v>
      </c>
      <c r="DG215" s="14">
        <v>0</v>
      </c>
      <c r="DH215" s="14">
        <v>0</v>
      </c>
      <c r="DI215" s="14">
        <v>0</v>
      </c>
      <c r="DJ215" s="14">
        <v>0</v>
      </c>
      <c r="DK215" s="14">
        <v>0</v>
      </c>
      <c r="DL215" s="14">
        <v>0</v>
      </c>
      <c r="DM215" s="14">
        <v>0</v>
      </c>
      <c r="DN215" s="14">
        <v>0</v>
      </c>
      <c r="DO215" s="14">
        <v>0</v>
      </c>
      <c r="DP215" s="13">
        <f t="shared" si="151"/>
        <v>0</v>
      </c>
      <c r="DU215" s="20" t="e">
        <f t="shared" si="210"/>
        <v>#REF!</v>
      </c>
    </row>
    <row r="216" spans="1:125" customFormat="1" ht="20.149999999999999" customHeight="1" x14ac:dyDescent="0.35">
      <c r="A216" s="205">
        <v>32</v>
      </c>
      <c r="B216" s="178" t="s">
        <v>190</v>
      </c>
      <c r="C216" s="144" t="s">
        <v>6</v>
      </c>
      <c r="D216" s="14">
        <v>0</v>
      </c>
      <c r="E216" s="254">
        <f>'LPLPO PROGRAM'!E45</f>
        <v>0</v>
      </c>
      <c r="F216" s="254">
        <f t="shared" si="199"/>
        <v>0</v>
      </c>
      <c r="G216" s="254">
        <f>'PEMAKAIAN UNIT'!R213</f>
        <v>0</v>
      </c>
      <c r="H216" s="14">
        <v>0</v>
      </c>
      <c r="I216" s="14">
        <v>0</v>
      </c>
      <c r="J216" s="14">
        <v>0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09">
        <f t="shared" si="200"/>
        <v>0</v>
      </c>
      <c r="Z216" s="109" t="e">
        <f t="shared" si="201"/>
        <v>#REF!</v>
      </c>
      <c r="AA216" s="109" t="e">
        <f t="shared" si="202"/>
        <v>#REF!</v>
      </c>
      <c r="AB216" s="14">
        <v>0</v>
      </c>
      <c r="AC216" s="109" t="e">
        <f t="shared" si="203"/>
        <v>#REF!</v>
      </c>
      <c r="AD216" s="109">
        <f>'LPLPO PROGRAM'!H45</f>
        <v>0</v>
      </c>
      <c r="AE216" s="111" t="e">
        <f t="shared" si="204"/>
        <v>#REF!</v>
      </c>
      <c r="AF216" s="212"/>
      <c r="AG216" s="212"/>
      <c r="AH216" s="20"/>
      <c r="AI216" s="14">
        <f t="shared" si="208"/>
        <v>0</v>
      </c>
      <c r="AJ216" s="209" t="e">
        <f t="shared" si="209"/>
        <v>#REF!</v>
      </c>
      <c r="AL216" s="14">
        <f t="shared" si="160"/>
        <v>0</v>
      </c>
      <c r="AM216" s="14">
        <f>DISTRIBUSI!D214</f>
        <v>0</v>
      </c>
      <c r="AN216" s="14">
        <f>'PEMAKAIAN UNIT'!D213</f>
        <v>0</v>
      </c>
      <c r="AO216" s="14">
        <f t="shared" si="161"/>
        <v>0</v>
      </c>
      <c r="AP216" s="15">
        <f t="shared" si="162"/>
        <v>0</v>
      </c>
      <c r="AQ216" s="14">
        <f t="shared" si="163"/>
        <v>0</v>
      </c>
      <c r="AR216" s="14">
        <f>DISTRIBUSI!E214</f>
        <v>0</v>
      </c>
      <c r="AS216" s="14">
        <f>'PEMAKAIAN UNIT'!E213</f>
        <v>0</v>
      </c>
      <c r="AT216" s="14">
        <f t="shared" si="164"/>
        <v>0</v>
      </c>
      <c r="AU216" s="15">
        <f t="shared" si="165"/>
        <v>0</v>
      </c>
      <c r="AV216" s="14">
        <f t="shared" si="166"/>
        <v>0</v>
      </c>
      <c r="AW216" s="14">
        <f>DISTRIBUSI!F214</f>
        <v>0</v>
      </c>
      <c r="AX216" s="14">
        <f>'PEMAKAIAN UNIT'!F213</f>
        <v>0</v>
      </c>
      <c r="AY216" s="14">
        <f t="shared" si="167"/>
        <v>0</v>
      </c>
      <c r="AZ216" s="15">
        <f t="shared" si="168"/>
        <v>0</v>
      </c>
      <c r="BA216" s="14">
        <f t="shared" si="169"/>
        <v>0</v>
      </c>
      <c r="BB216" s="14">
        <f>DISTRIBUSI!G214</f>
        <v>0</v>
      </c>
      <c r="BC216" s="14">
        <f>'PEMAKAIAN UNIT'!G213</f>
        <v>0</v>
      </c>
      <c r="BD216" s="14">
        <f t="shared" si="170"/>
        <v>0</v>
      </c>
      <c r="BE216" s="15">
        <f t="shared" si="171"/>
        <v>0</v>
      </c>
      <c r="BF216" s="14">
        <f t="shared" si="172"/>
        <v>0</v>
      </c>
      <c r="BG216" s="14">
        <f>DISTRIBUSI!H214</f>
        <v>0</v>
      </c>
      <c r="BH216" s="14">
        <f>'PEMAKAIAN UNIT'!H213</f>
        <v>0</v>
      </c>
      <c r="BI216" s="14">
        <f t="shared" si="173"/>
        <v>0</v>
      </c>
      <c r="BJ216" s="15">
        <f t="shared" si="174"/>
        <v>0</v>
      </c>
      <c r="BK216" s="14">
        <f t="shared" si="175"/>
        <v>0</v>
      </c>
      <c r="BL216" s="14">
        <f>DISTRIBUSI!I214</f>
        <v>0</v>
      </c>
      <c r="BM216" s="14">
        <f>'PEMAKAIAN UNIT'!I213</f>
        <v>0</v>
      </c>
      <c r="BN216" s="14">
        <f t="shared" si="176"/>
        <v>0</v>
      </c>
      <c r="BO216" s="15">
        <f t="shared" si="177"/>
        <v>0</v>
      </c>
      <c r="BP216" s="14">
        <f t="shared" si="178"/>
        <v>0</v>
      </c>
      <c r="BQ216" s="14">
        <f>DISTRIBUSI!J214</f>
        <v>0</v>
      </c>
      <c r="BR216" s="14">
        <f>'PEMAKAIAN UNIT'!J213</f>
        <v>0</v>
      </c>
      <c r="BS216" s="14">
        <f t="shared" si="179"/>
        <v>0</v>
      </c>
      <c r="BT216" s="15">
        <f t="shared" si="180"/>
        <v>0</v>
      </c>
      <c r="BU216" s="14">
        <f t="shared" si="181"/>
        <v>0</v>
      </c>
      <c r="BV216" s="14">
        <f>DISTRIBUSI!K214</f>
        <v>0</v>
      </c>
      <c r="BW216" s="14">
        <f>'PEMAKAIAN UNIT'!K213</f>
        <v>0</v>
      </c>
      <c r="BX216" s="14">
        <f t="shared" si="182"/>
        <v>0</v>
      </c>
      <c r="BY216" s="15">
        <f t="shared" si="183"/>
        <v>0</v>
      </c>
      <c r="BZ216" s="14">
        <f t="shared" si="184"/>
        <v>0</v>
      </c>
      <c r="CA216" s="14">
        <f>DISTRIBUSI!L214</f>
        <v>0</v>
      </c>
      <c r="CB216" s="14">
        <f>'PEMAKAIAN UNIT'!L213</f>
        <v>0</v>
      </c>
      <c r="CC216" s="14">
        <f t="shared" si="185"/>
        <v>0</v>
      </c>
      <c r="CD216" s="15">
        <f t="shared" si="186"/>
        <v>0</v>
      </c>
      <c r="CE216" s="14">
        <f t="shared" si="187"/>
        <v>0</v>
      </c>
      <c r="CF216" s="14">
        <f>DISTRIBUSI!M214</f>
        <v>0</v>
      </c>
      <c r="CG216" s="14">
        <f>'PEMAKAIAN UNIT'!M213</f>
        <v>0</v>
      </c>
      <c r="CH216" s="14">
        <f t="shared" si="188"/>
        <v>0</v>
      </c>
      <c r="CI216" s="15">
        <f t="shared" si="189"/>
        <v>0</v>
      </c>
      <c r="CJ216" s="14">
        <f t="shared" si="190"/>
        <v>0</v>
      </c>
      <c r="CK216" s="14" t="e">
        <f>DISTRIBUSI!#REF!</f>
        <v>#REF!</v>
      </c>
      <c r="CL216" s="14">
        <f>'PEMAKAIAN UNIT'!N213</f>
        <v>0</v>
      </c>
      <c r="CM216" s="14" t="e">
        <f t="shared" si="191"/>
        <v>#REF!</v>
      </c>
      <c r="CN216" s="15" t="e">
        <f t="shared" si="192"/>
        <v>#REF!</v>
      </c>
      <c r="CO216" s="14" t="e">
        <f>DL216+DISTRIBUSI!#REF!-'PEMAKAIAN UNIT'!O213</f>
        <v>#REF!</v>
      </c>
      <c r="CP216" s="15" t="e">
        <f t="shared" si="193"/>
        <v>#REF!</v>
      </c>
      <c r="CQ216" s="226">
        <f t="shared" si="194"/>
        <v>0</v>
      </c>
      <c r="CR216" s="226">
        <f>DISTRIBUSI!R214</f>
        <v>0</v>
      </c>
      <c r="CS216" s="226">
        <f>'PEMAKAIAN UNIT'!P213</f>
        <v>0</v>
      </c>
      <c r="CT216" s="14">
        <f t="shared" si="195"/>
        <v>0</v>
      </c>
      <c r="CU216" s="15">
        <f t="shared" si="196"/>
        <v>0</v>
      </c>
      <c r="CV216" s="14" t="e">
        <f>DN216+DISTRIBUSI!#REF!-'PEMAKAIAN UNIT'!Q213</f>
        <v>#REF!</v>
      </c>
      <c r="CW216" s="15" t="e">
        <f t="shared" si="197"/>
        <v>#REF!</v>
      </c>
      <c r="CX216" s="14">
        <f>DO216+'LPLPO PROGRAM'!E45-'LPLPO PROGRAM'!G45</f>
        <v>32</v>
      </c>
      <c r="CY216" s="15">
        <f t="shared" si="198"/>
        <v>32</v>
      </c>
      <c r="CZ216" s="28"/>
      <c r="DA216" s="14">
        <v>0</v>
      </c>
      <c r="DB216" s="14">
        <v>0</v>
      </c>
      <c r="DC216" s="14">
        <v>0</v>
      </c>
      <c r="DD216" s="14">
        <v>0</v>
      </c>
      <c r="DE216" s="14">
        <v>0</v>
      </c>
      <c r="DF216" s="14">
        <v>0</v>
      </c>
      <c r="DG216" s="14">
        <v>0</v>
      </c>
      <c r="DH216" s="14">
        <v>0</v>
      </c>
      <c r="DI216" s="14">
        <v>0</v>
      </c>
      <c r="DJ216" s="14">
        <v>0</v>
      </c>
      <c r="DK216" s="14">
        <v>0</v>
      </c>
      <c r="DL216" s="14">
        <v>0</v>
      </c>
      <c r="DM216" s="14">
        <v>0</v>
      </c>
      <c r="DN216" s="14">
        <v>0</v>
      </c>
      <c r="DO216" s="14">
        <v>32</v>
      </c>
      <c r="DP216" s="13">
        <f t="shared" si="151"/>
        <v>32</v>
      </c>
      <c r="DU216" s="20" t="e">
        <f t="shared" si="210"/>
        <v>#REF!</v>
      </c>
    </row>
    <row r="217" spans="1:125" customFormat="1" ht="20.149999999999999" customHeight="1" x14ac:dyDescent="0.35">
      <c r="A217" s="205">
        <v>33</v>
      </c>
      <c r="B217" s="178" t="s">
        <v>357</v>
      </c>
      <c r="C217" s="144" t="s">
        <v>108</v>
      </c>
      <c r="D217" s="14">
        <v>0</v>
      </c>
      <c r="E217" s="254">
        <f>'LPLPO PROGRAM'!E46</f>
        <v>0</v>
      </c>
      <c r="F217" s="254">
        <f t="shared" si="199"/>
        <v>0</v>
      </c>
      <c r="G217" s="254">
        <f>'PEMAKAIAN UNIT'!R214</f>
        <v>0</v>
      </c>
      <c r="H217" s="14">
        <v>0</v>
      </c>
      <c r="I217" s="14">
        <v>0</v>
      </c>
      <c r="J217" s="14">
        <v>0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09">
        <f t="shared" si="200"/>
        <v>0</v>
      </c>
      <c r="Z217" s="109" t="e">
        <f t="shared" si="201"/>
        <v>#REF!</v>
      </c>
      <c r="AA217" s="109" t="e">
        <f t="shared" si="202"/>
        <v>#REF!</v>
      </c>
      <c r="AB217" s="14">
        <v>0</v>
      </c>
      <c r="AC217" s="109" t="e">
        <f t="shared" si="203"/>
        <v>#REF!</v>
      </c>
      <c r="AD217" s="109">
        <f>'LPLPO PROGRAM'!H46</f>
        <v>0</v>
      </c>
      <c r="AE217" s="111" t="e">
        <f t="shared" si="204"/>
        <v>#REF!</v>
      </c>
      <c r="AF217" s="212"/>
      <c r="AG217" s="212"/>
      <c r="AH217" s="20"/>
      <c r="AI217" s="14">
        <f t="shared" si="208"/>
        <v>0</v>
      </c>
      <c r="AJ217" s="209" t="e">
        <f t="shared" si="209"/>
        <v>#REF!</v>
      </c>
      <c r="AL217" s="14">
        <f t="shared" si="160"/>
        <v>0</v>
      </c>
      <c r="AM217" s="14">
        <f>DISTRIBUSI!D215</f>
        <v>0</v>
      </c>
      <c r="AN217" s="14">
        <f>'PEMAKAIAN UNIT'!D214</f>
        <v>0</v>
      </c>
      <c r="AO217" s="14">
        <f t="shared" si="161"/>
        <v>0</v>
      </c>
      <c r="AP217" s="15">
        <f t="shared" si="162"/>
        <v>0</v>
      </c>
      <c r="AQ217" s="14">
        <f t="shared" si="163"/>
        <v>0</v>
      </c>
      <c r="AR217" s="14">
        <f>DISTRIBUSI!E215</f>
        <v>0</v>
      </c>
      <c r="AS217" s="14">
        <f>'PEMAKAIAN UNIT'!E214</f>
        <v>0</v>
      </c>
      <c r="AT217" s="14">
        <f t="shared" si="164"/>
        <v>0</v>
      </c>
      <c r="AU217" s="15">
        <f t="shared" si="165"/>
        <v>0</v>
      </c>
      <c r="AV217" s="14">
        <f t="shared" si="166"/>
        <v>0</v>
      </c>
      <c r="AW217" s="14">
        <f>DISTRIBUSI!F215</f>
        <v>0</v>
      </c>
      <c r="AX217" s="14">
        <f>'PEMAKAIAN UNIT'!F214</f>
        <v>0</v>
      </c>
      <c r="AY217" s="14">
        <f t="shared" si="167"/>
        <v>0</v>
      </c>
      <c r="AZ217" s="15">
        <f t="shared" si="168"/>
        <v>0</v>
      </c>
      <c r="BA217" s="14">
        <f t="shared" si="169"/>
        <v>0</v>
      </c>
      <c r="BB217" s="14">
        <f>DISTRIBUSI!G215</f>
        <v>0</v>
      </c>
      <c r="BC217" s="14">
        <f>'PEMAKAIAN UNIT'!G214</f>
        <v>0</v>
      </c>
      <c r="BD217" s="14">
        <f t="shared" si="170"/>
        <v>0</v>
      </c>
      <c r="BE217" s="15">
        <f t="shared" si="171"/>
        <v>0</v>
      </c>
      <c r="BF217" s="14">
        <f t="shared" si="172"/>
        <v>0</v>
      </c>
      <c r="BG217" s="14">
        <f>DISTRIBUSI!H215</f>
        <v>0</v>
      </c>
      <c r="BH217" s="14">
        <f>'PEMAKAIAN UNIT'!H214</f>
        <v>0</v>
      </c>
      <c r="BI217" s="14">
        <f t="shared" si="173"/>
        <v>0</v>
      </c>
      <c r="BJ217" s="15">
        <f t="shared" si="174"/>
        <v>0</v>
      </c>
      <c r="BK217" s="14">
        <f t="shared" si="175"/>
        <v>0</v>
      </c>
      <c r="BL217" s="14">
        <f>DISTRIBUSI!I215</f>
        <v>0</v>
      </c>
      <c r="BM217" s="14">
        <f>'PEMAKAIAN UNIT'!I214</f>
        <v>0</v>
      </c>
      <c r="BN217" s="14">
        <f t="shared" si="176"/>
        <v>0</v>
      </c>
      <c r="BO217" s="15">
        <f t="shared" si="177"/>
        <v>0</v>
      </c>
      <c r="BP217" s="14">
        <f t="shared" si="178"/>
        <v>0</v>
      </c>
      <c r="BQ217" s="14">
        <f>DISTRIBUSI!J215</f>
        <v>0</v>
      </c>
      <c r="BR217" s="14">
        <f>'PEMAKAIAN UNIT'!J214</f>
        <v>0</v>
      </c>
      <c r="BS217" s="14">
        <f t="shared" si="179"/>
        <v>0</v>
      </c>
      <c r="BT217" s="15">
        <f t="shared" si="180"/>
        <v>0</v>
      </c>
      <c r="BU217" s="14">
        <f t="shared" si="181"/>
        <v>0</v>
      </c>
      <c r="BV217" s="14">
        <f>DISTRIBUSI!K215</f>
        <v>0</v>
      </c>
      <c r="BW217" s="14">
        <f>'PEMAKAIAN UNIT'!K214</f>
        <v>0</v>
      </c>
      <c r="BX217" s="14">
        <f t="shared" si="182"/>
        <v>0</v>
      </c>
      <c r="BY217" s="15">
        <f t="shared" si="183"/>
        <v>0</v>
      </c>
      <c r="BZ217" s="14">
        <f t="shared" si="184"/>
        <v>0</v>
      </c>
      <c r="CA217" s="14">
        <f>DISTRIBUSI!L215</f>
        <v>0</v>
      </c>
      <c r="CB217" s="14">
        <f>'PEMAKAIAN UNIT'!L214</f>
        <v>0</v>
      </c>
      <c r="CC217" s="14">
        <f t="shared" si="185"/>
        <v>0</v>
      </c>
      <c r="CD217" s="15">
        <f t="shared" si="186"/>
        <v>0</v>
      </c>
      <c r="CE217" s="14">
        <f t="shared" si="187"/>
        <v>0</v>
      </c>
      <c r="CF217" s="14">
        <f>DISTRIBUSI!M215</f>
        <v>0</v>
      </c>
      <c r="CG217" s="14">
        <f>'PEMAKAIAN UNIT'!M214</f>
        <v>0</v>
      </c>
      <c r="CH217" s="14">
        <f t="shared" si="188"/>
        <v>0</v>
      </c>
      <c r="CI217" s="15">
        <f t="shared" si="189"/>
        <v>0</v>
      </c>
      <c r="CJ217" s="14">
        <f t="shared" si="190"/>
        <v>0</v>
      </c>
      <c r="CK217" s="14" t="e">
        <f>DISTRIBUSI!#REF!</f>
        <v>#REF!</v>
      </c>
      <c r="CL217" s="14">
        <f>'PEMAKAIAN UNIT'!N214</f>
        <v>0</v>
      </c>
      <c r="CM217" s="14" t="e">
        <f t="shared" si="191"/>
        <v>#REF!</v>
      </c>
      <c r="CN217" s="15" t="e">
        <f t="shared" si="192"/>
        <v>#REF!</v>
      </c>
      <c r="CO217" s="14" t="e">
        <f>DL217+DISTRIBUSI!#REF!-'PEMAKAIAN UNIT'!O214</f>
        <v>#REF!</v>
      </c>
      <c r="CP217" s="15" t="e">
        <f t="shared" si="193"/>
        <v>#REF!</v>
      </c>
      <c r="CQ217" s="226">
        <f t="shared" si="194"/>
        <v>0</v>
      </c>
      <c r="CR217" s="226">
        <f>DISTRIBUSI!R215</f>
        <v>0</v>
      </c>
      <c r="CS217" s="226">
        <f>'PEMAKAIAN UNIT'!P214</f>
        <v>0</v>
      </c>
      <c r="CT217" s="14">
        <f t="shared" si="195"/>
        <v>0</v>
      </c>
      <c r="CU217" s="15">
        <f t="shared" si="196"/>
        <v>0</v>
      </c>
      <c r="CV217" s="14" t="e">
        <f>DN217+DISTRIBUSI!#REF!-'PEMAKAIAN UNIT'!Q214</f>
        <v>#REF!</v>
      </c>
      <c r="CW217" s="15" t="e">
        <f t="shared" si="197"/>
        <v>#REF!</v>
      </c>
      <c r="CX217" s="14">
        <f>DO217+'LPLPO PROGRAM'!E46-'LPLPO PROGRAM'!G46</f>
        <v>0</v>
      </c>
      <c r="CY217" s="15">
        <f t="shared" si="198"/>
        <v>0</v>
      </c>
      <c r="CZ217" s="28"/>
      <c r="DA217" s="14">
        <v>0</v>
      </c>
      <c r="DB217" s="14">
        <v>0</v>
      </c>
      <c r="DC217" s="14">
        <v>0</v>
      </c>
      <c r="DD217" s="14">
        <v>0</v>
      </c>
      <c r="DE217" s="14">
        <v>0</v>
      </c>
      <c r="DF217" s="14">
        <v>0</v>
      </c>
      <c r="DG217" s="14">
        <v>0</v>
      </c>
      <c r="DH217" s="14">
        <v>0</v>
      </c>
      <c r="DI217" s="14">
        <v>0</v>
      </c>
      <c r="DJ217" s="14">
        <v>0</v>
      </c>
      <c r="DK217" s="14">
        <v>0</v>
      </c>
      <c r="DL217" s="14">
        <v>0</v>
      </c>
      <c r="DM217" s="14">
        <v>0</v>
      </c>
      <c r="DN217" s="14">
        <v>0</v>
      </c>
      <c r="DO217" s="14">
        <v>0</v>
      </c>
      <c r="DP217" s="13">
        <f t="shared" si="151"/>
        <v>0</v>
      </c>
      <c r="DU217" s="20" t="e">
        <f t="shared" si="210"/>
        <v>#REF!</v>
      </c>
    </row>
    <row r="218" spans="1:125" customFormat="1" ht="20.149999999999999" customHeight="1" x14ac:dyDescent="0.35">
      <c r="A218" s="205">
        <v>34</v>
      </c>
      <c r="B218" s="178" t="s">
        <v>358</v>
      </c>
      <c r="C218" s="144" t="s">
        <v>108</v>
      </c>
      <c r="D218" s="14">
        <v>0</v>
      </c>
      <c r="E218" s="254">
        <f>'LPLPO PROGRAM'!E47</f>
        <v>0</v>
      </c>
      <c r="F218" s="254">
        <f t="shared" si="199"/>
        <v>0</v>
      </c>
      <c r="G218" s="254">
        <f>'PEMAKAIAN UNIT'!R215</f>
        <v>0</v>
      </c>
      <c r="H218" s="14">
        <v>0</v>
      </c>
      <c r="I218" s="14">
        <v>0</v>
      </c>
      <c r="J218" s="14">
        <v>0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09">
        <f t="shared" si="200"/>
        <v>0</v>
      </c>
      <c r="Z218" s="109" t="e">
        <f t="shared" si="201"/>
        <v>#REF!</v>
      </c>
      <c r="AA218" s="109" t="e">
        <f t="shared" si="202"/>
        <v>#REF!</v>
      </c>
      <c r="AB218" s="14">
        <v>0</v>
      </c>
      <c r="AC218" s="109" t="e">
        <f t="shared" si="203"/>
        <v>#REF!</v>
      </c>
      <c r="AD218" s="109">
        <f>'LPLPO PROGRAM'!H47</f>
        <v>0</v>
      </c>
      <c r="AE218" s="111" t="e">
        <f t="shared" si="204"/>
        <v>#REF!</v>
      </c>
      <c r="AF218" s="212"/>
      <c r="AG218" s="212"/>
      <c r="AH218" s="20"/>
      <c r="AI218" s="14">
        <f t="shared" si="208"/>
        <v>0</v>
      </c>
      <c r="AJ218" s="209" t="e">
        <f t="shared" si="209"/>
        <v>#REF!</v>
      </c>
      <c r="AL218" s="14">
        <f t="shared" si="160"/>
        <v>0</v>
      </c>
      <c r="AM218" s="14">
        <f>DISTRIBUSI!D216</f>
        <v>0</v>
      </c>
      <c r="AN218" s="14">
        <f>'PEMAKAIAN UNIT'!D215</f>
        <v>0</v>
      </c>
      <c r="AO218" s="14">
        <f t="shared" si="161"/>
        <v>0</v>
      </c>
      <c r="AP218" s="15">
        <f t="shared" si="162"/>
        <v>0</v>
      </c>
      <c r="AQ218" s="14">
        <f t="shared" si="163"/>
        <v>0</v>
      </c>
      <c r="AR218" s="14">
        <f>DISTRIBUSI!E216</f>
        <v>0</v>
      </c>
      <c r="AS218" s="14">
        <f>'PEMAKAIAN UNIT'!E215</f>
        <v>0</v>
      </c>
      <c r="AT218" s="14">
        <f t="shared" si="164"/>
        <v>0</v>
      </c>
      <c r="AU218" s="15">
        <f t="shared" si="165"/>
        <v>0</v>
      </c>
      <c r="AV218" s="14">
        <f t="shared" si="166"/>
        <v>0</v>
      </c>
      <c r="AW218" s="14">
        <f>DISTRIBUSI!F216</f>
        <v>0</v>
      </c>
      <c r="AX218" s="14">
        <f>'PEMAKAIAN UNIT'!F215</f>
        <v>0</v>
      </c>
      <c r="AY218" s="14">
        <f t="shared" si="167"/>
        <v>0</v>
      </c>
      <c r="AZ218" s="15">
        <f t="shared" si="168"/>
        <v>0</v>
      </c>
      <c r="BA218" s="14">
        <f t="shared" si="169"/>
        <v>0</v>
      </c>
      <c r="BB218" s="14">
        <f>DISTRIBUSI!G216</f>
        <v>0</v>
      </c>
      <c r="BC218" s="14">
        <f>'PEMAKAIAN UNIT'!G215</f>
        <v>0</v>
      </c>
      <c r="BD218" s="14">
        <f t="shared" si="170"/>
        <v>0</v>
      </c>
      <c r="BE218" s="15">
        <f t="shared" si="171"/>
        <v>0</v>
      </c>
      <c r="BF218" s="14">
        <f t="shared" si="172"/>
        <v>0</v>
      </c>
      <c r="BG218" s="14">
        <f>DISTRIBUSI!H216</f>
        <v>0</v>
      </c>
      <c r="BH218" s="14">
        <f>'PEMAKAIAN UNIT'!H215</f>
        <v>0</v>
      </c>
      <c r="BI218" s="14">
        <f t="shared" si="173"/>
        <v>0</v>
      </c>
      <c r="BJ218" s="15">
        <f t="shared" si="174"/>
        <v>0</v>
      </c>
      <c r="BK218" s="14">
        <f t="shared" si="175"/>
        <v>0</v>
      </c>
      <c r="BL218" s="14">
        <f>DISTRIBUSI!I216</f>
        <v>0</v>
      </c>
      <c r="BM218" s="14">
        <f>'PEMAKAIAN UNIT'!I215</f>
        <v>0</v>
      </c>
      <c r="BN218" s="14">
        <f t="shared" si="176"/>
        <v>0</v>
      </c>
      <c r="BO218" s="15">
        <f t="shared" si="177"/>
        <v>0</v>
      </c>
      <c r="BP218" s="14">
        <f t="shared" si="178"/>
        <v>0</v>
      </c>
      <c r="BQ218" s="14">
        <f>DISTRIBUSI!J216</f>
        <v>0</v>
      </c>
      <c r="BR218" s="14">
        <f>'PEMAKAIAN UNIT'!J215</f>
        <v>0</v>
      </c>
      <c r="BS218" s="14">
        <f t="shared" si="179"/>
        <v>0</v>
      </c>
      <c r="BT218" s="15">
        <f t="shared" si="180"/>
        <v>0</v>
      </c>
      <c r="BU218" s="14">
        <f t="shared" si="181"/>
        <v>0</v>
      </c>
      <c r="BV218" s="14">
        <f>DISTRIBUSI!K216</f>
        <v>0</v>
      </c>
      <c r="BW218" s="14">
        <f>'PEMAKAIAN UNIT'!K215</f>
        <v>0</v>
      </c>
      <c r="BX218" s="14">
        <f t="shared" si="182"/>
        <v>0</v>
      </c>
      <c r="BY218" s="15">
        <f t="shared" si="183"/>
        <v>0</v>
      </c>
      <c r="BZ218" s="14">
        <f t="shared" si="184"/>
        <v>0</v>
      </c>
      <c r="CA218" s="14">
        <f>DISTRIBUSI!L216</f>
        <v>0</v>
      </c>
      <c r="CB218" s="14">
        <f>'PEMAKAIAN UNIT'!L215</f>
        <v>0</v>
      </c>
      <c r="CC218" s="14">
        <f t="shared" si="185"/>
        <v>0</v>
      </c>
      <c r="CD218" s="15">
        <f t="shared" si="186"/>
        <v>0</v>
      </c>
      <c r="CE218" s="14">
        <f t="shared" si="187"/>
        <v>0</v>
      </c>
      <c r="CF218" s="14">
        <f>DISTRIBUSI!M216</f>
        <v>0</v>
      </c>
      <c r="CG218" s="14">
        <f>'PEMAKAIAN UNIT'!M215</f>
        <v>0</v>
      </c>
      <c r="CH218" s="14">
        <f t="shared" si="188"/>
        <v>0</v>
      </c>
      <c r="CI218" s="15">
        <f t="shared" si="189"/>
        <v>0</v>
      </c>
      <c r="CJ218" s="14">
        <f t="shared" si="190"/>
        <v>0</v>
      </c>
      <c r="CK218" s="14" t="e">
        <f>DISTRIBUSI!#REF!</f>
        <v>#REF!</v>
      </c>
      <c r="CL218" s="14">
        <f>'PEMAKAIAN UNIT'!N215</f>
        <v>0</v>
      </c>
      <c r="CM218" s="14" t="e">
        <f t="shared" si="191"/>
        <v>#REF!</v>
      </c>
      <c r="CN218" s="15" t="e">
        <f t="shared" si="192"/>
        <v>#REF!</v>
      </c>
      <c r="CO218" s="14" t="e">
        <f>DL218+DISTRIBUSI!#REF!-'PEMAKAIAN UNIT'!O215</f>
        <v>#REF!</v>
      </c>
      <c r="CP218" s="15" t="e">
        <f t="shared" si="193"/>
        <v>#REF!</v>
      </c>
      <c r="CQ218" s="226">
        <f t="shared" si="194"/>
        <v>0</v>
      </c>
      <c r="CR218" s="226">
        <f>DISTRIBUSI!R216</f>
        <v>0</v>
      </c>
      <c r="CS218" s="226">
        <f>'PEMAKAIAN UNIT'!P215</f>
        <v>0</v>
      </c>
      <c r="CT218" s="14">
        <f t="shared" si="195"/>
        <v>0</v>
      </c>
      <c r="CU218" s="15">
        <f t="shared" si="196"/>
        <v>0</v>
      </c>
      <c r="CV218" s="14" t="e">
        <f>DN218+DISTRIBUSI!#REF!-'PEMAKAIAN UNIT'!Q215</f>
        <v>#REF!</v>
      </c>
      <c r="CW218" s="15" t="e">
        <f t="shared" si="197"/>
        <v>#REF!</v>
      </c>
      <c r="CX218" s="14">
        <f>DO218+'LPLPO PROGRAM'!E47-'LPLPO PROGRAM'!G47</f>
        <v>0</v>
      </c>
      <c r="CY218" s="15">
        <f t="shared" si="198"/>
        <v>0</v>
      </c>
      <c r="CZ218" s="28"/>
      <c r="DA218" s="14">
        <v>0</v>
      </c>
      <c r="DB218" s="14">
        <v>0</v>
      </c>
      <c r="DC218" s="14">
        <v>0</v>
      </c>
      <c r="DD218" s="14">
        <v>0</v>
      </c>
      <c r="DE218" s="14">
        <v>0</v>
      </c>
      <c r="DF218" s="14">
        <v>0</v>
      </c>
      <c r="DG218" s="14">
        <v>0</v>
      </c>
      <c r="DH218" s="14">
        <v>0</v>
      </c>
      <c r="DI218" s="14">
        <v>0</v>
      </c>
      <c r="DJ218" s="14">
        <v>0</v>
      </c>
      <c r="DK218" s="14">
        <v>0</v>
      </c>
      <c r="DL218" s="14">
        <v>0</v>
      </c>
      <c r="DM218" s="14">
        <v>0</v>
      </c>
      <c r="DN218" s="14">
        <v>0</v>
      </c>
      <c r="DO218" s="14">
        <v>0</v>
      </c>
      <c r="DP218" s="13">
        <f t="shared" si="151"/>
        <v>0</v>
      </c>
      <c r="DU218" s="20" t="e">
        <f t="shared" si="210"/>
        <v>#REF!</v>
      </c>
    </row>
    <row r="219" spans="1:125" customFormat="1" ht="20.149999999999999" customHeight="1" x14ac:dyDescent="0.35">
      <c r="A219" s="205">
        <v>35</v>
      </c>
      <c r="B219" s="178" t="s">
        <v>356</v>
      </c>
      <c r="C219" s="144" t="s">
        <v>108</v>
      </c>
      <c r="D219" s="14">
        <v>0</v>
      </c>
      <c r="E219" s="254">
        <f>'LPLPO PROGRAM'!E48</f>
        <v>0</v>
      </c>
      <c r="F219" s="254">
        <f t="shared" si="199"/>
        <v>0</v>
      </c>
      <c r="G219" s="254">
        <f>'PEMAKAIAN UNIT'!R216</f>
        <v>0</v>
      </c>
      <c r="H219" s="14">
        <v>0</v>
      </c>
      <c r="I219" s="14">
        <v>0</v>
      </c>
      <c r="J219" s="14">
        <v>0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09">
        <f t="shared" si="200"/>
        <v>0</v>
      </c>
      <c r="Z219" s="109" t="e">
        <f t="shared" si="201"/>
        <v>#REF!</v>
      </c>
      <c r="AA219" s="109" t="e">
        <f t="shared" si="202"/>
        <v>#REF!</v>
      </c>
      <c r="AB219" s="14">
        <v>0</v>
      </c>
      <c r="AC219" s="109" t="e">
        <f t="shared" si="203"/>
        <v>#REF!</v>
      </c>
      <c r="AD219" s="109">
        <f>'LPLPO PROGRAM'!H48</f>
        <v>0</v>
      </c>
      <c r="AE219" s="111" t="e">
        <f t="shared" si="204"/>
        <v>#REF!</v>
      </c>
      <c r="AF219" s="212"/>
      <c r="AG219" s="212"/>
      <c r="AH219" s="20"/>
      <c r="AI219" s="14">
        <f t="shared" si="208"/>
        <v>0</v>
      </c>
      <c r="AJ219" s="209" t="e">
        <f t="shared" si="209"/>
        <v>#REF!</v>
      </c>
      <c r="AL219" s="14">
        <f t="shared" si="160"/>
        <v>0</v>
      </c>
      <c r="AM219" s="14">
        <f>DISTRIBUSI!D217</f>
        <v>0</v>
      </c>
      <c r="AN219" s="14">
        <f>'PEMAKAIAN UNIT'!D216</f>
        <v>0</v>
      </c>
      <c r="AO219" s="14">
        <f t="shared" si="161"/>
        <v>0</v>
      </c>
      <c r="AP219" s="15">
        <f t="shared" si="162"/>
        <v>0</v>
      </c>
      <c r="AQ219" s="14">
        <f t="shared" si="163"/>
        <v>0</v>
      </c>
      <c r="AR219" s="14">
        <f>DISTRIBUSI!E217</f>
        <v>0</v>
      </c>
      <c r="AS219" s="14">
        <f>'PEMAKAIAN UNIT'!E216</f>
        <v>0</v>
      </c>
      <c r="AT219" s="14">
        <f t="shared" si="164"/>
        <v>0</v>
      </c>
      <c r="AU219" s="15">
        <f t="shared" si="165"/>
        <v>0</v>
      </c>
      <c r="AV219" s="14">
        <f t="shared" si="166"/>
        <v>0</v>
      </c>
      <c r="AW219" s="14">
        <f>DISTRIBUSI!F217</f>
        <v>0</v>
      </c>
      <c r="AX219" s="14">
        <f>'PEMAKAIAN UNIT'!F216</f>
        <v>0</v>
      </c>
      <c r="AY219" s="14">
        <f t="shared" si="167"/>
        <v>0</v>
      </c>
      <c r="AZ219" s="15">
        <f t="shared" si="168"/>
        <v>0</v>
      </c>
      <c r="BA219" s="14">
        <f t="shared" si="169"/>
        <v>0</v>
      </c>
      <c r="BB219" s="14">
        <f>DISTRIBUSI!G217</f>
        <v>0</v>
      </c>
      <c r="BC219" s="14">
        <f>'PEMAKAIAN UNIT'!G216</f>
        <v>0</v>
      </c>
      <c r="BD219" s="14">
        <f t="shared" si="170"/>
        <v>0</v>
      </c>
      <c r="BE219" s="15">
        <f t="shared" si="171"/>
        <v>0</v>
      </c>
      <c r="BF219" s="14">
        <f t="shared" si="172"/>
        <v>0</v>
      </c>
      <c r="BG219" s="14">
        <f>DISTRIBUSI!H217</f>
        <v>0</v>
      </c>
      <c r="BH219" s="14">
        <f>'PEMAKAIAN UNIT'!H216</f>
        <v>0</v>
      </c>
      <c r="BI219" s="14">
        <f t="shared" si="173"/>
        <v>0</v>
      </c>
      <c r="BJ219" s="15">
        <f t="shared" si="174"/>
        <v>0</v>
      </c>
      <c r="BK219" s="14">
        <f t="shared" si="175"/>
        <v>0</v>
      </c>
      <c r="BL219" s="14">
        <f>DISTRIBUSI!I217</f>
        <v>0</v>
      </c>
      <c r="BM219" s="14">
        <f>'PEMAKAIAN UNIT'!I216</f>
        <v>0</v>
      </c>
      <c r="BN219" s="14">
        <f t="shared" si="176"/>
        <v>0</v>
      </c>
      <c r="BO219" s="15">
        <f t="shared" si="177"/>
        <v>0</v>
      </c>
      <c r="BP219" s="14">
        <f t="shared" si="178"/>
        <v>0</v>
      </c>
      <c r="BQ219" s="14">
        <f>DISTRIBUSI!J217</f>
        <v>0</v>
      </c>
      <c r="BR219" s="14">
        <f>'PEMAKAIAN UNIT'!J216</f>
        <v>0</v>
      </c>
      <c r="BS219" s="14">
        <f t="shared" si="179"/>
        <v>0</v>
      </c>
      <c r="BT219" s="15">
        <f t="shared" si="180"/>
        <v>0</v>
      </c>
      <c r="BU219" s="14">
        <f t="shared" si="181"/>
        <v>0</v>
      </c>
      <c r="BV219" s="14">
        <f>DISTRIBUSI!K217</f>
        <v>0</v>
      </c>
      <c r="BW219" s="14">
        <f>'PEMAKAIAN UNIT'!K216</f>
        <v>0</v>
      </c>
      <c r="BX219" s="14">
        <f t="shared" si="182"/>
        <v>0</v>
      </c>
      <c r="BY219" s="15">
        <f t="shared" si="183"/>
        <v>0</v>
      </c>
      <c r="BZ219" s="14">
        <f t="shared" si="184"/>
        <v>0</v>
      </c>
      <c r="CA219" s="14">
        <f>DISTRIBUSI!L217</f>
        <v>0</v>
      </c>
      <c r="CB219" s="14">
        <f>'PEMAKAIAN UNIT'!L216</f>
        <v>0</v>
      </c>
      <c r="CC219" s="14">
        <f t="shared" si="185"/>
        <v>0</v>
      </c>
      <c r="CD219" s="15">
        <f t="shared" si="186"/>
        <v>0</v>
      </c>
      <c r="CE219" s="14">
        <f t="shared" si="187"/>
        <v>0</v>
      </c>
      <c r="CF219" s="14">
        <f>DISTRIBUSI!M217</f>
        <v>0</v>
      </c>
      <c r="CG219" s="14">
        <f>'PEMAKAIAN UNIT'!M216</f>
        <v>0</v>
      </c>
      <c r="CH219" s="14">
        <f t="shared" si="188"/>
        <v>0</v>
      </c>
      <c r="CI219" s="15">
        <f t="shared" si="189"/>
        <v>0</v>
      </c>
      <c r="CJ219" s="14">
        <f t="shared" si="190"/>
        <v>0</v>
      </c>
      <c r="CK219" s="14" t="e">
        <f>DISTRIBUSI!#REF!</f>
        <v>#REF!</v>
      </c>
      <c r="CL219" s="14">
        <f>'PEMAKAIAN UNIT'!N216</f>
        <v>0</v>
      </c>
      <c r="CM219" s="14" t="e">
        <f t="shared" si="191"/>
        <v>#REF!</v>
      </c>
      <c r="CN219" s="15" t="e">
        <f t="shared" si="192"/>
        <v>#REF!</v>
      </c>
      <c r="CO219" s="14" t="e">
        <f>DL219+DISTRIBUSI!#REF!-'PEMAKAIAN UNIT'!O216</f>
        <v>#REF!</v>
      </c>
      <c r="CP219" s="15" t="e">
        <f t="shared" si="193"/>
        <v>#REF!</v>
      </c>
      <c r="CQ219" s="226">
        <f t="shared" si="194"/>
        <v>0</v>
      </c>
      <c r="CR219" s="226">
        <f>DISTRIBUSI!R217</f>
        <v>0</v>
      </c>
      <c r="CS219" s="226">
        <f>'PEMAKAIAN UNIT'!P216</f>
        <v>0</v>
      </c>
      <c r="CT219" s="14">
        <f t="shared" si="195"/>
        <v>0</v>
      </c>
      <c r="CU219" s="15">
        <f t="shared" si="196"/>
        <v>0</v>
      </c>
      <c r="CV219" s="14" t="e">
        <f>DN219+DISTRIBUSI!#REF!-'PEMAKAIAN UNIT'!Q216</f>
        <v>#REF!</v>
      </c>
      <c r="CW219" s="15" t="e">
        <f t="shared" si="197"/>
        <v>#REF!</v>
      </c>
      <c r="CX219" s="14">
        <f>DO219+'LPLPO PROGRAM'!E48-'LPLPO PROGRAM'!G48</f>
        <v>0</v>
      </c>
      <c r="CY219" s="15">
        <f t="shared" si="198"/>
        <v>0</v>
      </c>
      <c r="CZ219" s="28"/>
      <c r="DA219" s="14">
        <v>0</v>
      </c>
      <c r="DB219" s="14">
        <v>0</v>
      </c>
      <c r="DC219" s="14">
        <v>0</v>
      </c>
      <c r="DD219" s="14">
        <v>0</v>
      </c>
      <c r="DE219" s="14">
        <v>0</v>
      </c>
      <c r="DF219" s="14">
        <v>0</v>
      </c>
      <c r="DG219" s="14">
        <v>0</v>
      </c>
      <c r="DH219" s="14">
        <v>0</v>
      </c>
      <c r="DI219" s="14">
        <v>0</v>
      </c>
      <c r="DJ219" s="14">
        <v>0</v>
      </c>
      <c r="DK219" s="14">
        <v>0</v>
      </c>
      <c r="DL219" s="14">
        <v>0</v>
      </c>
      <c r="DM219" s="14">
        <v>0</v>
      </c>
      <c r="DN219" s="14">
        <v>0</v>
      </c>
      <c r="DO219" s="14">
        <v>0</v>
      </c>
      <c r="DP219" s="13">
        <f t="shared" si="151"/>
        <v>0</v>
      </c>
      <c r="DU219" s="20" t="e">
        <f t="shared" si="210"/>
        <v>#REF!</v>
      </c>
    </row>
    <row r="220" spans="1:125" customFormat="1" ht="20.149999999999999" customHeight="1" x14ac:dyDescent="0.35">
      <c r="A220" s="205">
        <v>36</v>
      </c>
      <c r="B220" s="178" t="s">
        <v>354</v>
      </c>
      <c r="C220" s="144" t="s">
        <v>355</v>
      </c>
      <c r="D220" s="14">
        <v>0</v>
      </c>
      <c r="E220" s="254">
        <f>'LPLPO PROGRAM'!E49</f>
        <v>0</v>
      </c>
      <c r="F220" s="254">
        <f t="shared" si="199"/>
        <v>0</v>
      </c>
      <c r="G220" s="254">
        <f>'PEMAKAIAN UNIT'!R217</f>
        <v>0</v>
      </c>
      <c r="H220" s="14">
        <v>0</v>
      </c>
      <c r="I220" s="14">
        <v>0</v>
      </c>
      <c r="J220" s="14">
        <v>0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09">
        <f t="shared" si="200"/>
        <v>0</v>
      </c>
      <c r="Z220" s="109" t="e">
        <f t="shared" si="201"/>
        <v>#REF!</v>
      </c>
      <c r="AA220" s="109" t="e">
        <f t="shared" si="202"/>
        <v>#REF!</v>
      </c>
      <c r="AB220" s="14">
        <v>0</v>
      </c>
      <c r="AC220" s="109" t="e">
        <f t="shared" si="203"/>
        <v>#REF!</v>
      </c>
      <c r="AD220" s="109">
        <f>'LPLPO PROGRAM'!H49</f>
        <v>0</v>
      </c>
      <c r="AE220" s="111" t="e">
        <f t="shared" si="204"/>
        <v>#REF!</v>
      </c>
      <c r="AF220" s="212"/>
      <c r="AG220" s="212"/>
      <c r="AH220" s="20"/>
      <c r="AI220" s="14">
        <f t="shared" si="208"/>
        <v>0</v>
      </c>
      <c r="AJ220" s="209" t="e">
        <f t="shared" si="209"/>
        <v>#REF!</v>
      </c>
      <c r="AL220" s="14">
        <f t="shared" si="160"/>
        <v>0</v>
      </c>
      <c r="AM220" s="14">
        <f>DISTRIBUSI!D218</f>
        <v>0</v>
      </c>
      <c r="AN220" s="14">
        <f>'PEMAKAIAN UNIT'!D217</f>
        <v>0</v>
      </c>
      <c r="AO220" s="14">
        <f t="shared" si="161"/>
        <v>0</v>
      </c>
      <c r="AP220" s="15">
        <f t="shared" si="162"/>
        <v>0</v>
      </c>
      <c r="AQ220" s="14">
        <f t="shared" si="163"/>
        <v>0</v>
      </c>
      <c r="AR220" s="14">
        <f>DISTRIBUSI!E218</f>
        <v>0</v>
      </c>
      <c r="AS220" s="14">
        <f>'PEMAKAIAN UNIT'!E217</f>
        <v>0</v>
      </c>
      <c r="AT220" s="14">
        <f t="shared" si="164"/>
        <v>0</v>
      </c>
      <c r="AU220" s="15">
        <f t="shared" si="165"/>
        <v>0</v>
      </c>
      <c r="AV220" s="14">
        <f t="shared" si="166"/>
        <v>0</v>
      </c>
      <c r="AW220" s="14">
        <f>DISTRIBUSI!F218</f>
        <v>0</v>
      </c>
      <c r="AX220" s="14">
        <f>'PEMAKAIAN UNIT'!F217</f>
        <v>0</v>
      </c>
      <c r="AY220" s="14">
        <f t="shared" si="167"/>
        <v>0</v>
      </c>
      <c r="AZ220" s="15">
        <f t="shared" si="168"/>
        <v>0</v>
      </c>
      <c r="BA220" s="14">
        <f t="shared" si="169"/>
        <v>0</v>
      </c>
      <c r="BB220" s="14">
        <f>DISTRIBUSI!G218</f>
        <v>0</v>
      </c>
      <c r="BC220" s="14">
        <f>'PEMAKAIAN UNIT'!G217</f>
        <v>0</v>
      </c>
      <c r="BD220" s="14">
        <f t="shared" si="170"/>
        <v>0</v>
      </c>
      <c r="BE220" s="15">
        <f t="shared" si="171"/>
        <v>0</v>
      </c>
      <c r="BF220" s="14">
        <f t="shared" si="172"/>
        <v>0</v>
      </c>
      <c r="BG220" s="14">
        <f>DISTRIBUSI!H218</f>
        <v>0</v>
      </c>
      <c r="BH220" s="14">
        <f>'PEMAKAIAN UNIT'!H217</f>
        <v>0</v>
      </c>
      <c r="BI220" s="14">
        <f t="shared" si="173"/>
        <v>0</v>
      </c>
      <c r="BJ220" s="15">
        <f t="shared" si="174"/>
        <v>0</v>
      </c>
      <c r="BK220" s="14">
        <f t="shared" si="175"/>
        <v>0</v>
      </c>
      <c r="BL220" s="14">
        <f>DISTRIBUSI!I218</f>
        <v>0</v>
      </c>
      <c r="BM220" s="14">
        <f>'PEMAKAIAN UNIT'!I217</f>
        <v>0</v>
      </c>
      <c r="BN220" s="14">
        <f t="shared" si="176"/>
        <v>0</v>
      </c>
      <c r="BO220" s="15">
        <f t="shared" si="177"/>
        <v>0</v>
      </c>
      <c r="BP220" s="14">
        <f t="shared" si="178"/>
        <v>0</v>
      </c>
      <c r="BQ220" s="14">
        <f>DISTRIBUSI!J218</f>
        <v>0</v>
      </c>
      <c r="BR220" s="14">
        <f>'PEMAKAIAN UNIT'!J217</f>
        <v>0</v>
      </c>
      <c r="BS220" s="14">
        <f t="shared" si="179"/>
        <v>0</v>
      </c>
      <c r="BT220" s="15">
        <f t="shared" si="180"/>
        <v>0</v>
      </c>
      <c r="BU220" s="14">
        <f t="shared" si="181"/>
        <v>0</v>
      </c>
      <c r="BV220" s="14">
        <f>DISTRIBUSI!K218</f>
        <v>0</v>
      </c>
      <c r="BW220" s="14">
        <f>'PEMAKAIAN UNIT'!K217</f>
        <v>0</v>
      </c>
      <c r="BX220" s="14">
        <f t="shared" si="182"/>
        <v>0</v>
      </c>
      <c r="BY220" s="15">
        <f t="shared" si="183"/>
        <v>0</v>
      </c>
      <c r="BZ220" s="14">
        <f t="shared" si="184"/>
        <v>0</v>
      </c>
      <c r="CA220" s="14">
        <f>DISTRIBUSI!L218</f>
        <v>0</v>
      </c>
      <c r="CB220" s="14">
        <f>'PEMAKAIAN UNIT'!L217</f>
        <v>0</v>
      </c>
      <c r="CC220" s="14">
        <f t="shared" si="185"/>
        <v>0</v>
      </c>
      <c r="CD220" s="15">
        <f t="shared" si="186"/>
        <v>0</v>
      </c>
      <c r="CE220" s="14">
        <f t="shared" si="187"/>
        <v>0</v>
      </c>
      <c r="CF220" s="14">
        <f>DISTRIBUSI!M218</f>
        <v>0</v>
      </c>
      <c r="CG220" s="14">
        <f>'PEMAKAIAN UNIT'!M217</f>
        <v>0</v>
      </c>
      <c r="CH220" s="14">
        <f t="shared" si="188"/>
        <v>0</v>
      </c>
      <c r="CI220" s="15">
        <f t="shared" si="189"/>
        <v>0</v>
      </c>
      <c r="CJ220" s="14">
        <f t="shared" si="190"/>
        <v>0</v>
      </c>
      <c r="CK220" s="14" t="e">
        <f>DISTRIBUSI!#REF!</f>
        <v>#REF!</v>
      </c>
      <c r="CL220" s="14">
        <f>'PEMAKAIAN UNIT'!N217</f>
        <v>0</v>
      </c>
      <c r="CM220" s="14" t="e">
        <f t="shared" si="191"/>
        <v>#REF!</v>
      </c>
      <c r="CN220" s="15" t="e">
        <f t="shared" si="192"/>
        <v>#REF!</v>
      </c>
      <c r="CO220" s="14" t="e">
        <f>DL220+DISTRIBUSI!#REF!-'PEMAKAIAN UNIT'!O217</f>
        <v>#REF!</v>
      </c>
      <c r="CP220" s="15" t="e">
        <f t="shared" si="193"/>
        <v>#REF!</v>
      </c>
      <c r="CQ220" s="226">
        <f t="shared" si="194"/>
        <v>0</v>
      </c>
      <c r="CR220" s="226">
        <f>DISTRIBUSI!R218</f>
        <v>0</v>
      </c>
      <c r="CS220" s="226">
        <f>'PEMAKAIAN UNIT'!P217</f>
        <v>0</v>
      </c>
      <c r="CT220" s="14">
        <f t="shared" si="195"/>
        <v>0</v>
      </c>
      <c r="CU220" s="15">
        <f t="shared" si="196"/>
        <v>0</v>
      </c>
      <c r="CV220" s="14" t="e">
        <f>DN220+DISTRIBUSI!#REF!-'PEMAKAIAN UNIT'!Q217</f>
        <v>#REF!</v>
      </c>
      <c r="CW220" s="15" t="e">
        <f t="shared" si="197"/>
        <v>#REF!</v>
      </c>
      <c r="CX220" s="14">
        <f>DO220+'LPLPO PROGRAM'!E49-'LPLPO PROGRAM'!G49</f>
        <v>25</v>
      </c>
      <c r="CY220" s="15">
        <f t="shared" si="198"/>
        <v>25</v>
      </c>
      <c r="CZ220" s="28"/>
      <c r="DA220" s="14">
        <v>0</v>
      </c>
      <c r="DB220" s="14">
        <v>0</v>
      </c>
      <c r="DC220" s="14">
        <v>0</v>
      </c>
      <c r="DD220" s="14">
        <v>0</v>
      </c>
      <c r="DE220" s="14">
        <v>0</v>
      </c>
      <c r="DF220" s="14">
        <v>0</v>
      </c>
      <c r="DG220" s="14">
        <v>0</v>
      </c>
      <c r="DH220" s="14">
        <v>0</v>
      </c>
      <c r="DI220" s="14">
        <v>0</v>
      </c>
      <c r="DJ220" s="14">
        <v>0</v>
      </c>
      <c r="DK220" s="14">
        <v>0</v>
      </c>
      <c r="DL220" s="14">
        <v>0</v>
      </c>
      <c r="DM220" s="14">
        <v>0</v>
      </c>
      <c r="DN220" s="14">
        <v>0</v>
      </c>
      <c r="DO220" s="14">
        <v>25</v>
      </c>
      <c r="DP220" s="13">
        <f t="shared" si="151"/>
        <v>25</v>
      </c>
      <c r="DU220" s="20" t="e">
        <f t="shared" si="210"/>
        <v>#REF!</v>
      </c>
    </row>
    <row r="221" spans="1:125" customFormat="1" ht="20.149999999999999" customHeight="1" x14ac:dyDescent="0.35">
      <c r="A221" s="205">
        <v>37</v>
      </c>
      <c r="B221" s="178" t="s">
        <v>394</v>
      </c>
      <c r="C221" s="144" t="s">
        <v>395</v>
      </c>
      <c r="D221" s="14">
        <v>0</v>
      </c>
      <c r="E221" s="254">
        <f>'LPLPO PROGRAM'!E50</f>
        <v>0</v>
      </c>
      <c r="F221" s="254">
        <f t="shared" si="199"/>
        <v>0</v>
      </c>
      <c r="G221" s="254">
        <f>'PEMAKAIAN UNIT'!R218</f>
        <v>0</v>
      </c>
      <c r="H221" s="14">
        <v>0</v>
      </c>
      <c r="I221" s="14">
        <v>0</v>
      </c>
      <c r="J221" s="14">
        <v>0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09">
        <f t="shared" si="200"/>
        <v>0</v>
      </c>
      <c r="Z221" s="109" t="e">
        <f t="shared" si="201"/>
        <v>#REF!</v>
      </c>
      <c r="AA221" s="109" t="e">
        <f t="shared" si="202"/>
        <v>#REF!</v>
      </c>
      <c r="AB221" s="14">
        <v>0</v>
      </c>
      <c r="AC221" s="109" t="e">
        <f t="shared" si="203"/>
        <v>#REF!</v>
      </c>
      <c r="AD221" s="109">
        <f>'LPLPO PROGRAM'!H50</f>
        <v>0</v>
      </c>
      <c r="AE221" s="111" t="e">
        <f t="shared" si="204"/>
        <v>#REF!</v>
      </c>
      <c r="AF221" s="212"/>
      <c r="AG221" s="212"/>
      <c r="AH221" s="20"/>
      <c r="AI221" s="14">
        <f t="shared" si="208"/>
        <v>0</v>
      </c>
      <c r="AJ221" s="209" t="e">
        <f t="shared" si="209"/>
        <v>#REF!</v>
      </c>
      <c r="AL221" s="14">
        <f t="shared" si="160"/>
        <v>0</v>
      </c>
      <c r="AM221" s="14">
        <f>DISTRIBUSI!D219</f>
        <v>0</v>
      </c>
      <c r="AN221" s="14">
        <f>'PEMAKAIAN UNIT'!D218</f>
        <v>0</v>
      </c>
      <c r="AO221" s="14">
        <f t="shared" si="161"/>
        <v>0</v>
      </c>
      <c r="AP221" s="15">
        <f t="shared" si="162"/>
        <v>0</v>
      </c>
      <c r="AQ221" s="14">
        <f t="shared" si="163"/>
        <v>0</v>
      </c>
      <c r="AR221" s="14">
        <f>DISTRIBUSI!E219</f>
        <v>0</v>
      </c>
      <c r="AS221" s="14">
        <f>'PEMAKAIAN UNIT'!E218</f>
        <v>0</v>
      </c>
      <c r="AT221" s="14">
        <f t="shared" si="164"/>
        <v>0</v>
      </c>
      <c r="AU221" s="15">
        <f t="shared" si="165"/>
        <v>0</v>
      </c>
      <c r="AV221" s="14">
        <f t="shared" si="166"/>
        <v>0</v>
      </c>
      <c r="AW221" s="14">
        <f>DISTRIBUSI!F219</f>
        <v>0</v>
      </c>
      <c r="AX221" s="14">
        <f>'PEMAKAIAN UNIT'!F218</f>
        <v>0</v>
      </c>
      <c r="AY221" s="14">
        <f t="shared" si="167"/>
        <v>0</v>
      </c>
      <c r="AZ221" s="15">
        <f t="shared" si="168"/>
        <v>0</v>
      </c>
      <c r="BA221" s="14">
        <f t="shared" si="169"/>
        <v>0</v>
      </c>
      <c r="BB221" s="14">
        <f>DISTRIBUSI!G219</f>
        <v>0</v>
      </c>
      <c r="BC221" s="14">
        <f>'PEMAKAIAN UNIT'!G218</f>
        <v>0</v>
      </c>
      <c r="BD221" s="14">
        <f t="shared" si="170"/>
        <v>0</v>
      </c>
      <c r="BE221" s="15">
        <f t="shared" si="171"/>
        <v>0</v>
      </c>
      <c r="BF221" s="14">
        <f t="shared" si="172"/>
        <v>0</v>
      </c>
      <c r="BG221" s="14">
        <f>DISTRIBUSI!H219</f>
        <v>0</v>
      </c>
      <c r="BH221" s="14">
        <f>'PEMAKAIAN UNIT'!H218</f>
        <v>0</v>
      </c>
      <c r="BI221" s="14">
        <f t="shared" si="173"/>
        <v>0</v>
      </c>
      <c r="BJ221" s="15">
        <f t="shared" si="174"/>
        <v>0</v>
      </c>
      <c r="BK221" s="14">
        <f t="shared" si="175"/>
        <v>0</v>
      </c>
      <c r="BL221" s="14">
        <f>DISTRIBUSI!I219</f>
        <v>0</v>
      </c>
      <c r="BM221" s="14">
        <f>'PEMAKAIAN UNIT'!I218</f>
        <v>0</v>
      </c>
      <c r="BN221" s="14">
        <f t="shared" si="176"/>
        <v>0</v>
      </c>
      <c r="BO221" s="15">
        <f t="shared" si="177"/>
        <v>0</v>
      </c>
      <c r="BP221" s="14">
        <f t="shared" si="178"/>
        <v>0</v>
      </c>
      <c r="BQ221" s="14">
        <f>DISTRIBUSI!J219</f>
        <v>0</v>
      </c>
      <c r="BR221" s="14">
        <f>'PEMAKAIAN UNIT'!J218</f>
        <v>0</v>
      </c>
      <c r="BS221" s="14">
        <f t="shared" si="179"/>
        <v>0</v>
      </c>
      <c r="BT221" s="15">
        <f t="shared" si="180"/>
        <v>0</v>
      </c>
      <c r="BU221" s="14">
        <f t="shared" si="181"/>
        <v>0</v>
      </c>
      <c r="BV221" s="14">
        <f>DISTRIBUSI!K219</f>
        <v>0</v>
      </c>
      <c r="BW221" s="14">
        <f>'PEMAKAIAN UNIT'!K218</f>
        <v>0</v>
      </c>
      <c r="BX221" s="14">
        <f t="shared" si="182"/>
        <v>0</v>
      </c>
      <c r="BY221" s="15">
        <f t="shared" si="183"/>
        <v>0</v>
      </c>
      <c r="BZ221" s="14">
        <f t="shared" si="184"/>
        <v>0</v>
      </c>
      <c r="CA221" s="14">
        <f>DISTRIBUSI!L219</f>
        <v>0</v>
      </c>
      <c r="CB221" s="14">
        <f>'PEMAKAIAN UNIT'!L218</f>
        <v>0</v>
      </c>
      <c r="CC221" s="14">
        <f t="shared" si="185"/>
        <v>0</v>
      </c>
      <c r="CD221" s="15">
        <f t="shared" si="186"/>
        <v>0</v>
      </c>
      <c r="CE221" s="14">
        <f t="shared" si="187"/>
        <v>0</v>
      </c>
      <c r="CF221" s="14">
        <f>DISTRIBUSI!M219</f>
        <v>0</v>
      </c>
      <c r="CG221" s="14">
        <f>'PEMAKAIAN UNIT'!M218</f>
        <v>0</v>
      </c>
      <c r="CH221" s="14">
        <f t="shared" si="188"/>
        <v>0</v>
      </c>
      <c r="CI221" s="15">
        <f t="shared" si="189"/>
        <v>0</v>
      </c>
      <c r="CJ221" s="14">
        <f t="shared" si="190"/>
        <v>0</v>
      </c>
      <c r="CK221" s="14" t="e">
        <f>DISTRIBUSI!#REF!</f>
        <v>#REF!</v>
      </c>
      <c r="CL221" s="14">
        <f>'PEMAKAIAN UNIT'!N218</f>
        <v>0</v>
      </c>
      <c r="CM221" s="14" t="e">
        <f t="shared" si="191"/>
        <v>#REF!</v>
      </c>
      <c r="CN221" s="15" t="e">
        <f t="shared" si="192"/>
        <v>#REF!</v>
      </c>
      <c r="CO221" s="14" t="e">
        <f>DL221+DISTRIBUSI!#REF!-'PEMAKAIAN UNIT'!O218</f>
        <v>#REF!</v>
      </c>
      <c r="CP221" s="15" t="e">
        <f t="shared" si="193"/>
        <v>#REF!</v>
      </c>
      <c r="CQ221" s="226">
        <f t="shared" si="194"/>
        <v>0</v>
      </c>
      <c r="CR221" s="226">
        <f>DISTRIBUSI!R219</f>
        <v>0</v>
      </c>
      <c r="CS221" s="226">
        <f>'PEMAKAIAN UNIT'!P218</f>
        <v>0</v>
      </c>
      <c r="CT221" s="14">
        <f t="shared" si="195"/>
        <v>0</v>
      </c>
      <c r="CU221" s="15">
        <f t="shared" si="196"/>
        <v>0</v>
      </c>
      <c r="CV221" s="14" t="e">
        <f>DN221+DISTRIBUSI!#REF!-'PEMAKAIAN UNIT'!Q218</f>
        <v>#REF!</v>
      </c>
      <c r="CW221" s="15" t="e">
        <f t="shared" si="197"/>
        <v>#REF!</v>
      </c>
      <c r="CX221" s="14">
        <f>DO221+'LPLPO PROGRAM'!E50-'LPLPO PROGRAM'!G50</f>
        <v>0</v>
      </c>
      <c r="CY221" s="15">
        <f t="shared" si="198"/>
        <v>0</v>
      </c>
      <c r="CZ221" s="28"/>
      <c r="DA221" s="14">
        <v>0</v>
      </c>
      <c r="DB221" s="14">
        <v>0</v>
      </c>
      <c r="DC221" s="14">
        <v>0</v>
      </c>
      <c r="DD221" s="14">
        <v>0</v>
      </c>
      <c r="DE221" s="14">
        <v>0</v>
      </c>
      <c r="DF221" s="14">
        <v>0</v>
      </c>
      <c r="DG221" s="14">
        <v>0</v>
      </c>
      <c r="DH221" s="14">
        <v>0</v>
      </c>
      <c r="DI221" s="14">
        <v>0</v>
      </c>
      <c r="DJ221" s="14">
        <v>0</v>
      </c>
      <c r="DK221" s="14">
        <v>0</v>
      </c>
      <c r="DL221" s="14">
        <v>0</v>
      </c>
      <c r="DM221" s="14">
        <v>0</v>
      </c>
      <c r="DN221" s="14">
        <v>0</v>
      </c>
      <c r="DO221" s="14">
        <v>0</v>
      </c>
      <c r="DP221" s="13">
        <f t="shared" si="151"/>
        <v>0</v>
      </c>
      <c r="DU221" s="20" t="e">
        <f t="shared" si="210"/>
        <v>#REF!</v>
      </c>
    </row>
    <row r="222" spans="1:125" customFormat="1" ht="20.149999999999999" customHeight="1" x14ac:dyDescent="0.35">
      <c r="A222" s="205">
        <v>38</v>
      </c>
      <c r="B222" s="183" t="s">
        <v>431</v>
      </c>
      <c r="C222" s="144" t="s">
        <v>48</v>
      </c>
      <c r="D222" s="14">
        <v>0</v>
      </c>
      <c r="E222" s="254">
        <f>'LPLPO PROGRAM'!E51</f>
        <v>0</v>
      </c>
      <c r="F222" s="254">
        <f t="shared" si="199"/>
        <v>0</v>
      </c>
      <c r="G222" s="254">
        <f>'PEMAKAIAN UNIT'!R219</f>
        <v>0</v>
      </c>
      <c r="H222" s="14">
        <v>0</v>
      </c>
      <c r="I222" s="14">
        <v>0</v>
      </c>
      <c r="J222" s="14">
        <v>0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09">
        <f t="shared" si="200"/>
        <v>0</v>
      </c>
      <c r="Z222" s="109" t="e">
        <f t="shared" si="201"/>
        <v>#REF!</v>
      </c>
      <c r="AA222" s="109" t="e">
        <f t="shared" si="202"/>
        <v>#REF!</v>
      </c>
      <c r="AB222" s="14">
        <v>0</v>
      </c>
      <c r="AC222" s="109" t="e">
        <f t="shared" si="203"/>
        <v>#REF!</v>
      </c>
      <c r="AD222" s="109">
        <f>'LPLPO PROGRAM'!H51</f>
        <v>0</v>
      </c>
      <c r="AE222" s="111" t="e">
        <f t="shared" si="204"/>
        <v>#REF!</v>
      </c>
      <c r="AF222" s="212"/>
      <c r="AG222" s="212"/>
      <c r="AH222" s="20"/>
      <c r="AI222" s="14">
        <f t="shared" si="208"/>
        <v>0</v>
      </c>
      <c r="AJ222" s="209" t="e">
        <f t="shared" si="209"/>
        <v>#REF!</v>
      </c>
      <c r="AL222" s="14">
        <f t="shared" si="160"/>
        <v>0</v>
      </c>
      <c r="AM222" s="14">
        <f>DISTRIBUSI!D220</f>
        <v>0</v>
      </c>
      <c r="AN222" s="14">
        <f>'PEMAKAIAN UNIT'!D219</f>
        <v>0</v>
      </c>
      <c r="AO222" s="14">
        <f t="shared" si="161"/>
        <v>0</v>
      </c>
      <c r="AP222" s="15">
        <f t="shared" si="162"/>
        <v>0</v>
      </c>
      <c r="AQ222" s="14">
        <f t="shared" si="163"/>
        <v>0</v>
      </c>
      <c r="AR222" s="14">
        <f>DISTRIBUSI!E220</f>
        <v>0</v>
      </c>
      <c r="AS222" s="14">
        <f>'PEMAKAIAN UNIT'!E219</f>
        <v>0</v>
      </c>
      <c r="AT222" s="14">
        <f t="shared" si="164"/>
        <v>0</v>
      </c>
      <c r="AU222" s="15">
        <f t="shared" si="165"/>
        <v>0</v>
      </c>
      <c r="AV222" s="14">
        <f t="shared" si="166"/>
        <v>0</v>
      </c>
      <c r="AW222" s="14">
        <f>DISTRIBUSI!F220</f>
        <v>0</v>
      </c>
      <c r="AX222" s="14">
        <f>'PEMAKAIAN UNIT'!F219</f>
        <v>0</v>
      </c>
      <c r="AY222" s="14">
        <f t="shared" si="167"/>
        <v>0</v>
      </c>
      <c r="AZ222" s="15">
        <f t="shared" si="168"/>
        <v>0</v>
      </c>
      <c r="BA222" s="14">
        <f t="shared" si="169"/>
        <v>0</v>
      </c>
      <c r="BB222" s="14">
        <f>DISTRIBUSI!G220</f>
        <v>0</v>
      </c>
      <c r="BC222" s="14">
        <f>'PEMAKAIAN UNIT'!G219</f>
        <v>0</v>
      </c>
      <c r="BD222" s="14">
        <f t="shared" si="170"/>
        <v>0</v>
      </c>
      <c r="BE222" s="15">
        <f t="shared" si="171"/>
        <v>0</v>
      </c>
      <c r="BF222" s="14">
        <f t="shared" si="172"/>
        <v>0</v>
      </c>
      <c r="BG222" s="14">
        <f>DISTRIBUSI!H220</f>
        <v>0</v>
      </c>
      <c r="BH222" s="14">
        <f>'PEMAKAIAN UNIT'!H219</f>
        <v>0</v>
      </c>
      <c r="BI222" s="14">
        <f t="shared" si="173"/>
        <v>0</v>
      </c>
      <c r="BJ222" s="15">
        <f t="shared" si="174"/>
        <v>0</v>
      </c>
      <c r="BK222" s="14">
        <f t="shared" si="175"/>
        <v>0</v>
      </c>
      <c r="BL222" s="14">
        <f>DISTRIBUSI!I220</f>
        <v>0</v>
      </c>
      <c r="BM222" s="14">
        <f>'PEMAKAIAN UNIT'!I219</f>
        <v>0</v>
      </c>
      <c r="BN222" s="14">
        <f t="shared" si="176"/>
        <v>0</v>
      </c>
      <c r="BO222" s="15">
        <f t="shared" si="177"/>
        <v>0</v>
      </c>
      <c r="BP222" s="14">
        <f t="shared" si="178"/>
        <v>0</v>
      </c>
      <c r="BQ222" s="14">
        <f>DISTRIBUSI!J220</f>
        <v>0</v>
      </c>
      <c r="BR222" s="14">
        <f>'PEMAKAIAN UNIT'!J219</f>
        <v>0</v>
      </c>
      <c r="BS222" s="14">
        <f t="shared" si="179"/>
        <v>0</v>
      </c>
      <c r="BT222" s="15">
        <f t="shared" si="180"/>
        <v>0</v>
      </c>
      <c r="BU222" s="14">
        <f t="shared" si="181"/>
        <v>0</v>
      </c>
      <c r="BV222" s="14">
        <f>DISTRIBUSI!K220</f>
        <v>0</v>
      </c>
      <c r="BW222" s="14">
        <f>'PEMAKAIAN UNIT'!K219</f>
        <v>0</v>
      </c>
      <c r="BX222" s="14">
        <f t="shared" si="182"/>
        <v>0</v>
      </c>
      <c r="BY222" s="15">
        <f t="shared" si="183"/>
        <v>0</v>
      </c>
      <c r="BZ222" s="14">
        <f t="shared" si="184"/>
        <v>0</v>
      </c>
      <c r="CA222" s="14">
        <f>DISTRIBUSI!L220</f>
        <v>0</v>
      </c>
      <c r="CB222" s="14">
        <f>'PEMAKAIAN UNIT'!L219</f>
        <v>0</v>
      </c>
      <c r="CC222" s="14">
        <f t="shared" si="185"/>
        <v>0</v>
      </c>
      <c r="CD222" s="15">
        <f t="shared" si="186"/>
        <v>0</v>
      </c>
      <c r="CE222" s="14">
        <f t="shared" si="187"/>
        <v>0</v>
      </c>
      <c r="CF222" s="14">
        <f>DISTRIBUSI!M220</f>
        <v>0</v>
      </c>
      <c r="CG222" s="14">
        <f>'PEMAKAIAN UNIT'!M219</f>
        <v>0</v>
      </c>
      <c r="CH222" s="14">
        <f t="shared" si="188"/>
        <v>0</v>
      </c>
      <c r="CI222" s="15">
        <f t="shared" si="189"/>
        <v>0</v>
      </c>
      <c r="CJ222" s="14">
        <f t="shared" si="190"/>
        <v>0</v>
      </c>
      <c r="CK222" s="14" t="e">
        <f>DISTRIBUSI!#REF!</f>
        <v>#REF!</v>
      </c>
      <c r="CL222" s="14">
        <f>'PEMAKAIAN UNIT'!N219</f>
        <v>0</v>
      </c>
      <c r="CM222" s="14" t="e">
        <f t="shared" si="191"/>
        <v>#REF!</v>
      </c>
      <c r="CN222" s="15" t="e">
        <f t="shared" si="192"/>
        <v>#REF!</v>
      </c>
      <c r="CO222" s="14" t="e">
        <f>DL222+DISTRIBUSI!#REF!-'PEMAKAIAN UNIT'!O219</f>
        <v>#REF!</v>
      </c>
      <c r="CP222" s="15" t="e">
        <f t="shared" si="193"/>
        <v>#REF!</v>
      </c>
      <c r="CQ222" s="226">
        <f t="shared" si="194"/>
        <v>0</v>
      </c>
      <c r="CR222" s="226">
        <f>DISTRIBUSI!R220</f>
        <v>0</v>
      </c>
      <c r="CS222" s="226">
        <f>'PEMAKAIAN UNIT'!P219</f>
        <v>0</v>
      </c>
      <c r="CT222" s="14">
        <f t="shared" si="195"/>
        <v>0</v>
      </c>
      <c r="CU222" s="15">
        <f t="shared" si="196"/>
        <v>0</v>
      </c>
      <c r="CV222" s="14" t="e">
        <f>DN222+DISTRIBUSI!#REF!-'PEMAKAIAN UNIT'!Q219</f>
        <v>#REF!</v>
      </c>
      <c r="CW222" s="15" t="e">
        <f t="shared" si="197"/>
        <v>#REF!</v>
      </c>
      <c r="CX222" s="14">
        <f>DO222+'LPLPO PROGRAM'!E51-'LPLPO PROGRAM'!G51</f>
        <v>0</v>
      </c>
      <c r="CY222" s="15">
        <f t="shared" si="198"/>
        <v>0</v>
      </c>
      <c r="CZ222" s="28"/>
      <c r="DA222" s="14">
        <v>0</v>
      </c>
      <c r="DB222" s="14">
        <v>0</v>
      </c>
      <c r="DC222" s="14">
        <v>0</v>
      </c>
      <c r="DD222" s="14">
        <v>0</v>
      </c>
      <c r="DE222" s="14">
        <v>0</v>
      </c>
      <c r="DF222" s="14">
        <v>0</v>
      </c>
      <c r="DG222" s="14">
        <v>0</v>
      </c>
      <c r="DH222" s="14">
        <v>0</v>
      </c>
      <c r="DI222" s="14">
        <v>0</v>
      </c>
      <c r="DJ222" s="14">
        <v>0</v>
      </c>
      <c r="DK222" s="14">
        <v>0</v>
      </c>
      <c r="DL222" s="14">
        <v>0</v>
      </c>
      <c r="DM222" s="14">
        <v>0</v>
      </c>
      <c r="DN222" s="14">
        <v>0</v>
      </c>
      <c r="DO222" s="14">
        <v>0</v>
      </c>
      <c r="DP222" s="13">
        <f t="shared" si="151"/>
        <v>0</v>
      </c>
      <c r="DU222" s="20" t="e">
        <f t="shared" si="210"/>
        <v>#REF!</v>
      </c>
    </row>
    <row r="223" spans="1:125" customFormat="1" ht="20.149999999999999" customHeight="1" x14ac:dyDescent="0.35">
      <c r="A223" s="205">
        <v>39</v>
      </c>
      <c r="B223" s="178"/>
      <c r="C223" s="144"/>
      <c r="D223" s="14">
        <v>0</v>
      </c>
      <c r="E223" s="254">
        <f>'LPLPO PROGRAM'!E52</f>
        <v>0</v>
      </c>
      <c r="F223" s="254">
        <f t="shared" si="199"/>
        <v>0</v>
      </c>
      <c r="G223" s="254">
        <f>'PEMAKAIAN UNIT'!R220</f>
        <v>0</v>
      </c>
      <c r="H223" s="14">
        <v>0</v>
      </c>
      <c r="I223" s="14">
        <v>0</v>
      </c>
      <c r="J223" s="14">
        <v>0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09">
        <f t="shared" si="200"/>
        <v>0</v>
      </c>
      <c r="Z223" s="109" t="e">
        <f t="shared" si="201"/>
        <v>#REF!</v>
      </c>
      <c r="AA223" s="109" t="e">
        <f t="shared" si="202"/>
        <v>#REF!</v>
      </c>
      <c r="AB223" s="14">
        <v>0</v>
      </c>
      <c r="AC223" s="109" t="e">
        <f t="shared" si="203"/>
        <v>#REF!</v>
      </c>
      <c r="AD223" s="109">
        <f>'LPLPO PROGRAM'!H52</f>
        <v>0</v>
      </c>
      <c r="AE223" s="111" t="e">
        <f t="shared" si="204"/>
        <v>#REF!</v>
      </c>
      <c r="AF223" s="212"/>
      <c r="AG223" s="212"/>
      <c r="AH223" s="20"/>
      <c r="AI223" s="14">
        <f t="shared" si="208"/>
        <v>0</v>
      </c>
      <c r="AJ223" s="209" t="e">
        <f t="shared" si="209"/>
        <v>#REF!</v>
      </c>
      <c r="AL223" s="14">
        <f t="shared" si="160"/>
        <v>0</v>
      </c>
      <c r="AM223" s="14">
        <f>DISTRIBUSI!D221</f>
        <v>0</v>
      </c>
      <c r="AN223" s="14">
        <f>'PEMAKAIAN UNIT'!D220</f>
        <v>0</v>
      </c>
      <c r="AO223" s="14">
        <f t="shared" si="161"/>
        <v>0</v>
      </c>
      <c r="AP223" s="15">
        <f t="shared" si="162"/>
        <v>0</v>
      </c>
      <c r="AQ223" s="14">
        <f t="shared" si="163"/>
        <v>0</v>
      </c>
      <c r="AR223" s="14">
        <f>DISTRIBUSI!E221</f>
        <v>0</v>
      </c>
      <c r="AS223" s="14">
        <f>'PEMAKAIAN UNIT'!E220</f>
        <v>0</v>
      </c>
      <c r="AT223" s="14">
        <f t="shared" si="164"/>
        <v>0</v>
      </c>
      <c r="AU223" s="15">
        <f t="shared" si="165"/>
        <v>0</v>
      </c>
      <c r="AV223" s="14">
        <f t="shared" si="166"/>
        <v>0</v>
      </c>
      <c r="AW223" s="14">
        <f>DISTRIBUSI!F221</f>
        <v>0</v>
      </c>
      <c r="AX223" s="14">
        <f>'PEMAKAIAN UNIT'!F220</f>
        <v>0</v>
      </c>
      <c r="AY223" s="14">
        <f t="shared" si="167"/>
        <v>0</v>
      </c>
      <c r="AZ223" s="15">
        <f t="shared" si="168"/>
        <v>0</v>
      </c>
      <c r="BA223" s="14">
        <f t="shared" si="169"/>
        <v>0</v>
      </c>
      <c r="BB223" s="14">
        <f>DISTRIBUSI!G221</f>
        <v>0</v>
      </c>
      <c r="BC223" s="14">
        <f>'PEMAKAIAN UNIT'!G220</f>
        <v>0</v>
      </c>
      <c r="BD223" s="14">
        <f t="shared" si="170"/>
        <v>0</v>
      </c>
      <c r="BE223" s="15">
        <f t="shared" si="171"/>
        <v>0</v>
      </c>
      <c r="BF223" s="14">
        <f t="shared" si="172"/>
        <v>0</v>
      </c>
      <c r="BG223" s="14">
        <f>DISTRIBUSI!H221</f>
        <v>0</v>
      </c>
      <c r="BH223" s="14">
        <f>'PEMAKAIAN UNIT'!H220</f>
        <v>0</v>
      </c>
      <c r="BI223" s="14">
        <f t="shared" si="173"/>
        <v>0</v>
      </c>
      <c r="BJ223" s="15">
        <f t="shared" si="174"/>
        <v>0</v>
      </c>
      <c r="BK223" s="14">
        <f t="shared" si="175"/>
        <v>0</v>
      </c>
      <c r="BL223" s="14">
        <f>DISTRIBUSI!I221</f>
        <v>0</v>
      </c>
      <c r="BM223" s="14">
        <f>'PEMAKAIAN UNIT'!I220</f>
        <v>0</v>
      </c>
      <c r="BN223" s="14">
        <f t="shared" si="176"/>
        <v>0</v>
      </c>
      <c r="BO223" s="15">
        <f t="shared" si="177"/>
        <v>0</v>
      </c>
      <c r="BP223" s="14">
        <f t="shared" si="178"/>
        <v>0</v>
      </c>
      <c r="BQ223" s="14">
        <f>DISTRIBUSI!J221</f>
        <v>0</v>
      </c>
      <c r="BR223" s="14">
        <f>'PEMAKAIAN UNIT'!J220</f>
        <v>0</v>
      </c>
      <c r="BS223" s="14">
        <f t="shared" si="179"/>
        <v>0</v>
      </c>
      <c r="BT223" s="15">
        <f t="shared" si="180"/>
        <v>0</v>
      </c>
      <c r="BU223" s="14">
        <f t="shared" si="181"/>
        <v>0</v>
      </c>
      <c r="BV223" s="14">
        <f>DISTRIBUSI!K221</f>
        <v>0</v>
      </c>
      <c r="BW223" s="14">
        <f>'PEMAKAIAN UNIT'!K220</f>
        <v>0</v>
      </c>
      <c r="BX223" s="14">
        <f t="shared" si="182"/>
        <v>0</v>
      </c>
      <c r="BY223" s="15">
        <f t="shared" si="183"/>
        <v>0</v>
      </c>
      <c r="BZ223" s="14">
        <f t="shared" si="184"/>
        <v>0</v>
      </c>
      <c r="CA223" s="14">
        <f>DISTRIBUSI!L221</f>
        <v>0</v>
      </c>
      <c r="CB223" s="14">
        <f>'PEMAKAIAN UNIT'!L220</f>
        <v>0</v>
      </c>
      <c r="CC223" s="14">
        <f t="shared" si="185"/>
        <v>0</v>
      </c>
      <c r="CD223" s="15">
        <f t="shared" si="186"/>
        <v>0</v>
      </c>
      <c r="CE223" s="14">
        <f t="shared" si="187"/>
        <v>0</v>
      </c>
      <c r="CF223" s="14">
        <f>DISTRIBUSI!M221</f>
        <v>0</v>
      </c>
      <c r="CG223" s="14">
        <f>'PEMAKAIAN UNIT'!M220</f>
        <v>0</v>
      </c>
      <c r="CH223" s="14">
        <f t="shared" si="188"/>
        <v>0</v>
      </c>
      <c r="CI223" s="15">
        <f t="shared" si="189"/>
        <v>0</v>
      </c>
      <c r="CJ223" s="14">
        <f t="shared" si="190"/>
        <v>0</v>
      </c>
      <c r="CK223" s="14" t="e">
        <f>DISTRIBUSI!#REF!</f>
        <v>#REF!</v>
      </c>
      <c r="CL223" s="14">
        <f>'PEMAKAIAN UNIT'!N220</f>
        <v>0</v>
      </c>
      <c r="CM223" s="14" t="e">
        <f t="shared" si="191"/>
        <v>#REF!</v>
      </c>
      <c r="CN223" s="15" t="e">
        <f t="shared" si="192"/>
        <v>#REF!</v>
      </c>
      <c r="CO223" s="14" t="e">
        <f>DL223+DISTRIBUSI!#REF!-'PEMAKAIAN UNIT'!O220</f>
        <v>#REF!</v>
      </c>
      <c r="CP223" s="15" t="e">
        <f t="shared" si="193"/>
        <v>#REF!</v>
      </c>
      <c r="CQ223" s="226">
        <f t="shared" si="194"/>
        <v>0</v>
      </c>
      <c r="CR223" s="226">
        <f>DISTRIBUSI!R221</f>
        <v>0</v>
      </c>
      <c r="CS223" s="226">
        <f>'PEMAKAIAN UNIT'!P220</f>
        <v>0</v>
      </c>
      <c r="CT223" s="14">
        <f t="shared" si="195"/>
        <v>0</v>
      </c>
      <c r="CU223" s="15">
        <f t="shared" si="196"/>
        <v>0</v>
      </c>
      <c r="CV223" s="14" t="e">
        <f>DN223+DISTRIBUSI!#REF!-'PEMAKAIAN UNIT'!Q220</f>
        <v>#REF!</v>
      </c>
      <c r="CW223" s="15" t="e">
        <f t="shared" si="197"/>
        <v>#REF!</v>
      </c>
      <c r="CX223" s="14">
        <f>DO223+'LPLPO PROGRAM'!E52-'LPLPO PROGRAM'!G52</f>
        <v>0</v>
      </c>
      <c r="CY223" s="15">
        <f t="shared" si="198"/>
        <v>0</v>
      </c>
      <c r="CZ223" s="28"/>
      <c r="DA223" s="14">
        <v>0</v>
      </c>
      <c r="DB223" s="14">
        <v>0</v>
      </c>
      <c r="DC223" s="14">
        <v>0</v>
      </c>
      <c r="DD223" s="14">
        <v>0</v>
      </c>
      <c r="DE223" s="14">
        <v>0</v>
      </c>
      <c r="DF223" s="14">
        <v>0</v>
      </c>
      <c r="DG223" s="14">
        <v>0</v>
      </c>
      <c r="DH223" s="14">
        <v>0</v>
      </c>
      <c r="DI223" s="14">
        <v>0</v>
      </c>
      <c r="DJ223" s="14">
        <v>0</v>
      </c>
      <c r="DK223" s="14">
        <v>0</v>
      </c>
      <c r="DL223" s="14">
        <v>0</v>
      </c>
      <c r="DM223" s="14">
        <v>0</v>
      </c>
      <c r="DN223" s="14">
        <v>0</v>
      </c>
      <c r="DO223" s="14">
        <v>0</v>
      </c>
      <c r="DP223" s="13">
        <f t="shared" si="151"/>
        <v>0</v>
      </c>
      <c r="DU223" s="20" t="e">
        <f t="shared" si="210"/>
        <v>#REF!</v>
      </c>
    </row>
    <row r="224" spans="1:125" customFormat="1" ht="20.149999999999999" customHeight="1" x14ac:dyDescent="0.35">
      <c r="A224" s="205">
        <v>40</v>
      </c>
      <c r="B224" s="178"/>
      <c r="C224" s="144"/>
      <c r="D224" s="14">
        <v>0</v>
      </c>
      <c r="E224" s="254">
        <f>'LPLPO PROGRAM'!E53</f>
        <v>0</v>
      </c>
      <c r="F224" s="254">
        <f t="shared" si="199"/>
        <v>0</v>
      </c>
      <c r="G224" s="254">
        <f>'PEMAKAIAN UNIT'!R221</f>
        <v>0</v>
      </c>
      <c r="H224" s="14">
        <v>0</v>
      </c>
      <c r="I224" s="14">
        <v>0</v>
      </c>
      <c r="J224" s="14">
        <v>0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09">
        <f t="shared" si="200"/>
        <v>0</v>
      </c>
      <c r="Z224" s="109" t="e">
        <f t="shared" si="201"/>
        <v>#REF!</v>
      </c>
      <c r="AA224" s="109" t="e">
        <f t="shared" si="202"/>
        <v>#REF!</v>
      </c>
      <c r="AB224" s="14">
        <v>0</v>
      </c>
      <c r="AC224" s="109" t="e">
        <f t="shared" si="203"/>
        <v>#REF!</v>
      </c>
      <c r="AD224" s="109">
        <f>'LPLPO PROGRAM'!H53</f>
        <v>0</v>
      </c>
      <c r="AE224" s="111" t="e">
        <f t="shared" si="204"/>
        <v>#REF!</v>
      </c>
      <c r="AF224" s="212"/>
      <c r="AG224" s="212"/>
      <c r="AH224" s="20"/>
      <c r="AI224" s="14">
        <f t="shared" si="208"/>
        <v>0</v>
      </c>
      <c r="AJ224" s="209" t="e">
        <f t="shared" si="209"/>
        <v>#REF!</v>
      </c>
      <c r="AL224" s="14">
        <f t="shared" si="160"/>
        <v>0</v>
      </c>
      <c r="AM224" s="14">
        <f>DISTRIBUSI!D222</f>
        <v>0</v>
      </c>
      <c r="AN224" s="14">
        <f>'PEMAKAIAN UNIT'!D221</f>
        <v>0</v>
      </c>
      <c r="AO224" s="14">
        <f t="shared" si="161"/>
        <v>0</v>
      </c>
      <c r="AP224" s="15">
        <f t="shared" si="162"/>
        <v>0</v>
      </c>
      <c r="AQ224" s="14">
        <f t="shared" si="163"/>
        <v>0</v>
      </c>
      <c r="AR224" s="14">
        <f>DISTRIBUSI!E222</f>
        <v>0</v>
      </c>
      <c r="AS224" s="14">
        <f>'PEMAKAIAN UNIT'!E221</f>
        <v>0</v>
      </c>
      <c r="AT224" s="14">
        <f t="shared" si="164"/>
        <v>0</v>
      </c>
      <c r="AU224" s="15">
        <f t="shared" si="165"/>
        <v>0</v>
      </c>
      <c r="AV224" s="14">
        <f t="shared" si="166"/>
        <v>0</v>
      </c>
      <c r="AW224" s="14">
        <f>DISTRIBUSI!F222</f>
        <v>0</v>
      </c>
      <c r="AX224" s="14">
        <f>'PEMAKAIAN UNIT'!F221</f>
        <v>0</v>
      </c>
      <c r="AY224" s="14">
        <f t="shared" si="167"/>
        <v>0</v>
      </c>
      <c r="AZ224" s="15">
        <f t="shared" si="168"/>
        <v>0</v>
      </c>
      <c r="BA224" s="14">
        <f t="shared" si="169"/>
        <v>0</v>
      </c>
      <c r="BB224" s="14">
        <f>DISTRIBUSI!G222</f>
        <v>0</v>
      </c>
      <c r="BC224" s="14">
        <f>'PEMAKAIAN UNIT'!G221</f>
        <v>0</v>
      </c>
      <c r="BD224" s="14">
        <f t="shared" si="170"/>
        <v>0</v>
      </c>
      <c r="BE224" s="15">
        <f t="shared" si="171"/>
        <v>0</v>
      </c>
      <c r="BF224" s="14">
        <f t="shared" si="172"/>
        <v>0</v>
      </c>
      <c r="BG224" s="14">
        <f>DISTRIBUSI!H222</f>
        <v>0</v>
      </c>
      <c r="BH224" s="14">
        <f>'PEMAKAIAN UNIT'!H221</f>
        <v>0</v>
      </c>
      <c r="BI224" s="14">
        <f t="shared" si="173"/>
        <v>0</v>
      </c>
      <c r="BJ224" s="15">
        <f t="shared" si="174"/>
        <v>0</v>
      </c>
      <c r="BK224" s="14">
        <f t="shared" si="175"/>
        <v>0</v>
      </c>
      <c r="BL224" s="14">
        <f>DISTRIBUSI!I222</f>
        <v>0</v>
      </c>
      <c r="BM224" s="14">
        <f>'PEMAKAIAN UNIT'!I221</f>
        <v>0</v>
      </c>
      <c r="BN224" s="14">
        <f t="shared" si="176"/>
        <v>0</v>
      </c>
      <c r="BO224" s="15">
        <f t="shared" si="177"/>
        <v>0</v>
      </c>
      <c r="BP224" s="14">
        <f t="shared" si="178"/>
        <v>0</v>
      </c>
      <c r="BQ224" s="14">
        <f>DISTRIBUSI!J222</f>
        <v>0</v>
      </c>
      <c r="BR224" s="14">
        <f>'PEMAKAIAN UNIT'!J221</f>
        <v>0</v>
      </c>
      <c r="BS224" s="14">
        <f t="shared" si="179"/>
        <v>0</v>
      </c>
      <c r="BT224" s="15">
        <f t="shared" si="180"/>
        <v>0</v>
      </c>
      <c r="BU224" s="14">
        <f t="shared" si="181"/>
        <v>0</v>
      </c>
      <c r="BV224" s="14">
        <f>DISTRIBUSI!K222</f>
        <v>0</v>
      </c>
      <c r="BW224" s="14">
        <f>'PEMAKAIAN UNIT'!K221</f>
        <v>0</v>
      </c>
      <c r="BX224" s="14">
        <f t="shared" si="182"/>
        <v>0</v>
      </c>
      <c r="BY224" s="15">
        <f t="shared" si="183"/>
        <v>0</v>
      </c>
      <c r="BZ224" s="14">
        <f t="shared" si="184"/>
        <v>0</v>
      </c>
      <c r="CA224" s="14">
        <f>DISTRIBUSI!L222</f>
        <v>0</v>
      </c>
      <c r="CB224" s="14">
        <f>'PEMAKAIAN UNIT'!L221</f>
        <v>0</v>
      </c>
      <c r="CC224" s="14">
        <f t="shared" si="185"/>
        <v>0</v>
      </c>
      <c r="CD224" s="15">
        <f t="shared" si="186"/>
        <v>0</v>
      </c>
      <c r="CE224" s="14">
        <f t="shared" si="187"/>
        <v>0</v>
      </c>
      <c r="CF224" s="14">
        <f>DISTRIBUSI!M222</f>
        <v>0</v>
      </c>
      <c r="CG224" s="14">
        <f>'PEMAKAIAN UNIT'!M221</f>
        <v>0</v>
      </c>
      <c r="CH224" s="14">
        <f t="shared" si="188"/>
        <v>0</v>
      </c>
      <c r="CI224" s="15">
        <f t="shared" si="189"/>
        <v>0</v>
      </c>
      <c r="CJ224" s="14">
        <f t="shared" si="190"/>
        <v>0</v>
      </c>
      <c r="CK224" s="14" t="e">
        <f>DISTRIBUSI!#REF!</f>
        <v>#REF!</v>
      </c>
      <c r="CL224" s="14">
        <f>'PEMAKAIAN UNIT'!N221</f>
        <v>0</v>
      </c>
      <c r="CM224" s="14" t="e">
        <f t="shared" si="191"/>
        <v>#REF!</v>
      </c>
      <c r="CN224" s="15" t="e">
        <f t="shared" si="192"/>
        <v>#REF!</v>
      </c>
      <c r="CO224" s="14" t="e">
        <f>DL224+DISTRIBUSI!#REF!-'PEMAKAIAN UNIT'!O221</f>
        <v>#REF!</v>
      </c>
      <c r="CP224" s="15" t="e">
        <f t="shared" si="193"/>
        <v>#REF!</v>
      </c>
      <c r="CQ224" s="226">
        <f t="shared" si="194"/>
        <v>0</v>
      </c>
      <c r="CR224" s="226">
        <f>DISTRIBUSI!R222</f>
        <v>0</v>
      </c>
      <c r="CS224" s="226">
        <f>'PEMAKAIAN UNIT'!P221</f>
        <v>0</v>
      </c>
      <c r="CT224" s="14">
        <f t="shared" si="195"/>
        <v>0</v>
      </c>
      <c r="CU224" s="15">
        <f t="shared" si="196"/>
        <v>0</v>
      </c>
      <c r="CV224" s="14" t="e">
        <f>DN224+DISTRIBUSI!#REF!-'PEMAKAIAN UNIT'!Q221</f>
        <v>#REF!</v>
      </c>
      <c r="CW224" s="15" t="e">
        <f t="shared" si="197"/>
        <v>#REF!</v>
      </c>
      <c r="CX224" s="14">
        <f>DO224+'LPLPO PROGRAM'!E53-'LPLPO PROGRAM'!G53</f>
        <v>0</v>
      </c>
      <c r="CY224" s="15">
        <f t="shared" si="198"/>
        <v>0</v>
      </c>
      <c r="CZ224" s="28"/>
      <c r="DA224" s="14">
        <v>0</v>
      </c>
      <c r="DB224" s="14">
        <v>0</v>
      </c>
      <c r="DC224" s="14">
        <v>0</v>
      </c>
      <c r="DD224" s="14">
        <v>0</v>
      </c>
      <c r="DE224" s="14">
        <v>0</v>
      </c>
      <c r="DF224" s="14">
        <v>0</v>
      </c>
      <c r="DG224" s="14">
        <v>0</v>
      </c>
      <c r="DH224" s="14">
        <v>0</v>
      </c>
      <c r="DI224" s="14">
        <v>0</v>
      </c>
      <c r="DJ224" s="14">
        <v>0</v>
      </c>
      <c r="DK224" s="14">
        <v>0</v>
      </c>
      <c r="DL224" s="14">
        <v>0</v>
      </c>
      <c r="DM224" s="14">
        <v>0</v>
      </c>
      <c r="DN224" s="14">
        <v>0</v>
      </c>
      <c r="DO224" s="14">
        <v>0</v>
      </c>
      <c r="DP224" s="13">
        <f t="shared" si="151"/>
        <v>0</v>
      </c>
      <c r="DU224" s="20" t="e">
        <f t="shared" si="210"/>
        <v>#REF!</v>
      </c>
    </row>
    <row r="225" spans="1:125" customFormat="1" ht="20.149999999999999" customHeight="1" x14ac:dyDescent="0.35">
      <c r="A225" s="204">
        <v>41</v>
      </c>
      <c r="B225" s="188" t="s">
        <v>191</v>
      </c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212"/>
      <c r="AG225" s="212"/>
      <c r="AH225" s="20"/>
      <c r="AI225" s="14">
        <f t="shared" si="208"/>
        <v>0</v>
      </c>
      <c r="AJ225" s="209">
        <f t="shared" si="209"/>
        <v>0</v>
      </c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  <c r="AW225" s="146"/>
      <c r="AX225" s="146"/>
      <c r="AY225" s="146"/>
      <c r="AZ225" s="146"/>
      <c r="BA225" s="146"/>
      <c r="BB225" s="146"/>
      <c r="BC225" s="146"/>
      <c r="BD225" s="146"/>
      <c r="BE225" s="146"/>
      <c r="BF225" s="146"/>
      <c r="BG225" s="146"/>
      <c r="BH225" s="146"/>
      <c r="BI225" s="146"/>
      <c r="BJ225" s="146"/>
      <c r="BK225" s="146"/>
      <c r="BL225" s="146"/>
      <c r="BM225" s="146"/>
      <c r="BN225" s="146"/>
      <c r="BO225" s="146"/>
      <c r="BP225" s="146"/>
      <c r="BQ225" s="146"/>
      <c r="BR225" s="146"/>
      <c r="BS225" s="146"/>
      <c r="BT225" s="146"/>
      <c r="BU225" s="146"/>
      <c r="BV225" s="146"/>
      <c r="BW225" s="146"/>
      <c r="BX225" s="146"/>
      <c r="BY225" s="146"/>
      <c r="BZ225" s="146"/>
      <c r="CA225" s="146"/>
      <c r="CB225" s="146"/>
      <c r="CC225" s="146"/>
      <c r="CD225" s="146"/>
      <c r="CE225" s="146"/>
      <c r="CF225" s="146"/>
      <c r="CG225" s="146"/>
      <c r="CH225" s="146"/>
      <c r="CI225" s="146"/>
      <c r="CJ225" s="146"/>
      <c r="CK225" s="146"/>
      <c r="CL225" s="146"/>
      <c r="CM225" s="146"/>
      <c r="CN225" s="146"/>
      <c r="CO225" s="146"/>
      <c r="CP225" s="146"/>
      <c r="CQ225" s="146"/>
      <c r="CR225" s="146"/>
      <c r="CS225" s="146"/>
      <c r="CT225" s="146"/>
      <c r="CU225" s="146"/>
      <c r="CV225" s="146"/>
      <c r="CW225" s="146"/>
      <c r="CX225" s="146"/>
      <c r="CY225" s="146"/>
      <c r="CZ225" s="28"/>
      <c r="DA225" s="14">
        <v>0</v>
      </c>
      <c r="DB225" s="14">
        <v>0</v>
      </c>
      <c r="DC225" s="14">
        <v>0</v>
      </c>
      <c r="DD225" s="14">
        <v>0</v>
      </c>
      <c r="DE225" s="14">
        <v>0</v>
      </c>
      <c r="DF225" s="14">
        <v>0</v>
      </c>
      <c r="DG225" s="14">
        <v>0</v>
      </c>
      <c r="DH225" s="14">
        <v>0</v>
      </c>
      <c r="DI225" s="14">
        <v>0</v>
      </c>
      <c r="DJ225" s="14">
        <v>0</v>
      </c>
      <c r="DK225" s="14">
        <v>0</v>
      </c>
      <c r="DL225" s="14">
        <v>0</v>
      </c>
      <c r="DM225" s="14">
        <v>0</v>
      </c>
      <c r="DN225" s="14">
        <v>0</v>
      </c>
      <c r="DO225" s="14">
        <v>0</v>
      </c>
      <c r="DP225" s="13">
        <f t="shared" si="151"/>
        <v>0</v>
      </c>
      <c r="DU225" s="20">
        <f t="shared" si="210"/>
        <v>0</v>
      </c>
    </row>
    <row r="226" spans="1:125" customFormat="1" ht="20.149999999999999" customHeight="1" x14ac:dyDescent="0.35">
      <c r="A226" s="205">
        <v>42</v>
      </c>
      <c r="B226" s="178" t="s">
        <v>192</v>
      </c>
      <c r="C226" s="144" t="s">
        <v>6</v>
      </c>
      <c r="D226" s="14">
        <v>0</v>
      </c>
      <c r="E226" s="254">
        <f>'LPLPO PROGRAM'!E55</f>
        <v>0</v>
      </c>
      <c r="F226" s="254">
        <f t="shared" si="199"/>
        <v>0</v>
      </c>
      <c r="G226" s="254">
        <f>'PEMAKAIAN UNIT'!R223</f>
        <v>0</v>
      </c>
      <c r="H226" s="14">
        <v>0</v>
      </c>
      <c r="I226" s="14">
        <v>0</v>
      </c>
      <c r="J226" s="14">
        <v>0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09">
        <f t="shared" si="200"/>
        <v>0</v>
      </c>
      <c r="Z226" s="109" t="e">
        <f t="shared" si="201"/>
        <v>#REF!</v>
      </c>
      <c r="AA226" s="109" t="e">
        <f t="shared" si="202"/>
        <v>#REF!</v>
      </c>
      <c r="AB226" s="14">
        <v>0</v>
      </c>
      <c r="AC226" s="109" t="e">
        <f t="shared" si="203"/>
        <v>#REF!</v>
      </c>
      <c r="AD226" s="109">
        <f>'LPLPO PROGRAM'!H55</f>
        <v>0</v>
      </c>
      <c r="AE226" s="111" t="e">
        <f t="shared" si="204"/>
        <v>#REF!</v>
      </c>
      <c r="AF226" s="212"/>
      <c r="AG226" s="212"/>
      <c r="AH226" s="20"/>
      <c r="AI226" s="14">
        <f t="shared" si="208"/>
        <v>0</v>
      </c>
      <c r="AJ226" s="209" t="e">
        <f t="shared" si="209"/>
        <v>#REF!</v>
      </c>
      <c r="AL226" s="14">
        <f t="shared" si="160"/>
        <v>0</v>
      </c>
      <c r="AM226" s="14">
        <f>DISTRIBUSI!D224</f>
        <v>0</v>
      </c>
      <c r="AN226" s="14">
        <f>'PEMAKAIAN UNIT'!D223</f>
        <v>0</v>
      </c>
      <c r="AO226" s="14">
        <f t="shared" si="161"/>
        <v>0</v>
      </c>
      <c r="AP226" s="15">
        <f t="shared" si="162"/>
        <v>0</v>
      </c>
      <c r="AQ226" s="14">
        <f t="shared" si="163"/>
        <v>0</v>
      </c>
      <c r="AR226" s="14">
        <f>DISTRIBUSI!E224</f>
        <v>0</v>
      </c>
      <c r="AS226" s="14">
        <f>'PEMAKAIAN UNIT'!E223</f>
        <v>0</v>
      </c>
      <c r="AT226" s="14">
        <f t="shared" si="164"/>
        <v>0</v>
      </c>
      <c r="AU226" s="15">
        <f t="shared" si="165"/>
        <v>0</v>
      </c>
      <c r="AV226" s="14">
        <f t="shared" si="166"/>
        <v>0</v>
      </c>
      <c r="AW226" s="14">
        <f>DISTRIBUSI!F224</f>
        <v>0</v>
      </c>
      <c r="AX226" s="14">
        <f>'PEMAKAIAN UNIT'!F223</f>
        <v>0</v>
      </c>
      <c r="AY226" s="14">
        <f t="shared" si="167"/>
        <v>0</v>
      </c>
      <c r="AZ226" s="15">
        <f t="shared" si="168"/>
        <v>0</v>
      </c>
      <c r="BA226" s="14">
        <f t="shared" si="169"/>
        <v>0</v>
      </c>
      <c r="BB226" s="14">
        <f>DISTRIBUSI!G224</f>
        <v>0</v>
      </c>
      <c r="BC226" s="14">
        <f>'PEMAKAIAN UNIT'!G223</f>
        <v>0</v>
      </c>
      <c r="BD226" s="14">
        <f t="shared" si="170"/>
        <v>0</v>
      </c>
      <c r="BE226" s="15">
        <f t="shared" si="171"/>
        <v>0</v>
      </c>
      <c r="BF226" s="14">
        <f t="shared" si="172"/>
        <v>0</v>
      </c>
      <c r="BG226" s="14">
        <f>DISTRIBUSI!H224</f>
        <v>0</v>
      </c>
      <c r="BH226" s="14">
        <f>'PEMAKAIAN UNIT'!H223</f>
        <v>0</v>
      </c>
      <c r="BI226" s="14">
        <f t="shared" si="173"/>
        <v>0</v>
      </c>
      <c r="BJ226" s="15">
        <f t="shared" si="174"/>
        <v>0</v>
      </c>
      <c r="BK226" s="14">
        <f t="shared" si="175"/>
        <v>0</v>
      </c>
      <c r="BL226" s="14">
        <f>DISTRIBUSI!I224</f>
        <v>0</v>
      </c>
      <c r="BM226" s="14">
        <f>'PEMAKAIAN UNIT'!I223</f>
        <v>0</v>
      </c>
      <c r="BN226" s="14">
        <f t="shared" si="176"/>
        <v>0</v>
      </c>
      <c r="BO226" s="15">
        <f t="shared" si="177"/>
        <v>0</v>
      </c>
      <c r="BP226" s="14">
        <f t="shared" si="178"/>
        <v>0</v>
      </c>
      <c r="BQ226" s="14">
        <f>DISTRIBUSI!J224</f>
        <v>0</v>
      </c>
      <c r="BR226" s="14">
        <f>'PEMAKAIAN UNIT'!J223</f>
        <v>0</v>
      </c>
      <c r="BS226" s="14">
        <f t="shared" si="179"/>
        <v>0</v>
      </c>
      <c r="BT226" s="15">
        <f t="shared" si="180"/>
        <v>0</v>
      </c>
      <c r="BU226" s="14">
        <f t="shared" si="181"/>
        <v>0</v>
      </c>
      <c r="BV226" s="14">
        <f>DISTRIBUSI!K224</f>
        <v>0</v>
      </c>
      <c r="BW226" s="14">
        <f>'PEMAKAIAN UNIT'!K223</f>
        <v>0</v>
      </c>
      <c r="BX226" s="14">
        <f t="shared" si="182"/>
        <v>0</v>
      </c>
      <c r="BY226" s="15">
        <f t="shared" si="183"/>
        <v>0</v>
      </c>
      <c r="BZ226" s="14">
        <f t="shared" si="184"/>
        <v>0</v>
      </c>
      <c r="CA226" s="14">
        <f>DISTRIBUSI!L224</f>
        <v>0</v>
      </c>
      <c r="CB226" s="14">
        <f>'PEMAKAIAN UNIT'!L223</f>
        <v>0</v>
      </c>
      <c r="CC226" s="14">
        <f t="shared" si="185"/>
        <v>0</v>
      </c>
      <c r="CD226" s="15">
        <f t="shared" si="186"/>
        <v>0</v>
      </c>
      <c r="CE226" s="14">
        <f t="shared" si="187"/>
        <v>0</v>
      </c>
      <c r="CF226" s="14">
        <f>DISTRIBUSI!M224</f>
        <v>0</v>
      </c>
      <c r="CG226" s="14">
        <f>'PEMAKAIAN UNIT'!M223</f>
        <v>0</v>
      </c>
      <c r="CH226" s="14">
        <f t="shared" si="188"/>
        <v>0</v>
      </c>
      <c r="CI226" s="15">
        <f t="shared" si="189"/>
        <v>0</v>
      </c>
      <c r="CJ226" s="14">
        <f t="shared" si="190"/>
        <v>0</v>
      </c>
      <c r="CK226" s="14" t="e">
        <f>DISTRIBUSI!#REF!</f>
        <v>#REF!</v>
      </c>
      <c r="CL226" s="14">
        <f>'PEMAKAIAN UNIT'!N223</f>
        <v>0</v>
      </c>
      <c r="CM226" s="14" t="e">
        <f t="shared" si="191"/>
        <v>#REF!</v>
      </c>
      <c r="CN226" s="15" t="e">
        <f t="shared" si="192"/>
        <v>#REF!</v>
      </c>
      <c r="CO226" s="14" t="e">
        <f>DL226+DISTRIBUSI!#REF!-'PEMAKAIAN UNIT'!O223</f>
        <v>#REF!</v>
      </c>
      <c r="CP226" s="15" t="e">
        <f t="shared" si="193"/>
        <v>#REF!</v>
      </c>
      <c r="CQ226" s="226">
        <f t="shared" si="194"/>
        <v>0</v>
      </c>
      <c r="CR226" s="226">
        <f>DISTRIBUSI!R224</f>
        <v>0</v>
      </c>
      <c r="CS226" s="226">
        <f>'PEMAKAIAN UNIT'!P223</f>
        <v>0</v>
      </c>
      <c r="CT226" s="14">
        <f t="shared" si="195"/>
        <v>0</v>
      </c>
      <c r="CU226" s="15">
        <f t="shared" si="196"/>
        <v>0</v>
      </c>
      <c r="CV226" s="14" t="e">
        <f>DN226+DISTRIBUSI!#REF!-'PEMAKAIAN UNIT'!Q223</f>
        <v>#REF!</v>
      </c>
      <c r="CW226" s="15" t="e">
        <f t="shared" si="197"/>
        <v>#REF!</v>
      </c>
      <c r="CX226" s="14">
        <f>DO226+'LPLPO PROGRAM'!E55-'LPLPO PROGRAM'!G55</f>
        <v>0</v>
      </c>
      <c r="CY226" s="15">
        <f t="shared" si="198"/>
        <v>0</v>
      </c>
      <c r="CZ226" s="28"/>
      <c r="DA226" s="14">
        <v>0</v>
      </c>
      <c r="DB226" s="14">
        <v>0</v>
      </c>
      <c r="DC226" s="14">
        <v>0</v>
      </c>
      <c r="DD226" s="14">
        <v>0</v>
      </c>
      <c r="DE226" s="14">
        <v>0</v>
      </c>
      <c r="DF226" s="14">
        <v>0</v>
      </c>
      <c r="DG226" s="14">
        <v>0</v>
      </c>
      <c r="DH226" s="14">
        <v>0</v>
      </c>
      <c r="DI226" s="14">
        <v>0</v>
      </c>
      <c r="DJ226" s="14">
        <v>0</v>
      </c>
      <c r="DK226" s="14">
        <v>0</v>
      </c>
      <c r="DL226" s="14">
        <v>0</v>
      </c>
      <c r="DM226" s="14">
        <v>0</v>
      </c>
      <c r="DN226" s="14">
        <v>0</v>
      </c>
      <c r="DO226" s="14">
        <v>0</v>
      </c>
      <c r="DP226" s="13">
        <f t="shared" si="151"/>
        <v>0</v>
      </c>
      <c r="DU226" s="20" t="e">
        <f t="shared" si="210"/>
        <v>#REF!</v>
      </c>
    </row>
    <row r="227" spans="1:125" customFormat="1" ht="20.149999999999999" customHeight="1" x14ac:dyDescent="0.35">
      <c r="A227" s="205">
        <v>43</v>
      </c>
      <c r="B227" s="178" t="s">
        <v>285</v>
      </c>
      <c r="C227" s="144" t="s">
        <v>48</v>
      </c>
      <c r="D227" s="14">
        <v>0</v>
      </c>
      <c r="E227" s="254">
        <f>'LPLPO PROGRAM'!E56</f>
        <v>0</v>
      </c>
      <c r="F227" s="254">
        <f t="shared" si="199"/>
        <v>0</v>
      </c>
      <c r="G227" s="254">
        <f>'PEMAKAIAN UNIT'!R224</f>
        <v>0</v>
      </c>
      <c r="H227" s="14">
        <v>0</v>
      </c>
      <c r="I227" s="14">
        <v>0</v>
      </c>
      <c r="J227" s="14">
        <v>0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09">
        <f t="shared" si="200"/>
        <v>0</v>
      </c>
      <c r="Z227" s="109" t="e">
        <f t="shared" si="201"/>
        <v>#REF!</v>
      </c>
      <c r="AA227" s="109" t="e">
        <f t="shared" si="202"/>
        <v>#REF!</v>
      </c>
      <c r="AB227" s="14">
        <v>0</v>
      </c>
      <c r="AC227" s="109" t="e">
        <f t="shared" si="203"/>
        <v>#REF!</v>
      </c>
      <c r="AD227" s="109">
        <f>'LPLPO PROGRAM'!H56</f>
        <v>0</v>
      </c>
      <c r="AE227" s="111" t="e">
        <f t="shared" si="204"/>
        <v>#REF!</v>
      </c>
      <c r="AF227" s="212"/>
      <c r="AG227" s="212"/>
      <c r="AH227" s="20"/>
      <c r="AI227" s="14">
        <f t="shared" si="208"/>
        <v>0</v>
      </c>
      <c r="AJ227" s="209" t="e">
        <f t="shared" si="209"/>
        <v>#REF!</v>
      </c>
      <c r="AL227" s="14">
        <f t="shared" si="160"/>
        <v>0</v>
      </c>
      <c r="AM227" s="14">
        <f>DISTRIBUSI!D225</f>
        <v>0</v>
      </c>
      <c r="AN227" s="14">
        <f>'PEMAKAIAN UNIT'!D224</f>
        <v>0</v>
      </c>
      <c r="AO227" s="14">
        <f t="shared" si="161"/>
        <v>0</v>
      </c>
      <c r="AP227" s="15">
        <f t="shared" si="162"/>
        <v>0</v>
      </c>
      <c r="AQ227" s="14">
        <f t="shared" si="163"/>
        <v>0</v>
      </c>
      <c r="AR227" s="14">
        <f>DISTRIBUSI!E225</f>
        <v>0</v>
      </c>
      <c r="AS227" s="14">
        <f>'PEMAKAIAN UNIT'!E224</f>
        <v>0</v>
      </c>
      <c r="AT227" s="14">
        <f t="shared" si="164"/>
        <v>0</v>
      </c>
      <c r="AU227" s="15">
        <f t="shared" si="165"/>
        <v>0</v>
      </c>
      <c r="AV227" s="14">
        <f t="shared" si="166"/>
        <v>0</v>
      </c>
      <c r="AW227" s="14">
        <f>DISTRIBUSI!F225</f>
        <v>0</v>
      </c>
      <c r="AX227" s="14">
        <f>'PEMAKAIAN UNIT'!F224</f>
        <v>0</v>
      </c>
      <c r="AY227" s="14">
        <f t="shared" si="167"/>
        <v>0</v>
      </c>
      <c r="AZ227" s="15">
        <f t="shared" si="168"/>
        <v>0</v>
      </c>
      <c r="BA227" s="14">
        <f t="shared" si="169"/>
        <v>0</v>
      </c>
      <c r="BB227" s="14">
        <f>DISTRIBUSI!G225</f>
        <v>0</v>
      </c>
      <c r="BC227" s="14">
        <f>'PEMAKAIAN UNIT'!G224</f>
        <v>0</v>
      </c>
      <c r="BD227" s="14">
        <f t="shared" si="170"/>
        <v>0</v>
      </c>
      <c r="BE227" s="15">
        <f t="shared" si="171"/>
        <v>0</v>
      </c>
      <c r="BF227" s="14">
        <f t="shared" si="172"/>
        <v>0</v>
      </c>
      <c r="BG227" s="14">
        <f>DISTRIBUSI!H225</f>
        <v>0</v>
      </c>
      <c r="BH227" s="14">
        <f>'PEMAKAIAN UNIT'!H224</f>
        <v>0</v>
      </c>
      <c r="BI227" s="14">
        <f t="shared" si="173"/>
        <v>0</v>
      </c>
      <c r="BJ227" s="15">
        <f t="shared" si="174"/>
        <v>0</v>
      </c>
      <c r="BK227" s="14">
        <f t="shared" si="175"/>
        <v>0</v>
      </c>
      <c r="BL227" s="14">
        <f>DISTRIBUSI!I225</f>
        <v>0</v>
      </c>
      <c r="BM227" s="14">
        <f>'PEMAKAIAN UNIT'!I224</f>
        <v>0</v>
      </c>
      <c r="BN227" s="14">
        <f t="shared" si="176"/>
        <v>0</v>
      </c>
      <c r="BO227" s="15">
        <f t="shared" si="177"/>
        <v>0</v>
      </c>
      <c r="BP227" s="14">
        <f t="shared" si="178"/>
        <v>0</v>
      </c>
      <c r="BQ227" s="14">
        <f>DISTRIBUSI!J225</f>
        <v>0</v>
      </c>
      <c r="BR227" s="14">
        <f>'PEMAKAIAN UNIT'!J224</f>
        <v>0</v>
      </c>
      <c r="BS227" s="14">
        <f t="shared" si="179"/>
        <v>0</v>
      </c>
      <c r="BT227" s="15">
        <f t="shared" si="180"/>
        <v>0</v>
      </c>
      <c r="BU227" s="14">
        <f t="shared" si="181"/>
        <v>0</v>
      </c>
      <c r="BV227" s="14">
        <f>DISTRIBUSI!K225</f>
        <v>0</v>
      </c>
      <c r="BW227" s="14">
        <f>'PEMAKAIAN UNIT'!K224</f>
        <v>0</v>
      </c>
      <c r="BX227" s="14">
        <f t="shared" si="182"/>
        <v>0</v>
      </c>
      <c r="BY227" s="15">
        <f t="shared" si="183"/>
        <v>0</v>
      </c>
      <c r="BZ227" s="14">
        <f t="shared" si="184"/>
        <v>0</v>
      </c>
      <c r="CA227" s="14">
        <f>DISTRIBUSI!L225</f>
        <v>0</v>
      </c>
      <c r="CB227" s="14">
        <f>'PEMAKAIAN UNIT'!L224</f>
        <v>0</v>
      </c>
      <c r="CC227" s="14">
        <f t="shared" si="185"/>
        <v>0</v>
      </c>
      <c r="CD227" s="15">
        <f t="shared" si="186"/>
        <v>0</v>
      </c>
      <c r="CE227" s="14">
        <f t="shared" si="187"/>
        <v>0</v>
      </c>
      <c r="CF227" s="14">
        <f>DISTRIBUSI!M225</f>
        <v>0</v>
      </c>
      <c r="CG227" s="14">
        <f>'PEMAKAIAN UNIT'!M224</f>
        <v>0</v>
      </c>
      <c r="CH227" s="14">
        <f t="shared" si="188"/>
        <v>0</v>
      </c>
      <c r="CI227" s="15">
        <f t="shared" si="189"/>
        <v>0</v>
      </c>
      <c r="CJ227" s="14">
        <f t="shared" si="190"/>
        <v>0</v>
      </c>
      <c r="CK227" s="14" t="e">
        <f>DISTRIBUSI!#REF!</f>
        <v>#REF!</v>
      </c>
      <c r="CL227" s="14">
        <f>'PEMAKAIAN UNIT'!N224</f>
        <v>0</v>
      </c>
      <c r="CM227" s="14" t="e">
        <f t="shared" si="191"/>
        <v>#REF!</v>
      </c>
      <c r="CN227" s="15" t="e">
        <f t="shared" si="192"/>
        <v>#REF!</v>
      </c>
      <c r="CO227" s="14" t="e">
        <f>DL227+DISTRIBUSI!#REF!-'PEMAKAIAN UNIT'!O224</f>
        <v>#REF!</v>
      </c>
      <c r="CP227" s="15" t="e">
        <f t="shared" si="193"/>
        <v>#REF!</v>
      </c>
      <c r="CQ227" s="226">
        <f t="shared" si="194"/>
        <v>0</v>
      </c>
      <c r="CR227" s="226">
        <f>DISTRIBUSI!R225</f>
        <v>0</v>
      </c>
      <c r="CS227" s="226">
        <f>'PEMAKAIAN UNIT'!P224</f>
        <v>0</v>
      </c>
      <c r="CT227" s="14">
        <f t="shared" si="195"/>
        <v>0</v>
      </c>
      <c r="CU227" s="15">
        <f t="shared" si="196"/>
        <v>0</v>
      </c>
      <c r="CV227" s="14" t="e">
        <f>DN227+DISTRIBUSI!#REF!-'PEMAKAIAN UNIT'!Q224</f>
        <v>#REF!</v>
      </c>
      <c r="CW227" s="15" t="e">
        <f t="shared" si="197"/>
        <v>#REF!</v>
      </c>
      <c r="CX227" s="14">
        <f>DO227+'LPLPO PROGRAM'!E56-'LPLPO PROGRAM'!G56</f>
        <v>0</v>
      </c>
      <c r="CY227" s="15">
        <f t="shared" si="198"/>
        <v>0</v>
      </c>
      <c r="CZ227" s="28"/>
      <c r="DA227" s="14">
        <v>0</v>
      </c>
      <c r="DB227" s="14">
        <v>0</v>
      </c>
      <c r="DC227" s="14">
        <v>0</v>
      </c>
      <c r="DD227" s="14">
        <v>0</v>
      </c>
      <c r="DE227" s="14">
        <v>0</v>
      </c>
      <c r="DF227" s="14">
        <v>0</v>
      </c>
      <c r="DG227" s="14">
        <v>0</v>
      </c>
      <c r="DH227" s="14">
        <v>0</v>
      </c>
      <c r="DI227" s="14">
        <v>0</v>
      </c>
      <c r="DJ227" s="14">
        <v>0</v>
      </c>
      <c r="DK227" s="14">
        <v>0</v>
      </c>
      <c r="DL227" s="14">
        <v>0</v>
      </c>
      <c r="DM227" s="14">
        <v>0</v>
      </c>
      <c r="DN227" s="14">
        <v>0</v>
      </c>
      <c r="DO227" s="14">
        <v>0</v>
      </c>
      <c r="DP227" s="13">
        <f t="shared" si="151"/>
        <v>0</v>
      </c>
      <c r="DU227" s="20" t="e">
        <f t="shared" si="210"/>
        <v>#REF!</v>
      </c>
    </row>
    <row r="228" spans="1:125" customFormat="1" ht="20.149999999999999" customHeight="1" x14ac:dyDescent="0.35">
      <c r="A228" s="205">
        <v>44</v>
      </c>
      <c r="B228" s="178" t="s">
        <v>359</v>
      </c>
      <c r="C228" s="144" t="s">
        <v>48</v>
      </c>
      <c r="D228" s="14">
        <v>0</v>
      </c>
      <c r="E228" s="254">
        <f>'LPLPO PROGRAM'!E57</f>
        <v>0</v>
      </c>
      <c r="F228" s="254">
        <f t="shared" si="199"/>
        <v>0</v>
      </c>
      <c r="G228" s="254">
        <f>'PEMAKAIAN UNIT'!R225</f>
        <v>0</v>
      </c>
      <c r="H228" s="14">
        <v>0</v>
      </c>
      <c r="I228" s="14">
        <v>0</v>
      </c>
      <c r="J228" s="14">
        <v>0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09">
        <f t="shared" si="200"/>
        <v>0</v>
      </c>
      <c r="Z228" s="109" t="e">
        <f t="shared" si="201"/>
        <v>#REF!</v>
      </c>
      <c r="AA228" s="109" t="e">
        <f t="shared" si="202"/>
        <v>#REF!</v>
      </c>
      <c r="AB228" s="14">
        <v>0</v>
      </c>
      <c r="AC228" s="109" t="e">
        <f t="shared" si="203"/>
        <v>#REF!</v>
      </c>
      <c r="AD228" s="109">
        <f>'LPLPO PROGRAM'!H57</f>
        <v>0</v>
      </c>
      <c r="AE228" s="111" t="e">
        <f t="shared" si="204"/>
        <v>#REF!</v>
      </c>
      <c r="AF228" s="212"/>
      <c r="AG228" s="212"/>
      <c r="AH228" s="20"/>
      <c r="AI228" s="14">
        <f t="shared" si="208"/>
        <v>0</v>
      </c>
      <c r="AJ228" s="209" t="e">
        <f t="shared" si="209"/>
        <v>#REF!</v>
      </c>
      <c r="AL228" s="14">
        <f t="shared" si="160"/>
        <v>0</v>
      </c>
      <c r="AM228" s="14">
        <f>DISTRIBUSI!D226</f>
        <v>0</v>
      </c>
      <c r="AN228" s="14">
        <f>'PEMAKAIAN UNIT'!D225</f>
        <v>0</v>
      </c>
      <c r="AO228" s="14">
        <f t="shared" si="161"/>
        <v>0</v>
      </c>
      <c r="AP228" s="15">
        <f t="shared" si="162"/>
        <v>0</v>
      </c>
      <c r="AQ228" s="14">
        <f t="shared" si="163"/>
        <v>0</v>
      </c>
      <c r="AR228" s="14">
        <f>DISTRIBUSI!E226</f>
        <v>0</v>
      </c>
      <c r="AS228" s="14">
        <f>'PEMAKAIAN UNIT'!E225</f>
        <v>0</v>
      </c>
      <c r="AT228" s="14">
        <f t="shared" si="164"/>
        <v>0</v>
      </c>
      <c r="AU228" s="15">
        <f t="shared" si="165"/>
        <v>0</v>
      </c>
      <c r="AV228" s="14">
        <f t="shared" si="166"/>
        <v>0</v>
      </c>
      <c r="AW228" s="14">
        <f>DISTRIBUSI!F226</f>
        <v>0</v>
      </c>
      <c r="AX228" s="14">
        <f>'PEMAKAIAN UNIT'!F225</f>
        <v>0</v>
      </c>
      <c r="AY228" s="14">
        <f t="shared" si="167"/>
        <v>0</v>
      </c>
      <c r="AZ228" s="15">
        <f t="shared" si="168"/>
        <v>0</v>
      </c>
      <c r="BA228" s="14">
        <f t="shared" si="169"/>
        <v>0</v>
      </c>
      <c r="BB228" s="14">
        <f>DISTRIBUSI!G226</f>
        <v>0</v>
      </c>
      <c r="BC228" s="14">
        <f>'PEMAKAIAN UNIT'!G225</f>
        <v>0</v>
      </c>
      <c r="BD228" s="14">
        <f t="shared" si="170"/>
        <v>0</v>
      </c>
      <c r="BE228" s="15">
        <f t="shared" si="171"/>
        <v>0</v>
      </c>
      <c r="BF228" s="14">
        <f t="shared" si="172"/>
        <v>0</v>
      </c>
      <c r="BG228" s="14">
        <f>DISTRIBUSI!H226</f>
        <v>0</v>
      </c>
      <c r="BH228" s="14">
        <f>'PEMAKAIAN UNIT'!H225</f>
        <v>0</v>
      </c>
      <c r="BI228" s="14">
        <f t="shared" si="173"/>
        <v>0</v>
      </c>
      <c r="BJ228" s="15">
        <f t="shared" si="174"/>
        <v>0</v>
      </c>
      <c r="BK228" s="14">
        <f t="shared" si="175"/>
        <v>0</v>
      </c>
      <c r="BL228" s="14">
        <f>DISTRIBUSI!I226</f>
        <v>0</v>
      </c>
      <c r="BM228" s="14">
        <f>'PEMAKAIAN UNIT'!I225</f>
        <v>0</v>
      </c>
      <c r="BN228" s="14">
        <f t="shared" si="176"/>
        <v>0</v>
      </c>
      <c r="BO228" s="15">
        <f t="shared" si="177"/>
        <v>0</v>
      </c>
      <c r="BP228" s="14">
        <f t="shared" si="178"/>
        <v>0</v>
      </c>
      <c r="BQ228" s="14">
        <f>DISTRIBUSI!J226</f>
        <v>0</v>
      </c>
      <c r="BR228" s="14">
        <f>'PEMAKAIAN UNIT'!J225</f>
        <v>0</v>
      </c>
      <c r="BS228" s="14">
        <f t="shared" si="179"/>
        <v>0</v>
      </c>
      <c r="BT228" s="15">
        <f t="shared" si="180"/>
        <v>0</v>
      </c>
      <c r="BU228" s="14">
        <f t="shared" si="181"/>
        <v>0</v>
      </c>
      <c r="BV228" s="14">
        <f>DISTRIBUSI!K226</f>
        <v>0</v>
      </c>
      <c r="BW228" s="14">
        <f>'PEMAKAIAN UNIT'!K225</f>
        <v>0</v>
      </c>
      <c r="BX228" s="14">
        <f t="shared" si="182"/>
        <v>0</v>
      </c>
      <c r="BY228" s="15">
        <f t="shared" si="183"/>
        <v>0</v>
      </c>
      <c r="BZ228" s="14">
        <f t="shared" si="184"/>
        <v>0</v>
      </c>
      <c r="CA228" s="14">
        <f>DISTRIBUSI!L226</f>
        <v>0</v>
      </c>
      <c r="CB228" s="14">
        <f>'PEMAKAIAN UNIT'!L225</f>
        <v>0</v>
      </c>
      <c r="CC228" s="14">
        <f t="shared" si="185"/>
        <v>0</v>
      </c>
      <c r="CD228" s="15">
        <f t="shared" si="186"/>
        <v>0</v>
      </c>
      <c r="CE228" s="14">
        <f t="shared" si="187"/>
        <v>0</v>
      </c>
      <c r="CF228" s="14">
        <f>DISTRIBUSI!M226</f>
        <v>0</v>
      </c>
      <c r="CG228" s="14">
        <f>'PEMAKAIAN UNIT'!M225</f>
        <v>0</v>
      </c>
      <c r="CH228" s="14">
        <f t="shared" si="188"/>
        <v>0</v>
      </c>
      <c r="CI228" s="15">
        <f t="shared" si="189"/>
        <v>0</v>
      </c>
      <c r="CJ228" s="14">
        <f t="shared" si="190"/>
        <v>0</v>
      </c>
      <c r="CK228" s="14" t="e">
        <f>DISTRIBUSI!#REF!</f>
        <v>#REF!</v>
      </c>
      <c r="CL228" s="14">
        <f>'PEMAKAIAN UNIT'!N225</f>
        <v>0</v>
      </c>
      <c r="CM228" s="14" t="e">
        <f t="shared" si="191"/>
        <v>#REF!</v>
      </c>
      <c r="CN228" s="15" t="e">
        <f t="shared" si="192"/>
        <v>#REF!</v>
      </c>
      <c r="CO228" s="14" t="e">
        <f>DL228+DISTRIBUSI!#REF!-'PEMAKAIAN UNIT'!O225</f>
        <v>#REF!</v>
      </c>
      <c r="CP228" s="15" t="e">
        <f t="shared" si="193"/>
        <v>#REF!</v>
      </c>
      <c r="CQ228" s="226">
        <f t="shared" si="194"/>
        <v>0</v>
      </c>
      <c r="CR228" s="226">
        <f>DISTRIBUSI!R226</f>
        <v>0</v>
      </c>
      <c r="CS228" s="226">
        <f>'PEMAKAIAN UNIT'!P225</f>
        <v>0</v>
      </c>
      <c r="CT228" s="14">
        <f t="shared" si="195"/>
        <v>0</v>
      </c>
      <c r="CU228" s="15">
        <f t="shared" si="196"/>
        <v>0</v>
      </c>
      <c r="CV228" s="14" t="e">
        <f>DN228+DISTRIBUSI!#REF!-'PEMAKAIAN UNIT'!Q225</f>
        <v>#REF!</v>
      </c>
      <c r="CW228" s="15" t="e">
        <f t="shared" si="197"/>
        <v>#REF!</v>
      </c>
      <c r="CX228" s="14">
        <f>DO228+'LPLPO PROGRAM'!E57-'LPLPO PROGRAM'!G57</f>
        <v>0</v>
      </c>
      <c r="CY228" s="15">
        <f t="shared" si="198"/>
        <v>0</v>
      </c>
      <c r="CZ228" s="28"/>
      <c r="DA228" s="14">
        <v>0</v>
      </c>
      <c r="DB228" s="14">
        <v>0</v>
      </c>
      <c r="DC228" s="14">
        <v>0</v>
      </c>
      <c r="DD228" s="14">
        <v>0</v>
      </c>
      <c r="DE228" s="14">
        <v>0</v>
      </c>
      <c r="DF228" s="14">
        <v>0</v>
      </c>
      <c r="DG228" s="14">
        <v>0</v>
      </c>
      <c r="DH228" s="14">
        <v>0</v>
      </c>
      <c r="DI228" s="14">
        <v>0</v>
      </c>
      <c r="DJ228" s="14">
        <v>0</v>
      </c>
      <c r="DK228" s="14">
        <v>0</v>
      </c>
      <c r="DL228" s="14">
        <v>0</v>
      </c>
      <c r="DM228" s="14">
        <v>0</v>
      </c>
      <c r="DN228" s="14">
        <v>0</v>
      </c>
      <c r="DO228" s="14">
        <v>0</v>
      </c>
      <c r="DP228" s="13">
        <f t="shared" si="151"/>
        <v>0</v>
      </c>
      <c r="DU228" s="20" t="e">
        <f t="shared" si="210"/>
        <v>#REF!</v>
      </c>
    </row>
    <row r="229" spans="1:125" customFormat="1" ht="20.149999999999999" customHeight="1" x14ac:dyDescent="0.35">
      <c r="A229" s="205">
        <v>45</v>
      </c>
      <c r="B229" s="178"/>
      <c r="C229" s="144"/>
      <c r="D229" s="14">
        <v>0</v>
      </c>
      <c r="E229" s="254">
        <f>'LPLPO PROGRAM'!E58</f>
        <v>0</v>
      </c>
      <c r="F229" s="254">
        <f t="shared" si="199"/>
        <v>0</v>
      </c>
      <c r="G229" s="254">
        <f>'PEMAKAIAN UNIT'!R226</f>
        <v>0</v>
      </c>
      <c r="H229" s="14">
        <v>0</v>
      </c>
      <c r="I229" s="14">
        <v>0</v>
      </c>
      <c r="J229" s="14">
        <v>0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09">
        <f t="shared" si="200"/>
        <v>0</v>
      </c>
      <c r="Z229" s="109" t="e">
        <f t="shared" si="201"/>
        <v>#REF!</v>
      </c>
      <c r="AA229" s="109" t="e">
        <f t="shared" si="202"/>
        <v>#REF!</v>
      </c>
      <c r="AB229" s="14">
        <v>0</v>
      </c>
      <c r="AC229" s="109" t="e">
        <f t="shared" si="203"/>
        <v>#REF!</v>
      </c>
      <c r="AD229" s="109">
        <f>'LPLPO PROGRAM'!H58</f>
        <v>0</v>
      </c>
      <c r="AE229" s="111" t="e">
        <f t="shared" si="204"/>
        <v>#REF!</v>
      </c>
      <c r="AF229" s="212"/>
      <c r="AG229" s="212"/>
      <c r="AH229" s="20"/>
      <c r="AI229" s="14">
        <f t="shared" si="208"/>
        <v>0</v>
      </c>
      <c r="AJ229" s="209" t="e">
        <f t="shared" si="209"/>
        <v>#REF!</v>
      </c>
      <c r="AL229" s="14">
        <f t="shared" si="160"/>
        <v>0</v>
      </c>
      <c r="AM229" s="14">
        <f>DISTRIBUSI!D227</f>
        <v>0</v>
      </c>
      <c r="AN229" s="14">
        <f>'PEMAKAIAN UNIT'!D226</f>
        <v>0</v>
      </c>
      <c r="AO229" s="14">
        <f t="shared" si="161"/>
        <v>0</v>
      </c>
      <c r="AP229" s="15">
        <f t="shared" si="162"/>
        <v>0</v>
      </c>
      <c r="AQ229" s="14">
        <f t="shared" si="163"/>
        <v>0</v>
      </c>
      <c r="AR229" s="14">
        <f>DISTRIBUSI!E227</f>
        <v>0</v>
      </c>
      <c r="AS229" s="14">
        <f>'PEMAKAIAN UNIT'!E226</f>
        <v>0</v>
      </c>
      <c r="AT229" s="14">
        <f t="shared" si="164"/>
        <v>0</v>
      </c>
      <c r="AU229" s="15">
        <f t="shared" si="165"/>
        <v>0</v>
      </c>
      <c r="AV229" s="14">
        <f t="shared" si="166"/>
        <v>0</v>
      </c>
      <c r="AW229" s="14">
        <f>DISTRIBUSI!F227</f>
        <v>0</v>
      </c>
      <c r="AX229" s="14">
        <f>'PEMAKAIAN UNIT'!F226</f>
        <v>0</v>
      </c>
      <c r="AY229" s="14">
        <f t="shared" si="167"/>
        <v>0</v>
      </c>
      <c r="AZ229" s="15">
        <f t="shared" si="168"/>
        <v>0</v>
      </c>
      <c r="BA229" s="14">
        <f t="shared" si="169"/>
        <v>0</v>
      </c>
      <c r="BB229" s="14">
        <f>DISTRIBUSI!G227</f>
        <v>0</v>
      </c>
      <c r="BC229" s="14">
        <f>'PEMAKAIAN UNIT'!G226</f>
        <v>0</v>
      </c>
      <c r="BD229" s="14">
        <f t="shared" si="170"/>
        <v>0</v>
      </c>
      <c r="BE229" s="15">
        <f t="shared" si="171"/>
        <v>0</v>
      </c>
      <c r="BF229" s="14">
        <f t="shared" si="172"/>
        <v>0</v>
      </c>
      <c r="BG229" s="14">
        <f>DISTRIBUSI!H227</f>
        <v>0</v>
      </c>
      <c r="BH229" s="14">
        <f>'PEMAKAIAN UNIT'!H226</f>
        <v>0</v>
      </c>
      <c r="BI229" s="14">
        <f t="shared" si="173"/>
        <v>0</v>
      </c>
      <c r="BJ229" s="15">
        <f t="shared" si="174"/>
        <v>0</v>
      </c>
      <c r="BK229" s="14">
        <f t="shared" si="175"/>
        <v>0</v>
      </c>
      <c r="BL229" s="14">
        <f>DISTRIBUSI!I227</f>
        <v>0</v>
      </c>
      <c r="BM229" s="14">
        <f>'PEMAKAIAN UNIT'!I226</f>
        <v>0</v>
      </c>
      <c r="BN229" s="14">
        <f t="shared" si="176"/>
        <v>0</v>
      </c>
      <c r="BO229" s="15">
        <f t="shared" si="177"/>
        <v>0</v>
      </c>
      <c r="BP229" s="14">
        <f t="shared" si="178"/>
        <v>0</v>
      </c>
      <c r="BQ229" s="14">
        <f>DISTRIBUSI!J227</f>
        <v>0</v>
      </c>
      <c r="BR229" s="14">
        <f>'PEMAKAIAN UNIT'!J226</f>
        <v>0</v>
      </c>
      <c r="BS229" s="14">
        <f t="shared" si="179"/>
        <v>0</v>
      </c>
      <c r="BT229" s="15">
        <f t="shared" si="180"/>
        <v>0</v>
      </c>
      <c r="BU229" s="14">
        <f t="shared" si="181"/>
        <v>0</v>
      </c>
      <c r="BV229" s="14">
        <f>DISTRIBUSI!K227</f>
        <v>0</v>
      </c>
      <c r="BW229" s="14">
        <f>'PEMAKAIAN UNIT'!K226</f>
        <v>0</v>
      </c>
      <c r="BX229" s="14">
        <f t="shared" si="182"/>
        <v>0</v>
      </c>
      <c r="BY229" s="15">
        <f t="shared" si="183"/>
        <v>0</v>
      </c>
      <c r="BZ229" s="14">
        <f t="shared" si="184"/>
        <v>0</v>
      </c>
      <c r="CA229" s="14">
        <f>DISTRIBUSI!L227</f>
        <v>0</v>
      </c>
      <c r="CB229" s="14">
        <f>'PEMAKAIAN UNIT'!L226</f>
        <v>0</v>
      </c>
      <c r="CC229" s="14">
        <f t="shared" si="185"/>
        <v>0</v>
      </c>
      <c r="CD229" s="15">
        <f t="shared" si="186"/>
        <v>0</v>
      </c>
      <c r="CE229" s="14">
        <f t="shared" si="187"/>
        <v>0</v>
      </c>
      <c r="CF229" s="14">
        <f>DISTRIBUSI!M227</f>
        <v>0</v>
      </c>
      <c r="CG229" s="14">
        <f>'PEMAKAIAN UNIT'!M226</f>
        <v>0</v>
      </c>
      <c r="CH229" s="14">
        <f t="shared" si="188"/>
        <v>0</v>
      </c>
      <c r="CI229" s="15">
        <f t="shared" si="189"/>
        <v>0</v>
      </c>
      <c r="CJ229" s="14">
        <f t="shared" si="190"/>
        <v>0</v>
      </c>
      <c r="CK229" s="14" t="e">
        <f>DISTRIBUSI!#REF!</f>
        <v>#REF!</v>
      </c>
      <c r="CL229" s="14">
        <f>'PEMAKAIAN UNIT'!N226</f>
        <v>0</v>
      </c>
      <c r="CM229" s="14" t="e">
        <f t="shared" si="191"/>
        <v>#REF!</v>
      </c>
      <c r="CN229" s="15" t="e">
        <f t="shared" si="192"/>
        <v>#REF!</v>
      </c>
      <c r="CO229" s="14" t="e">
        <f>DL229+DISTRIBUSI!#REF!-'PEMAKAIAN UNIT'!O226</f>
        <v>#REF!</v>
      </c>
      <c r="CP229" s="15" t="e">
        <f t="shared" si="193"/>
        <v>#REF!</v>
      </c>
      <c r="CQ229" s="226">
        <f t="shared" si="194"/>
        <v>0</v>
      </c>
      <c r="CR229" s="226">
        <f>DISTRIBUSI!R227</f>
        <v>0</v>
      </c>
      <c r="CS229" s="226">
        <f>'PEMAKAIAN UNIT'!P226</f>
        <v>0</v>
      </c>
      <c r="CT229" s="14">
        <f t="shared" si="195"/>
        <v>0</v>
      </c>
      <c r="CU229" s="15">
        <f t="shared" si="196"/>
        <v>0</v>
      </c>
      <c r="CV229" s="14" t="e">
        <f>DN229+DISTRIBUSI!#REF!-'PEMAKAIAN UNIT'!Q226</f>
        <v>#REF!</v>
      </c>
      <c r="CW229" s="15" t="e">
        <f t="shared" si="197"/>
        <v>#REF!</v>
      </c>
      <c r="CX229" s="14">
        <f>DO229+'LPLPO PROGRAM'!E58-'LPLPO PROGRAM'!G58</f>
        <v>0</v>
      </c>
      <c r="CY229" s="15">
        <f t="shared" si="198"/>
        <v>0</v>
      </c>
      <c r="CZ229" s="28"/>
      <c r="DA229" s="14">
        <v>0</v>
      </c>
      <c r="DB229" s="14">
        <v>0</v>
      </c>
      <c r="DC229" s="14">
        <v>0</v>
      </c>
      <c r="DD229" s="14">
        <v>0</v>
      </c>
      <c r="DE229" s="14">
        <v>0</v>
      </c>
      <c r="DF229" s="14">
        <v>0</v>
      </c>
      <c r="DG229" s="14">
        <v>0</v>
      </c>
      <c r="DH229" s="14">
        <v>0</v>
      </c>
      <c r="DI229" s="14">
        <v>0</v>
      </c>
      <c r="DJ229" s="14">
        <v>0</v>
      </c>
      <c r="DK229" s="14">
        <v>0</v>
      </c>
      <c r="DL229" s="14">
        <v>0</v>
      </c>
      <c r="DM229" s="14">
        <v>0</v>
      </c>
      <c r="DN229" s="14">
        <v>0</v>
      </c>
      <c r="DO229" s="14">
        <v>0</v>
      </c>
      <c r="DP229" s="13">
        <f t="shared" si="151"/>
        <v>0</v>
      </c>
      <c r="DU229" s="20" t="e">
        <f t="shared" si="210"/>
        <v>#REF!</v>
      </c>
    </row>
    <row r="230" spans="1:125" customFormat="1" ht="20.149999999999999" customHeight="1" x14ac:dyDescent="0.35">
      <c r="A230" s="205">
        <v>46</v>
      </c>
      <c r="B230" s="178"/>
      <c r="C230" s="144"/>
      <c r="D230" s="14">
        <v>0</v>
      </c>
      <c r="E230" s="254">
        <f>'LPLPO PROGRAM'!E59</f>
        <v>0</v>
      </c>
      <c r="F230" s="254">
        <f t="shared" si="199"/>
        <v>0</v>
      </c>
      <c r="G230" s="254">
        <f>'PEMAKAIAN UNIT'!R227</f>
        <v>0</v>
      </c>
      <c r="H230" s="14">
        <v>0</v>
      </c>
      <c r="I230" s="14">
        <v>0</v>
      </c>
      <c r="J230" s="14">
        <v>0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09">
        <f t="shared" si="200"/>
        <v>0</v>
      </c>
      <c r="Z230" s="109" t="e">
        <f t="shared" si="201"/>
        <v>#REF!</v>
      </c>
      <c r="AA230" s="109" t="e">
        <f t="shared" si="202"/>
        <v>#REF!</v>
      </c>
      <c r="AB230" s="14">
        <v>0</v>
      </c>
      <c r="AC230" s="109" t="e">
        <f t="shared" si="203"/>
        <v>#REF!</v>
      </c>
      <c r="AD230" s="109">
        <f>'LPLPO PROGRAM'!H59</f>
        <v>0</v>
      </c>
      <c r="AE230" s="111" t="e">
        <f t="shared" si="204"/>
        <v>#REF!</v>
      </c>
      <c r="AF230" s="212"/>
      <c r="AG230" s="212"/>
      <c r="AH230" s="20"/>
      <c r="AI230" s="14">
        <f t="shared" si="208"/>
        <v>0</v>
      </c>
      <c r="AJ230" s="209" t="e">
        <f t="shared" si="209"/>
        <v>#REF!</v>
      </c>
      <c r="AL230" s="14">
        <f t="shared" si="160"/>
        <v>0</v>
      </c>
      <c r="AM230" s="14">
        <f>DISTRIBUSI!D228</f>
        <v>0</v>
      </c>
      <c r="AN230" s="14">
        <f>'PEMAKAIAN UNIT'!D227</f>
        <v>0</v>
      </c>
      <c r="AO230" s="14">
        <f t="shared" si="161"/>
        <v>0</v>
      </c>
      <c r="AP230" s="15">
        <f t="shared" si="162"/>
        <v>0</v>
      </c>
      <c r="AQ230" s="14">
        <f t="shared" si="163"/>
        <v>0</v>
      </c>
      <c r="AR230" s="14">
        <f>DISTRIBUSI!E228</f>
        <v>0</v>
      </c>
      <c r="AS230" s="14">
        <f>'PEMAKAIAN UNIT'!E227</f>
        <v>0</v>
      </c>
      <c r="AT230" s="14">
        <f t="shared" si="164"/>
        <v>0</v>
      </c>
      <c r="AU230" s="15">
        <f t="shared" si="165"/>
        <v>0</v>
      </c>
      <c r="AV230" s="14">
        <f t="shared" si="166"/>
        <v>0</v>
      </c>
      <c r="AW230" s="14">
        <f>DISTRIBUSI!F228</f>
        <v>0</v>
      </c>
      <c r="AX230" s="14">
        <f>'PEMAKAIAN UNIT'!F227</f>
        <v>0</v>
      </c>
      <c r="AY230" s="14">
        <f t="shared" si="167"/>
        <v>0</v>
      </c>
      <c r="AZ230" s="15">
        <f t="shared" si="168"/>
        <v>0</v>
      </c>
      <c r="BA230" s="14">
        <f t="shared" si="169"/>
        <v>0</v>
      </c>
      <c r="BB230" s="14">
        <f>DISTRIBUSI!G228</f>
        <v>0</v>
      </c>
      <c r="BC230" s="14">
        <f>'PEMAKAIAN UNIT'!G227</f>
        <v>0</v>
      </c>
      <c r="BD230" s="14">
        <f t="shared" si="170"/>
        <v>0</v>
      </c>
      <c r="BE230" s="15">
        <f t="shared" si="171"/>
        <v>0</v>
      </c>
      <c r="BF230" s="14">
        <f t="shared" si="172"/>
        <v>0</v>
      </c>
      <c r="BG230" s="14">
        <f>DISTRIBUSI!H228</f>
        <v>0</v>
      </c>
      <c r="BH230" s="14">
        <f>'PEMAKAIAN UNIT'!H227</f>
        <v>0</v>
      </c>
      <c r="BI230" s="14">
        <f t="shared" si="173"/>
        <v>0</v>
      </c>
      <c r="BJ230" s="15">
        <f t="shared" si="174"/>
        <v>0</v>
      </c>
      <c r="BK230" s="14">
        <f t="shared" si="175"/>
        <v>0</v>
      </c>
      <c r="BL230" s="14">
        <f>DISTRIBUSI!I228</f>
        <v>0</v>
      </c>
      <c r="BM230" s="14">
        <f>'PEMAKAIAN UNIT'!I227</f>
        <v>0</v>
      </c>
      <c r="BN230" s="14">
        <f t="shared" si="176"/>
        <v>0</v>
      </c>
      <c r="BO230" s="15">
        <f t="shared" si="177"/>
        <v>0</v>
      </c>
      <c r="BP230" s="14">
        <f t="shared" si="178"/>
        <v>0</v>
      </c>
      <c r="BQ230" s="14">
        <f>DISTRIBUSI!J228</f>
        <v>0</v>
      </c>
      <c r="BR230" s="14">
        <f>'PEMAKAIAN UNIT'!J227</f>
        <v>0</v>
      </c>
      <c r="BS230" s="14">
        <f t="shared" si="179"/>
        <v>0</v>
      </c>
      <c r="BT230" s="15">
        <f t="shared" si="180"/>
        <v>0</v>
      </c>
      <c r="BU230" s="14">
        <f t="shared" si="181"/>
        <v>0</v>
      </c>
      <c r="BV230" s="14">
        <f>DISTRIBUSI!K228</f>
        <v>0</v>
      </c>
      <c r="BW230" s="14">
        <f>'PEMAKAIAN UNIT'!K227</f>
        <v>0</v>
      </c>
      <c r="BX230" s="14">
        <f t="shared" si="182"/>
        <v>0</v>
      </c>
      <c r="BY230" s="15">
        <f t="shared" si="183"/>
        <v>0</v>
      </c>
      <c r="BZ230" s="14">
        <f t="shared" si="184"/>
        <v>0</v>
      </c>
      <c r="CA230" s="14">
        <f>DISTRIBUSI!L228</f>
        <v>0</v>
      </c>
      <c r="CB230" s="14">
        <f>'PEMAKAIAN UNIT'!L227</f>
        <v>0</v>
      </c>
      <c r="CC230" s="14">
        <f t="shared" si="185"/>
        <v>0</v>
      </c>
      <c r="CD230" s="15">
        <f t="shared" si="186"/>
        <v>0</v>
      </c>
      <c r="CE230" s="14">
        <f t="shared" si="187"/>
        <v>0</v>
      </c>
      <c r="CF230" s="14">
        <f>DISTRIBUSI!M228</f>
        <v>0</v>
      </c>
      <c r="CG230" s="14">
        <f>'PEMAKAIAN UNIT'!M227</f>
        <v>0</v>
      </c>
      <c r="CH230" s="14">
        <f t="shared" si="188"/>
        <v>0</v>
      </c>
      <c r="CI230" s="15">
        <f t="shared" si="189"/>
        <v>0</v>
      </c>
      <c r="CJ230" s="14">
        <f t="shared" si="190"/>
        <v>0</v>
      </c>
      <c r="CK230" s="14" t="e">
        <f>DISTRIBUSI!#REF!</f>
        <v>#REF!</v>
      </c>
      <c r="CL230" s="14">
        <f>'PEMAKAIAN UNIT'!N227</f>
        <v>0</v>
      </c>
      <c r="CM230" s="14" t="e">
        <f t="shared" si="191"/>
        <v>#REF!</v>
      </c>
      <c r="CN230" s="15" t="e">
        <f t="shared" si="192"/>
        <v>#REF!</v>
      </c>
      <c r="CO230" s="14" t="e">
        <f>DL230+DISTRIBUSI!#REF!-'PEMAKAIAN UNIT'!O227</f>
        <v>#REF!</v>
      </c>
      <c r="CP230" s="15" t="e">
        <f t="shared" si="193"/>
        <v>#REF!</v>
      </c>
      <c r="CQ230" s="226">
        <f t="shared" si="194"/>
        <v>0</v>
      </c>
      <c r="CR230" s="226">
        <f>DISTRIBUSI!R228</f>
        <v>0</v>
      </c>
      <c r="CS230" s="226">
        <f>'PEMAKAIAN UNIT'!P227</f>
        <v>0</v>
      </c>
      <c r="CT230" s="14">
        <f t="shared" si="195"/>
        <v>0</v>
      </c>
      <c r="CU230" s="15">
        <f t="shared" si="196"/>
        <v>0</v>
      </c>
      <c r="CV230" s="14" t="e">
        <f>DN230+DISTRIBUSI!#REF!-'PEMAKAIAN UNIT'!Q227</f>
        <v>#REF!</v>
      </c>
      <c r="CW230" s="15" t="e">
        <f t="shared" si="197"/>
        <v>#REF!</v>
      </c>
      <c r="CX230" s="14">
        <f>DO230+'LPLPO PROGRAM'!E59-'LPLPO PROGRAM'!G59</f>
        <v>0</v>
      </c>
      <c r="CY230" s="15">
        <f t="shared" si="198"/>
        <v>0</v>
      </c>
      <c r="CZ230" s="28"/>
      <c r="DA230" s="14">
        <v>0</v>
      </c>
      <c r="DB230" s="14">
        <v>0</v>
      </c>
      <c r="DC230" s="14">
        <v>0</v>
      </c>
      <c r="DD230" s="14">
        <v>0</v>
      </c>
      <c r="DE230" s="14">
        <v>0</v>
      </c>
      <c r="DF230" s="14">
        <v>0</v>
      </c>
      <c r="DG230" s="14">
        <v>0</v>
      </c>
      <c r="DH230" s="14">
        <v>0</v>
      </c>
      <c r="DI230" s="14">
        <v>0</v>
      </c>
      <c r="DJ230" s="14">
        <v>0</v>
      </c>
      <c r="DK230" s="14">
        <v>0</v>
      </c>
      <c r="DL230" s="14">
        <v>0</v>
      </c>
      <c r="DM230" s="14">
        <v>0</v>
      </c>
      <c r="DN230" s="14">
        <v>0</v>
      </c>
      <c r="DO230" s="14">
        <v>0</v>
      </c>
      <c r="DP230" s="13">
        <f t="shared" ref="DP230:DP293" si="211">SUM(CZ230:DO230)</f>
        <v>0</v>
      </c>
      <c r="DU230" s="20" t="e">
        <f t="shared" si="210"/>
        <v>#REF!</v>
      </c>
    </row>
    <row r="231" spans="1:125" customFormat="1" ht="20.149999999999999" customHeight="1" x14ac:dyDescent="0.35">
      <c r="A231" s="205">
        <v>47</v>
      </c>
      <c r="B231" s="178"/>
      <c r="C231" s="144"/>
      <c r="D231" s="14">
        <v>0</v>
      </c>
      <c r="E231" s="254">
        <f>'LPLPO PROGRAM'!E60</f>
        <v>0</v>
      </c>
      <c r="F231" s="254">
        <f t="shared" si="199"/>
        <v>0</v>
      </c>
      <c r="G231" s="254">
        <f>'PEMAKAIAN UNIT'!R228</f>
        <v>0</v>
      </c>
      <c r="H231" s="14">
        <v>0</v>
      </c>
      <c r="I231" s="14">
        <v>0</v>
      </c>
      <c r="J231" s="14">
        <v>0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09">
        <f t="shared" si="200"/>
        <v>0</v>
      </c>
      <c r="Z231" s="109" t="e">
        <f t="shared" si="201"/>
        <v>#REF!</v>
      </c>
      <c r="AA231" s="109" t="e">
        <f t="shared" si="202"/>
        <v>#REF!</v>
      </c>
      <c r="AB231" s="14">
        <v>0</v>
      </c>
      <c r="AC231" s="109" t="e">
        <f t="shared" si="203"/>
        <v>#REF!</v>
      </c>
      <c r="AD231" s="109">
        <f>'LPLPO PROGRAM'!H60</f>
        <v>0</v>
      </c>
      <c r="AE231" s="111" t="e">
        <f t="shared" si="204"/>
        <v>#REF!</v>
      </c>
      <c r="AF231" s="212"/>
      <c r="AG231" s="212"/>
      <c r="AH231" s="20"/>
      <c r="AI231" s="14">
        <f t="shared" si="208"/>
        <v>0</v>
      </c>
      <c r="AJ231" s="209" t="e">
        <f t="shared" si="209"/>
        <v>#REF!</v>
      </c>
      <c r="AL231" s="14">
        <f t="shared" si="160"/>
        <v>0</v>
      </c>
      <c r="AM231" s="14">
        <f>DISTRIBUSI!D229</f>
        <v>0</v>
      </c>
      <c r="AN231" s="14">
        <f>'PEMAKAIAN UNIT'!D228</f>
        <v>0</v>
      </c>
      <c r="AO231" s="14">
        <f t="shared" si="161"/>
        <v>0</v>
      </c>
      <c r="AP231" s="15">
        <f t="shared" si="162"/>
        <v>0</v>
      </c>
      <c r="AQ231" s="14">
        <f t="shared" si="163"/>
        <v>0</v>
      </c>
      <c r="AR231" s="14">
        <f>DISTRIBUSI!E229</f>
        <v>0</v>
      </c>
      <c r="AS231" s="14">
        <f>'PEMAKAIAN UNIT'!E228</f>
        <v>0</v>
      </c>
      <c r="AT231" s="14">
        <f t="shared" si="164"/>
        <v>0</v>
      </c>
      <c r="AU231" s="15">
        <f t="shared" si="165"/>
        <v>0</v>
      </c>
      <c r="AV231" s="14">
        <f t="shared" si="166"/>
        <v>0</v>
      </c>
      <c r="AW231" s="14">
        <f>DISTRIBUSI!F229</f>
        <v>0</v>
      </c>
      <c r="AX231" s="14">
        <f>'PEMAKAIAN UNIT'!F228</f>
        <v>0</v>
      </c>
      <c r="AY231" s="14">
        <f t="shared" si="167"/>
        <v>0</v>
      </c>
      <c r="AZ231" s="15">
        <f t="shared" si="168"/>
        <v>0</v>
      </c>
      <c r="BA231" s="14">
        <f t="shared" si="169"/>
        <v>0</v>
      </c>
      <c r="BB231" s="14">
        <f>DISTRIBUSI!G229</f>
        <v>0</v>
      </c>
      <c r="BC231" s="14">
        <f>'PEMAKAIAN UNIT'!G228</f>
        <v>0</v>
      </c>
      <c r="BD231" s="14">
        <f t="shared" si="170"/>
        <v>0</v>
      </c>
      <c r="BE231" s="15">
        <f t="shared" si="171"/>
        <v>0</v>
      </c>
      <c r="BF231" s="14">
        <f t="shared" si="172"/>
        <v>0</v>
      </c>
      <c r="BG231" s="14">
        <f>DISTRIBUSI!H229</f>
        <v>0</v>
      </c>
      <c r="BH231" s="14">
        <f>'PEMAKAIAN UNIT'!H228</f>
        <v>0</v>
      </c>
      <c r="BI231" s="14">
        <f t="shared" si="173"/>
        <v>0</v>
      </c>
      <c r="BJ231" s="15">
        <f t="shared" si="174"/>
        <v>0</v>
      </c>
      <c r="BK231" s="14">
        <f t="shared" si="175"/>
        <v>0</v>
      </c>
      <c r="BL231" s="14">
        <f>DISTRIBUSI!I229</f>
        <v>0</v>
      </c>
      <c r="BM231" s="14">
        <f>'PEMAKAIAN UNIT'!I228</f>
        <v>0</v>
      </c>
      <c r="BN231" s="14">
        <f t="shared" si="176"/>
        <v>0</v>
      </c>
      <c r="BO231" s="15">
        <f t="shared" si="177"/>
        <v>0</v>
      </c>
      <c r="BP231" s="14">
        <f t="shared" si="178"/>
        <v>0</v>
      </c>
      <c r="BQ231" s="14">
        <f>DISTRIBUSI!J229</f>
        <v>0</v>
      </c>
      <c r="BR231" s="14">
        <f>'PEMAKAIAN UNIT'!J228</f>
        <v>0</v>
      </c>
      <c r="BS231" s="14">
        <f t="shared" si="179"/>
        <v>0</v>
      </c>
      <c r="BT231" s="15">
        <f t="shared" si="180"/>
        <v>0</v>
      </c>
      <c r="BU231" s="14">
        <f t="shared" si="181"/>
        <v>0</v>
      </c>
      <c r="BV231" s="14">
        <f>DISTRIBUSI!K229</f>
        <v>0</v>
      </c>
      <c r="BW231" s="14">
        <f>'PEMAKAIAN UNIT'!K228</f>
        <v>0</v>
      </c>
      <c r="BX231" s="14">
        <f t="shared" si="182"/>
        <v>0</v>
      </c>
      <c r="BY231" s="15">
        <f t="shared" si="183"/>
        <v>0</v>
      </c>
      <c r="BZ231" s="14">
        <f t="shared" si="184"/>
        <v>0</v>
      </c>
      <c r="CA231" s="14">
        <f>DISTRIBUSI!L229</f>
        <v>0</v>
      </c>
      <c r="CB231" s="14">
        <f>'PEMAKAIAN UNIT'!L228</f>
        <v>0</v>
      </c>
      <c r="CC231" s="14">
        <f t="shared" si="185"/>
        <v>0</v>
      </c>
      <c r="CD231" s="15">
        <f t="shared" si="186"/>
        <v>0</v>
      </c>
      <c r="CE231" s="14">
        <f t="shared" si="187"/>
        <v>0</v>
      </c>
      <c r="CF231" s="14">
        <f>DISTRIBUSI!M229</f>
        <v>0</v>
      </c>
      <c r="CG231" s="14">
        <f>'PEMAKAIAN UNIT'!M228</f>
        <v>0</v>
      </c>
      <c r="CH231" s="14">
        <f t="shared" si="188"/>
        <v>0</v>
      </c>
      <c r="CI231" s="15">
        <f t="shared" si="189"/>
        <v>0</v>
      </c>
      <c r="CJ231" s="14">
        <f t="shared" si="190"/>
        <v>0</v>
      </c>
      <c r="CK231" s="14" t="e">
        <f>DISTRIBUSI!#REF!</f>
        <v>#REF!</v>
      </c>
      <c r="CL231" s="14">
        <f>'PEMAKAIAN UNIT'!N228</f>
        <v>0</v>
      </c>
      <c r="CM231" s="14" t="e">
        <f t="shared" si="191"/>
        <v>#REF!</v>
      </c>
      <c r="CN231" s="15" t="e">
        <f t="shared" si="192"/>
        <v>#REF!</v>
      </c>
      <c r="CO231" s="14" t="e">
        <f>DL231+DISTRIBUSI!#REF!-'PEMAKAIAN UNIT'!O228</f>
        <v>#REF!</v>
      </c>
      <c r="CP231" s="15" t="e">
        <f t="shared" si="193"/>
        <v>#REF!</v>
      </c>
      <c r="CQ231" s="226">
        <f t="shared" si="194"/>
        <v>0</v>
      </c>
      <c r="CR231" s="226">
        <f>DISTRIBUSI!R229</f>
        <v>0</v>
      </c>
      <c r="CS231" s="226">
        <f>'PEMAKAIAN UNIT'!P228</f>
        <v>0</v>
      </c>
      <c r="CT231" s="14">
        <f t="shared" si="195"/>
        <v>0</v>
      </c>
      <c r="CU231" s="15">
        <f t="shared" si="196"/>
        <v>0</v>
      </c>
      <c r="CV231" s="14" t="e">
        <f>DN231+DISTRIBUSI!#REF!-'PEMAKAIAN UNIT'!Q228</f>
        <v>#REF!</v>
      </c>
      <c r="CW231" s="15" t="e">
        <f t="shared" si="197"/>
        <v>#REF!</v>
      </c>
      <c r="CX231" s="14">
        <f>DO231+'LPLPO PROGRAM'!E60-'LPLPO PROGRAM'!G60</f>
        <v>0</v>
      </c>
      <c r="CY231" s="15">
        <f t="shared" si="198"/>
        <v>0</v>
      </c>
      <c r="CZ231" s="28"/>
      <c r="DA231" s="14">
        <v>0</v>
      </c>
      <c r="DB231" s="14">
        <v>0</v>
      </c>
      <c r="DC231" s="14">
        <v>0</v>
      </c>
      <c r="DD231" s="14">
        <v>0</v>
      </c>
      <c r="DE231" s="14">
        <v>0</v>
      </c>
      <c r="DF231" s="14">
        <v>0</v>
      </c>
      <c r="DG231" s="14">
        <v>0</v>
      </c>
      <c r="DH231" s="14">
        <v>0</v>
      </c>
      <c r="DI231" s="14">
        <v>0</v>
      </c>
      <c r="DJ231" s="14">
        <v>0</v>
      </c>
      <c r="DK231" s="14">
        <v>0</v>
      </c>
      <c r="DL231" s="14">
        <v>0</v>
      </c>
      <c r="DM231" s="14">
        <v>0</v>
      </c>
      <c r="DN231" s="14">
        <v>0</v>
      </c>
      <c r="DO231" s="14">
        <v>0</v>
      </c>
      <c r="DP231" s="13">
        <f t="shared" si="211"/>
        <v>0</v>
      </c>
      <c r="DU231" s="20" t="e">
        <f t="shared" si="210"/>
        <v>#REF!</v>
      </c>
    </row>
    <row r="232" spans="1:125" customFormat="1" ht="20.149999999999999" customHeight="1" x14ac:dyDescent="0.35">
      <c r="A232" s="204">
        <v>48</v>
      </c>
      <c r="B232" s="188" t="s">
        <v>193</v>
      </c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212"/>
      <c r="AG232" s="212"/>
      <c r="AH232" s="20"/>
      <c r="AI232" s="14">
        <f t="shared" si="208"/>
        <v>0</v>
      </c>
      <c r="AJ232" s="209">
        <f t="shared" si="209"/>
        <v>0</v>
      </c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  <c r="AW232" s="146"/>
      <c r="AX232" s="146"/>
      <c r="AY232" s="146"/>
      <c r="AZ232" s="146"/>
      <c r="BA232" s="146"/>
      <c r="BB232" s="146"/>
      <c r="BC232" s="146"/>
      <c r="BD232" s="146"/>
      <c r="BE232" s="146"/>
      <c r="BF232" s="146"/>
      <c r="BG232" s="146"/>
      <c r="BH232" s="146"/>
      <c r="BI232" s="146"/>
      <c r="BJ232" s="146"/>
      <c r="BK232" s="146"/>
      <c r="BL232" s="146"/>
      <c r="BM232" s="146"/>
      <c r="BN232" s="146"/>
      <c r="BO232" s="146"/>
      <c r="BP232" s="146"/>
      <c r="BQ232" s="146"/>
      <c r="BR232" s="146"/>
      <c r="BS232" s="146"/>
      <c r="BT232" s="146"/>
      <c r="BU232" s="146"/>
      <c r="BV232" s="146"/>
      <c r="BW232" s="146"/>
      <c r="BX232" s="146"/>
      <c r="BY232" s="146"/>
      <c r="BZ232" s="146"/>
      <c r="CA232" s="146"/>
      <c r="CB232" s="146"/>
      <c r="CC232" s="146"/>
      <c r="CD232" s="146"/>
      <c r="CE232" s="146"/>
      <c r="CF232" s="146"/>
      <c r="CG232" s="146"/>
      <c r="CH232" s="146"/>
      <c r="CI232" s="146"/>
      <c r="CJ232" s="146"/>
      <c r="CK232" s="146"/>
      <c r="CL232" s="146"/>
      <c r="CM232" s="146"/>
      <c r="CN232" s="146"/>
      <c r="CO232" s="146"/>
      <c r="CP232" s="146"/>
      <c r="CQ232" s="146"/>
      <c r="CR232" s="146"/>
      <c r="CS232" s="146"/>
      <c r="CT232" s="146"/>
      <c r="CU232" s="146"/>
      <c r="CV232" s="146"/>
      <c r="CW232" s="146"/>
      <c r="CX232" s="146"/>
      <c r="CY232" s="146"/>
      <c r="CZ232" s="28"/>
      <c r="DA232" s="14">
        <v>0</v>
      </c>
      <c r="DB232" s="14">
        <v>0</v>
      </c>
      <c r="DC232" s="14">
        <v>0</v>
      </c>
      <c r="DD232" s="14">
        <v>0</v>
      </c>
      <c r="DE232" s="14">
        <v>0</v>
      </c>
      <c r="DF232" s="14">
        <v>0</v>
      </c>
      <c r="DG232" s="14">
        <v>0</v>
      </c>
      <c r="DH232" s="14">
        <v>0</v>
      </c>
      <c r="DI232" s="14">
        <v>0</v>
      </c>
      <c r="DJ232" s="14">
        <v>0</v>
      </c>
      <c r="DK232" s="14">
        <v>0</v>
      </c>
      <c r="DL232" s="14">
        <v>0</v>
      </c>
      <c r="DM232" s="14">
        <v>0</v>
      </c>
      <c r="DN232" s="14">
        <v>0</v>
      </c>
      <c r="DO232" s="14">
        <v>0</v>
      </c>
      <c r="DP232" s="13">
        <f t="shared" si="211"/>
        <v>0</v>
      </c>
      <c r="DU232" s="20">
        <f t="shared" si="210"/>
        <v>0</v>
      </c>
    </row>
    <row r="233" spans="1:125" customFormat="1" ht="20.149999999999999" customHeight="1" x14ac:dyDescent="0.35">
      <c r="A233" s="205">
        <v>49</v>
      </c>
      <c r="B233" s="178" t="s">
        <v>194</v>
      </c>
      <c r="C233" s="144" t="s">
        <v>6</v>
      </c>
      <c r="D233" s="14">
        <v>0</v>
      </c>
      <c r="E233" s="254">
        <f>'LPLPO PROGRAM'!E62</f>
        <v>0</v>
      </c>
      <c r="F233" s="254">
        <f t="shared" si="199"/>
        <v>0</v>
      </c>
      <c r="G233" s="254">
        <f>'PEMAKAIAN UNIT'!R230</f>
        <v>0</v>
      </c>
      <c r="H233" s="14">
        <v>0</v>
      </c>
      <c r="I233" s="14">
        <v>0</v>
      </c>
      <c r="J233" s="14">
        <v>0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09">
        <f t="shared" si="200"/>
        <v>0</v>
      </c>
      <c r="Z233" s="109" t="e">
        <f t="shared" si="201"/>
        <v>#REF!</v>
      </c>
      <c r="AA233" s="109" t="e">
        <f t="shared" si="202"/>
        <v>#REF!</v>
      </c>
      <c r="AB233" s="14">
        <v>100</v>
      </c>
      <c r="AC233" s="109" t="e">
        <f t="shared" si="203"/>
        <v>#REF!</v>
      </c>
      <c r="AD233" s="109">
        <f>'LPLPO PROGRAM'!H62</f>
        <v>200</v>
      </c>
      <c r="AE233" s="111" t="e">
        <f t="shared" si="204"/>
        <v>#REF!</v>
      </c>
      <c r="AF233" s="212"/>
      <c r="AG233" s="212"/>
      <c r="AH233" s="20"/>
      <c r="AI233" s="14">
        <f t="shared" si="208"/>
        <v>0</v>
      </c>
      <c r="AJ233" s="209" t="e">
        <f t="shared" si="209"/>
        <v>#REF!</v>
      </c>
      <c r="AL233" s="14">
        <f t="shared" si="160"/>
        <v>0</v>
      </c>
      <c r="AM233" s="14">
        <f>DISTRIBUSI!D231</f>
        <v>0</v>
      </c>
      <c r="AN233" s="14">
        <f>'PEMAKAIAN UNIT'!D230</f>
        <v>0</v>
      </c>
      <c r="AO233" s="14">
        <f t="shared" si="161"/>
        <v>0</v>
      </c>
      <c r="AP233" s="15">
        <f t="shared" si="162"/>
        <v>0</v>
      </c>
      <c r="AQ233" s="14">
        <f t="shared" si="163"/>
        <v>0</v>
      </c>
      <c r="AR233" s="14">
        <f>DISTRIBUSI!E231</f>
        <v>0</v>
      </c>
      <c r="AS233" s="14">
        <f>'PEMAKAIAN UNIT'!E230</f>
        <v>0</v>
      </c>
      <c r="AT233" s="14">
        <f t="shared" si="164"/>
        <v>0</v>
      </c>
      <c r="AU233" s="15">
        <f t="shared" si="165"/>
        <v>0</v>
      </c>
      <c r="AV233" s="14">
        <f t="shared" si="166"/>
        <v>0</v>
      </c>
      <c r="AW233" s="14">
        <f>DISTRIBUSI!F231</f>
        <v>0</v>
      </c>
      <c r="AX233" s="14">
        <f>'PEMAKAIAN UNIT'!F230</f>
        <v>0</v>
      </c>
      <c r="AY233" s="14">
        <f t="shared" si="167"/>
        <v>0</v>
      </c>
      <c r="AZ233" s="15">
        <f t="shared" si="168"/>
        <v>0</v>
      </c>
      <c r="BA233" s="14">
        <f t="shared" si="169"/>
        <v>0</v>
      </c>
      <c r="BB233" s="14">
        <f>DISTRIBUSI!G231</f>
        <v>0</v>
      </c>
      <c r="BC233" s="14">
        <f>'PEMAKAIAN UNIT'!G230</f>
        <v>0</v>
      </c>
      <c r="BD233" s="14">
        <f t="shared" si="170"/>
        <v>0</v>
      </c>
      <c r="BE233" s="15">
        <f t="shared" si="171"/>
        <v>0</v>
      </c>
      <c r="BF233" s="14">
        <f t="shared" si="172"/>
        <v>0</v>
      </c>
      <c r="BG233" s="14">
        <f>DISTRIBUSI!H231</f>
        <v>0</v>
      </c>
      <c r="BH233" s="14">
        <f>'PEMAKAIAN UNIT'!H230</f>
        <v>0</v>
      </c>
      <c r="BI233" s="14">
        <f t="shared" si="173"/>
        <v>0</v>
      </c>
      <c r="BJ233" s="15">
        <f t="shared" si="174"/>
        <v>0</v>
      </c>
      <c r="BK233" s="14">
        <f t="shared" si="175"/>
        <v>0</v>
      </c>
      <c r="BL233" s="14">
        <f>DISTRIBUSI!I231</f>
        <v>0</v>
      </c>
      <c r="BM233" s="14">
        <f>'PEMAKAIAN UNIT'!I230</f>
        <v>0</v>
      </c>
      <c r="BN233" s="14">
        <f t="shared" si="176"/>
        <v>0</v>
      </c>
      <c r="BO233" s="15">
        <f t="shared" si="177"/>
        <v>0</v>
      </c>
      <c r="BP233" s="14">
        <f t="shared" si="178"/>
        <v>0</v>
      </c>
      <c r="BQ233" s="14">
        <f>DISTRIBUSI!J231</f>
        <v>0</v>
      </c>
      <c r="BR233" s="14">
        <f>'PEMAKAIAN UNIT'!J230</f>
        <v>0</v>
      </c>
      <c r="BS233" s="14">
        <f t="shared" si="179"/>
        <v>0</v>
      </c>
      <c r="BT233" s="15">
        <f t="shared" si="180"/>
        <v>0</v>
      </c>
      <c r="BU233" s="14">
        <f t="shared" si="181"/>
        <v>0</v>
      </c>
      <c r="BV233" s="14">
        <f>DISTRIBUSI!K231</f>
        <v>0</v>
      </c>
      <c r="BW233" s="14">
        <f>'PEMAKAIAN UNIT'!K230</f>
        <v>0</v>
      </c>
      <c r="BX233" s="14">
        <f t="shared" si="182"/>
        <v>0</v>
      </c>
      <c r="BY233" s="15">
        <f t="shared" si="183"/>
        <v>0</v>
      </c>
      <c r="BZ233" s="14">
        <f t="shared" si="184"/>
        <v>0</v>
      </c>
      <c r="CA233" s="14">
        <f>DISTRIBUSI!L231</f>
        <v>0</v>
      </c>
      <c r="CB233" s="14">
        <f>'PEMAKAIAN UNIT'!L230</f>
        <v>0</v>
      </c>
      <c r="CC233" s="14">
        <f t="shared" si="185"/>
        <v>0</v>
      </c>
      <c r="CD233" s="15">
        <f t="shared" si="186"/>
        <v>0</v>
      </c>
      <c r="CE233" s="14">
        <f t="shared" si="187"/>
        <v>0</v>
      </c>
      <c r="CF233" s="14">
        <f>DISTRIBUSI!M231</f>
        <v>0</v>
      </c>
      <c r="CG233" s="14">
        <f>'PEMAKAIAN UNIT'!M230</f>
        <v>0</v>
      </c>
      <c r="CH233" s="14">
        <f t="shared" si="188"/>
        <v>0</v>
      </c>
      <c r="CI233" s="15">
        <f t="shared" si="189"/>
        <v>0</v>
      </c>
      <c r="CJ233" s="14">
        <f t="shared" si="190"/>
        <v>0</v>
      </c>
      <c r="CK233" s="14" t="e">
        <f>DISTRIBUSI!#REF!</f>
        <v>#REF!</v>
      </c>
      <c r="CL233" s="14">
        <f>'PEMAKAIAN UNIT'!N230</f>
        <v>0</v>
      </c>
      <c r="CM233" s="14" t="e">
        <f t="shared" si="191"/>
        <v>#REF!</v>
      </c>
      <c r="CN233" s="15" t="e">
        <f t="shared" si="192"/>
        <v>#REF!</v>
      </c>
      <c r="CO233" s="14" t="e">
        <f>DL233+DISTRIBUSI!#REF!-'PEMAKAIAN UNIT'!O230</f>
        <v>#REF!</v>
      </c>
      <c r="CP233" s="15" t="e">
        <f t="shared" si="193"/>
        <v>#REF!</v>
      </c>
      <c r="CQ233" s="226">
        <f t="shared" si="194"/>
        <v>100</v>
      </c>
      <c r="CR233" s="226">
        <f>DISTRIBUSI!R231</f>
        <v>0</v>
      </c>
      <c r="CS233" s="226">
        <f>'PEMAKAIAN UNIT'!P230</f>
        <v>0</v>
      </c>
      <c r="CT233" s="14">
        <f t="shared" si="195"/>
        <v>100</v>
      </c>
      <c r="CU233" s="15">
        <f t="shared" si="196"/>
        <v>0</v>
      </c>
      <c r="CV233" s="14" t="e">
        <f>DN233+DISTRIBUSI!#REF!-'PEMAKAIAN UNIT'!Q230</f>
        <v>#REF!</v>
      </c>
      <c r="CW233" s="15" t="e">
        <f t="shared" si="197"/>
        <v>#REF!</v>
      </c>
      <c r="CX233" s="14">
        <f>DO233+'LPLPO PROGRAM'!E62-'LPLPO PROGRAM'!G62</f>
        <v>0</v>
      </c>
      <c r="CY233" s="15">
        <f t="shared" si="198"/>
        <v>-200</v>
      </c>
      <c r="CZ233" s="28"/>
      <c r="DA233" s="14">
        <v>0</v>
      </c>
      <c r="DB233" s="14">
        <v>0</v>
      </c>
      <c r="DC233" s="14">
        <v>0</v>
      </c>
      <c r="DD233" s="14">
        <v>0</v>
      </c>
      <c r="DE233" s="14">
        <v>0</v>
      </c>
      <c r="DF233" s="14">
        <v>0</v>
      </c>
      <c r="DG233" s="14">
        <v>0</v>
      </c>
      <c r="DH233" s="14">
        <v>0</v>
      </c>
      <c r="DI233" s="14">
        <v>0</v>
      </c>
      <c r="DJ233" s="14">
        <v>0</v>
      </c>
      <c r="DK233" s="14">
        <v>0</v>
      </c>
      <c r="DL233" s="14">
        <v>0</v>
      </c>
      <c r="DM233" s="14">
        <v>100</v>
      </c>
      <c r="DN233" s="14">
        <v>0</v>
      </c>
      <c r="DO233" s="14">
        <v>0</v>
      </c>
      <c r="DP233" s="13">
        <f t="shared" si="211"/>
        <v>100</v>
      </c>
      <c r="DU233" s="20" t="e">
        <f t="shared" si="210"/>
        <v>#REF!</v>
      </c>
    </row>
    <row r="234" spans="1:125" customFormat="1" ht="20.149999999999999" customHeight="1" x14ac:dyDescent="0.35">
      <c r="A234" s="205">
        <v>50</v>
      </c>
      <c r="B234" s="178" t="s">
        <v>195</v>
      </c>
      <c r="C234" s="144" t="s">
        <v>6</v>
      </c>
      <c r="D234" s="14">
        <v>0</v>
      </c>
      <c r="E234" s="254">
        <f>'LPLPO PROGRAM'!E63</f>
        <v>0</v>
      </c>
      <c r="F234" s="254">
        <f t="shared" si="199"/>
        <v>0</v>
      </c>
      <c r="G234" s="254">
        <f>'PEMAKAIAN UNIT'!R231</f>
        <v>0</v>
      </c>
      <c r="H234" s="14">
        <v>0</v>
      </c>
      <c r="I234" s="14">
        <v>0</v>
      </c>
      <c r="J234" s="14">
        <v>0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09">
        <f t="shared" si="200"/>
        <v>0</v>
      </c>
      <c r="Z234" s="109" t="e">
        <f t="shared" si="201"/>
        <v>#REF!</v>
      </c>
      <c r="AA234" s="109" t="e">
        <f t="shared" si="202"/>
        <v>#REF!</v>
      </c>
      <c r="AB234" s="14">
        <v>0</v>
      </c>
      <c r="AC234" s="109" t="e">
        <f t="shared" si="203"/>
        <v>#REF!</v>
      </c>
      <c r="AD234" s="109">
        <f>'LPLPO PROGRAM'!H63</f>
        <v>0</v>
      </c>
      <c r="AE234" s="111" t="e">
        <f t="shared" si="204"/>
        <v>#REF!</v>
      </c>
      <c r="AF234" s="212"/>
      <c r="AG234" s="212"/>
      <c r="AH234" s="20"/>
      <c r="AI234" s="14">
        <f t="shared" si="208"/>
        <v>0</v>
      </c>
      <c r="AJ234" s="209" t="e">
        <f t="shared" si="209"/>
        <v>#REF!</v>
      </c>
      <c r="AL234" s="14">
        <f t="shared" si="160"/>
        <v>0</v>
      </c>
      <c r="AM234" s="14">
        <f>DISTRIBUSI!D232</f>
        <v>0</v>
      </c>
      <c r="AN234" s="14">
        <f>'PEMAKAIAN UNIT'!D231</f>
        <v>0</v>
      </c>
      <c r="AO234" s="14">
        <f t="shared" si="161"/>
        <v>0</v>
      </c>
      <c r="AP234" s="15">
        <f t="shared" si="162"/>
        <v>0</v>
      </c>
      <c r="AQ234" s="14">
        <f t="shared" si="163"/>
        <v>0</v>
      </c>
      <c r="AR234" s="14">
        <f>DISTRIBUSI!E232</f>
        <v>0</v>
      </c>
      <c r="AS234" s="14">
        <f>'PEMAKAIAN UNIT'!E231</f>
        <v>0</v>
      </c>
      <c r="AT234" s="14">
        <f t="shared" si="164"/>
        <v>0</v>
      </c>
      <c r="AU234" s="15">
        <f t="shared" si="165"/>
        <v>0</v>
      </c>
      <c r="AV234" s="14">
        <f t="shared" si="166"/>
        <v>0</v>
      </c>
      <c r="AW234" s="14">
        <f>DISTRIBUSI!F232</f>
        <v>0</v>
      </c>
      <c r="AX234" s="14">
        <f>'PEMAKAIAN UNIT'!F231</f>
        <v>0</v>
      </c>
      <c r="AY234" s="14">
        <f t="shared" si="167"/>
        <v>0</v>
      </c>
      <c r="AZ234" s="15">
        <f t="shared" si="168"/>
        <v>0</v>
      </c>
      <c r="BA234" s="14">
        <f t="shared" si="169"/>
        <v>0</v>
      </c>
      <c r="BB234" s="14">
        <f>DISTRIBUSI!G232</f>
        <v>0</v>
      </c>
      <c r="BC234" s="14">
        <f>'PEMAKAIAN UNIT'!G231</f>
        <v>0</v>
      </c>
      <c r="BD234" s="14">
        <f t="shared" si="170"/>
        <v>0</v>
      </c>
      <c r="BE234" s="15">
        <f t="shared" si="171"/>
        <v>0</v>
      </c>
      <c r="BF234" s="14">
        <f t="shared" si="172"/>
        <v>0</v>
      </c>
      <c r="BG234" s="14">
        <f>DISTRIBUSI!H232</f>
        <v>0</v>
      </c>
      <c r="BH234" s="14">
        <f>'PEMAKAIAN UNIT'!H231</f>
        <v>0</v>
      </c>
      <c r="BI234" s="14">
        <f t="shared" si="173"/>
        <v>0</v>
      </c>
      <c r="BJ234" s="15">
        <f t="shared" si="174"/>
        <v>0</v>
      </c>
      <c r="BK234" s="14">
        <f t="shared" si="175"/>
        <v>0</v>
      </c>
      <c r="BL234" s="14">
        <f>DISTRIBUSI!I232</f>
        <v>0</v>
      </c>
      <c r="BM234" s="14">
        <f>'PEMAKAIAN UNIT'!I231</f>
        <v>0</v>
      </c>
      <c r="BN234" s="14">
        <f t="shared" si="176"/>
        <v>0</v>
      </c>
      <c r="BO234" s="15">
        <f t="shared" si="177"/>
        <v>0</v>
      </c>
      <c r="BP234" s="14">
        <f t="shared" si="178"/>
        <v>0</v>
      </c>
      <c r="BQ234" s="14">
        <f>DISTRIBUSI!J232</f>
        <v>0</v>
      </c>
      <c r="BR234" s="14">
        <f>'PEMAKAIAN UNIT'!J231</f>
        <v>0</v>
      </c>
      <c r="BS234" s="14">
        <f t="shared" si="179"/>
        <v>0</v>
      </c>
      <c r="BT234" s="15">
        <f t="shared" si="180"/>
        <v>0</v>
      </c>
      <c r="BU234" s="14">
        <f t="shared" si="181"/>
        <v>0</v>
      </c>
      <c r="BV234" s="14">
        <f>DISTRIBUSI!K232</f>
        <v>0</v>
      </c>
      <c r="BW234" s="14">
        <f>'PEMAKAIAN UNIT'!K231</f>
        <v>0</v>
      </c>
      <c r="BX234" s="14">
        <f t="shared" si="182"/>
        <v>0</v>
      </c>
      <c r="BY234" s="15">
        <f t="shared" si="183"/>
        <v>0</v>
      </c>
      <c r="BZ234" s="14">
        <f t="shared" si="184"/>
        <v>0</v>
      </c>
      <c r="CA234" s="14">
        <f>DISTRIBUSI!L232</f>
        <v>0</v>
      </c>
      <c r="CB234" s="14">
        <f>'PEMAKAIAN UNIT'!L231</f>
        <v>0</v>
      </c>
      <c r="CC234" s="14">
        <f t="shared" si="185"/>
        <v>0</v>
      </c>
      <c r="CD234" s="15">
        <f t="shared" si="186"/>
        <v>0</v>
      </c>
      <c r="CE234" s="14">
        <f t="shared" si="187"/>
        <v>0</v>
      </c>
      <c r="CF234" s="14">
        <f>DISTRIBUSI!M232</f>
        <v>0</v>
      </c>
      <c r="CG234" s="14">
        <f>'PEMAKAIAN UNIT'!M231</f>
        <v>0</v>
      </c>
      <c r="CH234" s="14">
        <f t="shared" si="188"/>
        <v>0</v>
      </c>
      <c r="CI234" s="15">
        <f t="shared" si="189"/>
        <v>0</v>
      </c>
      <c r="CJ234" s="14">
        <f t="shared" si="190"/>
        <v>0</v>
      </c>
      <c r="CK234" s="14" t="e">
        <f>DISTRIBUSI!#REF!</f>
        <v>#REF!</v>
      </c>
      <c r="CL234" s="14">
        <f>'PEMAKAIAN UNIT'!N231</f>
        <v>0</v>
      </c>
      <c r="CM234" s="14" t="e">
        <f t="shared" si="191"/>
        <v>#REF!</v>
      </c>
      <c r="CN234" s="15" t="e">
        <f t="shared" si="192"/>
        <v>#REF!</v>
      </c>
      <c r="CO234" s="14" t="e">
        <f>DL234+DISTRIBUSI!#REF!-'PEMAKAIAN UNIT'!O231</f>
        <v>#REF!</v>
      </c>
      <c r="CP234" s="15" t="e">
        <f t="shared" si="193"/>
        <v>#REF!</v>
      </c>
      <c r="CQ234" s="226">
        <f t="shared" si="194"/>
        <v>0</v>
      </c>
      <c r="CR234" s="226">
        <f>DISTRIBUSI!R232</f>
        <v>0</v>
      </c>
      <c r="CS234" s="226">
        <f>'PEMAKAIAN UNIT'!P231</f>
        <v>0</v>
      </c>
      <c r="CT234" s="14">
        <f t="shared" si="195"/>
        <v>0</v>
      </c>
      <c r="CU234" s="15">
        <f t="shared" si="196"/>
        <v>0</v>
      </c>
      <c r="CV234" s="14" t="e">
        <f>DN234+DISTRIBUSI!#REF!-'PEMAKAIAN UNIT'!Q231</f>
        <v>#REF!</v>
      </c>
      <c r="CW234" s="15" t="e">
        <f t="shared" si="197"/>
        <v>#REF!</v>
      </c>
      <c r="CX234" s="14">
        <f>DO234+'LPLPO PROGRAM'!E63-'LPLPO PROGRAM'!G63</f>
        <v>0</v>
      </c>
      <c r="CY234" s="15">
        <f t="shared" si="198"/>
        <v>0</v>
      </c>
      <c r="CZ234" s="28"/>
      <c r="DA234" s="14">
        <v>0</v>
      </c>
      <c r="DB234" s="14">
        <v>0</v>
      </c>
      <c r="DC234" s="14">
        <v>0</v>
      </c>
      <c r="DD234" s="14">
        <v>0</v>
      </c>
      <c r="DE234" s="14">
        <v>0</v>
      </c>
      <c r="DF234" s="14">
        <v>0</v>
      </c>
      <c r="DG234" s="14">
        <v>0</v>
      </c>
      <c r="DH234" s="14">
        <v>0</v>
      </c>
      <c r="DI234" s="14">
        <v>0</v>
      </c>
      <c r="DJ234" s="14">
        <v>0</v>
      </c>
      <c r="DK234" s="14">
        <v>0</v>
      </c>
      <c r="DL234" s="14">
        <v>0</v>
      </c>
      <c r="DM234" s="14">
        <v>0</v>
      </c>
      <c r="DN234" s="14">
        <v>0</v>
      </c>
      <c r="DO234" s="14">
        <v>0</v>
      </c>
      <c r="DP234" s="13">
        <f t="shared" si="211"/>
        <v>0</v>
      </c>
      <c r="DU234" s="20" t="e">
        <f t="shared" si="210"/>
        <v>#REF!</v>
      </c>
    </row>
    <row r="235" spans="1:125" customFormat="1" ht="20.149999999999999" customHeight="1" x14ac:dyDescent="0.35">
      <c r="A235" s="205">
        <v>51</v>
      </c>
      <c r="B235" s="178" t="s">
        <v>196</v>
      </c>
      <c r="C235" s="144" t="s">
        <v>6</v>
      </c>
      <c r="D235" s="14">
        <v>0</v>
      </c>
      <c r="E235" s="254">
        <f>'LPLPO PROGRAM'!E64</f>
        <v>0</v>
      </c>
      <c r="F235" s="254">
        <f t="shared" si="199"/>
        <v>0</v>
      </c>
      <c r="G235" s="254">
        <f>'PEMAKAIAN UNIT'!R232</f>
        <v>0</v>
      </c>
      <c r="H235" s="14">
        <v>0</v>
      </c>
      <c r="I235" s="14">
        <v>0</v>
      </c>
      <c r="J235" s="14">
        <v>0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09">
        <f t="shared" si="200"/>
        <v>0</v>
      </c>
      <c r="Z235" s="109" t="e">
        <f t="shared" si="201"/>
        <v>#REF!</v>
      </c>
      <c r="AA235" s="109" t="e">
        <f t="shared" si="202"/>
        <v>#REF!</v>
      </c>
      <c r="AB235" s="14">
        <v>0</v>
      </c>
      <c r="AC235" s="109" t="e">
        <f t="shared" si="203"/>
        <v>#REF!</v>
      </c>
      <c r="AD235" s="109">
        <f>'LPLPO PROGRAM'!H64</f>
        <v>0</v>
      </c>
      <c r="AE235" s="111" t="e">
        <f t="shared" si="204"/>
        <v>#REF!</v>
      </c>
      <c r="AF235" s="212"/>
      <c r="AG235" s="212"/>
      <c r="AH235" s="20"/>
      <c r="AI235" s="14">
        <f t="shared" si="208"/>
        <v>0</v>
      </c>
      <c r="AJ235" s="209" t="e">
        <f t="shared" si="209"/>
        <v>#REF!</v>
      </c>
      <c r="AL235" s="14">
        <f t="shared" si="160"/>
        <v>0</v>
      </c>
      <c r="AM235" s="14">
        <f>DISTRIBUSI!D233</f>
        <v>0</v>
      </c>
      <c r="AN235" s="14">
        <f>'PEMAKAIAN UNIT'!D232</f>
        <v>0</v>
      </c>
      <c r="AO235" s="14">
        <f t="shared" si="161"/>
        <v>0</v>
      </c>
      <c r="AP235" s="15">
        <f t="shared" si="162"/>
        <v>0</v>
      </c>
      <c r="AQ235" s="14">
        <f t="shared" si="163"/>
        <v>0</v>
      </c>
      <c r="AR235" s="14">
        <f>DISTRIBUSI!E233</f>
        <v>0</v>
      </c>
      <c r="AS235" s="14">
        <f>'PEMAKAIAN UNIT'!E232</f>
        <v>0</v>
      </c>
      <c r="AT235" s="14">
        <f t="shared" si="164"/>
        <v>0</v>
      </c>
      <c r="AU235" s="15">
        <f t="shared" si="165"/>
        <v>0</v>
      </c>
      <c r="AV235" s="14">
        <f t="shared" si="166"/>
        <v>0</v>
      </c>
      <c r="AW235" s="14">
        <f>DISTRIBUSI!F233</f>
        <v>0</v>
      </c>
      <c r="AX235" s="14">
        <f>'PEMAKAIAN UNIT'!F232</f>
        <v>0</v>
      </c>
      <c r="AY235" s="14">
        <f t="shared" si="167"/>
        <v>0</v>
      </c>
      <c r="AZ235" s="15">
        <f t="shared" si="168"/>
        <v>0</v>
      </c>
      <c r="BA235" s="14">
        <f t="shared" si="169"/>
        <v>0</v>
      </c>
      <c r="BB235" s="14">
        <f>DISTRIBUSI!G233</f>
        <v>0</v>
      </c>
      <c r="BC235" s="14">
        <f>'PEMAKAIAN UNIT'!G232</f>
        <v>0</v>
      </c>
      <c r="BD235" s="14">
        <f t="shared" si="170"/>
        <v>0</v>
      </c>
      <c r="BE235" s="15">
        <f t="shared" si="171"/>
        <v>0</v>
      </c>
      <c r="BF235" s="14">
        <f t="shared" si="172"/>
        <v>0</v>
      </c>
      <c r="BG235" s="14">
        <f>DISTRIBUSI!H233</f>
        <v>0</v>
      </c>
      <c r="BH235" s="14">
        <f>'PEMAKAIAN UNIT'!H232</f>
        <v>0</v>
      </c>
      <c r="BI235" s="14">
        <f t="shared" si="173"/>
        <v>0</v>
      </c>
      <c r="BJ235" s="15">
        <f t="shared" si="174"/>
        <v>0</v>
      </c>
      <c r="BK235" s="14">
        <f t="shared" si="175"/>
        <v>0</v>
      </c>
      <c r="BL235" s="14">
        <f>DISTRIBUSI!I233</f>
        <v>0</v>
      </c>
      <c r="BM235" s="14">
        <f>'PEMAKAIAN UNIT'!I232</f>
        <v>0</v>
      </c>
      <c r="BN235" s="14">
        <f t="shared" si="176"/>
        <v>0</v>
      </c>
      <c r="BO235" s="15">
        <f t="shared" si="177"/>
        <v>0</v>
      </c>
      <c r="BP235" s="14">
        <f t="shared" si="178"/>
        <v>0</v>
      </c>
      <c r="BQ235" s="14">
        <f>DISTRIBUSI!J233</f>
        <v>0</v>
      </c>
      <c r="BR235" s="14">
        <f>'PEMAKAIAN UNIT'!J232</f>
        <v>0</v>
      </c>
      <c r="BS235" s="14">
        <f t="shared" si="179"/>
        <v>0</v>
      </c>
      <c r="BT235" s="15">
        <f t="shared" si="180"/>
        <v>0</v>
      </c>
      <c r="BU235" s="14">
        <f t="shared" si="181"/>
        <v>0</v>
      </c>
      <c r="BV235" s="14">
        <f>DISTRIBUSI!K233</f>
        <v>0</v>
      </c>
      <c r="BW235" s="14">
        <f>'PEMAKAIAN UNIT'!K232</f>
        <v>0</v>
      </c>
      <c r="BX235" s="14">
        <f t="shared" si="182"/>
        <v>0</v>
      </c>
      <c r="BY235" s="15">
        <f t="shared" si="183"/>
        <v>0</v>
      </c>
      <c r="BZ235" s="14">
        <f t="shared" si="184"/>
        <v>0</v>
      </c>
      <c r="CA235" s="14">
        <f>DISTRIBUSI!L233</f>
        <v>0</v>
      </c>
      <c r="CB235" s="14">
        <f>'PEMAKAIAN UNIT'!L232</f>
        <v>0</v>
      </c>
      <c r="CC235" s="14">
        <f t="shared" si="185"/>
        <v>0</v>
      </c>
      <c r="CD235" s="15">
        <f t="shared" si="186"/>
        <v>0</v>
      </c>
      <c r="CE235" s="14">
        <f t="shared" si="187"/>
        <v>0</v>
      </c>
      <c r="CF235" s="14">
        <f>DISTRIBUSI!M233</f>
        <v>0</v>
      </c>
      <c r="CG235" s="14">
        <f>'PEMAKAIAN UNIT'!M232</f>
        <v>0</v>
      </c>
      <c r="CH235" s="14">
        <f t="shared" si="188"/>
        <v>0</v>
      </c>
      <c r="CI235" s="15">
        <f t="shared" si="189"/>
        <v>0</v>
      </c>
      <c r="CJ235" s="14">
        <f t="shared" si="190"/>
        <v>0</v>
      </c>
      <c r="CK235" s="14" t="e">
        <f>DISTRIBUSI!#REF!</f>
        <v>#REF!</v>
      </c>
      <c r="CL235" s="14">
        <f>'PEMAKAIAN UNIT'!N232</f>
        <v>0</v>
      </c>
      <c r="CM235" s="14" t="e">
        <f t="shared" si="191"/>
        <v>#REF!</v>
      </c>
      <c r="CN235" s="15" t="e">
        <f t="shared" si="192"/>
        <v>#REF!</v>
      </c>
      <c r="CO235" s="14" t="e">
        <f>DL235+DISTRIBUSI!#REF!-'PEMAKAIAN UNIT'!O232</f>
        <v>#REF!</v>
      </c>
      <c r="CP235" s="15" t="e">
        <f t="shared" si="193"/>
        <v>#REF!</v>
      </c>
      <c r="CQ235" s="226">
        <f t="shared" si="194"/>
        <v>0</v>
      </c>
      <c r="CR235" s="226">
        <f>DISTRIBUSI!R233</f>
        <v>0</v>
      </c>
      <c r="CS235" s="226">
        <f>'PEMAKAIAN UNIT'!P232</f>
        <v>0</v>
      </c>
      <c r="CT235" s="14">
        <f t="shared" si="195"/>
        <v>0</v>
      </c>
      <c r="CU235" s="15">
        <f t="shared" si="196"/>
        <v>0</v>
      </c>
      <c r="CV235" s="14" t="e">
        <f>DN235+DISTRIBUSI!#REF!-'PEMAKAIAN UNIT'!Q232</f>
        <v>#REF!</v>
      </c>
      <c r="CW235" s="15" t="e">
        <f t="shared" si="197"/>
        <v>#REF!</v>
      </c>
      <c r="CX235" s="14">
        <f>DO235+'LPLPO PROGRAM'!E64-'LPLPO PROGRAM'!G64</f>
        <v>0</v>
      </c>
      <c r="CY235" s="15">
        <f t="shared" si="198"/>
        <v>0</v>
      </c>
      <c r="CZ235" s="28"/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4">
        <v>0</v>
      </c>
      <c r="DG235" s="14">
        <v>0</v>
      </c>
      <c r="DH235" s="14">
        <v>0</v>
      </c>
      <c r="DI235" s="14">
        <v>0</v>
      </c>
      <c r="DJ235" s="14">
        <v>0</v>
      </c>
      <c r="DK235" s="14">
        <v>0</v>
      </c>
      <c r="DL235" s="14">
        <v>0</v>
      </c>
      <c r="DM235" s="14">
        <v>0</v>
      </c>
      <c r="DN235" s="14">
        <v>0</v>
      </c>
      <c r="DO235" s="14">
        <v>0</v>
      </c>
      <c r="DP235" s="13">
        <f t="shared" si="211"/>
        <v>0</v>
      </c>
      <c r="DU235" s="20" t="e">
        <f t="shared" si="210"/>
        <v>#REF!</v>
      </c>
    </row>
    <row r="236" spans="1:125" customFormat="1" ht="20.149999999999999" customHeight="1" x14ac:dyDescent="0.35">
      <c r="A236" s="205">
        <v>52</v>
      </c>
      <c r="B236" s="184" t="s">
        <v>361</v>
      </c>
      <c r="C236" s="144" t="s">
        <v>6</v>
      </c>
      <c r="D236" s="14">
        <v>0</v>
      </c>
      <c r="E236" s="254">
        <f>'LPLPO PROGRAM'!E65</f>
        <v>0</v>
      </c>
      <c r="F236" s="254">
        <f t="shared" si="199"/>
        <v>0</v>
      </c>
      <c r="G236" s="254">
        <f>'PEMAKAIAN UNIT'!R233</f>
        <v>0</v>
      </c>
      <c r="H236" s="14">
        <v>0</v>
      </c>
      <c r="I236" s="14">
        <v>0</v>
      </c>
      <c r="J236" s="14">
        <v>0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09">
        <f t="shared" si="200"/>
        <v>0</v>
      </c>
      <c r="Z236" s="109" t="e">
        <f t="shared" si="201"/>
        <v>#REF!</v>
      </c>
      <c r="AA236" s="109" t="e">
        <f t="shared" si="202"/>
        <v>#REF!</v>
      </c>
      <c r="AB236" s="14">
        <v>0</v>
      </c>
      <c r="AC236" s="109" t="e">
        <f t="shared" si="203"/>
        <v>#REF!</v>
      </c>
      <c r="AD236" s="109">
        <f>'LPLPO PROGRAM'!H65</f>
        <v>0</v>
      </c>
      <c r="AE236" s="111" t="e">
        <f t="shared" si="204"/>
        <v>#REF!</v>
      </c>
      <c r="AF236" s="212"/>
      <c r="AG236" s="212"/>
      <c r="AH236" s="20"/>
      <c r="AI236" s="14">
        <f t="shared" si="208"/>
        <v>0</v>
      </c>
      <c r="AJ236" s="209" t="e">
        <f t="shared" si="209"/>
        <v>#REF!</v>
      </c>
      <c r="AL236" s="14">
        <f t="shared" si="160"/>
        <v>0</v>
      </c>
      <c r="AM236" s="14">
        <f>DISTRIBUSI!D234</f>
        <v>0</v>
      </c>
      <c r="AN236" s="14">
        <f>'PEMAKAIAN UNIT'!D233</f>
        <v>0</v>
      </c>
      <c r="AO236" s="14">
        <f t="shared" si="161"/>
        <v>0</v>
      </c>
      <c r="AP236" s="15">
        <f t="shared" si="162"/>
        <v>0</v>
      </c>
      <c r="AQ236" s="14">
        <f t="shared" si="163"/>
        <v>0</v>
      </c>
      <c r="AR236" s="14">
        <f>DISTRIBUSI!E234</f>
        <v>0</v>
      </c>
      <c r="AS236" s="14">
        <f>'PEMAKAIAN UNIT'!E233</f>
        <v>0</v>
      </c>
      <c r="AT236" s="14">
        <f t="shared" si="164"/>
        <v>0</v>
      </c>
      <c r="AU236" s="15">
        <f t="shared" si="165"/>
        <v>0</v>
      </c>
      <c r="AV236" s="14">
        <f t="shared" si="166"/>
        <v>0</v>
      </c>
      <c r="AW236" s="14">
        <f>DISTRIBUSI!F234</f>
        <v>0</v>
      </c>
      <c r="AX236" s="14">
        <f>'PEMAKAIAN UNIT'!F233</f>
        <v>0</v>
      </c>
      <c r="AY236" s="14">
        <f t="shared" si="167"/>
        <v>0</v>
      </c>
      <c r="AZ236" s="15">
        <f t="shared" si="168"/>
        <v>0</v>
      </c>
      <c r="BA236" s="14">
        <f t="shared" si="169"/>
        <v>0</v>
      </c>
      <c r="BB236" s="14">
        <f>DISTRIBUSI!G234</f>
        <v>0</v>
      </c>
      <c r="BC236" s="14">
        <f>'PEMAKAIAN UNIT'!G233</f>
        <v>0</v>
      </c>
      <c r="BD236" s="14">
        <f t="shared" si="170"/>
        <v>0</v>
      </c>
      <c r="BE236" s="15">
        <f t="shared" si="171"/>
        <v>0</v>
      </c>
      <c r="BF236" s="14">
        <f t="shared" si="172"/>
        <v>0</v>
      </c>
      <c r="BG236" s="14">
        <f>DISTRIBUSI!H234</f>
        <v>0</v>
      </c>
      <c r="BH236" s="14">
        <f>'PEMAKAIAN UNIT'!H233</f>
        <v>0</v>
      </c>
      <c r="BI236" s="14">
        <f t="shared" si="173"/>
        <v>0</v>
      </c>
      <c r="BJ236" s="15">
        <f t="shared" si="174"/>
        <v>0</v>
      </c>
      <c r="BK236" s="14">
        <f t="shared" si="175"/>
        <v>0</v>
      </c>
      <c r="BL236" s="14">
        <f>DISTRIBUSI!I234</f>
        <v>0</v>
      </c>
      <c r="BM236" s="14">
        <f>'PEMAKAIAN UNIT'!I233</f>
        <v>0</v>
      </c>
      <c r="BN236" s="14">
        <f t="shared" si="176"/>
        <v>0</v>
      </c>
      <c r="BO236" s="15">
        <f t="shared" si="177"/>
        <v>0</v>
      </c>
      <c r="BP236" s="14">
        <f t="shared" si="178"/>
        <v>0</v>
      </c>
      <c r="BQ236" s="14">
        <f>DISTRIBUSI!J234</f>
        <v>0</v>
      </c>
      <c r="BR236" s="14">
        <f>'PEMAKAIAN UNIT'!J233</f>
        <v>0</v>
      </c>
      <c r="BS236" s="14">
        <f t="shared" si="179"/>
        <v>0</v>
      </c>
      <c r="BT236" s="15">
        <f t="shared" si="180"/>
        <v>0</v>
      </c>
      <c r="BU236" s="14">
        <f t="shared" si="181"/>
        <v>0</v>
      </c>
      <c r="BV236" s="14">
        <f>DISTRIBUSI!K234</f>
        <v>0</v>
      </c>
      <c r="BW236" s="14">
        <f>'PEMAKAIAN UNIT'!K233</f>
        <v>0</v>
      </c>
      <c r="BX236" s="14">
        <f t="shared" si="182"/>
        <v>0</v>
      </c>
      <c r="BY236" s="15">
        <f t="shared" si="183"/>
        <v>0</v>
      </c>
      <c r="BZ236" s="14">
        <f t="shared" si="184"/>
        <v>0</v>
      </c>
      <c r="CA236" s="14">
        <f>DISTRIBUSI!L234</f>
        <v>0</v>
      </c>
      <c r="CB236" s="14">
        <f>'PEMAKAIAN UNIT'!L233</f>
        <v>0</v>
      </c>
      <c r="CC236" s="14">
        <f t="shared" si="185"/>
        <v>0</v>
      </c>
      <c r="CD236" s="15">
        <f t="shared" si="186"/>
        <v>0</v>
      </c>
      <c r="CE236" s="14">
        <f t="shared" si="187"/>
        <v>0</v>
      </c>
      <c r="CF236" s="14">
        <f>DISTRIBUSI!M234</f>
        <v>0</v>
      </c>
      <c r="CG236" s="14">
        <f>'PEMAKAIAN UNIT'!M233</f>
        <v>0</v>
      </c>
      <c r="CH236" s="14">
        <f t="shared" si="188"/>
        <v>0</v>
      </c>
      <c r="CI236" s="15">
        <f t="shared" si="189"/>
        <v>0</v>
      </c>
      <c r="CJ236" s="14">
        <f t="shared" si="190"/>
        <v>0</v>
      </c>
      <c r="CK236" s="14" t="e">
        <f>DISTRIBUSI!#REF!</f>
        <v>#REF!</v>
      </c>
      <c r="CL236" s="14">
        <f>'PEMAKAIAN UNIT'!N233</f>
        <v>0</v>
      </c>
      <c r="CM236" s="14" t="e">
        <f t="shared" si="191"/>
        <v>#REF!</v>
      </c>
      <c r="CN236" s="15" t="e">
        <f t="shared" si="192"/>
        <v>#REF!</v>
      </c>
      <c r="CO236" s="14" t="e">
        <f>DL236+DISTRIBUSI!#REF!-'PEMAKAIAN UNIT'!O233</f>
        <v>#REF!</v>
      </c>
      <c r="CP236" s="15" t="e">
        <f t="shared" si="193"/>
        <v>#REF!</v>
      </c>
      <c r="CQ236" s="226">
        <f t="shared" si="194"/>
        <v>0</v>
      </c>
      <c r="CR236" s="226">
        <f>DISTRIBUSI!R234</f>
        <v>0</v>
      </c>
      <c r="CS236" s="226">
        <f>'PEMAKAIAN UNIT'!P233</f>
        <v>0</v>
      </c>
      <c r="CT236" s="14">
        <f t="shared" si="195"/>
        <v>0</v>
      </c>
      <c r="CU236" s="15">
        <f t="shared" si="196"/>
        <v>0</v>
      </c>
      <c r="CV236" s="14" t="e">
        <f>DN236+DISTRIBUSI!#REF!-'PEMAKAIAN UNIT'!Q233</f>
        <v>#REF!</v>
      </c>
      <c r="CW236" s="15" t="e">
        <f t="shared" si="197"/>
        <v>#REF!</v>
      </c>
      <c r="CX236" s="14">
        <f>DO236+'LPLPO PROGRAM'!E65-'LPLPO PROGRAM'!G65</f>
        <v>0</v>
      </c>
      <c r="CY236" s="15">
        <f t="shared" si="198"/>
        <v>0</v>
      </c>
      <c r="CZ236" s="28"/>
      <c r="DA236" s="14">
        <v>0</v>
      </c>
      <c r="DB236" s="14">
        <v>0</v>
      </c>
      <c r="DC236" s="14">
        <v>0</v>
      </c>
      <c r="DD236" s="14">
        <v>0</v>
      </c>
      <c r="DE236" s="14">
        <v>0</v>
      </c>
      <c r="DF236" s="14">
        <v>0</v>
      </c>
      <c r="DG236" s="14">
        <v>0</v>
      </c>
      <c r="DH236" s="14">
        <v>0</v>
      </c>
      <c r="DI236" s="14">
        <v>0</v>
      </c>
      <c r="DJ236" s="14">
        <v>0</v>
      </c>
      <c r="DK236" s="14">
        <v>0</v>
      </c>
      <c r="DL236" s="14">
        <v>0</v>
      </c>
      <c r="DM236" s="14">
        <v>0</v>
      </c>
      <c r="DN236" s="14">
        <v>0</v>
      </c>
      <c r="DO236" s="14">
        <v>0</v>
      </c>
      <c r="DP236" s="13">
        <f t="shared" si="211"/>
        <v>0</v>
      </c>
      <c r="DU236" s="20" t="e">
        <f t="shared" si="210"/>
        <v>#REF!</v>
      </c>
    </row>
    <row r="237" spans="1:125" customFormat="1" ht="20.149999999999999" customHeight="1" x14ac:dyDescent="0.35">
      <c r="A237" s="205">
        <v>53</v>
      </c>
      <c r="B237" s="184" t="s">
        <v>270</v>
      </c>
      <c r="C237" s="144" t="s">
        <v>198</v>
      </c>
      <c r="D237" s="14">
        <v>0</v>
      </c>
      <c r="E237" s="254">
        <f>'LPLPO PROGRAM'!E66</f>
        <v>0</v>
      </c>
      <c r="F237" s="254">
        <f t="shared" si="199"/>
        <v>0</v>
      </c>
      <c r="G237" s="254">
        <f>'PEMAKAIAN UNIT'!R234</f>
        <v>0</v>
      </c>
      <c r="H237" s="14">
        <v>0</v>
      </c>
      <c r="I237" s="14">
        <v>0</v>
      </c>
      <c r="J237" s="14">
        <v>0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09">
        <f t="shared" si="200"/>
        <v>0</v>
      </c>
      <c r="Z237" s="109" t="e">
        <f t="shared" si="201"/>
        <v>#REF!</v>
      </c>
      <c r="AA237" s="109" t="e">
        <f t="shared" si="202"/>
        <v>#REF!</v>
      </c>
      <c r="AB237" s="14">
        <v>0</v>
      </c>
      <c r="AC237" s="109" t="e">
        <f t="shared" si="203"/>
        <v>#REF!</v>
      </c>
      <c r="AD237" s="109">
        <f>'LPLPO PROGRAM'!H66</f>
        <v>0</v>
      </c>
      <c r="AE237" s="111" t="e">
        <f t="shared" si="204"/>
        <v>#REF!</v>
      </c>
      <c r="AF237" s="212"/>
      <c r="AG237" s="212"/>
      <c r="AH237" s="20"/>
      <c r="AI237" s="14">
        <f t="shared" si="208"/>
        <v>0</v>
      </c>
      <c r="AJ237" s="209" t="e">
        <f t="shared" si="209"/>
        <v>#REF!</v>
      </c>
      <c r="AL237" s="14">
        <f t="shared" si="160"/>
        <v>0</v>
      </c>
      <c r="AM237" s="14">
        <f>DISTRIBUSI!D235</f>
        <v>0</v>
      </c>
      <c r="AN237" s="14">
        <f>'PEMAKAIAN UNIT'!D234</f>
        <v>0</v>
      </c>
      <c r="AO237" s="14">
        <f t="shared" si="161"/>
        <v>0</v>
      </c>
      <c r="AP237" s="15">
        <f t="shared" si="162"/>
        <v>0</v>
      </c>
      <c r="AQ237" s="14">
        <f t="shared" si="163"/>
        <v>0</v>
      </c>
      <c r="AR237" s="14">
        <f>DISTRIBUSI!E235</f>
        <v>0</v>
      </c>
      <c r="AS237" s="14">
        <f>'PEMAKAIAN UNIT'!E234</f>
        <v>0</v>
      </c>
      <c r="AT237" s="14">
        <f t="shared" si="164"/>
        <v>0</v>
      </c>
      <c r="AU237" s="15">
        <f t="shared" si="165"/>
        <v>0</v>
      </c>
      <c r="AV237" s="14">
        <f t="shared" si="166"/>
        <v>0</v>
      </c>
      <c r="AW237" s="14">
        <f>DISTRIBUSI!F235</f>
        <v>0</v>
      </c>
      <c r="AX237" s="14">
        <f>'PEMAKAIAN UNIT'!F234</f>
        <v>0</v>
      </c>
      <c r="AY237" s="14">
        <f t="shared" si="167"/>
        <v>0</v>
      </c>
      <c r="AZ237" s="15">
        <f t="shared" si="168"/>
        <v>0</v>
      </c>
      <c r="BA237" s="14">
        <f t="shared" si="169"/>
        <v>0</v>
      </c>
      <c r="BB237" s="14">
        <f>DISTRIBUSI!G235</f>
        <v>0</v>
      </c>
      <c r="BC237" s="14">
        <f>'PEMAKAIAN UNIT'!G234</f>
        <v>0</v>
      </c>
      <c r="BD237" s="14">
        <f t="shared" si="170"/>
        <v>0</v>
      </c>
      <c r="BE237" s="15">
        <f t="shared" si="171"/>
        <v>0</v>
      </c>
      <c r="BF237" s="14">
        <f t="shared" si="172"/>
        <v>0</v>
      </c>
      <c r="BG237" s="14">
        <f>DISTRIBUSI!H235</f>
        <v>0</v>
      </c>
      <c r="BH237" s="14">
        <f>'PEMAKAIAN UNIT'!H234</f>
        <v>0</v>
      </c>
      <c r="BI237" s="14">
        <f t="shared" si="173"/>
        <v>0</v>
      </c>
      <c r="BJ237" s="15">
        <f t="shared" si="174"/>
        <v>0</v>
      </c>
      <c r="BK237" s="14">
        <f t="shared" si="175"/>
        <v>0</v>
      </c>
      <c r="BL237" s="14">
        <f>DISTRIBUSI!I235</f>
        <v>0</v>
      </c>
      <c r="BM237" s="14">
        <f>'PEMAKAIAN UNIT'!I234</f>
        <v>0</v>
      </c>
      <c r="BN237" s="14">
        <f t="shared" si="176"/>
        <v>0</v>
      </c>
      <c r="BO237" s="15">
        <f t="shared" si="177"/>
        <v>0</v>
      </c>
      <c r="BP237" s="14">
        <f t="shared" si="178"/>
        <v>0</v>
      </c>
      <c r="BQ237" s="14">
        <f>DISTRIBUSI!J235</f>
        <v>0</v>
      </c>
      <c r="BR237" s="14">
        <f>'PEMAKAIAN UNIT'!J234</f>
        <v>0</v>
      </c>
      <c r="BS237" s="14">
        <f t="shared" si="179"/>
        <v>0</v>
      </c>
      <c r="BT237" s="15">
        <f t="shared" si="180"/>
        <v>0</v>
      </c>
      <c r="BU237" s="14">
        <f t="shared" si="181"/>
        <v>0</v>
      </c>
      <c r="BV237" s="14">
        <f>DISTRIBUSI!K235</f>
        <v>0</v>
      </c>
      <c r="BW237" s="14">
        <f>'PEMAKAIAN UNIT'!K234</f>
        <v>0</v>
      </c>
      <c r="BX237" s="14">
        <f t="shared" si="182"/>
        <v>0</v>
      </c>
      <c r="BY237" s="15">
        <f t="shared" si="183"/>
        <v>0</v>
      </c>
      <c r="BZ237" s="14">
        <f t="shared" si="184"/>
        <v>0</v>
      </c>
      <c r="CA237" s="14">
        <f>DISTRIBUSI!L235</f>
        <v>0</v>
      </c>
      <c r="CB237" s="14">
        <f>'PEMAKAIAN UNIT'!L234</f>
        <v>0</v>
      </c>
      <c r="CC237" s="14">
        <f t="shared" si="185"/>
        <v>0</v>
      </c>
      <c r="CD237" s="15">
        <f t="shared" si="186"/>
        <v>0</v>
      </c>
      <c r="CE237" s="14">
        <f t="shared" si="187"/>
        <v>0</v>
      </c>
      <c r="CF237" s="14">
        <f>DISTRIBUSI!M235</f>
        <v>0</v>
      </c>
      <c r="CG237" s="14">
        <f>'PEMAKAIAN UNIT'!M234</f>
        <v>0</v>
      </c>
      <c r="CH237" s="14">
        <f t="shared" si="188"/>
        <v>0</v>
      </c>
      <c r="CI237" s="15">
        <f t="shared" si="189"/>
        <v>0</v>
      </c>
      <c r="CJ237" s="14">
        <f t="shared" si="190"/>
        <v>0</v>
      </c>
      <c r="CK237" s="14" t="e">
        <f>DISTRIBUSI!#REF!</f>
        <v>#REF!</v>
      </c>
      <c r="CL237" s="14">
        <f>'PEMAKAIAN UNIT'!N234</f>
        <v>0</v>
      </c>
      <c r="CM237" s="14" t="e">
        <f t="shared" si="191"/>
        <v>#REF!</v>
      </c>
      <c r="CN237" s="15" t="e">
        <f t="shared" si="192"/>
        <v>#REF!</v>
      </c>
      <c r="CO237" s="14" t="e">
        <f>DL237+DISTRIBUSI!#REF!-'PEMAKAIAN UNIT'!O234</f>
        <v>#REF!</v>
      </c>
      <c r="CP237" s="15" t="e">
        <f t="shared" si="193"/>
        <v>#REF!</v>
      </c>
      <c r="CQ237" s="226">
        <f t="shared" si="194"/>
        <v>0</v>
      </c>
      <c r="CR237" s="226">
        <f>DISTRIBUSI!R235</f>
        <v>0</v>
      </c>
      <c r="CS237" s="226">
        <f>'PEMAKAIAN UNIT'!P234</f>
        <v>0</v>
      </c>
      <c r="CT237" s="14">
        <f t="shared" si="195"/>
        <v>0</v>
      </c>
      <c r="CU237" s="15">
        <f t="shared" si="196"/>
        <v>0</v>
      </c>
      <c r="CV237" s="14" t="e">
        <f>DN237+DISTRIBUSI!#REF!-'PEMAKAIAN UNIT'!Q234</f>
        <v>#REF!</v>
      </c>
      <c r="CW237" s="15" t="e">
        <f t="shared" si="197"/>
        <v>#REF!</v>
      </c>
      <c r="CX237" s="14">
        <f>DO237+'LPLPO PROGRAM'!E66-'LPLPO PROGRAM'!G66</f>
        <v>0</v>
      </c>
      <c r="CY237" s="15">
        <f t="shared" si="198"/>
        <v>0</v>
      </c>
      <c r="CZ237" s="28"/>
      <c r="DA237" s="14">
        <v>0</v>
      </c>
      <c r="DB237" s="14">
        <v>0</v>
      </c>
      <c r="DC237" s="14">
        <v>0</v>
      </c>
      <c r="DD237" s="14">
        <v>0</v>
      </c>
      <c r="DE237" s="14">
        <v>0</v>
      </c>
      <c r="DF237" s="14">
        <v>0</v>
      </c>
      <c r="DG237" s="14">
        <v>0</v>
      </c>
      <c r="DH237" s="14">
        <v>0</v>
      </c>
      <c r="DI237" s="14">
        <v>0</v>
      </c>
      <c r="DJ237" s="14">
        <v>0</v>
      </c>
      <c r="DK237" s="14">
        <v>0</v>
      </c>
      <c r="DL237" s="14">
        <v>0</v>
      </c>
      <c r="DM237" s="14">
        <v>0</v>
      </c>
      <c r="DN237" s="14">
        <v>0</v>
      </c>
      <c r="DO237" s="14">
        <v>0</v>
      </c>
      <c r="DP237" s="13">
        <f t="shared" si="211"/>
        <v>0</v>
      </c>
      <c r="DU237" s="20" t="e">
        <f t="shared" si="210"/>
        <v>#REF!</v>
      </c>
    </row>
    <row r="238" spans="1:125" customFormat="1" ht="20.149999999999999" customHeight="1" x14ac:dyDescent="0.35">
      <c r="A238" s="205">
        <v>54</v>
      </c>
      <c r="B238" s="184" t="s">
        <v>360</v>
      </c>
      <c r="C238" s="144" t="s">
        <v>6</v>
      </c>
      <c r="D238" s="14">
        <v>0</v>
      </c>
      <c r="E238" s="254">
        <f>'LPLPO PROGRAM'!E67</f>
        <v>0</v>
      </c>
      <c r="F238" s="254">
        <f t="shared" si="199"/>
        <v>0</v>
      </c>
      <c r="G238" s="254">
        <f>'PEMAKAIAN UNIT'!R235</f>
        <v>0</v>
      </c>
      <c r="H238" s="14">
        <v>0</v>
      </c>
      <c r="I238" s="14">
        <v>0</v>
      </c>
      <c r="J238" s="14">
        <v>0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09">
        <f t="shared" si="200"/>
        <v>0</v>
      </c>
      <c r="Z238" s="109" t="e">
        <f t="shared" si="201"/>
        <v>#REF!</v>
      </c>
      <c r="AA238" s="109">
        <v>0</v>
      </c>
      <c r="AB238" s="14">
        <v>0</v>
      </c>
      <c r="AC238" s="109" t="e">
        <f t="shared" si="203"/>
        <v>#REF!</v>
      </c>
      <c r="AD238" s="109">
        <f>'LPLPO PROGRAM'!H67</f>
        <v>0</v>
      </c>
      <c r="AE238" s="111" t="e">
        <f t="shared" si="204"/>
        <v>#REF!</v>
      </c>
      <c r="AF238" s="212"/>
      <c r="AG238" s="212"/>
      <c r="AH238" s="20"/>
      <c r="AI238" s="14">
        <f t="shared" si="208"/>
        <v>0</v>
      </c>
      <c r="AJ238" s="209" t="e">
        <f t="shared" si="209"/>
        <v>#REF!</v>
      </c>
      <c r="AL238" s="14">
        <f t="shared" si="160"/>
        <v>0</v>
      </c>
      <c r="AM238" s="14">
        <f>DISTRIBUSI!D236</f>
        <v>0</v>
      </c>
      <c r="AN238" s="14">
        <f>'PEMAKAIAN UNIT'!D235</f>
        <v>0</v>
      </c>
      <c r="AO238" s="14">
        <f t="shared" si="161"/>
        <v>0</v>
      </c>
      <c r="AP238" s="15">
        <f t="shared" si="162"/>
        <v>0</v>
      </c>
      <c r="AQ238" s="14">
        <f t="shared" si="163"/>
        <v>0</v>
      </c>
      <c r="AR238" s="14">
        <f>DISTRIBUSI!E236</f>
        <v>0</v>
      </c>
      <c r="AS238" s="14">
        <f>'PEMAKAIAN UNIT'!E235</f>
        <v>0</v>
      </c>
      <c r="AT238" s="14">
        <f t="shared" si="164"/>
        <v>0</v>
      </c>
      <c r="AU238" s="15">
        <f t="shared" si="165"/>
        <v>0</v>
      </c>
      <c r="AV238" s="14">
        <f t="shared" si="166"/>
        <v>0</v>
      </c>
      <c r="AW238" s="14">
        <f>DISTRIBUSI!F236</f>
        <v>0</v>
      </c>
      <c r="AX238" s="14">
        <f>'PEMAKAIAN UNIT'!F235</f>
        <v>0</v>
      </c>
      <c r="AY238" s="14">
        <f t="shared" si="167"/>
        <v>0</v>
      </c>
      <c r="AZ238" s="15">
        <f t="shared" si="168"/>
        <v>0</v>
      </c>
      <c r="BA238" s="14">
        <f t="shared" si="169"/>
        <v>0</v>
      </c>
      <c r="BB238" s="14">
        <f>DISTRIBUSI!G236</f>
        <v>0</v>
      </c>
      <c r="BC238" s="14">
        <f>'PEMAKAIAN UNIT'!G235</f>
        <v>0</v>
      </c>
      <c r="BD238" s="14">
        <f t="shared" si="170"/>
        <v>0</v>
      </c>
      <c r="BE238" s="15">
        <f t="shared" si="171"/>
        <v>0</v>
      </c>
      <c r="BF238" s="14">
        <f t="shared" si="172"/>
        <v>0</v>
      </c>
      <c r="BG238" s="14">
        <f>DISTRIBUSI!H236</f>
        <v>0</v>
      </c>
      <c r="BH238" s="14">
        <f>'PEMAKAIAN UNIT'!H235</f>
        <v>0</v>
      </c>
      <c r="BI238" s="14">
        <f t="shared" si="173"/>
        <v>0</v>
      </c>
      <c r="BJ238" s="15">
        <f t="shared" si="174"/>
        <v>0</v>
      </c>
      <c r="BK238" s="14">
        <f t="shared" si="175"/>
        <v>0</v>
      </c>
      <c r="BL238" s="14">
        <f>DISTRIBUSI!I236</f>
        <v>0</v>
      </c>
      <c r="BM238" s="14">
        <f>'PEMAKAIAN UNIT'!I235</f>
        <v>0</v>
      </c>
      <c r="BN238" s="14">
        <f t="shared" si="176"/>
        <v>0</v>
      </c>
      <c r="BO238" s="15">
        <f t="shared" si="177"/>
        <v>0</v>
      </c>
      <c r="BP238" s="14">
        <f t="shared" si="178"/>
        <v>0</v>
      </c>
      <c r="BQ238" s="14">
        <f>DISTRIBUSI!J236</f>
        <v>0</v>
      </c>
      <c r="BR238" s="14">
        <f>'PEMAKAIAN UNIT'!J235</f>
        <v>0</v>
      </c>
      <c r="BS238" s="14">
        <f t="shared" si="179"/>
        <v>0</v>
      </c>
      <c r="BT238" s="15">
        <f t="shared" si="180"/>
        <v>0</v>
      </c>
      <c r="BU238" s="14">
        <f t="shared" si="181"/>
        <v>0</v>
      </c>
      <c r="BV238" s="14">
        <f>DISTRIBUSI!K236</f>
        <v>0</v>
      </c>
      <c r="BW238" s="14">
        <f>'PEMAKAIAN UNIT'!K235</f>
        <v>0</v>
      </c>
      <c r="BX238" s="14">
        <f t="shared" si="182"/>
        <v>0</v>
      </c>
      <c r="BY238" s="15">
        <f t="shared" si="183"/>
        <v>0</v>
      </c>
      <c r="BZ238" s="14">
        <f t="shared" si="184"/>
        <v>0</v>
      </c>
      <c r="CA238" s="14">
        <f>DISTRIBUSI!L236</f>
        <v>0</v>
      </c>
      <c r="CB238" s="14">
        <f>'PEMAKAIAN UNIT'!L235</f>
        <v>0</v>
      </c>
      <c r="CC238" s="14">
        <f t="shared" si="185"/>
        <v>0</v>
      </c>
      <c r="CD238" s="15">
        <f t="shared" si="186"/>
        <v>0</v>
      </c>
      <c r="CE238" s="14">
        <f t="shared" si="187"/>
        <v>0</v>
      </c>
      <c r="CF238" s="14">
        <f>DISTRIBUSI!M236</f>
        <v>0</v>
      </c>
      <c r="CG238" s="14">
        <f>'PEMAKAIAN UNIT'!M235</f>
        <v>0</v>
      </c>
      <c r="CH238" s="14">
        <f t="shared" si="188"/>
        <v>0</v>
      </c>
      <c r="CI238" s="15">
        <f t="shared" si="189"/>
        <v>0</v>
      </c>
      <c r="CJ238" s="14">
        <f t="shared" si="190"/>
        <v>0</v>
      </c>
      <c r="CK238" s="14" t="e">
        <f>DISTRIBUSI!#REF!</f>
        <v>#REF!</v>
      </c>
      <c r="CL238" s="14">
        <f>'PEMAKAIAN UNIT'!N235</f>
        <v>0</v>
      </c>
      <c r="CM238" s="14" t="e">
        <f t="shared" si="191"/>
        <v>#REF!</v>
      </c>
      <c r="CN238" s="15" t="e">
        <f t="shared" si="192"/>
        <v>#REF!</v>
      </c>
      <c r="CO238" s="14" t="e">
        <f>DL238+DISTRIBUSI!#REF!-'PEMAKAIAN UNIT'!O235</f>
        <v>#REF!</v>
      </c>
      <c r="CP238" s="15" t="e">
        <f t="shared" si="193"/>
        <v>#REF!</v>
      </c>
      <c r="CQ238" s="226">
        <f t="shared" si="194"/>
        <v>0</v>
      </c>
      <c r="CR238" s="226">
        <f>DISTRIBUSI!R236</f>
        <v>0</v>
      </c>
      <c r="CS238" s="226">
        <f>'PEMAKAIAN UNIT'!P235</f>
        <v>0</v>
      </c>
      <c r="CT238" s="14">
        <f t="shared" si="195"/>
        <v>0</v>
      </c>
      <c r="CU238" s="15">
        <f t="shared" si="196"/>
        <v>0</v>
      </c>
      <c r="CV238" s="14" t="e">
        <f>DN238+DISTRIBUSI!#REF!-'PEMAKAIAN UNIT'!Q235</f>
        <v>#REF!</v>
      </c>
      <c r="CW238" s="15" t="e">
        <f t="shared" si="197"/>
        <v>#REF!</v>
      </c>
      <c r="CX238" s="14">
        <f>DO238+'LPLPO PROGRAM'!E67-'LPLPO PROGRAM'!G67</f>
        <v>0</v>
      </c>
      <c r="CY238" s="15">
        <f t="shared" si="198"/>
        <v>0</v>
      </c>
      <c r="CZ238" s="28"/>
      <c r="DA238" s="14">
        <v>0</v>
      </c>
      <c r="DB238" s="14">
        <v>0</v>
      </c>
      <c r="DC238" s="14">
        <v>0</v>
      </c>
      <c r="DD238" s="14">
        <v>0</v>
      </c>
      <c r="DE238" s="14">
        <v>0</v>
      </c>
      <c r="DF238" s="14">
        <v>0</v>
      </c>
      <c r="DG238" s="14">
        <v>0</v>
      </c>
      <c r="DH238" s="14">
        <v>0</v>
      </c>
      <c r="DI238" s="14">
        <v>0</v>
      </c>
      <c r="DJ238" s="14">
        <v>0</v>
      </c>
      <c r="DK238" s="14">
        <v>0</v>
      </c>
      <c r="DL238" s="14">
        <v>0</v>
      </c>
      <c r="DM238" s="14">
        <v>0</v>
      </c>
      <c r="DN238" s="14">
        <v>0</v>
      </c>
      <c r="DO238" s="14">
        <v>0</v>
      </c>
      <c r="DP238" s="13">
        <f t="shared" si="211"/>
        <v>0</v>
      </c>
      <c r="DU238" s="20" t="e">
        <f t="shared" si="210"/>
        <v>#REF!</v>
      </c>
    </row>
    <row r="239" spans="1:125" customFormat="1" ht="20.149999999999999" customHeight="1" x14ac:dyDescent="0.35">
      <c r="A239" s="205">
        <v>55</v>
      </c>
      <c r="B239" s="184" t="s">
        <v>197</v>
      </c>
      <c r="C239" s="144" t="s">
        <v>6</v>
      </c>
      <c r="D239" s="14">
        <v>0</v>
      </c>
      <c r="E239" s="254">
        <f>'LPLPO PROGRAM'!E68</f>
        <v>0</v>
      </c>
      <c r="F239" s="254">
        <f t="shared" si="199"/>
        <v>0</v>
      </c>
      <c r="G239" s="254">
        <f>'PEMAKAIAN UNIT'!R236</f>
        <v>0</v>
      </c>
      <c r="H239" s="14">
        <v>0</v>
      </c>
      <c r="I239" s="14">
        <v>0</v>
      </c>
      <c r="J239" s="14">
        <v>0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09">
        <f t="shared" si="200"/>
        <v>0</v>
      </c>
      <c r="Z239" s="109" t="e">
        <f t="shared" si="201"/>
        <v>#REF!</v>
      </c>
      <c r="AA239" s="109" t="e">
        <f t="shared" si="202"/>
        <v>#REF!</v>
      </c>
      <c r="AB239" s="14">
        <v>0</v>
      </c>
      <c r="AC239" s="109" t="e">
        <f t="shared" si="203"/>
        <v>#REF!</v>
      </c>
      <c r="AD239" s="109">
        <f>'LPLPO PROGRAM'!H68</f>
        <v>0</v>
      </c>
      <c r="AE239" s="111" t="e">
        <f t="shared" si="204"/>
        <v>#REF!</v>
      </c>
      <c r="AF239" s="212"/>
      <c r="AG239" s="212"/>
      <c r="AH239" s="20"/>
      <c r="AI239" s="14">
        <f t="shared" si="208"/>
        <v>0</v>
      </c>
      <c r="AJ239" s="209" t="e">
        <f t="shared" si="209"/>
        <v>#REF!</v>
      </c>
      <c r="AL239" s="14">
        <f t="shared" si="160"/>
        <v>0</v>
      </c>
      <c r="AM239" s="14">
        <f>DISTRIBUSI!D237</f>
        <v>0</v>
      </c>
      <c r="AN239" s="14">
        <f>'PEMAKAIAN UNIT'!D236</f>
        <v>0</v>
      </c>
      <c r="AO239" s="14">
        <f t="shared" si="161"/>
        <v>0</v>
      </c>
      <c r="AP239" s="15">
        <f t="shared" si="162"/>
        <v>0</v>
      </c>
      <c r="AQ239" s="14">
        <f t="shared" si="163"/>
        <v>0</v>
      </c>
      <c r="AR239" s="14">
        <f>DISTRIBUSI!E237</f>
        <v>0</v>
      </c>
      <c r="AS239" s="14">
        <f>'PEMAKAIAN UNIT'!E236</f>
        <v>0</v>
      </c>
      <c r="AT239" s="14">
        <f t="shared" si="164"/>
        <v>0</v>
      </c>
      <c r="AU239" s="15">
        <f t="shared" si="165"/>
        <v>0</v>
      </c>
      <c r="AV239" s="14">
        <f t="shared" si="166"/>
        <v>0</v>
      </c>
      <c r="AW239" s="14">
        <f>DISTRIBUSI!F237</f>
        <v>0</v>
      </c>
      <c r="AX239" s="14">
        <f>'PEMAKAIAN UNIT'!F236</f>
        <v>0</v>
      </c>
      <c r="AY239" s="14">
        <f t="shared" si="167"/>
        <v>0</v>
      </c>
      <c r="AZ239" s="15">
        <f t="shared" si="168"/>
        <v>0</v>
      </c>
      <c r="BA239" s="14">
        <f t="shared" si="169"/>
        <v>0</v>
      </c>
      <c r="BB239" s="14">
        <f>DISTRIBUSI!G237</f>
        <v>0</v>
      </c>
      <c r="BC239" s="14">
        <f>'PEMAKAIAN UNIT'!G236</f>
        <v>0</v>
      </c>
      <c r="BD239" s="14">
        <f t="shared" si="170"/>
        <v>0</v>
      </c>
      <c r="BE239" s="15">
        <f t="shared" si="171"/>
        <v>0</v>
      </c>
      <c r="BF239" s="14">
        <f t="shared" si="172"/>
        <v>0</v>
      </c>
      <c r="BG239" s="14">
        <f>DISTRIBUSI!H237</f>
        <v>0</v>
      </c>
      <c r="BH239" s="14">
        <f>'PEMAKAIAN UNIT'!H236</f>
        <v>0</v>
      </c>
      <c r="BI239" s="14">
        <f t="shared" si="173"/>
        <v>0</v>
      </c>
      <c r="BJ239" s="15">
        <f t="shared" si="174"/>
        <v>0</v>
      </c>
      <c r="BK239" s="14">
        <f t="shared" si="175"/>
        <v>0</v>
      </c>
      <c r="BL239" s="14">
        <f>DISTRIBUSI!I237</f>
        <v>0</v>
      </c>
      <c r="BM239" s="14">
        <f>'PEMAKAIAN UNIT'!I236</f>
        <v>0</v>
      </c>
      <c r="BN239" s="14">
        <f t="shared" si="176"/>
        <v>0</v>
      </c>
      <c r="BO239" s="15">
        <f t="shared" si="177"/>
        <v>0</v>
      </c>
      <c r="BP239" s="14">
        <f t="shared" si="178"/>
        <v>0</v>
      </c>
      <c r="BQ239" s="14">
        <f>DISTRIBUSI!J237</f>
        <v>0</v>
      </c>
      <c r="BR239" s="14">
        <f>'PEMAKAIAN UNIT'!J236</f>
        <v>0</v>
      </c>
      <c r="BS239" s="14">
        <f t="shared" si="179"/>
        <v>0</v>
      </c>
      <c r="BT239" s="15">
        <f t="shared" si="180"/>
        <v>0</v>
      </c>
      <c r="BU239" s="14">
        <f t="shared" si="181"/>
        <v>0</v>
      </c>
      <c r="BV239" s="14">
        <f>DISTRIBUSI!K237</f>
        <v>0</v>
      </c>
      <c r="BW239" s="14">
        <f>'PEMAKAIAN UNIT'!K236</f>
        <v>0</v>
      </c>
      <c r="BX239" s="14">
        <f t="shared" si="182"/>
        <v>0</v>
      </c>
      <c r="BY239" s="15">
        <f t="shared" si="183"/>
        <v>0</v>
      </c>
      <c r="BZ239" s="14">
        <f t="shared" si="184"/>
        <v>0</v>
      </c>
      <c r="CA239" s="14">
        <f>DISTRIBUSI!L237</f>
        <v>0</v>
      </c>
      <c r="CB239" s="14">
        <f>'PEMAKAIAN UNIT'!L236</f>
        <v>0</v>
      </c>
      <c r="CC239" s="14">
        <f t="shared" si="185"/>
        <v>0</v>
      </c>
      <c r="CD239" s="15">
        <f t="shared" si="186"/>
        <v>0</v>
      </c>
      <c r="CE239" s="14">
        <f t="shared" si="187"/>
        <v>0</v>
      </c>
      <c r="CF239" s="14">
        <f>DISTRIBUSI!M237</f>
        <v>0</v>
      </c>
      <c r="CG239" s="14">
        <f>'PEMAKAIAN UNIT'!M236</f>
        <v>0</v>
      </c>
      <c r="CH239" s="14">
        <f t="shared" si="188"/>
        <v>0</v>
      </c>
      <c r="CI239" s="15">
        <f t="shared" si="189"/>
        <v>0</v>
      </c>
      <c r="CJ239" s="14">
        <f t="shared" si="190"/>
        <v>0</v>
      </c>
      <c r="CK239" s="14" t="e">
        <f>DISTRIBUSI!#REF!</f>
        <v>#REF!</v>
      </c>
      <c r="CL239" s="14">
        <f>'PEMAKAIAN UNIT'!N236</f>
        <v>0</v>
      </c>
      <c r="CM239" s="14" t="e">
        <f t="shared" si="191"/>
        <v>#REF!</v>
      </c>
      <c r="CN239" s="15" t="e">
        <f t="shared" si="192"/>
        <v>#REF!</v>
      </c>
      <c r="CO239" s="14" t="e">
        <f>DL239+DISTRIBUSI!#REF!-'PEMAKAIAN UNIT'!O236</f>
        <v>#REF!</v>
      </c>
      <c r="CP239" s="15" t="e">
        <f t="shared" si="193"/>
        <v>#REF!</v>
      </c>
      <c r="CQ239" s="226">
        <f t="shared" si="194"/>
        <v>0</v>
      </c>
      <c r="CR239" s="226">
        <f>DISTRIBUSI!R237</f>
        <v>0</v>
      </c>
      <c r="CS239" s="226">
        <f>'PEMAKAIAN UNIT'!P236</f>
        <v>0</v>
      </c>
      <c r="CT239" s="14">
        <f t="shared" si="195"/>
        <v>0</v>
      </c>
      <c r="CU239" s="15">
        <f t="shared" si="196"/>
        <v>0</v>
      </c>
      <c r="CV239" s="14" t="e">
        <f>DN239+DISTRIBUSI!#REF!-'PEMAKAIAN UNIT'!Q236</f>
        <v>#REF!</v>
      </c>
      <c r="CW239" s="15" t="e">
        <f t="shared" si="197"/>
        <v>#REF!</v>
      </c>
      <c r="CX239" s="14">
        <f>DO239+'LPLPO PROGRAM'!E68-'LPLPO PROGRAM'!G68</f>
        <v>0</v>
      </c>
      <c r="CY239" s="15">
        <f t="shared" si="198"/>
        <v>0</v>
      </c>
      <c r="CZ239" s="28"/>
      <c r="DA239" s="14">
        <v>0</v>
      </c>
      <c r="DB239" s="14">
        <v>0</v>
      </c>
      <c r="DC239" s="14">
        <v>0</v>
      </c>
      <c r="DD239" s="14">
        <v>0</v>
      </c>
      <c r="DE239" s="14">
        <v>0</v>
      </c>
      <c r="DF239" s="14">
        <v>0</v>
      </c>
      <c r="DG239" s="14">
        <v>0</v>
      </c>
      <c r="DH239" s="14">
        <v>0</v>
      </c>
      <c r="DI239" s="14">
        <v>0</v>
      </c>
      <c r="DJ239" s="14">
        <v>0</v>
      </c>
      <c r="DK239" s="14">
        <v>0</v>
      </c>
      <c r="DL239" s="14">
        <v>0</v>
      </c>
      <c r="DM239" s="14">
        <v>0</v>
      </c>
      <c r="DN239" s="14">
        <v>0</v>
      </c>
      <c r="DO239" s="14">
        <v>0</v>
      </c>
      <c r="DP239" s="13">
        <f t="shared" si="211"/>
        <v>0</v>
      </c>
      <c r="DU239" s="20" t="e">
        <f t="shared" si="210"/>
        <v>#REF!</v>
      </c>
    </row>
    <row r="240" spans="1:125" customFormat="1" ht="20.149999999999999" customHeight="1" x14ac:dyDescent="0.35">
      <c r="A240" s="205">
        <v>56</v>
      </c>
      <c r="B240" s="184"/>
      <c r="C240" s="144"/>
      <c r="D240" s="14">
        <v>0</v>
      </c>
      <c r="E240" s="254">
        <f>'LPLPO PROGRAM'!E69</f>
        <v>0</v>
      </c>
      <c r="F240" s="254">
        <f t="shared" si="199"/>
        <v>0</v>
      </c>
      <c r="G240" s="254">
        <f>'PEMAKAIAN UNIT'!R237</f>
        <v>0</v>
      </c>
      <c r="H240" s="14">
        <v>0</v>
      </c>
      <c r="I240" s="14">
        <v>0</v>
      </c>
      <c r="J240" s="14">
        <v>0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09">
        <f t="shared" si="200"/>
        <v>0</v>
      </c>
      <c r="Z240" s="109" t="e">
        <f t="shared" si="201"/>
        <v>#REF!</v>
      </c>
      <c r="AA240" s="109" t="e">
        <f t="shared" si="202"/>
        <v>#REF!</v>
      </c>
      <c r="AB240" s="14">
        <v>0</v>
      </c>
      <c r="AC240" s="109" t="e">
        <f t="shared" si="203"/>
        <v>#REF!</v>
      </c>
      <c r="AD240" s="109">
        <f>'LPLPO PROGRAM'!H69</f>
        <v>0</v>
      </c>
      <c r="AE240" s="111" t="e">
        <f t="shared" si="204"/>
        <v>#REF!</v>
      </c>
      <c r="AF240" s="212"/>
      <c r="AG240" s="212"/>
      <c r="AH240" s="20"/>
      <c r="AI240" s="14">
        <f t="shared" si="208"/>
        <v>0</v>
      </c>
      <c r="AJ240" s="209" t="e">
        <f t="shared" si="209"/>
        <v>#REF!</v>
      </c>
      <c r="AL240" s="14">
        <f t="shared" si="160"/>
        <v>0</v>
      </c>
      <c r="AM240" s="14">
        <f>DISTRIBUSI!D238</f>
        <v>0</v>
      </c>
      <c r="AN240" s="14">
        <f>'PEMAKAIAN UNIT'!D237</f>
        <v>0</v>
      </c>
      <c r="AO240" s="14">
        <f t="shared" si="161"/>
        <v>0</v>
      </c>
      <c r="AP240" s="15">
        <f t="shared" si="162"/>
        <v>0</v>
      </c>
      <c r="AQ240" s="14">
        <f t="shared" si="163"/>
        <v>0</v>
      </c>
      <c r="AR240" s="14">
        <f>DISTRIBUSI!E238</f>
        <v>0</v>
      </c>
      <c r="AS240" s="14">
        <f>'PEMAKAIAN UNIT'!E237</f>
        <v>0</v>
      </c>
      <c r="AT240" s="14">
        <f t="shared" si="164"/>
        <v>0</v>
      </c>
      <c r="AU240" s="15">
        <f t="shared" si="165"/>
        <v>0</v>
      </c>
      <c r="AV240" s="14">
        <f t="shared" si="166"/>
        <v>0</v>
      </c>
      <c r="AW240" s="14">
        <f>DISTRIBUSI!F238</f>
        <v>0</v>
      </c>
      <c r="AX240" s="14">
        <f>'PEMAKAIAN UNIT'!F237</f>
        <v>0</v>
      </c>
      <c r="AY240" s="14">
        <f t="shared" si="167"/>
        <v>0</v>
      </c>
      <c r="AZ240" s="15">
        <f t="shared" si="168"/>
        <v>0</v>
      </c>
      <c r="BA240" s="14">
        <f t="shared" si="169"/>
        <v>0</v>
      </c>
      <c r="BB240" s="14">
        <f>DISTRIBUSI!G238</f>
        <v>0</v>
      </c>
      <c r="BC240" s="14">
        <f>'PEMAKAIAN UNIT'!G237</f>
        <v>0</v>
      </c>
      <c r="BD240" s="14">
        <f t="shared" si="170"/>
        <v>0</v>
      </c>
      <c r="BE240" s="15">
        <f t="shared" si="171"/>
        <v>0</v>
      </c>
      <c r="BF240" s="14">
        <f t="shared" si="172"/>
        <v>0</v>
      </c>
      <c r="BG240" s="14">
        <f>DISTRIBUSI!H238</f>
        <v>0</v>
      </c>
      <c r="BH240" s="14">
        <f>'PEMAKAIAN UNIT'!H237</f>
        <v>0</v>
      </c>
      <c r="BI240" s="14">
        <f t="shared" si="173"/>
        <v>0</v>
      </c>
      <c r="BJ240" s="15">
        <f t="shared" si="174"/>
        <v>0</v>
      </c>
      <c r="BK240" s="14">
        <f t="shared" si="175"/>
        <v>0</v>
      </c>
      <c r="BL240" s="14">
        <f>DISTRIBUSI!I238</f>
        <v>0</v>
      </c>
      <c r="BM240" s="14">
        <f>'PEMAKAIAN UNIT'!I237</f>
        <v>0</v>
      </c>
      <c r="BN240" s="14">
        <f t="shared" si="176"/>
        <v>0</v>
      </c>
      <c r="BO240" s="15">
        <f t="shared" si="177"/>
        <v>0</v>
      </c>
      <c r="BP240" s="14">
        <f t="shared" si="178"/>
        <v>0</v>
      </c>
      <c r="BQ240" s="14">
        <f>DISTRIBUSI!J238</f>
        <v>0</v>
      </c>
      <c r="BR240" s="14">
        <f>'PEMAKAIAN UNIT'!J237</f>
        <v>0</v>
      </c>
      <c r="BS240" s="14">
        <f t="shared" si="179"/>
        <v>0</v>
      </c>
      <c r="BT240" s="15">
        <f t="shared" si="180"/>
        <v>0</v>
      </c>
      <c r="BU240" s="14">
        <f t="shared" si="181"/>
        <v>0</v>
      </c>
      <c r="BV240" s="14">
        <f>DISTRIBUSI!K238</f>
        <v>0</v>
      </c>
      <c r="BW240" s="14">
        <f>'PEMAKAIAN UNIT'!K237</f>
        <v>0</v>
      </c>
      <c r="BX240" s="14">
        <f t="shared" si="182"/>
        <v>0</v>
      </c>
      <c r="BY240" s="15">
        <f t="shared" si="183"/>
        <v>0</v>
      </c>
      <c r="BZ240" s="14">
        <f t="shared" si="184"/>
        <v>0</v>
      </c>
      <c r="CA240" s="14">
        <f>DISTRIBUSI!L238</f>
        <v>0</v>
      </c>
      <c r="CB240" s="14">
        <f>'PEMAKAIAN UNIT'!L237</f>
        <v>0</v>
      </c>
      <c r="CC240" s="14">
        <f t="shared" si="185"/>
        <v>0</v>
      </c>
      <c r="CD240" s="15">
        <f t="shared" si="186"/>
        <v>0</v>
      </c>
      <c r="CE240" s="14">
        <f t="shared" si="187"/>
        <v>0</v>
      </c>
      <c r="CF240" s="14">
        <f>DISTRIBUSI!M238</f>
        <v>0</v>
      </c>
      <c r="CG240" s="14">
        <f>'PEMAKAIAN UNIT'!M237</f>
        <v>0</v>
      </c>
      <c r="CH240" s="14">
        <f t="shared" si="188"/>
        <v>0</v>
      </c>
      <c r="CI240" s="15">
        <f t="shared" si="189"/>
        <v>0</v>
      </c>
      <c r="CJ240" s="14">
        <f t="shared" si="190"/>
        <v>0</v>
      </c>
      <c r="CK240" s="14" t="e">
        <f>DISTRIBUSI!#REF!</f>
        <v>#REF!</v>
      </c>
      <c r="CL240" s="14">
        <f>'PEMAKAIAN UNIT'!N237</f>
        <v>0</v>
      </c>
      <c r="CM240" s="14" t="e">
        <f t="shared" si="191"/>
        <v>#REF!</v>
      </c>
      <c r="CN240" s="15" t="e">
        <f t="shared" si="192"/>
        <v>#REF!</v>
      </c>
      <c r="CO240" s="14" t="e">
        <f>DL240+DISTRIBUSI!#REF!-'PEMAKAIAN UNIT'!O237</f>
        <v>#REF!</v>
      </c>
      <c r="CP240" s="15" t="e">
        <f t="shared" si="193"/>
        <v>#REF!</v>
      </c>
      <c r="CQ240" s="226">
        <f t="shared" si="194"/>
        <v>0</v>
      </c>
      <c r="CR240" s="226">
        <f>DISTRIBUSI!R238</f>
        <v>0</v>
      </c>
      <c r="CS240" s="226">
        <f>'PEMAKAIAN UNIT'!P237</f>
        <v>0</v>
      </c>
      <c r="CT240" s="14">
        <f t="shared" si="195"/>
        <v>0</v>
      </c>
      <c r="CU240" s="15">
        <f t="shared" si="196"/>
        <v>0</v>
      </c>
      <c r="CV240" s="14" t="e">
        <f>DN240+DISTRIBUSI!#REF!-'PEMAKAIAN UNIT'!Q237</f>
        <v>#REF!</v>
      </c>
      <c r="CW240" s="15" t="e">
        <f t="shared" si="197"/>
        <v>#REF!</v>
      </c>
      <c r="CX240" s="14">
        <f>DO240+'LPLPO PROGRAM'!E69-'LPLPO PROGRAM'!G69</f>
        <v>0</v>
      </c>
      <c r="CY240" s="15">
        <f t="shared" si="198"/>
        <v>0</v>
      </c>
      <c r="CZ240" s="28"/>
      <c r="DA240" s="14">
        <v>0</v>
      </c>
      <c r="DB240" s="14">
        <v>0</v>
      </c>
      <c r="DC240" s="14">
        <v>0</v>
      </c>
      <c r="DD240" s="14">
        <v>0</v>
      </c>
      <c r="DE240" s="14">
        <v>0</v>
      </c>
      <c r="DF240" s="14">
        <v>0</v>
      </c>
      <c r="DG240" s="14">
        <v>0</v>
      </c>
      <c r="DH240" s="14">
        <v>0</v>
      </c>
      <c r="DI240" s="14">
        <v>0</v>
      </c>
      <c r="DJ240" s="14">
        <v>0</v>
      </c>
      <c r="DK240" s="14">
        <v>0</v>
      </c>
      <c r="DL240" s="14">
        <v>0</v>
      </c>
      <c r="DM240" s="14">
        <v>0</v>
      </c>
      <c r="DN240" s="14">
        <v>0</v>
      </c>
      <c r="DO240" s="14">
        <v>0</v>
      </c>
      <c r="DP240" s="13">
        <f t="shared" si="211"/>
        <v>0</v>
      </c>
      <c r="DU240" s="20" t="e">
        <f t="shared" si="210"/>
        <v>#REF!</v>
      </c>
    </row>
    <row r="241" spans="1:125" customFormat="1" ht="20.149999999999999" customHeight="1" x14ac:dyDescent="0.35">
      <c r="A241" s="205">
        <v>57</v>
      </c>
      <c r="B241" s="184"/>
      <c r="C241" s="144"/>
      <c r="D241" s="14">
        <v>0</v>
      </c>
      <c r="E241" s="254">
        <f>'LPLPO PROGRAM'!E70</f>
        <v>0</v>
      </c>
      <c r="F241" s="254">
        <f t="shared" si="199"/>
        <v>0</v>
      </c>
      <c r="G241" s="254">
        <f>'PEMAKAIAN UNIT'!R238</f>
        <v>0</v>
      </c>
      <c r="H241" s="14">
        <v>0</v>
      </c>
      <c r="I241" s="14">
        <v>0</v>
      </c>
      <c r="J241" s="14">
        <v>0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09">
        <f t="shared" si="200"/>
        <v>0</v>
      </c>
      <c r="Z241" s="109" t="e">
        <f t="shared" si="201"/>
        <v>#REF!</v>
      </c>
      <c r="AA241" s="109" t="e">
        <f t="shared" si="202"/>
        <v>#REF!</v>
      </c>
      <c r="AB241" s="14">
        <v>0</v>
      </c>
      <c r="AC241" s="109" t="e">
        <f t="shared" si="203"/>
        <v>#REF!</v>
      </c>
      <c r="AD241" s="109">
        <f>'LPLPO PROGRAM'!H70</f>
        <v>0</v>
      </c>
      <c r="AE241" s="111" t="e">
        <f t="shared" si="204"/>
        <v>#REF!</v>
      </c>
      <c r="AF241" s="212"/>
      <c r="AG241" s="212"/>
      <c r="AH241" s="20"/>
      <c r="AI241" s="14">
        <f t="shared" si="208"/>
        <v>0</v>
      </c>
      <c r="AJ241" s="209" t="e">
        <f t="shared" si="209"/>
        <v>#REF!</v>
      </c>
      <c r="AL241" s="14">
        <f t="shared" si="160"/>
        <v>0</v>
      </c>
      <c r="AM241" s="14">
        <f>DISTRIBUSI!D239</f>
        <v>0</v>
      </c>
      <c r="AN241" s="14">
        <f>'PEMAKAIAN UNIT'!D238</f>
        <v>0</v>
      </c>
      <c r="AO241" s="14">
        <f t="shared" si="161"/>
        <v>0</v>
      </c>
      <c r="AP241" s="15">
        <f t="shared" si="162"/>
        <v>0</v>
      </c>
      <c r="AQ241" s="14">
        <f t="shared" si="163"/>
        <v>0</v>
      </c>
      <c r="AR241" s="14">
        <f>DISTRIBUSI!E239</f>
        <v>0</v>
      </c>
      <c r="AS241" s="14">
        <f>'PEMAKAIAN UNIT'!E238</f>
        <v>0</v>
      </c>
      <c r="AT241" s="14">
        <f t="shared" si="164"/>
        <v>0</v>
      </c>
      <c r="AU241" s="15">
        <f t="shared" si="165"/>
        <v>0</v>
      </c>
      <c r="AV241" s="14">
        <f t="shared" si="166"/>
        <v>0</v>
      </c>
      <c r="AW241" s="14">
        <f>DISTRIBUSI!F239</f>
        <v>0</v>
      </c>
      <c r="AX241" s="14">
        <f>'PEMAKAIAN UNIT'!F238</f>
        <v>0</v>
      </c>
      <c r="AY241" s="14">
        <f t="shared" si="167"/>
        <v>0</v>
      </c>
      <c r="AZ241" s="15">
        <f t="shared" si="168"/>
        <v>0</v>
      </c>
      <c r="BA241" s="14">
        <f t="shared" si="169"/>
        <v>0</v>
      </c>
      <c r="BB241" s="14">
        <f>DISTRIBUSI!G239</f>
        <v>0</v>
      </c>
      <c r="BC241" s="14">
        <f>'PEMAKAIAN UNIT'!G238</f>
        <v>0</v>
      </c>
      <c r="BD241" s="14">
        <f t="shared" si="170"/>
        <v>0</v>
      </c>
      <c r="BE241" s="15">
        <f t="shared" si="171"/>
        <v>0</v>
      </c>
      <c r="BF241" s="14">
        <f t="shared" si="172"/>
        <v>0</v>
      </c>
      <c r="BG241" s="14">
        <f>DISTRIBUSI!H239</f>
        <v>0</v>
      </c>
      <c r="BH241" s="14">
        <f>'PEMAKAIAN UNIT'!H238</f>
        <v>0</v>
      </c>
      <c r="BI241" s="14">
        <f t="shared" si="173"/>
        <v>0</v>
      </c>
      <c r="BJ241" s="15">
        <f t="shared" si="174"/>
        <v>0</v>
      </c>
      <c r="BK241" s="14">
        <f t="shared" si="175"/>
        <v>0</v>
      </c>
      <c r="BL241" s="14">
        <f>DISTRIBUSI!I239</f>
        <v>0</v>
      </c>
      <c r="BM241" s="14">
        <f>'PEMAKAIAN UNIT'!I238</f>
        <v>0</v>
      </c>
      <c r="BN241" s="14">
        <f t="shared" si="176"/>
        <v>0</v>
      </c>
      <c r="BO241" s="15">
        <f t="shared" si="177"/>
        <v>0</v>
      </c>
      <c r="BP241" s="14">
        <f t="shared" si="178"/>
        <v>0</v>
      </c>
      <c r="BQ241" s="14">
        <f>DISTRIBUSI!J239</f>
        <v>0</v>
      </c>
      <c r="BR241" s="14">
        <f>'PEMAKAIAN UNIT'!J238</f>
        <v>0</v>
      </c>
      <c r="BS241" s="14">
        <f t="shared" si="179"/>
        <v>0</v>
      </c>
      <c r="BT241" s="15">
        <f t="shared" si="180"/>
        <v>0</v>
      </c>
      <c r="BU241" s="14">
        <f t="shared" si="181"/>
        <v>0</v>
      </c>
      <c r="BV241" s="14">
        <f>DISTRIBUSI!K239</f>
        <v>0</v>
      </c>
      <c r="BW241" s="14">
        <f>'PEMAKAIAN UNIT'!K238</f>
        <v>0</v>
      </c>
      <c r="BX241" s="14">
        <f t="shared" si="182"/>
        <v>0</v>
      </c>
      <c r="BY241" s="15">
        <f t="shared" si="183"/>
        <v>0</v>
      </c>
      <c r="BZ241" s="14">
        <f t="shared" si="184"/>
        <v>0</v>
      </c>
      <c r="CA241" s="14">
        <f>DISTRIBUSI!L239</f>
        <v>0</v>
      </c>
      <c r="CB241" s="14">
        <f>'PEMAKAIAN UNIT'!L238</f>
        <v>0</v>
      </c>
      <c r="CC241" s="14">
        <f t="shared" si="185"/>
        <v>0</v>
      </c>
      <c r="CD241" s="15">
        <f t="shared" si="186"/>
        <v>0</v>
      </c>
      <c r="CE241" s="14">
        <f t="shared" si="187"/>
        <v>0</v>
      </c>
      <c r="CF241" s="14">
        <f>DISTRIBUSI!M239</f>
        <v>0</v>
      </c>
      <c r="CG241" s="14">
        <f>'PEMAKAIAN UNIT'!M238</f>
        <v>0</v>
      </c>
      <c r="CH241" s="14">
        <f t="shared" si="188"/>
        <v>0</v>
      </c>
      <c r="CI241" s="15">
        <f t="shared" si="189"/>
        <v>0</v>
      </c>
      <c r="CJ241" s="14">
        <f t="shared" si="190"/>
        <v>0</v>
      </c>
      <c r="CK241" s="14" t="e">
        <f>DISTRIBUSI!#REF!</f>
        <v>#REF!</v>
      </c>
      <c r="CL241" s="14">
        <f>'PEMAKAIAN UNIT'!N238</f>
        <v>0</v>
      </c>
      <c r="CM241" s="14" t="e">
        <f t="shared" si="191"/>
        <v>#REF!</v>
      </c>
      <c r="CN241" s="15" t="e">
        <f t="shared" si="192"/>
        <v>#REF!</v>
      </c>
      <c r="CO241" s="14" t="e">
        <f>DL241+DISTRIBUSI!#REF!-'PEMAKAIAN UNIT'!O238</f>
        <v>#REF!</v>
      </c>
      <c r="CP241" s="15" t="e">
        <f t="shared" si="193"/>
        <v>#REF!</v>
      </c>
      <c r="CQ241" s="226">
        <f t="shared" si="194"/>
        <v>0</v>
      </c>
      <c r="CR241" s="226">
        <f>DISTRIBUSI!R239</f>
        <v>0</v>
      </c>
      <c r="CS241" s="226">
        <f>'PEMAKAIAN UNIT'!P238</f>
        <v>0</v>
      </c>
      <c r="CT241" s="14">
        <f t="shared" si="195"/>
        <v>0</v>
      </c>
      <c r="CU241" s="15">
        <f t="shared" si="196"/>
        <v>0</v>
      </c>
      <c r="CV241" s="14" t="e">
        <f>DN241+DISTRIBUSI!#REF!-'PEMAKAIAN UNIT'!Q238</f>
        <v>#REF!</v>
      </c>
      <c r="CW241" s="15" t="e">
        <f t="shared" si="197"/>
        <v>#REF!</v>
      </c>
      <c r="CX241" s="14">
        <f>DO241+'LPLPO PROGRAM'!E70-'LPLPO PROGRAM'!G70</f>
        <v>0</v>
      </c>
      <c r="CY241" s="15">
        <f t="shared" si="198"/>
        <v>0</v>
      </c>
      <c r="CZ241" s="28"/>
      <c r="DA241" s="14">
        <v>0</v>
      </c>
      <c r="DB241" s="14">
        <v>0</v>
      </c>
      <c r="DC241" s="14">
        <v>0</v>
      </c>
      <c r="DD241" s="14">
        <v>0</v>
      </c>
      <c r="DE241" s="14">
        <v>0</v>
      </c>
      <c r="DF241" s="14">
        <v>0</v>
      </c>
      <c r="DG241" s="14">
        <v>0</v>
      </c>
      <c r="DH241" s="14">
        <v>0</v>
      </c>
      <c r="DI241" s="14">
        <v>0</v>
      </c>
      <c r="DJ241" s="14">
        <v>0</v>
      </c>
      <c r="DK241" s="14">
        <v>0</v>
      </c>
      <c r="DL241" s="14">
        <v>0</v>
      </c>
      <c r="DM241" s="14">
        <v>0</v>
      </c>
      <c r="DN241" s="14">
        <v>0</v>
      </c>
      <c r="DO241" s="14">
        <v>0</v>
      </c>
      <c r="DP241" s="13">
        <f t="shared" si="211"/>
        <v>0</v>
      </c>
      <c r="DU241" s="20" t="e">
        <f t="shared" si="210"/>
        <v>#REF!</v>
      </c>
    </row>
    <row r="242" spans="1:125" customFormat="1" ht="20.149999999999999" customHeight="1" x14ac:dyDescent="0.35">
      <c r="A242" s="205">
        <v>58</v>
      </c>
      <c r="B242" s="184"/>
      <c r="C242" s="144"/>
      <c r="D242" s="14">
        <v>0</v>
      </c>
      <c r="E242" s="254">
        <f>'LPLPO PROGRAM'!E71</f>
        <v>0</v>
      </c>
      <c r="F242" s="254">
        <f t="shared" si="199"/>
        <v>0</v>
      </c>
      <c r="G242" s="254">
        <f>'PEMAKAIAN UNIT'!R239</f>
        <v>0</v>
      </c>
      <c r="H242" s="14">
        <v>0</v>
      </c>
      <c r="I242" s="14">
        <v>0</v>
      </c>
      <c r="J242" s="14">
        <v>0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09">
        <f t="shared" si="200"/>
        <v>0</v>
      </c>
      <c r="Z242" s="109" t="e">
        <f t="shared" si="201"/>
        <v>#REF!</v>
      </c>
      <c r="AA242" s="109" t="e">
        <f t="shared" si="202"/>
        <v>#REF!</v>
      </c>
      <c r="AB242" s="14">
        <v>0</v>
      </c>
      <c r="AC242" s="109" t="e">
        <f t="shared" si="203"/>
        <v>#REF!</v>
      </c>
      <c r="AD242" s="109">
        <f>'LPLPO PROGRAM'!H71</f>
        <v>0</v>
      </c>
      <c r="AE242" s="111" t="e">
        <f t="shared" si="204"/>
        <v>#REF!</v>
      </c>
      <c r="AF242" s="212"/>
      <c r="AG242" s="212"/>
      <c r="AH242" s="20"/>
      <c r="AI242" s="14">
        <f t="shared" ref="AI242:AI288" si="212">F242-G242</f>
        <v>0</v>
      </c>
      <c r="AJ242" s="209" t="e">
        <f t="shared" ref="AJ242:AJ288" si="213">AE242-AI242</f>
        <v>#REF!</v>
      </c>
      <c r="AL242" s="14">
        <f t="shared" si="160"/>
        <v>0</v>
      </c>
      <c r="AM242" s="14">
        <f>DISTRIBUSI!D240</f>
        <v>0</v>
      </c>
      <c r="AN242" s="14">
        <f>'PEMAKAIAN UNIT'!D239</f>
        <v>0</v>
      </c>
      <c r="AO242" s="14">
        <f t="shared" si="161"/>
        <v>0</v>
      </c>
      <c r="AP242" s="15">
        <f t="shared" si="162"/>
        <v>0</v>
      </c>
      <c r="AQ242" s="14">
        <f t="shared" si="163"/>
        <v>0</v>
      </c>
      <c r="AR242" s="14">
        <f>DISTRIBUSI!E240</f>
        <v>0</v>
      </c>
      <c r="AS242" s="14">
        <f>'PEMAKAIAN UNIT'!E239</f>
        <v>0</v>
      </c>
      <c r="AT242" s="14">
        <f t="shared" si="164"/>
        <v>0</v>
      </c>
      <c r="AU242" s="15">
        <f t="shared" si="165"/>
        <v>0</v>
      </c>
      <c r="AV242" s="14">
        <f t="shared" si="166"/>
        <v>0</v>
      </c>
      <c r="AW242" s="14">
        <f>DISTRIBUSI!F240</f>
        <v>0</v>
      </c>
      <c r="AX242" s="14">
        <f>'PEMAKAIAN UNIT'!F239</f>
        <v>0</v>
      </c>
      <c r="AY242" s="14">
        <f t="shared" si="167"/>
        <v>0</v>
      </c>
      <c r="AZ242" s="15">
        <f t="shared" si="168"/>
        <v>0</v>
      </c>
      <c r="BA242" s="14">
        <f t="shared" si="169"/>
        <v>0</v>
      </c>
      <c r="BB242" s="14">
        <f>DISTRIBUSI!G240</f>
        <v>0</v>
      </c>
      <c r="BC242" s="14">
        <f>'PEMAKAIAN UNIT'!G239</f>
        <v>0</v>
      </c>
      <c r="BD242" s="14">
        <f t="shared" si="170"/>
        <v>0</v>
      </c>
      <c r="BE242" s="15">
        <f t="shared" si="171"/>
        <v>0</v>
      </c>
      <c r="BF242" s="14">
        <f t="shared" si="172"/>
        <v>0</v>
      </c>
      <c r="BG242" s="14">
        <f>DISTRIBUSI!H240</f>
        <v>0</v>
      </c>
      <c r="BH242" s="14">
        <f>'PEMAKAIAN UNIT'!H239</f>
        <v>0</v>
      </c>
      <c r="BI242" s="14">
        <f t="shared" si="173"/>
        <v>0</v>
      </c>
      <c r="BJ242" s="15">
        <f t="shared" si="174"/>
        <v>0</v>
      </c>
      <c r="BK242" s="14">
        <f t="shared" si="175"/>
        <v>0</v>
      </c>
      <c r="BL242" s="14">
        <f>DISTRIBUSI!I240</f>
        <v>0</v>
      </c>
      <c r="BM242" s="14">
        <f>'PEMAKAIAN UNIT'!I239</f>
        <v>0</v>
      </c>
      <c r="BN242" s="14">
        <f t="shared" si="176"/>
        <v>0</v>
      </c>
      <c r="BO242" s="15">
        <f t="shared" si="177"/>
        <v>0</v>
      </c>
      <c r="BP242" s="14">
        <f t="shared" si="178"/>
        <v>0</v>
      </c>
      <c r="BQ242" s="14">
        <f>DISTRIBUSI!J240</f>
        <v>0</v>
      </c>
      <c r="BR242" s="14">
        <f>'PEMAKAIAN UNIT'!J239</f>
        <v>0</v>
      </c>
      <c r="BS242" s="14">
        <f t="shared" si="179"/>
        <v>0</v>
      </c>
      <c r="BT242" s="15">
        <f t="shared" si="180"/>
        <v>0</v>
      </c>
      <c r="BU242" s="14">
        <f t="shared" si="181"/>
        <v>0</v>
      </c>
      <c r="BV242" s="14">
        <f>DISTRIBUSI!K240</f>
        <v>0</v>
      </c>
      <c r="BW242" s="14">
        <f>'PEMAKAIAN UNIT'!K239</f>
        <v>0</v>
      </c>
      <c r="BX242" s="14">
        <f t="shared" si="182"/>
        <v>0</v>
      </c>
      <c r="BY242" s="15">
        <f t="shared" si="183"/>
        <v>0</v>
      </c>
      <c r="BZ242" s="14">
        <f t="shared" si="184"/>
        <v>0</v>
      </c>
      <c r="CA242" s="14">
        <f>DISTRIBUSI!L240</f>
        <v>0</v>
      </c>
      <c r="CB242" s="14">
        <f>'PEMAKAIAN UNIT'!L239</f>
        <v>0</v>
      </c>
      <c r="CC242" s="14">
        <f t="shared" si="185"/>
        <v>0</v>
      </c>
      <c r="CD242" s="15">
        <f t="shared" si="186"/>
        <v>0</v>
      </c>
      <c r="CE242" s="14">
        <f t="shared" si="187"/>
        <v>0</v>
      </c>
      <c r="CF242" s="14">
        <f>DISTRIBUSI!M240</f>
        <v>0</v>
      </c>
      <c r="CG242" s="14">
        <f>'PEMAKAIAN UNIT'!M239</f>
        <v>0</v>
      </c>
      <c r="CH242" s="14">
        <f t="shared" si="188"/>
        <v>0</v>
      </c>
      <c r="CI242" s="15">
        <f t="shared" si="189"/>
        <v>0</v>
      </c>
      <c r="CJ242" s="14">
        <f t="shared" si="190"/>
        <v>0</v>
      </c>
      <c r="CK242" s="14" t="e">
        <f>DISTRIBUSI!#REF!</f>
        <v>#REF!</v>
      </c>
      <c r="CL242" s="14">
        <f>'PEMAKAIAN UNIT'!N239</f>
        <v>0</v>
      </c>
      <c r="CM242" s="14" t="e">
        <f t="shared" si="191"/>
        <v>#REF!</v>
      </c>
      <c r="CN242" s="15" t="e">
        <f t="shared" si="192"/>
        <v>#REF!</v>
      </c>
      <c r="CO242" s="14" t="e">
        <f>DL242+DISTRIBUSI!#REF!-'PEMAKAIAN UNIT'!O239</f>
        <v>#REF!</v>
      </c>
      <c r="CP242" s="15" t="e">
        <f t="shared" si="193"/>
        <v>#REF!</v>
      </c>
      <c r="CQ242" s="226">
        <f t="shared" si="194"/>
        <v>0</v>
      </c>
      <c r="CR242" s="226">
        <f>DISTRIBUSI!R240</f>
        <v>0</v>
      </c>
      <c r="CS242" s="226">
        <f>'PEMAKAIAN UNIT'!P239</f>
        <v>0</v>
      </c>
      <c r="CT242" s="14">
        <f t="shared" si="195"/>
        <v>0</v>
      </c>
      <c r="CU242" s="15">
        <f t="shared" si="196"/>
        <v>0</v>
      </c>
      <c r="CV242" s="14" t="e">
        <f>DN242+DISTRIBUSI!#REF!-'PEMAKAIAN UNIT'!Q239</f>
        <v>#REF!</v>
      </c>
      <c r="CW242" s="15" t="e">
        <f t="shared" si="197"/>
        <v>#REF!</v>
      </c>
      <c r="CX242" s="14">
        <f>DO242+'LPLPO PROGRAM'!E71-'LPLPO PROGRAM'!G71</f>
        <v>0</v>
      </c>
      <c r="CY242" s="15">
        <f t="shared" si="198"/>
        <v>0</v>
      </c>
      <c r="CZ242" s="28"/>
      <c r="DA242" s="14">
        <v>0</v>
      </c>
      <c r="DB242" s="14">
        <v>0</v>
      </c>
      <c r="DC242" s="14">
        <v>0</v>
      </c>
      <c r="DD242" s="14">
        <v>0</v>
      </c>
      <c r="DE242" s="14">
        <v>0</v>
      </c>
      <c r="DF242" s="14">
        <v>0</v>
      </c>
      <c r="DG242" s="14">
        <v>0</v>
      </c>
      <c r="DH242" s="14">
        <v>0</v>
      </c>
      <c r="DI242" s="14">
        <v>0</v>
      </c>
      <c r="DJ242" s="14">
        <v>0</v>
      </c>
      <c r="DK242" s="14">
        <v>0</v>
      </c>
      <c r="DL242" s="14">
        <v>0</v>
      </c>
      <c r="DM242" s="14">
        <v>0</v>
      </c>
      <c r="DN242" s="14">
        <v>0</v>
      </c>
      <c r="DO242" s="14">
        <v>0</v>
      </c>
      <c r="DP242" s="13">
        <f t="shared" si="211"/>
        <v>0</v>
      </c>
      <c r="DU242" s="20" t="e">
        <f t="shared" si="210"/>
        <v>#REF!</v>
      </c>
    </row>
    <row r="243" spans="1:125" customFormat="1" ht="20.149999999999999" customHeight="1" x14ac:dyDescent="0.35">
      <c r="A243" s="204">
        <v>59</v>
      </c>
      <c r="B243" s="189" t="s">
        <v>199</v>
      </c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212"/>
      <c r="AG243" s="212"/>
      <c r="AH243" s="20"/>
      <c r="AI243" s="14">
        <f t="shared" si="212"/>
        <v>0</v>
      </c>
      <c r="AJ243" s="209">
        <f t="shared" si="213"/>
        <v>0</v>
      </c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  <c r="AW243" s="146"/>
      <c r="AX243" s="146"/>
      <c r="AY243" s="146"/>
      <c r="AZ243" s="146"/>
      <c r="BA243" s="146"/>
      <c r="BB243" s="146"/>
      <c r="BC243" s="146"/>
      <c r="BD243" s="146"/>
      <c r="BE243" s="146"/>
      <c r="BF243" s="146"/>
      <c r="BG243" s="146"/>
      <c r="BH243" s="146"/>
      <c r="BI243" s="146"/>
      <c r="BJ243" s="146"/>
      <c r="BK243" s="146"/>
      <c r="BL243" s="146"/>
      <c r="BM243" s="146"/>
      <c r="BN243" s="146"/>
      <c r="BO243" s="146"/>
      <c r="BP243" s="146"/>
      <c r="BQ243" s="146"/>
      <c r="BR243" s="146"/>
      <c r="BS243" s="146"/>
      <c r="BT243" s="146"/>
      <c r="BU243" s="146"/>
      <c r="BV243" s="146"/>
      <c r="BW243" s="146"/>
      <c r="BX243" s="146"/>
      <c r="BY243" s="146"/>
      <c r="BZ243" s="146"/>
      <c r="CA243" s="146"/>
      <c r="CB243" s="146"/>
      <c r="CC243" s="146"/>
      <c r="CD243" s="146"/>
      <c r="CE243" s="146"/>
      <c r="CF243" s="146"/>
      <c r="CG243" s="146"/>
      <c r="CH243" s="146"/>
      <c r="CI243" s="146"/>
      <c r="CJ243" s="146"/>
      <c r="CK243" s="146"/>
      <c r="CL243" s="146"/>
      <c r="CM243" s="146"/>
      <c r="CN243" s="146"/>
      <c r="CO243" s="146"/>
      <c r="CP243" s="146"/>
      <c r="CQ243" s="146"/>
      <c r="CR243" s="146"/>
      <c r="CS243" s="146"/>
      <c r="CT243" s="146"/>
      <c r="CU243" s="146"/>
      <c r="CV243" s="146"/>
      <c r="CW243" s="146"/>
      <c r="CX243" s="146"/>
      <c r="CY243" s="146"/>
      <c r="CZ243" s="28"/>
      <c r="DA243" s="14">
        <v>0</v>
      </c>
      <c r="DB243" s="14">
        <v>0</v>
      </c>
      <c r="DC243" s="14">
        <v>0</v>
      </c>
      <c r="DD243" s="14">
        <v>0</v>
      </c>
      <c r="DE243" s="14">
        <v>0</v>
      </c>
      <c r="DF243" s="14">
        <v>0</v>
      </c>
      <c r="DG243" s="14">
        <v>0</v>
      </c>
      <c r="DH243" s="14">
        <v>0</v>
      </c>
      <c r="DI243" s="14">
        <v>0</v>
      </c>
      <c r="DJ243" s="14">
        <v>0</v>
      </c>
      <c r="DK243" s="14">
        <v>0</v>
      </c>
      <c r="DL243" s="14">
        <v>0</v>
      </c>
      <c r="DM243" s="14">
        <v>0</v>
      </c>
      <c r="DN243" s="14">
        <v>0</v>
      </c>
      <c r="DO243" s="14">
        <v>0</v>
      </c>
      <c r="DP243" s="13">
        <f t="shared" si="211"/>
        <v>0</v>
      </c>
      <c r="DU243" s="20">
        <f t="shared" si="210"/>
        <v>0</v>
      </c>
    </row>
    <row r="244" spans="1:125" customFormat="1" ht="20.149999999999999" customHeight="1" x14ac:dyDescent="0.35">
      <c r="A244" s="205">
        <v>60</v>
      </c>
      <c r="B244" s="184" t="s">
        <v>367</v>
      </c>
      <c r="C244" s="144" t="s">
        <v>363</v>
      </c>
      <c r="D244" s="14">
        <v>0</v>
      </c>
      <c r="E244" s="254">
        <f>'LPLPO PROGRAM'!E73</f>
        <v>0</v>
      </c>
      <c r="F244" s="254">
        <f t="shared" si="199"/>
        <v>0</v>
      </c>
      <c r="G244" s="254">
        <f>'PEMAKAIAN UNIT'!R241</f>
        <v>0</v>
      </c>
      <c r="H244" s="14">
        <v>0</v>
      </c>
      <c r="I244" s="14">
        <v>0</v>
      </c>
      <c r="J244" s="14">
        <v>0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09">
        <f t="shared" si="200"/>
        <v>0</v>
      </c>
      <c r="Z244" s="109" t="e">
        <f t="shared" si="201"/>
        <v>#REF!</v>
      </c>
      <c r="AA244" s="109" t="e">
        <f t="shared" si="202"/>
        <v>#REF!</v>
      </c>
      <c r="AB244" s="14">
        <v>0</v>
      </c>
      <c r="AC244" s="109" t="e">
        <f t="shared" si="203"/>
        <v>#REF!</v>
      </c>
      <c r="AD244" s="109">
        <f>'LPLPO PROGRAM'!H73</f>
        <v>0</v>
      </c>
      <c r="AE244" s="111" t="e">
        <f t="shared" si="204"/>
        <v>#REF!</v>
      </c>
      <c r="AF244" s="212"/>
      <c r="AG244" s="212"/>
      <c r="AH244" s="20"/>
      <c r="AI244" s="14">
        <f t="shared" si="212"/>
        <v>0</v>
      </c>
      <c r="AJ244" s="209" t="e">
        <f t="shared" si="213"/>
        <v>#REF!</v>
      </c>
      <c r="AL244" s="14">
        <f t="shared" si="160"/>
        <v>0</v>
      </c>
      <c r="AM244" s="14">
        <f>DISTRIBUSI!D242</f>
        <v>0</v>
      </c>
      <c r="AN244" s="14">
        <f>'PEMAKAIAN UNIT'!D241</f>
        <v>0</v>
      </c>
      <c r="AO244" s="14">
        <f t="shared" si="161"/>
        <v>0</v>
      </c>
      <c r="AP244" s="15">
        <f t="shared" si="162"/>
        <v>0</v>
      </c>
      <c r="AQ244" s="14">
        <f t="shared" si="163"/>
        <v>0</v>
      </c>
      <c r="AR244" s="14">
        <f>DISTRIBUSI!E242</f>
        <v>0</v>
      </c>
      <c r="AS244" s="14">
        <f>'PEMAKAIAN UNIT'!E241</f>
        <v>0</v>
      </c>
      <c r="AT244" s="14">
        <f t="shared" si="164"/>
        <v>0</v>
      </c>
      <c r="AU244" s="15">
        <f t="shared" si="165"/>
        <v>0</v>
      </c>
      <c r="AV244" s="14">
        <f t="shared" si="166"/>
        <v>0</v>
      </c>
      <c r="AW244" s="14">
        <f>DISTRIBUSI!F242</f>
        <v>0</v>
      </c>
      <c r="AX244" s="14">
        <f>'PEMAKAIAN UNIT'!F241</f>
        <v>0</v>
      </c>
      <c r="AY244" s="14">
        <f t="shared" si="167"/>
        <v>0</v>
      </c>
      <c r="AZ244" s="15">
        <f t="shared" si="168"/>
        <v>0</v>
      </c>
      <c r="BA244" s="14">
        <f t="shared" si="169"/>
        <v>0</v>
      </c>
      <c r="BB244" s="14">
        <f>DISTRIBUSI!G242</f>
        <v>0</v>
      </c>
      <c r="BC244" s="14">
        <f>'PEMAKAIAN UNIT'!G241</f>
        <v>0</v>
      </c>
      <c r="BD244" s="14">
        <f t="shared" si="170"/>
        <v>0</v>
      </c>
      <c r="BE244" s="15">
        <f t="shared" si="171"/>
        <v>0</v>
      </c>
      <c r="BF244" s="14">
        <f t="shared" si="172"/>
        <v>0</v>
      </c>
      <c r="BG244" s="14">
        <f>DISTRIBUSI!H242</f>
        <v>0</v>
      </c>
      <c r="BH244" s="14">
        <f>'PEMAKAIAN UNIT'!H241</f>
        <v>0</v>
      </c>
      <c r="BI244" s="14">
        <f t="shared" si="173"/>
        <v>0</v>
      </c>
      <c r="BJ244" s="15">
        <f t="shared" si="174"/>
        <v>0</v>
      </c>
      <c r="BK244" s="14">
        <f t="shared" si="175"/>
        <v>0</v>
      </c>
      <c r="BL244" s="14">
        <f>DISTRIBUSI!I242</f>
        <v>0</v>
      </c>
      <c r="BM244" s="14">
        <f>'PEMAKAIAN UNIT'!I241</f>
        <v>0</v>
      </c>
      <c r="BN244" s="14">
        <f t="shared" si="176"/>
        <v>0</v>
      </c>
      <c r="BO244" s="15">
        <f t="shared" si="177"/>
        <v>0</v>
      </c>
      <c r="BP244" s="14">
        <f t="shared" si="178"/>
        <v>0</v>
      </c>
      <c r="BQ244" s="14">
        <f>DISTRIBUSI!J242</f>
        <v>0</v>
      </c>
      <c r="BR244" s="14">
        <f>'PEMAKAIAN UNIT'!J241</f>
        <v>0</v>
      </c>
      <c r="BS244" s="14">
        <f t="shared" si="179"/>
        <v>0</v>
      </c>
      <c r="BT244" s="15">
        <f t="shared" si="180"/>
        <v>0</v>
      </c>
      <c r="BU244" s="14">
        <f t="shared" si="181"/>
        <v>0</v>
      </c>
      <c r="BV244" s="14">
        <f>DISTRIBUSI!K242</f>
        <v>0</v>
      </c>
      <c r="BW244" s="14">
        <f>'PEMAKAIAN UNIT'!K241</f>
        <v>0</v>
      </c>
      <c r="BX244" s="14">
        <f t="shared" si="182"/>
        <v>0</v>
      </c>
      <c r="BY244" s="15">
        <f t="shared" si="183"/>
        <v>0</v>
      </c>
      <c r="BZ244" s="14">
        <f t="shared" si="184"/>
        <v>0</v>
      </c>
      <c r="CA244" s="14">
        <f>DISTRIBUSI!L242</f>
        <v>0</v>
      </c>
      <c r="CB244" s="14">
        <f>'PEMAKAIAN UNIT'!L241</f>
        <v>0</v>
      </c>
      <c r="CC244" s="14">
        <f t="shared" si="185"/>
        <v>0</v>
      </c>
      <c r="CD244" s="15">
        <f t="shared" si="186"/>
        <v>0</v>
      </c>
      <c r="CE244" s="14">
        <f t="shared" si="187"/>
        <v>0</v>
      </c>
      <c r="CF244" s="14">
        <f>DISTRIBUSI!M242</f>
        <v>0</v>
      </c>
      <c r="CG244" s="14">
        <f>'PEMAKAIAN UNIT'!M241</f>
        <v>0</v>
      </c>
      <c r="CH244" s="14">
        <f t="shared" si="188"/>
        <v>0</v>
      </c>
      <c r="CI244" s="15">
        <f t="shared" si="189"/>
        <v>0</v>
      </c>
      <c r="CJ244" s="14">
        <f t="shared" si="190"/>
        <v>0</v>
      </c>
      <c r="CK244" s="14" t="e">
        <f>DISTRIBUSI!#REF!</f>
        <v>#REF!</v>
      </c>
      <c r="CL244" s="14">
        <f>'PEMAKAIAN UNIT'!N241</f>
        <v>0</v>
      </c>
      <c r="CM244" s="14" t="e">
        <f t="shared" si="191"/>
        <v>#REF!</v>
      </c>
      <c r="CN244" s="15" t="e">
        <f t="shared" si="192"/>
        <v>#REF!</v>
      </c>
      <c r="CO244" s="14" t="e">
        <f>DL244+DISTRIBUSI!#REF!-'PEMAKAIAN UNIT'!O241</f>
        <v>#REF!</v>
      </c>
      <c r="CP244" s="15" t="e">
        <f t="shared" si="193"/>
        <v>#REF!</v>
      </c>
      <c r="CQ244" s="226">
        <f t="shared" si="194"/>
        <v>0</v>
      </c>
      <c r="CR244" s="226">
        <f>DISTRIBUSI!R242</f>
        <v>0</v>
      </c>
      <c r="CS244" s="226">
        <f>'PEMAKAIAN UNIT'!P241</f>
        <v>0</v>
      </c>
      <c r="CT244" s="14">
        <f t="shared" si="195"/>
        <v>0</v>
      </c>
      <c r="CU244" s="15">
        <f t="shared" si="196"/>
        <v>0</v>
      </c>
      <c r="CV244" s="14" t="e">
        <f>DN244+DISTRIBUSI!#REF!-'PEMAKAIAN UNIT'!Q241</f>
        <v>#REF!</v>
      </c>
      <c r="CW244" s="15" t="e">
        <f t="shared" si="197"/>
        <v>#REF!</v>
      </c>
      <c r="CX244" s="14">
        <f>DO244+'LPLPO PROGRAM'!E73-'LPLPO PROGRAM'!G73</f>
        <v>0</v>
      </c>
      <c r="CY244" s="15">
        <f t="shared" si="198"/>
        <v>0</v>
      </c>
      <c r="CZ244" s="28"/>
      <c r="DA244" s="14">
        <v>0</v>
      </c>
      <c r="DB244" s="14">
        <v>0</v>
      </c>
      <c r="DC244" s="14">
        <v>0</v>
      </c>
      <c r="DD244" s="14">
        <v>0</v>
      </c>
      <c r="DE244" s="14">
        <v>0</v>
      </c>
      <c r="DF244" s="14">
        <v>0</v>
      </c>
      <c r="DG244" s="14">
        <v>0</v>
      </c>
      <c r="DH244" s="14">
        <v>0</v>
      </c>
      <c r="DI244" s="14">
        <v>0</v>
      </c>
      <c r="DJ244" s="14">
        <v>0</v>
      </c>
      <c r="DK244" s="14">
        <v>0</v>
      </c>
      <c r="DL244" s="14">
        <v>0</v>
      </c>
      <c r="DM244" s="14">
        <v>0</v>
      </c>
      <c r="DN244" s="14">
        <v>0</v>
      </c>
      <c r="DO244" s="14">
        <v>0</v>
      </c>
      <c r="DP244" s="13">
        <f t="shared" si="211"/>
        <v>0</v>
      </c>
      <c r="DU244" s="20" t="e">
        <f t="shared" si="210"/>
        <v>#REF!</v>
      </c>
    </row>
    <row r="245" spans="1:125" customFormat="1" ht="20.149999999999999" customHeight="1" x14ac:dyDescent="0.35">
      <c r="A245" s="205">
        <v>61</v>
      </c>
      <c r="B245" s="184" t="s">
        <v>302</v>
      </c>
      <c r="C245" s="144" t="s">
        <v>294</v>
      </c>
      <c r="D245" s="14">
        <v>0</v>
      </c>
      <c r="E245" s="254">
        <f>'LPLPO PROGRAM'!E74</f>
        <v>0</v>
      </c>
      <c r="F245" s="254">
        <f t="shared" si="199"/>
        <v>0</v>
      </c>
      <c r="G245" s="254">
        <f>'PEMAKAIAN UNIT'!R242</f>
        <v>0</v>
      </c>
      <c r="H245" s="14">
        <v>0</v>
      </c>
      <c r="I245" s="14">
        <v>0</v>
      </c>
      <c r="J245" s="14">
        <v>0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09">
        <f t="shared" si="200"/>
        <v>0</v>
      </c>
      <c r="Z245" s="109" t="e">
        <f t="shared" si="201"/>
        <v>#REF!</v>
      </c>
      <c r="AA245" s="109" t="e">
        <f t="shared" si="202"/>
        <v>#REF!</v>
      </c>
      <c r="AB245" s="14">
        <v>0</v>
      </c>
      <c r="AC245" s="109" t="e">
        <f t="shared" si="203"/>
        <v>#REF!</v>
      </c>
      <c r="AD245" s="109">
        <f>'LPLPO PROGRAM'!H74</f>
        <v>0</v>
      </c>
      <c r="AE245" s="111" t="e">
        <f t="shared" si="204"/>
        <v>#REF!</v>
      </c>
      <c r="AF245" s="212"/>
      <c r="AG245" s="212"/>
      <c r="AH245" s="20"/>
      <c r="AI245" s="14">
        <f t="shared" si="212"/>
        <v>0</v>
      </c>
      <c r="AJ245" s="209" t="e">
        <f t="shared" si="213"/>
        <v>#REF!</v>
      </c>
      <c r="AL245" s="14">
        <f t="shared" si="160"/>
        <v>0</v>
      </c>
      <c r="AM245" s="14">
        <f>DISTRIBUSI!D243</f>
        <v>0</v>
      </c>
      <c r="AN245" s="14">
        <f>'PEMAKAIAN UNIT'!D242</f>
        <v>0</v>
      </c>
      <c r="AO245" s="14">
        <f t="shared" si="161"/>
        <v>0</v>
      </c>
      <c r="AP245" s="15">
        <f t="shared" si="162"/>
        <v>0</v>
      </c>
      <c r="AQ245" s="14">
        <f t="shared" si="163"/>
        <v>0</v>
      </c>
      <c r="AR245" s="14">
        <f>DISTRIBUSI!E243</f>
        <v>0</v>
      </c>
      <c r="AS245" s="14">
        <f>'PEMAKAIAN UNIT'!E242</f>
        <v>0</v>
      </c>
      <c r="AT245" s="14">
        <f t="shared" si="164"/>
        <v>0</v>
      </c>
      <c r="AU245" s="15">
        <f t="shared" si="165"/>
        <v>0</v>
      </c>
      <c r="AV245" s="14">
        <f t="shared" si="166"/>
        <v>0</v>
      </c>
      <c r="AW245" s="14">
        <f>DISTRIBUSI!F243</f>
        <v>0</v>
      </c>
      <c r="AX245" s="14">
        <f>'PEMAKAIAN UNIT'!F242</f>
        <v>0</v>
      </c>
      <c r="AY245" s="14">
        <f t="shared" si="167"/>
        <v>0</v>
      </c>
      <c r="AZ245" s="15">
        <f t="shared" si="168"/>
        <v>0</v>
      </c>
      <c r="BA245" s="14">
        <f t="shared" si="169"/>
        <v>0</v>
      </c>
      <c r="BB245" s="14">
        <f>DISTRIBUSI!G243</f>
        <v>0</v>
      </c>
      <c r="BC245" s="14">
        <f>'PEMAKAIAN UNIT'!G242</f>
        <v>0</v>
      </c>
      <c r="BD245" s="14">
        <f t="shared" si="170"/>
        <v>0</v>
      </c>
      <c r="BE245" s="15">
        <f t="shared" si="171"/>
        <v>0</v>
      </c>
      <c r="BF245" s="14">
        <f t="shared" si="172"/>
        <v>0</v>
      </c>
      <c r="BG245" s="14">
        <f>DISTRIBUSI!H243</f>
        <v>0</v>
      </c>
      <c r="BH245" s="14">
        <f>'PEMAKAIAN UNIT'!H242</f>
        <v>0</v>
      </c>
      <c r="BI245" s="14">
        <f t="shared" si="173"/>
        <v>0</v>
      </c>
      <c r="BJ245" s="15">
        <f t="shared" si="174"/>
        <v>0</v>
      </c>
      <c r="BK245" s="14">
        <f t="shared" si="175"/>
        <v>0</v>
      </c>
      <c r="BL245" s="14">
        <f>DISTRIBUSI!I243</f>
        <v>0</v>
      </c>
      <c r="BM245" s="14">
        <f>'PEMAKAIAN UNIT'!I242</f>
        <v>0</v>
      </c>
      <c r="BN245" s="14">
        <f t="shared" si="176"/>
        <v>0</v>
      </c>
      <c r="BO245" s="15">
        <f t="shared" si="177"/>
        <v>0</v>
      </c>
      <c r="BP245" s="14">
        <f t="shared" si="178"/>
        <v>0</v>
      </c>
      <c r="BQ245" s="14">
        <f>DISTRIBUSI!J243</f>
        <v>0</v>
      </c>
      <c r="BR245" s="14">
        <f>'PEMAKAIAN UNIT'!J242</f>
        <v>0</v>
      </c>
      <c r="BS245" s="14">
        <f t="shared" si="179"/>
        <v>0</v>
      </c>
      <c r="BT245" s="15">
        <f t="shared" si="180"/>
        <v>0</v>
      </c>
      <c r="BU245" s="14">
        <f t="shared" si="181"/>
        <v>0</v>
      </c>
      <c r="BV245" s="14">
        <f>DISTRIBUSI!K243</f>
        <v>0</v>
      </c>
      <c r="BW245" s="14">
        <f>'PEMAKAIAN UNIT'!K242</f>
        <v>0</v>
      </c>
      <c r="BX245" s="14">
        <f t="shared" si="182"/>
        <v>0</v>
      </c>
      <c r="BY245" s="15">
        <f t="shared" si="183"/>
        <v>0</v>
      </c>
      <c r="BZ245" s="14">
        <f t="shared" si="184"/>
        <v>0</v>
      </c>
      <c r="CA245" s="14">
        <f>DISTRIBUSI!L243</f>
        <v>0</v>
      </c>
      <c r="CB245" s="14">
        <f>'PEMAKAIAN UNIT'!L242</f>
        <v>0</v>
      </c>
      <c r="CC245" s="14">
        <f t="shared" si="185"/>
        <v>0</v>
      </c>
      <c r="CD245" s="15">
        <f t="shared" si="186"/>
        <v>0</v>
      </c>
      <c r="CE245" s="14">
        <f t="shared" si="187"/>
        <v>0</v>
      </c>
      <c r="CF245" s="14">
        <f>DISTRIBUSI!M243</f>
        <v>0</v>
      </c>
      <c r="CG245" s="14">
        <f>'PEMAKAIAN UNIT'!M242</f>
        <v>0</v>
      </c>
      <c r="CH245" s="14">
        <f t="shared" si="188"/>
        <v>0</v>
      </c>
      <c r="CI245" s="15">
        <f t="shared" si="189"/>
        <v>0</v>
      </c>
      <c r="CJ245" s="14">
        <f t="shared" si="190"/>
        <v>0</v>
      </c>
      <c r="CK245" s="14" t="e">
        <f>DISTRIBUSI!#REF!</f>
        <v>#REF!</v>
      </c>
      <c r="CL245" s="14">
        <f>'PEMAKAIAN UNIT'!N242</f>
        <v>0</v>
      </c>
      <c r="CM245" s="14" t="e">
        <f t="shared" si="191"/>
        <v>#REF!</v>
      </c>
      <c r="CN245" s="15" t="e">
        <f t="shared" si="192"/>
        <v>#REF!</v>
      </c>
      <c r="CO245" s="14" t="e">
        <f>DL245+DISTRIBUSI!#REF!-'PEMAKAIAN UNIT'!O242</f>
        <v>#REF!</v>
      </c>
      <c r="CP245" s="15" t="e">
        <f t="shared" si="193"/>
        <v>#REF!</v>
      </c>
      <c r="CQ245" s="226">
        <f t="shared" si="194"/>
        <v>0</v>
      </c>
      <c r="CR245" s="226">
        <f>DISTRIBUSI!R243</f>
        <v>0</v>
      </c>
      <c r="CS245" s="226">
        <f>'PEMAKAIAN UNIT'!P242</f>
        <v>0</v>
      </c>
      <c r="CT245" s="14">
        <f t="shared" si="195"/>
        <v>0</v>
      </c>
      <c r="CU245" s="15">
        <f t="shared" si="196"/>
        <v>0</v>
      </c>
      <c r="CV245" s="14" t="e">
        <f>DN245+DISTRIBUSI!#REF!-'PEMAKAIAN UNIT'!Q242</f>
        <v>#REF!</v>
      </c>
      <c r="CW245" s="15" t="e">
        <f t="shared" si="197"/>
        <v>#REF!</v>
      </c>
      <c r="CX245" s="14">
        <f>DO245+'LPLPO PROGRAM'!E74-'LPLPO PROGRAM'!G74</f>
        <v>0</v>
      </c>
      <c r="CY245" s="15">
        <f t="shared" si="198"/>
        <v>0</v>
      </c>
      <c r="CZ245" s="28"/>
      <c r="DA245" s="14">
        <v>0</v>
      </c>
      <c r="DB245" s="14">
        <v>0</v>
      </c>
      <c r="DC245" s="14">
        <v>0</v>
      </c>
      <c r="DD245" s="14">
        <v>0</v>
      </c>
      <c r="DE245" s="14">
        <v>0</v>
      </c>
      <c r="DF245" s="14">
        <v>0</v>
      </c>
      <c r="DG245" s="14">
        <v>0</v>
      </c>
      <c r="DH245" s="14">
        <v>0</v>
      </c>
      <c r="DI245" s="14">
        <v>0</v>
      </c>
      <c r="DJ245" s="14">
        <v>0</v>
      </c>
      <c r="DK245" s="14">
        <v>0</v>
      </c>
      <c r="DL245" s="14">
        <v>0</v>
      </c>
      <c r="DM245" s="14">
        <v>0</v>
      </c>
      <c r="DN245" s="14">
        <v>0</v>
      </c>
      <c r="DO245" s="14">
        <v>0</v>
      </c>
      <c r="DP245" s="13">
        <f t="shared" si="211"/>
        <v>0</v>
      </c>
      <c r="DU245" s="20" t="e">
        <f t="shared" si="210"/>
        <v>#REF!</v>
      </c>
    </row>
    <row r="246" spans="1:125" customFormat="1" ht="20.149999999999999" customHeight="1" x14ac:dyDescent="0.35">
      <c r="A246" s="205">
        <v>62</v>
      </c>
      <c r="B246" s="184" t="s">
        <v>364</v>
      </c>
      <c r="C246" s="144" t="s">
        <v>6</v>
      </c>
      <c r="D246" s="14">
        <v>0</v>
      </c>
      <c r="E246" s="254">
        <f>'LPLPO PROGRAM'!E75</f>
        <v>0</v>
      </c>
      <c r="F246" s="254">
        <f t="shared" si="199"/>
        <v>0</v>
      </c>
      <c r="G246" s="254">
        <f>'PEMAKAIAN UNIT'!R243</f>
        <v>0</v>
      </c>
      <c r="H246" s="14">
        <v>0</v>
      </c>
      <c r="I246" s="14">
        <v>0</v>
      </c>
      <c r="J246" s="14">
        <v>0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09">
        <f t="shared" si="200"/>
        <v>0</v>
      </c>
      <c r="Z246" s="109" t="e">
        <f t="shared" si="201"/>
        <v>#REF!</v>
      </c>
      <c r="AA246" s="109" t="e">
        <f t="shared" si="202"/>
        <v>#REF!</v>
      </c>
      <c r="AB246" s="14">
        <v>0</v>
      </c>
      <c r="AC246" s="109" t="e">
        <f t="shared" si="203"/>
        <v>#REF!</v>
      </c>
      <c r="AD246" s="109">
        <f>'LPLPO PROGRAM'!H75</f>
        <v>0</v>
      </c>
      <c r="AE246" s="111" t="e">
        <f t="shared" si="204"/>
        <v>#REF!</v>
      </c>
      <c r="AF246" s="212"/>
      <c r="AG246" s="212"/>
      <c r="AH246" s="20"/>
      <c r="AI246" s="14">
        <f t="shared" si="212"/>
        <v>0</v>
      </c>
      <c r="AJ246" s="209" t="e">
        <f t="shared" si="213"/>
        <v>#REF!</v>
      </c>
      <c r="AL246" s="14">
        <f t="shared" si="160"/>
        <v>0</v>
      </c>
      <c r="AM246" s="14">
        <f>DISTRIBUSI!D244</f>
        <v>0</v>
      </c>
      <c r="AN246" s="14">
        <f>'PEMAKAIAN UNIT'!D243</f>
        <v>0</v>
      </c>
      <c r="AO246" s="14">
        <f t="shared" si="161"/>
        <v>0</v>
      </c>
      <c r="AP246" s="15">
        <f t="shared" si="162"/>
        <v>0</v>
      </c>
      <c r="AQ246" s="14">
        <f t="shared" si="163"/>
        <v>0</v>
      </c>
      <c r="AR246" s="14">
        <f>DISTRIBUSI!E244</f>
        <v>0</v>
      </c>
      <c r="AS246" s="14">
        <f>'PEMAKAIAN UNIT'!E243</f>
        <v>0</v>
      </c>
      <c r="AT246" s="14">
        <f t="shared" si="164"/>
        <v>0</v>
      </c>
      <c r="AU246" s="15">
        <f t="shared" si="165"/>
        <v>0</v>
      </c>
      <c r="AV246" s="14">
        <f t="shared" si="166"/>
        <v>0</v>
      </c>
      <c r="AW246" s="14">
        <f>DISTRIBUSI!F244</f>
        <v>0</v>
      </c>
      <c r="AX246" s="14">
        <f>'PEMAKAIAN UNIT'!F243</f>
        <v>0</v>
      </c>
      <c r="AY246" s="14">
        <f t="shared" si="167"/>
        <v>0</v>
      </c>
      <c r="AZ246" s="15">
        <f t="shared" si="168"/>
        <v>0</v>
      </c>
      <c r="BA246" s="14">
        <f t="shared" si="169"/>
        <v>0</v>
      </c>
      <c r="BB246" s="14">
        <f>DISTRIBUSI!G244</f>
        <v>0</v>
      </c>
      <c r="BC246" s="14">
        <f>'PEMAKAIAN UNIT'!G243</f>
        <v>0</v>
      </c>
      <c r="BD246" s="14">
        <f t="shared" si="170"/>
        <v>0</v>
      </c>
      <c r="BE246" s="15">
        <f t="shared" si="171"/>
        <v>0</v>
      </c>
      <c r="BF246" s="14">
        <f t="shared" si="172"/>
        <v>0</v>
      </c>
      <c r="BG246" s="14">
        <f>DISTRIBUSI!H244</f>
        <v>0</v>
      </c>
      <c r="BH246" s="14">
        <f>'PEMAKAIAN UNIT'!H243</f>
        <v>0</v>
      </c>
      <c r="BI246" s="14">
        <f t="shared" si="173"/>
        <v>0</v>
      </c>
      <c r="BJ246" s="15">
        <f t="shared" si="174"/>
        <v>0</v>
      </c>
      <c r="BK246" s="14">
        <f t="shared" si="175"/>
        <v>0</v>
      </c>
      <c r="BL246" s="14">
        <f>DISTRIBUSI!I244</f>
        <v>0</v>
      </c>
      <c r="BM246" s="14">
        <f>'PEMAKAIAN UNIT'!I243</f>
        <v>0</v>
      </c>
      <c r="BN246" s="14">
        <f t="shared" si="176"/>
        <v>0</v>
      </c>
      <c r="BO246" s="15">
        <f t="shared" si="177"/>
        <v>0</v>
      </c>
      <c r="BP246" s="14">
        <f t="shared" si="178"/>
        <v>0</v>
      </c>
      <c r="BQ246" s="14">
        <f>DISTRIBUSI!J244</f>
        <v>0</v>
      </c>
      <c r="BR246" s="14">
        <f>'PEMAKAIAN UNIT'!J243</f>
        <v>0</v>
      </c>
      <c r="BS246" s="14">
        <f t="shared" si="179"/>
        <v>0</v>
      </c>
      <c r="BT246" s="15">
        <f t="shared" si="180"/>
        <v>0</v>
      </c>
      <c r="BU246" s="14">
        <f t="shared" si="181"/>
        <v>0</v>
      </c>
      <c r="BV246" s="14">
        <f>DISTRIBUSI!K244</f>
        <v>0</v>
      </c>
      <c r="BW246" s="14">
        <f>'PEMAKAIAN UNIT'!K243</f>
        <v>0</v>
      </c>
      <c r="BX246" s="14">
        <f t="shared" si="182"/>
        <v>0</v>
      </c>
      <c r="BY246" s="15">
        <f t="shared" si="183"/>
        <v>0</v>
      </c>
      <c r="BZ246" s="14">
        <f t="shared" si="184"/>
        <v>0</v>
      </c>
      <c r="CA246" s="14">
        <f>DISTRIBUSI!L244</f>
        <v>0</v>
      </c>
      <c r="CB246" s="14">
        <f>'PEMAKAIAN UNIT'!L243</f>
        <v>0</v>
      </c>
      <c r="CC246" s="14">
        <f t="shared" si="185"/>
        <v>0</v>
      </c>
      <c r="CD246" s="15">
        <f t="shared" si="186"/>
        <v>0</v>
      </c>
      <c r="CE246" s="14">
        <f t="shared" si="187"/>
        <v>0</v>
      </c>
      <c r="CF246" s="14">
        <f>DISTRIBUSI!M244</f>
        <v>0</v>
      </c>
      <c r="CG246" s="14">
        <f>'PEMAKAIAN UNIT'!M243</f>
        <v>0</v>
      </c>
      <c r="CH246" s="14">
        <f t="shared" si="188"/>
        <v>0</v>
      </c>
      <c r="CI246" s="15">
        <f t="shared" si="189"/>
        <v>0</v>
      </c>
      <c r="CJ246" s="14">
        <f t="shared" si="190"/>
        <v>0</v>
      </c>
      <c r="CK246" s="14" t="e">
        <f>DISTRIBUSI!#REF!</f>
        <v>#REF!</v>
      </c>
      <c r="CL246" s="14">
        <f>'PEMAKAIAN UNIT'!N243</f>
        <v>0</v>
      </c>
      <c r="CM246" s="14" t="e">
        <f t="shared" si="191"/>
        <v>#REF!</v>
      </c>
      <c r="CN246" s="15" t="e">
        <f t="shared" si="192"/>
        <v>#REF!</v>
      </c>
      <c r="CO246" s="14" t="e">
        <f>DL246+DISTRIBUSI!#REF!-'PEMAKAIAN UNIT'!O243</f>
        <v>#REF!</v>
      </c>
      <c r="CP246" s="15" t="e">
        <f t="shared" si="193"/>
        <v>#REF!</v>
      </c>
      <c r="CQ246" s="226">
        <f t="shared" si="194"/>
        <v>0</v>
      </c>
      <c r="CR246" s="226">
        <f>DISTRIBUSI!R244</f>
        <v>0</v>
      </c>
      <c r="CS246" s="226">
        <f>'PEMAKAIAN UNIT'!P243</f>
        <v>0</v>
      </c>
      <c r="CT246" s="14">
        <f t="shared" si="195"/>
        <v>0</v>
      </c>
      <c r="CU246" s="15">
        <f t="shared" si="196"/>
        <v>0</v>
      </c>
      <c r="CV246" s="14" t="e">
        <f>DN246+DISTRIBUSI!#REF!-'PEMAKAIAN UNIT'!Q243</f>
        <v>#REF!</v>
      </c>
      <c r="CW246" s="15" t="e">
        <f t="shared" si="197"/>
        <v>#REF!</v>
      </c>
      <c r="CX246" s="14">
        <f>DO246+'LPLPO PROGRAM'!E75-'LPLPO PROGRAM'!G75</f>
        <v>0</v>
      </c>
      <c r="CY246" s="15">
        <f t="shared" si="198"/>
        <v>0</v>
      </c>
      <c r="CZ246" s="28"/>
      <c r="DA246" s="14">
        <v>0</v>
      </c>
      <c r="DB246" s="14">
        <v>0</v>
      </c>
      <c r="DC246" s="14">
        <v>0</v>
      </c>
      <c r="DD246" s="14">
        <v>0</v>
      </c>
      <c r="DE246" s="14">
        <v>0</v>
      </c>
      <c r="DF246" s="14">
        <v>0</v>
      </c>
      <c r="DG246" s="14">
        <v>0</v>
      </c>
      <c r="DH246" s="14">
        <v>0</v>
      </c>
      <c r="DI246" s="14">
        <v>0</v>
      </c>
      <c r="DJ246" s="14">
        <v>0</v>
      </c>
      <c r="DK246" s="14">
        <v>0</v>
      </c>
      <c r="DL246" s="14">
        <v>0</v>
      </c>
      <c r="DM246" s="14">
        <v>0</v>
      </c>
      <c r="DN246" s="14">
        <v>0</v>
      </c>
      <c r="DO246" s="14">
        <v>0</v>
      </c>
      <c r="DP246" s="13">
        <f t="shared" si="211"/>
        <v>0</v>
      </c>
      <c r="DU246" s="20" t="e">
        <f t="shared" si="210"/>
        <v>#REF!</v>
      </c>
    </row>
    <row r="247" spans="1:125" customFormat="1" ht="20.149999999999999" customHeight="1" x14ac:dyDescent="0.35">
      <c r="A247" s="205">
        <v>63</v>
      </c>
      <c r="B247" s="184" t="s">
        <v>307</v>
      </c>
      <c r="C247" s="144" t="s">
        <v>6</v>
      </c>
      <c r="D247" s="14">
        <v>0</v>
      </c>
      <c r="E247" s="254">
        <f>'LPLPO PROGRAM'!E76</f>
        <v>0</v>
      </c>
      <c r="F247" s="254">
        <f t="shared" si="199"/>
        <v>0</v>
      </c>
      <c r="G247" s="254">
        <f>'PEMAKAIAN UNIT'!R244</f>
        <v>0</v>
      </c>
      <c r="H247" s="14">
        <v>0</v>
      </c>
      <c r="I247" s="14">
        <v>0</v>
      </c>
      <c r="J247" s="14">
        <v>0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09">
        <f t="shared" si="200"/>
        <v>0</v>
      </c>
      <c r="Z247" s="109" t="e">
        <f t="shared" si="201"/>
        <v>#REF!</v>
      </c>
      <c r="AA247" s="109" t="e">
        <f t="shared" si="202"/>
        <v>#REF!</v>
      </c>
      <c r="AB247" s="14">
        <v>0</v>
      </c>
      <c r="AC247" s="109" t="e">
        <f t="shared" si="203"/>
        <v>#REF!</v>
      </c>
      <c r="AD247" s="109">
        <f>'LPLPO PROGRAM'!H76</f>
        <v>0</v>
      </c>
      <c r="AE247" s="111" t="e">
        <f t="shared" si="204"/>
        <v>#REF!</v>
      </c>
      <c r="AF247" s="212"/>
      <c r="AG247" s="212"/>
      <c r="AH247" s="20"/>
      <c r="AI247" s="14">
        <f t="shared" si="212"/>
        <v>0</v>
      </c>
      <c r="AJ247" s="209" t="e">
        <f t="shared" si="213"/>
        <v>#REF!</v>
      </c>
      <c r="AL247" s="14">
        <f t="shared" si="160"/>
        <v>0</v>
      </c>
      <c r="AM247" s="14">
        <f>DISTRIBUSI!D245</f>
        <v>0</v>
      </c>
      <c r="AN247" s="14">
        <f>'PEMAKAIAN UNIT'!D244</f>
        <v>0</v>
      </c>
      <c r="AO247" s="14">
        <f t="shared" si="161"/>
        <v>0</v>
      </c>
      <c r="AP247" s="15">
        <f t="shared" si="162"/>
        <v>0</v>
      </c>
      <c r="AQ247" s="14">
        <f t="shared" si="163"/>
        <v>0</v>
      </c>
      <c r="AR247" s="14">
        <f>DISTRIBUSI!E245</f>
        <v>0</v>
      </c>
      <c r="AS247" s="14">
        <f>'PEMAKAIAN UNIT'!E244</f>
        <v>0</v>
      </c>
      <c r="AT247" s="14">
        <f t="shared" si="164"/>
        <v>0</v>
      </c>
      <c r="AU247" s="15">
        <f t="shared" si="165"/>
        <v>0</v>
      </c>
      <c r="AV247" s="14">
        <f t="shared" si="166"/>
        <v>0</v>
      </c>
      <c r="AW247" s="14">
        <f>DISTRIBUSI!F245</f>
        <v>0</v>
      </c>
      <c r="AX247" s="14">
        <f>'PEMAKAIAN UNIT'!F244</f>
        <v>0</v>
      </c>
      <c r="AY247" s="14">
        <f t="shared" si="167"/>
        <v>0</v>
      </c>
      <c r="AZ247" s="15">
        <f t="shared" si="168"/>
        <v>0</v>
      </c>
      <c r="BA247" s="14">
        <f t="shared" si="169"/>
        <v>0</v>
      </c>
      <c r="BB247" s="14">
        <f>DISTRIBUSI!G245</f>
        <v>0</v>
      </c>
      <c r="BC247" s="14">
        <f>'PEMAKAIAN UNIT'!G244</f>
        <v>0</v>
      </c>
      <c r="BD247" s="14">
        <f t="shared" si="170"/>
        <v>0</v>
      </c>
      <c r="BE247" s="15">
        <f t="shared" si="171"/>
        <v>0</v>
      </c>
      <c r="BF247" s="14">
        <f t="shared" si="172"/>
        <v>0</v>
      </c>
      <c r="BG247" s="14">
        <f>DISTRIBUSI!H245</f>
        <v>0</v>
      </c>
      <c r="BH247" s="14">
        <f>'PEMAKAIAN UNIT'!H244</f>
        <v>0</v>
      </c>
      <c r="BI247" s="14">
        <f t="shared" si="173"/>
        <v>0</v>
      </c>
      <c r="BJ247" s="15">
        <f t="shared" si="174"/>
        <v>0</v>
      </c>
      <c r="BK247" s="14">
        <f t="shared" si="175"/>
        <v>0</v>
      </c>
      <c r="BL247" s="14">
        <f>DISTRIBUSI!I245</f>
        <v>0</v>
      </c>
      <c r="BM247" s="14">
        <f>'PEMAKAIAN UNIT'!I244</f>
        <v>0</v>
      </c>
      <c r="BN247" s="14">
        <f t="shared" si="176"/>
        <v>0</v>
      </c>
      <c r="BO247" s="15">
        <f t="shared" si="177"/>
        <v>0</v>
      </c>
      <c r="BP247" s="14">
        <f t="shared" si="178"/>
        <v>0</v>
      </c>
      <c r="BQ247" s="14">
        <f>DISTRIBUSI!J245</f>
        <v>0</v>
      </c>
      <c r="BR247" s="14">
        <f>'PEMAKAIAN UNIT'!J244</f>
        <v>0</v>
      </c>
      <c r="BS247" s="14">
        <f t="shared" si="179"/>
        <v>0</v>
      </c>
      <c r="BT247" s="15">
        <f t="shared" si="180"/>
        <v>0</v>
      </c>
      <c r="BU247" s="14">
        <f t="shared" si="181"/>
        <v>0</v>
      </c>
      <c r="BV247" s="14">
        <f>DISTRIBUSI!K245</f>
        <v>0</v>
      </c>
      <c r="BW247" s="14">
        <f>'PEMAKAIAN UNIT'!K244</f>
        <v>0</v>
      </c>
      <c r="BX247" s="14">
        <f t="shared" si="182"/>
        <v>0</v>
      </c>
      <c r="BY247" s="15">
        <f t="shared" si="183"/>
        <v>0</v>
      </c>
      <c r="BZ247" s="14">
        <f t="shared" si="184"/>
        <v>0</v>
      </c>
      <c r="CA247" s="14">
        <f>DISTRIBUSI!L245</f>
        <v>0</v>
      </c>
      <c r="CB247" s="14">
        <f>'PEMAKAIAN UNIT'!L244</f>
        <v>0</v>
      </c>
      <c r="CC247" s="14">
        <f t="shared" si="185"/>
        <v>0</v>
      </c>
      <c r="CD247" s="15">
        <f t="shared" si="186"/>
        <v>0</v>
      </c>
      <c r="CE247" s="14">
        <f t="shared" si="187"/>
        <v>0</v>
      </c>
      <c r="CF247" s="14">
        <f>DISTRIBUSI!M245</f>
        <v>0</v>
      </c>
      <c r="CG247" s="14">
        <f>'PEMAKAIAN UNIT'!M244</f>
        <v>0</v>
      </c>
      <c r="CH247" s="14">
        <f t="shared" si="188"/>
        <v>0</v>
      </c>
      <c r="CI247" s="15">
        <f t="shared" si="189"/>
        <v>0</v>
      </c>
      <c r="CJ247" s="14">
        <f t="shared" si="190"/>
        <v>0</v>
      </c>
      <c r="CK247" s="14" t="e">
        <f>DISTRIBUSI!#REF!</f>
        <v>#REF!</v>
      </c>
      <c r="CL247" s="14">
        <f>'PEMAKAIAN UNIT'!N244</f>
        <v>0</v>
      </c>
      <c r="CM247" s="14" t="e">
        <f t="shared" si="191"/>
        <v>#REF!</v>
      </c>
      <c r="CN247" s="15" t="e">
        <f t="shared" si="192"/>
        <v>#REF!</v>
      </c>
      <c r="CO247" s="14" t="e">
        <f>DL247+DISTRIBUSI!#REF!-'PEMAKAIAN UNIT'!O244</f>
        <v>#REF!</v>
      </c>
      <c r="CP247" s="15" t="e">
        <f t="shared" si="193"/>
        <v>#REF!</v>
      </c>
      <c r="CQ247" s="226">
        <f t="shared" si="194"/>
        <v>0</v>
      </c>
      <c r="CR247" s="226">
        <f>DISTRIBUSI!R245</f>
        <v>0</v>
      </c>
      <c r="CS247" s="226">
        <f>'PEMAKAIAN UNIT'!P244</f>
        <v>0</v>
      </c>
      <c r="CT247" s="14">
        <f t="shared" si="195"/>
        <v>0</v>
      </c>
      <c r="CU247" s="15">
        <f t="shared" si="196"/>
        <v>0</v>
      </c>
      <c r="CV247" s="14" t="e">
        <f>DN247+DISTRIBUSI!#REF!-'PEMAKAIAN UNIT'!Q244</f>
        <v>#REF!</v>
      </c>
      <c r="CW247" s="15" t="e">
        <f t="shared" si="197"/>
        <v>#REF!</v>
      </c>
      <c r="CX247" s="14">
        <f>DO247+'LPLPO PROGRAM'!E76-'LPLPO PROGRAM'!G76</f>
        <v>0</v>
      </c>
      <c r="CY247" s="15">
        <f t="shared" si="198"/>
        <v>0</v>
      </c>
      <c r="CZ247" s="28"/>
      <c r="DA247" s="14">
        <v>0</v>
      </c>
      <c r="DB247" s="14">
        <v>0</v>
      </c>
      <c r="DC247" s="14">
        <v>0</v>
      </c>
      <c r="DD247" s="14">
        <v>0</v>
      </c>
      <c r="DE247" s="14">
        <v>0</v>
      </c>
      <c r="DF247" s="14">
        <v>0</v>
      </c>
      <c r="DG247" s="14">
        <v>0</v>
      </c>
      <c r="DH247" s="14">
        <v>0</v>
      </c>
      <c r="DI247" s="14">
        <v>0</v>
      </c>
      <c r="DJ247" s="14">
        <v>0</v>
      </c>
      <c r="DK247" s="14">
        <v>0</v>
      </c>
      <c r="DL247" s="14">
        <v>0</v>
      </c>
      <c r="DM247" s="14">
        <v>0</v>
      </c>
      <c r="DN247" s="14">
        <v>0</v>
      </c>
      <c r="DO247" s="14">
        <v>0</v>
      </c>
      <c r="DP247" s="13">
        <f t="shared" si="211"/>
        <v>0</v>
      </c>
      <c r="DU247" s="20" t="e">
        <f t="shared" si="210"/>
        <v>#REF!</v>
      </c>
    </row>
    <row r="248" spans="1:125" customFormat="1" ht="20.149999999999999" customHeight="1" x14ac:dyDescent="0.35">
      <c r="A248" s="205">
        <v>64</v>
      </c>
      <c r="B248" s="184" t="s">
        <v>366</v>
      </c>
      <c r="C248" s="144" t="s">
        <v>6</v>
      </c>
      <c r="D248" s="14">
        <v>0</v>
      </c>
      <c r="E248" s="254">
        <f>'LPLPO PROGRAM'!E77</f>
        <v>0</v>
      </c>
      <c r="F248" s="254">
        <f t="shared" si="199"/>
        <v>0</v>
      </c>
      <c r="G248" s="254">
        <f>'PEMAKAIAN UNIT'!R245</f>
        <v>0</v>
      </c>
      <c r="H248" s="14">
        <v>0</v>
      </c>
      <c r="I248" s="14">
        <v>0</v>
      </c>
      <c r="J248" s="14">
        <v>0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09">
        <f t="shared" si="200"/>
        <v>0</v>
      </c>
      <c r="Z248" s="109" t="e">
        <f t="shared" si="201"/>
        <v>#REF!</v>
      </c>
      <c r="AA248" s="109" t="e">
        <f t="shared" si="202"/>
        <v>#REF!</v>
      </c>
      <c r="AB248" s="14">
        <v>0</v>
      </c>
      <c r="AC248" s="109" t="e">
        <f t="shared" si="203"/>
        <v>#REF!</v>
      </c>
      <c r="AD248" s="109">
        <f>'LPLPO PROGRAM'!H77</f>
        <v>0</v>
      </c>
      <c r="AE248" s="111" t="e">
        <f t="shared" si="204"/>
        <v>#REF!</v>
      </c>
      <c r="AF248" s="212"/>
      <c r="AG248" s="212"/>
      <c r="AH248" s="20"/>
      <c r="AI248" s="14">
        <f t="shared" si="212"/>
        <v>0</v>
      </c>
      <c r="AJ248" s="209" t="e">
        <f t="shared" si="213"/>
        <v>#REF!</v>
      </c>
      <c r="AL248" s="14">
        <f t="shared" ref="AL248:AL311" si="214">DA248</f>
        <v>0</v>
      </c>
      <c r="AM248" s="14">
        <f>DISTRIBUSI!D246</f>
        <v>0</v>
      </c>
      <c r="AN248" s="14">
        <f>'PEMAKAIAN UNIT'!D245</f>
        <v>0</v>
      </c>
      <c r="AO248" s="14">
        <f t="shared" ref="AO248:AO311" si="215">AL248+AM248-AN248</f>
        <v>0</v>
      </c>
      <c r="AP248" s="15">
        <f t="shared" ref="AP248:AP311" si="216">AO248-H248</f>
        <v>0</v>
      </c>
      <c r="AQ248" s="14">
        <f t="shared" ref="AQ248:AQ311" si="217">DB248</f>
        <v>0</v>
      </c>
      <c r="AR248" s="14">
        <f>DISTRIBUSI!E246</f>
        <v>0</v>
      </c>
      <c r="AS248" s="14">
        <f>'PEMAKAIAN UNIT'!E245</f>
        <v>0</v>
      </c>
      <c r="AT248" s="14">
        <f t="shared" ref="AT248:AT311" si="218">AQ248+AR248-AS248</f>
        <v>0</v>
      </c>
      <c r="AU248" s="15">
        <f t="shared" ref="AU248:AU311" si="219">AT248-I248</f>
        <v>0</v>
      </c>
      <c r="AV248" s="14">
        <f t="shared" ref="AV248:AV311" si="220">DC248</f>
        <v>0</v>
      </c>
      <c r="AW248" s="14">
        <f>DISTRIBUSI!F246</f>
        <v>0</v>
      </c>
      <c r="AX248" s="14">
        <f>'PEMAKAIAN UNIT'!F245</f>
        <v>0</v>
      </c>
      <c r="AY248" s="14">
        <f t="shared" ref="AY248:AY311" si="221">AV248+AW248-AX248</f>
        <v>0</v>
      </c>
      <c r="AZ248" s="15">
        <f t="shared" ref="AZ248:AZ311" si="222">AY248-J248</f>
        <v>0</v>
      </c>
      <c r="BA248" s="14">
        <f t="shared" ref="BA248:BA311" si="223">DD248</f>
        <v>0</v>
      </c>
      <c r="BB248" s="14">
        <f>DISTRIBUSI!G246</f>
        <v>0</v>
      </c>
      <c r="BC248" s="14">
        <f>'PEMAKAIAN UNIT'!G245</f>
        <v>0</v>
      </c>
      <c r="BD248" s="14">
        <f t="shared" ref="BD248:BD311" si="224">BA248+BB248-BC248</f>
        <v>0</v>
      </c>
      <c r="BE248" s="15">
        <f t="shared" ref="BE248:BE311" si="225">BD248-S248</f>
        <v>0</v>
      </c>
      <c r="BF248" s="14">
        <f t="shared" ref="BF248:BF311" si="226">DE248</f>
        <v>0</v>
      </c>
      <c r="BG248" s="14">
        <f>DISTRIBUSI!H246</f>
        <v>0</v>
      </c>
      <c r="BH248" s="14">
        <f>'PEMAKAIAN UNIT'!H245</f>
        <v>0</v>
      </c>
      <c r="BI248" s="14">
        <f t="shared" ref="BI248:BI311" si="227">BF248+BG248-BH248</f>
        <v>0</v>
      </c>
      <c r="BJ248" s="15">
        <f t="shared" ref="BJ248:BJ311" si="228">BI248-T248</f>
        <v>0</v>
      </c>
      <c r="BK248" s="14">
        <f t="shared" ref="BK248:BK311" si="229">DF248</f>
        <v>0</v>
      </c>
      <c r="BL248" s="14">
        <f>DISTRIBUSI!I246</f>
        <v>0</v>
      </c>
      <c r="BM248" s="14">
        <f>'PEMAKAIAN UNIT'!I245</f>
        <v>0</v>
      </c>
      <c r="BN248" s="14">
        <f t="shared" ref="BN248:BN311" si="230">BK248+BL248-BM248</f>
        <v>0</v>
      </c>
      <c r="BO248" s="15">
        <f t="shared" ref="BO248:BO311" si="231">BN248-U248</f>
        <v>0</v>
      </c>
      <c r="BP248" s="14">
        <f t="shared" ref="BP248:BP311" si="232">DG248</f>
        <v>0</v>
      </c>
      <c r="BQ248" s="14">
        <f>DISTRIBUSI!J246</f>
        <v>0</v>
      </c>
      <c r="BR248" s="14">
        <f>'PEMAKAIAN UNIT'!J245</f>
        <v>0</v>
      </c>
      <c r="BS248" s="14">
        <f t="shared" ref="BS248:BS311" si="233">BP248+BQ248-BR248</f>
        <v>0</v>
      </c>
      <c r="BT248" s="15">
        <f t="shared" ref="BT248:BT311" si="234">BS248-V248</f>
        <v>0</v>
      </c>
      <c r="BU248" s="14">
        <f t="shared" ref="BU248:BU311" si="235">DH248</f>
        <v>0</v>
      </c>
      <c r="BV248" s="14">
        <f>DISTRIBUSI!K246</f>
        <v>0</v>
      </c>
      <c r="BW248" s="14">
        <f>'PEMAKAIAN UNIT'!K245</f>
        <v>0</v>
      </c>
      <c r="BX248" s="14">
        <f t="shared" ref="BX248:BX311" si="236">BU248+BV248-BW248</f>
        <v>0</v>
      </c>
      <c r="BY248" s="15">
        <f t="shared" ref="BY248:BY311" si="237">BX248-W248</f>
        <v>0</v>
      </c>
      <c r="BZ248" s="14">
        <f t="shared" ref="BZ248:BZ311" si="238">DI248</f>
        <v>0</v>
      </c>
      <c r="CA248" s="14">
        <f>DISTRIBUSI!L246</f>
        <v>0</v>
      </c>
      <c r="CB248" s="14">
        <f>'PEMAKAIAN UNIT'!L245</f>
        <v>0</v>
      </c>
      <c r="CC248" s="14">
        <f t="shared" ref="CC248:CC311" si="239">BZ248+CA248-CB248</f>
        <v>0</v>
      </c>
      <c r="CD248" s="15">
        <f t="shared" ref="CD248:CD311" si="240">CC248-X248</f>
        <v>0</v>
      </c>
      <c r="CE248" s="14">
        <f t="shared" ref="CE248:CE311" si="241">DJ248</f>
        <v>0</v>
      </c>
      <c r="CF248" s="14">
        <f>DISTRIBUSI!M246</f>
        <v>0</v>
      </c>
      <c r="CG248" s="14">
        <f>'PEMAKAIAN UNIT'!M245</f>
        <v>0</v>
      </c>
      <c r="CH248" s="14">
        <f t="shared" ref="CH248:CH311" si="242">CE248+CF248-CG248</f>
        <v>0</v>
      </c>
      <c r="CI248" s="15">
        <f t="shared" ref="CI248:CI311" si="243">CH248-Y248</f>
        <v>0</v>
      </c>
      <c r="CJ248" s="14">
        <f t="shared" ref="CJ248:CJ311" si="244">DK248</f>
        <v>0</v>
      </c>
      <c r="CK248" s="14" t="e">
        <f>DISTRIBUSI!#REF!</f>
        <v>#REF!</v>
      </c>
      <c r="CL248" s="14">
        <f>'PEMAKAIAN UNIT'!N245</f>
        <v>0</v>
      </c>
      <c r="CM248" s="14" t="e">
        <f t="shared" ref="CM248:CM311" si="245">CJ248+CK248-CL248</f>
        <v>#REF!</v>
      </c>
      <c r="CN248" s="15" t="e">
        <f t="shared" ref="CN248:CN311" si="246">CM248-Z248</f>
        <v>#REF!</v>
      </c>
      <c r="CO248" s="14" t="e">
        <f>DL248+DISTRIBUSI!#REF!-'PEMAKAIAN UNIT'!O245</f>
        <v>#REF!</v>
      </c>
      <c r="CP248" s="15" t="e">
        <f t="shared" ref="CP248:CP311" si="247">CO248-AA248</f>
        <v>#REF!</v>
      </c>
      <c r="CQ248" s="226">
        <f t="shared" ref="CQ248:CQ311" si="248">DM248</f>
        <v>0</v>
      </c>
      <c r="CR248" s="226">
        <f>DISTRIBUSI!R246</f>
        <v>0</v>
      </c>
      <c r="CS248" s="226">
        <f>'PEMAKAIAN UNIT'!P245</f>
        <v>0</v>
      </c>
      <c r="CT248" s="14">
        <f t="shared" ref="CT248:CT311" si="249">CQ248+CR248-CS248</f>
        <v>0</v>
      </c>
      <c r="CU248" s="15">
        <f t="shared" ref="CU248:CU311" si="250">CT248-AB248</f>
        <v>0</v>
      </c>
      <c r="CV248" s="14" t="e">
        <f>DN248+DISTRIBUSI!#REF!-'PEMAKAIAN UNIT'!Q245</f>
        <v>#REF!</v>
      </c>
      <c r="CW248" s="15" t="e">
        <f t="shared" ref="CW248:CW311" si="251">CV248-AC248</f>
        <v>#REF!</v>
      </c>
      <c r="CX248" s="14">
        <f>DO248+'LPLPO PROGRAM'!E77-'LPLPO PROGRAM'!G77</f>
        <v>0</v>
      </c>
      <c r="CY248" s="15">
        <f t="shared" ref="CY248:CY311" si="252">CX248-AD248</f>
        <v>0</v>
      </c>
      <c r="CZ248" s="28"/>
      <c r="DA248" s="14">
        <v>0</v>
      </c>
      <c r="DB248" s="14">
        <v>0</v>
      </c>
      <c r="DC248" s="14">
        <v>0</v>
      </c>
      <c r="DD248" s="14">
        <v>0</v>
      </c>
      <c r="DE248" s="14">
        <v>0</v>
      </c>
      <c r="DF248" s="14">
        <v>0</v>
      </c>
      <c r="DG248" s="14">
        <v>0</v>
      </c>
      <c r="DH248" s="14">
        <v>0</v>
      </c>
      <c r="DI248" s="14">
        <v>0</v>
      </c>
      <c r="DJ248" s="14">
        <v>0</v>
      </c>
      <c r="DK248" s="14">
        <v>0</v>
      </c>
      <c r="DL248" s="14">
        <v>0</v>
      </c>
      <c r="DM248" s="14">
        <v>0</v>
      </c>
      <c r="DN248" s="14">
        <v>0</v>
      </c>
      <c r="DO248" s="14">
        <v>0</v>
      </c>
      <c r="DP248" s="13">
        <f t="shared" si="211"/>
        <v>0</v>
      </c>
      <c r="DU248" s="20" t="e">
        <f t="shared" si="210"/>
        <v>#REF!</v>
      </c>
    </row>
    <row r="249" spans="1:125" customFormat="1" ht="20.149999999999999" customHeight="1" x14ac:dyDescent="0.35">
      <c r="A249" s="205">
        <v>65</v>
      </c>
      <c r="B249" s="184" t="s">
        <v>362</v>
      </c>
      <c r="C249" s="144" t="s">
        <v>363</v>
      </c>
      <c r="D249" s="14">
        <v>0</v>
      </c>
      <c r="E249" s="254">
        <f>'LPLPO PROGRAM'!E78</f>
        <v>0</v>
      </c>
      <c r="F249" s="254">
        <f t="shared" si="199"/>
        <v>0</v>
      </c>
      <c r="G249" s="254">
        <f>'PEMAKAIAN UNIT'!R246</f>
        <v>0</v>
      </c>
      <c r="H249" s="14">
        <v>0</v>
      </c>
      <c r="I249" s="14">
        <v>0</v>
      </c>
      <c r="J249" s="14">
        <v>0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09">
        <f t="shared" si="200"/>
        <v>0</v>
      </c>
      <c r="Z249" s="109" t="e">
        <f t="shared" si="201"/>
        <v>#REF!</v>
      </c>
      <c r="AA249" s="109" t="e">
        <f t="shared" si="202"/>
        <v>#REF!</v>
      </c>
      <c r="AB249" s="14">
        <v>0</v>
      </c>
      <c r="AC249" s="109" t="e">
        <f t="shared" si="203"/>
        <v>#REF!</v>
      </c>
      <c r="AD249" s="109">
        <f>'LPLPO PROGRAM'!H78</f>
        <v>0</v>
      </c>
      <c r="AE249" s="111" t="e">
        <f t="shared" si="204"/>
        <v>#REF!</v>
      </c>
      <c r="AF249" s="212"/>
      <c r="AG249" s="212"/>
      <c r="AH249" s="20"/>
      <c r="AI249" s="14">
        <f t="shared" si="212"/>
        <v>0</v>
      </c>
      <c r="AJ249" s="209" t="e">
        <f t="shared" si="213"/>
        <v>#REF!</v>
      </c>
      <c r="AL249" s="14">
        <f t="shared" si="214"/>
        <v>0</v>
      </c>
      <c r="AM249" s="14">
        <f>DISTRIBUSI!D247</f>
        <v>0</v>
      </c>
      <c r="AN249" s="14">
        <f>'PEMAKAIAN UNIT'!D246</f>
        <v>0</v>
      </c>
      <c r="AO249" s="14">
        <f t="shared" si="215"/>
        <v>0</v>
      </c>
      <c r="AP249" s="15">
        <f t="shared" si="216"/>
        <v>0</v>
      </c>
      <c r="AQ249" s="14">
        <f t="shared" si="217"/>
        <v>0</v>
      </c>
      <c r="AR249" s="14">
        <f>DISTRIBUSI!E247</f>
        <v>0</v>
      </c>
      <c r="AS249" s="14">
        <f>'PEMAKAIAN UNIT'!E246</f>
        <v>0</v>
      </c>
      <c r="AT249" s="14">
        <f t="shared" si="218"/>
        <v>0</v>
      </c>
      <c r="AU249" s="15">
        <f t="shared" si="219"/>
        <v>0</v>
      </c>
      <c r="AV249" s="14">
        <f t="shared" si="220"/>
        <v>0</v>
      </c>
      <c r="AW249" s="14">
        <f>DISTRIBUSI!F247</f>
        <v>0</v>
      </c>
      <c r="AX249" s="14">
        <f>'PEMAKAIAN UNIT'!F246</f>
        <v>0</v>
      </c>
      <c r="AY249" s="14">
        <f t="shared" si="221"/>
        <v>0</v>
      </c>
      <c r="AZ249" s="15">
        <f t="shared" si="222"/>
        <v>0</v>
      </c>
      <c r="BA249" s="14">
        <f t="shared" si="223"/>
        <v>0</v>
      </c>
      <c r="BB249" s="14">
        <f>DISTRIBUSI!G247</f>
        <v>0</v>
      </c>
      <c r="BC249" s="14">
        <f>'PEMAKAIAN UNIT'!G246</f>
        <v>0</v>
      </c>
      <c r="BD249" s="14">
        <f t="shared" si="224"/>
        <v>0</v>
      </c>
      <c r="BE249" s="15">
        <f t="shared" si="225"/>
        <v>0</v>
      </c>
      <c r="BF249" s="14">
        <f t="shared" si="226"/>
        <v>0</v>
      </c>
      <c r="BG249" s="14">
        <f>DISTRIBUSI!H247</f>
        <v>0</v>
      </c>
      <c r="BH249" s="14">
        <f>'PEMAKAIAN UNIT'!H246</f>
        <v>0</v>
      </c>
      <c r="BI249" s="14">
        <f t="shared" si="227"/>
        <v>0</v>
      </c>
      <c r="BJ249" s="15">
        <f t="shared" si="228"/>
        <v>0</v>
      </c>
      <c r="BK249" s="14">
        <f t="shared" si="229"/>
        <v>0</v>
      </c>
      <c r="BL249" s="14">
        <f>DISTRIBUSI!I247</f>
        <v>0</v>
      </c>
      <c r="BM249" s="14">
        <f>'PEMAKAIAN UNIT'!I246</f>
        <v>0</v>
      </c>
      <c r="BN249" s="14">
        <f t="shared" si="230"/>
        <v>0</v>
      </c>
      <c r="BO249" s="15">
        <f t="shared" si="231"/>
        <v>0</v>
      </c>
      <c r="BP249" s="14">
        <f t="shared" si="232"/>
        <v>0</v>
      </c>
      <c r="BQ249" s="14">
        <f>DISTRIBUSI!J247</f>
        <v>0</v>
      </c>
      <c r="BR249" s="14">
        <f>'PEMAKAIAN UNIT'!J246</f>
        <v>0</v>
      </c>
      <c r="BS249" s="14">
        <f t="shared" si="233"/>
        <v>0</v>
      </c>
      <c r="BT249" s="15">
        <f t="shared" si="234"/>
        <v>0</v>
      </c>
      <c r="BU249" s="14">
        <f t="shared" si="235"/>
        <v>0</v>
      </c>
      <c r="BV249" s="14">
        <f>DISTRIBUSI!K247</f>
        <v>0</v>
      </c>
      <c r="BW249" s="14">
        <f>'PEMAKAIAN UNIT'!K246</f>
        <v>0</v>
      </c>
      <c r="BX249" s="14">
        <f t="shared" si="236"/>
        <v>0</v>
      </c>
      <c r="BY249" s="15">
        <f t="shared" si="237"/>
        <v>0</v>
      </c>
      <c r="BZ249" s="14">
        <f t="shared" si="238"/>
        <v>0</v>
      </c>
      <c r="CA249" s="14">
        <f>DISTRIBUSI!L247</f>
        <v>0</v>
      </c>
      <c r="CB249" s="14">
        <f>'PEMAKAIAN UNIT'!L246</f>
        <v>0</v>
      </c>
      <c r="CC249" s="14">
        <f t="shared" si="239"/>
        <v>0</v>
      </c>
      <c r="CD249" s="15">
        <f t="shared" si="240"/>
        <v>0</v>
      </c>
      <c r="CE249" s="14">
        <f t="shared" si="241"/>
        <v>0</v>
      </c>
      <c r="CF249" s="14">
        <f>DISTRIBUSI!M247</f>
        <v>0</v>
      </c>
      <c r="CG249" s="14">
        <f>'PEMAKAIAN UNIT'!M246</f>
        <v>0</v>
      </c>
      <c r="CH249" s="14">
        <f t="shared" si="242"/>
        <v>0</v>
      </c>
      <c r="CI249" s="15">
        <f t="shared" si="243"/>
        <v>0</v>
      </c>
      <c r="CJ249" s="14">
        <f t="shared" si="244"/>
        <v>0</v>
      </c>
      <c r="CK249" s="14" t="e">
        <f>DISTRIBUSI!#REF!</f>
        <v>#REF!</v>
      </c>
      <c r="CL249" s="14">
        <f>'PEMAKAIAN UNIT'!N246</f>
        <v>0</v>
      </c>
      <c r="CM249" s="14" t="e">
        <f t="shared" si="245"/>
        <v>#REF!</v>
      </c>
      <c r="CN249" s="15" t="e">
        <f t="shared" si="246"/>
        <v>#REF!</v>
      </c>
      <c r="CO249" s="14" t="e">
        <f>DL249+DISTRIBUSI!#REF!-'PEMAKAIAN UNIT'!O246</f>
        <v>#REF!</v>
      </c>
      <c r="CP249" s="15" t="e">
        <f t="shared" si="247"/>
        <v>#REF!</v>
      </c>
      <c r="CQ249" s="226">
        <f t="shared" si="248"/>
        <v>0</v>
      </c>
      <c r="CR249" s="226">
        <f>DISTRIBUSI!R247</f>
        <v>0</v>
      </c>
      <c r="CS249" s="226">
        <f>'PEMAKAIAN UNIT'!P246</f>
        <v>0</v>
      </c>
      <c r="CT249" s="14">
        <f t="shared" si="249"/>
        <v>0</v>
      </c>
      <c r="CU249" s="15">
        <f t="shared" si="250"/>
        <v>0</v>
      </c>
      <c r="CV249" s="14" t="e">
        <f>DN249+DISTRIBUSI!#REF!-'PEMAKAIAN UNIT'!Q246</f>
        <v>#REF!</v>
      </c>
      <c r="CW249" s="15" t="e">
        <f t="shared" si="251"/>
        <v>#REF!</v>
      </c>
      <c r="CX249" s="14">
        <f>DO249+'LPLPO PROGRAM'!E78-'LPLPO PROGRAM'!G78</f>
        <v>0</v>
      </c>
      <c r="CY249" s="15">
        <f t="shared" si="252"/>
        <v>0</v>
      </c>
      <c r="CZ249" s="28"/>
      <c r="DA249" s="14">
        <v>0</v>
      </c>
      <c r="DB249" s="14">
        <v>0</v>
      </c>
      <c r="DC249" s="14">
        <v>0</v>
      </c>
      <c r="DD249" s="14">
        <v>0</v>
      </c>
      <c r="DE249" s="14">
        <v>0</v>
      </c>
      <c r="DF249" s="14">
        <v>0</v>
      </c>
      <c r="DG249" s="14">
        <v>0</v>
      </c>
      <c r="DH249" s="14">
        <v>0</v>
      </c>
      <c r="DI249" s="14">
        <v>0</v>
      </c>
      <c r="DJ249" s="14">
        <v>0</v>
      </c>
      <c r="DK249" s="14">
        <v>0</v>
      </c>
      <c r="DL249" s="14">
        <v>0</v>
      </c>
      <c r="DM249" s="14">
        <v>0</v>
      </c>
      <c r="DN249" s="14">
        <v>0</v>
      </c>
      <c r="DO249" s="14">
        <v>0</v>
      </c>
      <c r="DP249" s="13">
        <f t="shared" si="211"/>
        <v>0</v>
      </c>
      <c r="DU249" s="20" t="e">
        <f t="shared" si="210"/>
        <v>#REF!</v>
      </c>
    </row>
    <row r="250" spans="1:125" customFormat="1" ht="20.149999999999999" customHeight="1" x14ac:dyDescent="0.35">
      <c r="A250" s="205">
        <v>66</v>
      </c>
      <c r="B250" s="184" t="s">
        <v>368</v>
      </c>
      <c r="C250" s="144" t="s">
        <v>363</v>
      </c>
      <c r="D250" s="14">
        <v>0</v>
      </c>
      <c r="E250" s="254">
        <f>'LPLPO PROGRAM'!E79</f>
        <v>0</v>
      </c>
      <c r="F250" s="254">
        <f t="shared" si="199"/>
        <v>0</v>
      </c>
      <c r="G250" s="254">
        <f>'PEMAKAIAN UNIT'!R247</f>
        <v>0</v>
      </c>
      <c r="H250" s="14">
        <v>0</v>
      </c>
      <c r="I250" s="14">
        <v>0</v>
      </c>
      <c r="J250" s="14">
        <v>0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09">
        <f t="shared" si="200"/>
        <v>0</v>
      </c>
      <c r="Z250" s="109" t="e">
        <f t="shared" si="201"/>
        <v>#REF!</v>
      </c>
      <c r="AA250" s="109" t="e">
        <f t="shared" si="202"/>
        <v>#REF!</v>
      </c>
      <c r="AB250" s="14">
        <v>0</v>
      </c>
      <c r="AC250" s="109" t="e">
        <f t="shared" si="203"/>
        <v>#REF!</v>
      </c>
      <c r="AD250" s="109">
        <f>'LPLPO PROGRAM'!H79</f>
        <v>0</v>
      </c>
      <c r="AE250" s="111" t="e">
        <f t="shared" si="204"/>
        <v>#REF!</v>
      </c>
      <c r="AF250" s="212"/>
      <c r="AG250" s="212"/>
      <c r="AH250" s="20"/>
      <c r="AI250" s="14">
        <f t="shared" si="212"/>
        <v>0</v>
      </c>
      <c r="AJ250" s="209" t="e">
        <f t="shared" si="213"/>
        <v>#REF!</v>
      </c>
      <c r="AL250" s="14">
        <f t="shared" si="214"/>
        <v>0</v>
      </c>
      <c r="AM250" s="14">
        <f>DISTRIBUSI!D248</f>
        <v>0</v>
      </c>
      <c r="AN250" s="14">
        <f>'PEMAKAIAN UNIT'!D247</f>
        <v>0</v>
      </c>
      <c r="AO250" s="14">
        <f t="shared" si="215"/>
        <v>0</v>
      </c>
      <c r="AP250" s="15">
        <f t="shared" si="216"/>
        <v>0</v>
      </c>
      <c r="AQ250" s="14">
        <f t="shared" si="217"/>
        <v>0</v>
      </c>
      <c r="AR250" s="14">
        <f>DISTRIBUSI!E248</f>
        <v>0</v>
      </c>
      <c r="AS250" s="14">
        <f>'PEMAKAIAN UNIT'!E247</f>
        <v>0</v>
      </c>
      <c r="AT250" s="14">
        <f t="shared" si="218"/>
        <v>0</v>
      </c>
      <c r="AU250" s="15">
        <f t="shared" si="219"/>
        <v>0</v>
      </c>
      <c r="AV250" s="14">
        <f t="shared" si="220"/>
        <v>0</v>
      </c>
      <c r="AW250" s="14">
        <f>DISTRIBUSI!F248</f>
        <v>0</v>
      </c>
      <c r="AX250" s="14">
        <f>'PEMAKAIAN UNIT'!F247</f>
        <v>0</v>
      </c>
      <c r="AY250" s="14">
        <f t="shared" si="221"/>
        <v>0</v>
      </c>
      <c r="AZ250" s="15">
        <f t="shared" si="222"/>
        <v>0</v>
      </c>
      <c r="BA250" s="14">
        <f t="shared" si="223"/>
        <v>0</v>
      </c>
      <c r="BB250" s="14">
        <f>DISTRIBUSI!G248</f>
        <v>0</v>
      </c>
      <c r="BC250" s="14">
        <f>'PEMAKAIAN UNIT'!G247</f>
        <v>0</v>
      </c>
      <c r="BD250" s="14">
        <f t="shared" si="224"/>
        <v>0</v>
      </c>
      <c r="BE250" s="15">
        <f t="shared" si="225"/>
        <v>0</v>
      </c>
      <c r="BF250" s="14">
        <f t="shared" si="226"/>
        <v>0</v>
      </c>
      <c r="BG250" s="14">
        <f>DISTRIBUSI!H248</f>
        <v>0</v>
      </c>
      <c r="BH250" s="14">
        <f>'PEMAKAIAN UNIT'!H247</f>
        <v>0</v>
      </c>
      <c r="BI250" s="14">
        <f t="shared" si="227"/>
        <v>0</v>
      </c>
      <c r="BJ250" s="15">
        <f t="shared" si="228"/>
        <v>0</v>
      </c>
      <c r="BK250" s="14">
        <f t="shared" si="229"/>
        <v>0</v>
      </c>
      <c r="BL250" s="14">
        <f>DISTRIBUSI!I248</f>
        <v>0</v>
      </c>
      <c r="BM250" s="14">
        <f>'PEMAKAIAN UNIT'!I247</f>
        <v>0</v>
      </c>
      <c r="BN250" s="14">
        <f t="shared" si="230"/>
        <v>0</v>
      </c>
      <c r="BO250" s="15">
        <f t="shared" si="231"/>
        <v>0</v>
      </c>
      <c r="BP250" s="14">
        <f t="shared" si="232"/>
        <v>0</v>
      </c>
      <c r="BQ250" s="14">
        <f>DISTRIBUSI!J248</f>
        <v>0</v>
      </c>
      <c r="BR250" s="14">
        <f>'PEMAKAIAN UNIT'!J247</f>
        <v>0</v>
      </c>
      <c r="BS250" s="14">
        <f t="shared" si="233"/>
        <v>0</v>
      </c>
      <c r="BT250" s="15">
        <f t="shared" si="234"/>
        <v>0</v>
      </c>
      <c r="BU250" s="14">
        <f t="shared" si="235"/>
        <v>0</v>
      </c>
      <c r="BV250" s="14">
        <f>DISTRIBUSI!K248</f>
        <v>0</v>
      </c>
      <c r="BW250" s="14">
        <f>'PEMAKAIAN UNIT'!K247</f>
        <v>0</v>
      </c>
      <c r="BX250" s="14">
        <f t="shared" si="236"/>
        <v>0</v>
      </c>
      <c r="BY250" s="15">
        <f t="shared" si="237"/>
        <v>0</v>
      </c>
      <c r="BZ250" s="14">
        <f t="shared" si="238"/>
        <v>0</v>
      </c>
      <c r="CA250" s="14">
        <f>DISTRIBUSI!L248</f>
        <v>0</v>
      </c>
      <c r="CB250" s="14">
        <f>'PEMAKAIAN UNIT'!L247</f>
        <v>0</v>
      </c>
      <c r="CC250" s="14">
        <f t="shared" si="239"/>
        <v>0</v>
      </c>
      <c r="CD250" s="15">
        <f t="shared" si="240"/>
        <v>0</v>
      </c>
      <c r="CE250" s="14">
        <f t="shared" si="241"/>
        <v>0</v>
      </c>
      <c r="CF250" s="14">
        <f>DISTRIBUSI!M248</f>
        <v>0</v>
      </c>
      <c r="CG250" s="14">
        <f>'PEMAKAIAN UNIT'!M247</f>
        <v>0</v>
      </c>
      <c r="CH250" s="14">
        <f t="shared" si="242"/>
        <v>0</v>
      </c>
      <c r="CI250" s="15">
        <f t="shared" si="243"/>
        <v>0</v>
      </c>
      <c r="CJ250" s="14">
        <f t="shared" si="244"/>
        <v>0</v>
      </c>
      <c r="CK250" s="14" t="e">
        <f>DISTRIBUSI!#REF!</f>
        <v>#REF!</v>
      </c>
      <c r="CL250" s="14">
        <f>'PEMAKAIAN UNIT'!N247</f>
        <v>0</v>
      </c>
      <c r="CM250" s="14" t="e">
        <f t="shared" si="245"/>
        <v>#REF!</v>
      </c>
      <c r="CN250" s="15" t="e">
        <f t="shared" si="246"/>
        <v>#REF!</v>
      </c>
      <c r="CO250" s="14" t="e">
        <f>DL250+DISTRIBUSI!#REF!-'PEMAKAIAN UNIT'!O247</f>
        <v>#REF!</v>
      </c>
      <c r="CP250" s="15" t="e">
        <f t="shared" si="247"/>
        <v>#REF!</v>
      </c>
      <c r="CQ250" s="226">
        <f t="shared" si="248"/>
        <v>0</v>
      </c>
      <c r="CR250" s="226">
        <f>DISTRIBUSI!R248</f>
        <v>0</v>
      </c>
      <c r="CS250" s="226">
        <f>'PEMAKAIAN UNIT'!P247</f>
        <v>0</v>
      </c>
      <c r="CT250" s="14">
        <f t="shared" si="249"/>
        <v>0</v>
      </c>
      <c r="CU250" s="15">
        <f t="shared" si="250"/>
        <v>0</v>
      </c>
      <c r="CV250" s="14" t="e">
        <f>DN250+DISTRIBUSI!#REF!-'PEMAKAIAN UNIT'!Q247</f>
        <v>#REF!</v>
      </c>
      <c r="CW250" s="15" t="e">
        <f t="shared" si="251"/>
        <v>#REF!</v>
      </c>
      <c r="CX250" s="14">
        <f>DO250+'LPLPO PROGRAM'!E79-'LPLPO PROGRAM'!G79</f>
        <v>0</v>
      </c>
      <c r="CY250" s="15">
        <f t="shared" si="252"/>
        <v>0</v>
      </c>
      <c r="CZ250" s="28"/>
      <c r="DA250" s="14">
        <v>0</v>
      </c>
      <c r="DB250" s="14">
        <v>0</v>
      </c>
      <c r="DC250" s="14">
        <v>0</v>
      </c>
      <c r="DD250" s="14">
        <v>0</v>
      </c>
      <c r="DE250" s="14">
        <v>0</v>
      </c>
      <c r="DF250" s="14">
        <v>0</v>
      </c>
      <c r="DG250" s="14">
        <v>0</v>
      </c>
      <c r="DH250" s="14">
        <v>0</v>
      </c>
      <c r="DI250" s="14">
        <v>0</v>
      </c>
      <c r="DJ250" s="14">
        <v>0</v>
      </c>
      <c r="DK250" s="14">
        <v>0</v>
      </c>
      <c r="DL250" s="14">
        <v>0</v>
      </c>
      <c r="DM250" s="14">
        <v>0</v>
      </c>
      <c r="DN250" s="14">
        <v>0</v>
      </c>
      <c r="DO250" s="14">
        <v>0</v>
      </c>
      <c r="DP250" s="13">
        <f t="shared" si="211"/>
        <v>0</v>
      </c>
      <c r="DU250" s="20" t="e">
        <f t="shared" si="210"/>
        <v>#REF!</v>
      </c>
    </row>
    <row r="251" spans="1:125" customFormat="1" ht="20.149999999999999" customHeight="1" x14ac:dyDescent="0.35">
      <c r="A251" s="205">
        <v>67</v>
      </c>
      <c r="B251" s="178" t="s">
        <v>370</v>
      </c>
      <c r="C251" s="144" t="s">
        <v>363</v>
      </c>
      <c r="D251" s="14">
        <v>0</v>
      </c>
      <c r="E251" s="254">
        <f>'LPLPO PROGRAM'!E80</f>
        <v>0</v>
      </c>
      <c r="F251" s="254">
        <f t="shared" ref="F251:F314" si="253">SUM(D251:E251)</f>
        <v>0</v>
      </c>
      <c r="G251" s="254">
        <f>'PEMAKAIAN UNIT'!R248</f>
        <v>0</v>
      </c>
      <c r="H251" s="14">
        <v>0</v>
      </c>
      <c r="I251" s="14">
        <v>0</v>
      </c>
      <c r="J251" s="14">
        <v>0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09">
        <f t="shared" ref="Y251:Y314" si="254">CH251</f>
        <v>0</v>
      </c>
      <c r="Z251" s="109" t="e">
        <f t="shared" ref="Z251:Z314" si="255">CM251</f>
        <v>#REF!</v>
      </c>
      <c r="AA251" s="109" t="e">
        <f t="shared" ref="AA251:AA314" si="256">CO251</f>
        <v>#REF!</v>
      </c>
      <c r="AB251" s="14">
        <v>0</v>
      </c>
      <c r="AC251" s="109" t="e">
        <f t="shared" ref="AC251:AC314" si="257">CV251</f>
        <v>#REF!</v>
      </c>
      <c r="AD251" s="109">
        <f>'LPLPO PROGRAM'!H80</f>
        <v>0</v>
      </c>
      <c r="AE251" s="111" t="e">
        <f t="shared" ref="AE251:AE314" si="258">SUM(H251:AD251)</f>
        <v>#REF!</v>
      </c>
      <c r="AF251" s="212"/>
      <c r="AG251" s="212"/>
      <c r="AH251" s="20"/>
      <c r="AI251" s="14">
        <f t="shared" si="212"/>
        <v>0</v>
      </c>
      <c r="AJ251" s="209" t="e">
        <f t="shared" si="213"/>
        <v>#REF!</v>
      </c>
      <c r="AL251" s="14">
        <f t="shared" si="214"/>
        <v>0</v>
      </c>
      <c r="AM251" s="14">
        <f>DISTRIBUSI!D249</f>
        <v>0</v>
      </c>
      <c r="AN251" s="14">
        <f>'PEMAKAIAN UNIT'!D248</f>
        <v>0</v>
      </c>
      <c r="AO251" s="14">
        <f t="shared" si="215"/>
        <v>0</v>
      </c>
      <c r="AP251" s="15">
        <f t="shared" si="216"/>
        <v>0</v>
      </c>
      <c r="AQ251" s="14">
        <f t="shared" si="217"/>
        <v>0</v>
      </c>
      <c r="AR251" s="14">
        <f>DISTRIBUSI!E249</f>
        <v>0</v>
      </c>
      <c r="AS251" s="14">
        <f>'PEMAKAIAN UNIT'!E248</f>
        <v>0</v>
      </c>
      <c r="AT251" s="14">
        <f t="shared" si="218"/>
        <v>0</v>
      </c>
      <c r="AU251" s="15">
        <f t="shared" si="219"/>
        <v>0</v>
      </c>
      <c r="AV251" s="14">
        <f t="shared" si="220"/>
        <v>0</v>
      </c>
      <c r="AW251" s="14">
        <f>DISTRIBUSI!F249</f>
        <v>0</v>
      </c>
      <c r="AX251" s="14">
        <f>'PEMAKAIAN UNIT'!F248</f>
        <v>0</v>
      </c>
      <c r="AY251" s="14">
        <f t="shared" si="221"/>
        <v>0</v>
      </c>
      <c r="AZ251" s="15">
        <f t="shared" si="222"/>
        <v>0</v>
      </c>
      <c r="BA251" s="14">
        <f t="shared" si="223"/>
        <v>0</v>
      </c>
      <c r="BB251" s="14">
        <f>DISTRIBUSI!G249</f>
        <v>0</v>
      </c>
      <c r="BC251" s="14">
        <f>'PEMAKAIAN UNIT'!G248</f>
        <v>0</v>
      </c>
      <c r="BD251" s="14">
        <f t="shared" si="224"/>
        <v>0</v>
      </c>
      <c r="BE251" s="15">
        <f t="shared" si="225"/>
        <v>0</v>
      </c>
      <c r="BF251" s="14">
        <f t="shared" si="226"/>
        <v>0</v>
      </c>
      <c r="BG251" s="14">
        <f>DISTRIBUSI!H249</f>
        <v>0</v>
      </c>
      <c r="BH251" s="14">
        <f>'PEMAKAIAN UNIT'!H248</f>
        <v>0</v>
      </c>
      <c r="BI251" s="14">
        <f t="shared" si="227"/>
        <v>0</v>
      </c>
      <c r="BJ251" s="15">
        <f t="shared" si="228"/>
        <v>0</v>
      </c>
      <c r="BK251" s="14">
        <f t="shared" si="229"/>
        <v>0</v>
      </c>
      <c r="BL251" s="14">
        <f>DISTRIBUSI!I249</f>
        <v>0</v>
      </c>
      <c r="BM251" s="14">
        <f>'PEMAKAIAN UNIT'!I248</f>
        <v>0</v>
      </c>
      <c r="BN251" s="14">
        <f t="shared" si="230"/>
        <v>0</v>
      </c>
      <c r="BO251" s="15">
        <f t="shared" si="231"/>
        <v>0</v>
      </c>
      <c r="BP251" s="14">
        <f t="shared" si="232"/>
        <v>0</v>
      </c>
      <c r="BQ251" s="14">
        <f>DISTRIBUSI!J249</f>
        <v>0</v>
      </c>
      <c r="BR251" s="14">
        <f>'PEMAKAIAN UNIT'!J248</f>
        <v>0</v>
      </c>
      <c r="BS251" s="14">
        <f t="shared" si="233"/>
        <v>0</v>
      </c>
      <c r="BT251" s="15">
        <f t="shared" si="234"/>
        <v>0</v>
      </c>
      <c r="BU251" s="14">
        <f t="shared" si="235"/>
        <v>0</v>
      </c>
      <c r="BV251" s="14">
        <f>DISTRIBUSI!K249</f>
        <v>0</v>
      </c>
      <c r="BW251" s="14">
        <f>'PEMAKAIAN UNIT'!K248</f>
        <v>0</v>
      </c>
      <c r="BX251" s="14">
        <f t="shared" si="236"/>
        <v>0</v>
      </c>
      <c r="BY251" s="15">
        <f t="shared" si="237"/>
        <v>0</v>
      </c>
      <c r="BZ251" s="14">
        <f t="shared" si="238"/>
        <v>0</v>
      </c>
      <c r="CA251" s="14">
        <f>DISTRIBUSI!L249</f>
        <v>0</v>
      </c>
      <c r="CB251" s="14">
        <f>'PEMAKAIAN UNIT'!L248</f>
        <v>0</v>
      </c>
      <c r="CC251" s="14">
        <f t="shared" si="239"/>
        <v>0</v>
      </c>
      <c r="CD251" s="15">
        <f t="shared" si="240"/>
        <v>0</v>
      </c>
      <c r="CE251" s="14">
        <f t="shared" si="241"/>
        <v>0</v>
      </c>
      <c r="CF251" s="14">
        <f>DISTRIBUSI!M249</f>
        <v>0</v>
      </c>
      <c r="CG251" s="14">
        <f>'PEMAKAIAN UNIT'!M248</f>
        <v>0</v>
      </c>
      <c r="CH251" s="14">
        <f t="shared" si="242"/>
        <v>0</v>
      </c>
      <c r="CI251" s="15">
        <f t="shared" si="243"/>
        <v>0</v>
      </c>
      <c r="CJ251" s="14">
        <f t="shared" si="244"/>
        <v>0</v>
      </c>
      <c r="CK251" s="14" t="e">
        <f>DISTRIBUSI!#REF!</f>
        <v>#REF!</v>
      </c>
      <c r="CL251" s="14">
        <f>'PEMAKAIAN UNIT'!N248</f>
        <v>0</v>
      </c>
      <c r="CM251" s="14" t="e">
        <f t="shared" si="245"/>
        <v>#REF!</v>
      </c>
      <c r="CN251" s="15" t="e">
        <f t="shared" si="246"/>
        <v>#REF!</v>
      </c>
      <c r="CO251" s="14" t="e">
        <f>DL251+DISTRIBUSI!#REF!-'PEMAKAIAN UNIT'!O248</f>
        <v>#REF!</v>
      </c>
      <c r="CP251" s="15" t="e">
        <f t="shared" si="247"/>
        <v>#REF!</v>
      </c>
      <c r="CQ251" s="226">
        <f t="shared" si="248"/>
        <v>0</v>
      </c>
      <c r="CR251" s="226">
        <f>DISTRIBUSI!R249</f>
        <v>0</v>
      </c>
      <c r="CS251" s="226">
        <f>'PEMAKAIAN UNIT'!P248</f>
        <v>0</v>
      </c>
      <c r="CT251" s="14">
        <f t="shared" si="249"/>
        <v>0</v>
      </c>
      <c r="CU251" s="15">
        <f t="shared" si="250"/>
        <v>0</v>
      </c>
      <c r="CV251" s="14" t="e">
        <f>DN251+DISTRIBUSI!#REF!-'PEMAKAIAN UNIT'!Q248</f>
        <v>#REF!</v>
      </c>
      <c r="CW251" s="15" t="e">
        <f t="shared" si="251"/>
        <v>#REF!</v>
      </c>
      <c r="CX251" s="14">
        <f>DO251+'LPLPO PROGRAM'!E80-'LPLPO PROGRAM'!G80</f>
        <v>0</v>
      </c>
      <c r="CY251" s="15">
        <f t="shared" si="252"/>
        <v>0</v>
      </c>
      <c r="CZ251" s="28"/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4">
        <v>0</v>
      </c>
      <c r="DG251" s="14">
        <v>0</v>
      </c>
      <c r="DH251" s="14">
        <v>0</v>
      </c>
      <c r="DI251" s="14">
        <v>0</v>
      </c>
      <c r="DJ251" s="14">
        <v>0</v>
      </c>
      <c r="DK251" s="14">
        <v>0</v>
      </c>
      <c r="DL251" s="14">
        <v>0</v>
      </c>
      <c r="DM251" s="14">
        <v>0</v>
      </c>
      <c r="DN251" s="14">
        <v>0</v>
      </c>
      <c r="DO251" s="14">
        <v>0</v>
      </c>
      <c r="DP251" s="13">
        <f t="shared" si="211"/>
        <v>0</v>
      </c>
      <c r="DU251" s="20" t="e">
        <f t="shared" si="210"/>
        <v>#REF!</v>
      </c>
    </row>
    <row r="252" spans="1:125" customFormat="1" ht="20.149999999999999" customHeight="1" x14ac:dyDescent="0.35">
      <c r="A252" s="205">
        <v>68</v>
      </c>
      <c r="B252" s="178" t="s">
        <v>369</v>
      </c>
      <c r="C252" s="144" t="s">
        <v>363</v>
      </c>
      <c r="D252" s="14">
        <v>0</v>
      </c>
      <c r="E252" s="254">
        <f>'LPLPO PROGRAM'!E81</f>
        <v>0</v>
      </c>
      <c r="F252" s="254">
        <f t="shared" si="253"/>
        <v>0</v>
      </c>
      <c r="G252" s="254">
        <f>'PEMAKAIAN UNIT'!R249</f>
        <v>0</v>
      </c>
      <c r="H252" s="14">
        <v>0</v>
      </c>
      <c r="I252" s="14">
        <v>0</v>
      </c>
      <c r="J252" s="14">
        <v>0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09">
        <f t="shared" si="254"/>
        <v>0</v>
      </c>
      <c r="Z252" s="109" t="e">
        <f t="shared" si="255"/>
        <v>#REF!</v>
      </c>
      <c r="AA252" s="109" t="e">
        <f t="shared" si="256"/>
        <v>#REF!</v>
      </c>
      <c r="AB252" s="14">
        <v>0</v>
      </c>
      <c r="AC252" s="109" t="e">
        <f t="shared" si="257"/>
        <v>#REF!</v>
      </c>
      <c r="AD252" s="109">
        <f>'LPLPO PROGRAM'!H81</f>
        <v>0</v>
      </c>
      <c r="AE252" s="111" t="e">
        <f t="shared" si="258"/>
        <v>#REF!</v>
      </c>
      <c r="AF252" s="212"/>
      <c r="AG252" s="212"/>
      <c r="AH252" s="20"/>
      <c r="AI252" s="14">
        <f t="shared" si="212"/>
        <v>0</v>
      </c>
      <c r="AJ252" s="209" t="e">
        <f t="shared" si="213"/>
        <v>#REF!</v>
      </c>
      <c r="AL252" s="14">
        <f t="shared" si="214"/>
        <v>0</v>
      </c>
      <c r="AM252" s="14">
        <f>DISTRIBUSI!D250</f>
        <v>0</v>
      </c>
      <c r="AN252" s="14">
        <f>'PEMAKAIAN UNIT'!D249</f>
        <v>0</v>
      </c>
      <c r="AO252" s="14">
        <f t="shared" si="215"/>
        <v>0</v>
      </c>
      <c r="AP252" s="15">
        <f t="shared" si="216"/>
        <v>0</v>
      </c>
      <c r="AQ252" s="14">
        <f t="shared" si="217"/>
        <v>0</v>
      </c>
      <c r="AR252" s="14">
        <f>DISTRIBUSI!E250</f>
        <v>0</v>
      </c>
      <c r="AS252" s="14">
        <f>'PEMAKAIAN UNIT'!E249</f>
        <v>0</v>
      </c>
      <c r="AT252" s="14">
        <f t="shared" si="218"/>
        <v>0</v>
      </c>
      <c r="AU252" s="15">
        <f t="shared" si="219"/>
        <v>0</v>
      </c>
      <c r="AV252" s="14">
        <f t="shared" si="220"/>
        <v>0</v>
      </c>
      <c r="AW252" s="14">
        <f>DISTRIBUSI!F250</f>
        <v>0</v>
      </c>
      <c r="AX252" s="14">
        <f>'PEMAKAIAN UNIT'!F249</f>
        <v>0</v>
      </c>
      <c r="AY252" s="14">
        <f t="shared" si="221"/>
        <v>0</v>
      </c>
      <c r="AZ252" s="15">
        <f t="shared" si="222"/>
        <v>0</v>
      </c>
      <c r="BA252" s="14">
        <f t="shared" si="223"/>
        <v>0</v>
      </c>
      <c r="BB252" s="14">
        <f>DISTRIBUSI!G250</f>
        <v>0</v>
      </c>
      <c r="BC252" s="14">
        <f>'PEMAKAIAN UNIT'!G249</f>
        <v>0</v>
      </c>
      <c r="BD252" s="14">
        <f t="shared" si="224"/>
        <v>0</v>
      </c>
      <c r="BE252" s="15">
        <f t="shared" si="225"/>
        <v>0</v>
      </c>
      <c r="BF252" s="14">
        <f t="shared" si="226"/>
        <v>0</v>
      </c>
      <c r="BG252" s="14">
        <f>DISTRIBUSI!H250</f>
        <v>0</v>
      </c>
      <c r="BH252" s="14">
        <f>'PEMAKAIAN UNIT'!H249</f>
        <v>0</v>
      </c>
      <c r="BI252" s="14">
        <f t="shared" si="227"/>
        <v>0</v>
      </c>
      <c r="BJ252" s="15">
        <f t="shared" si="228"/>
        <v>0</v>
      </c>
      <c r="BK252" s="14">
        <f t="shared" si="229"/>
        <v>0</v>
      </c>
      <c r="BL252" s="14">
        <f>DISTRIBUSI!I250</f>
        <v>0</v>
      </c>
      <c r="BM252" s="14">
        <f>'PEMAKAIAN UNIT'!I249</f>
        <v>0</v>
      </c>
      <c r="BN252" s="14">
        <f t="shared" si="230"/>
        <v>0</v>
      </c>
      <c r="BO252" s="15">
        <f t="shared" si="231"/>
        <v>0</v>
      </c>
      <c r="BP252" s="14">
        <f t="shared" si="232"/>
        <v>0</v>
      </c>
      <c r="BQ252" s="14">
        <f>DISTRIBUSI!J250</f>
        <v>0</v>
      </c>
      <c r="BR252" s="14">
        <f>'PEMAKAIAN UNIT'!J249</f>
        <v>0</v>
      </c>
      <c r="BS252" s="14">
        <f t="shared" si="233"/>
        <v>0</v>
      </c>
      <c r="BT252" s="15">
        <f t="shared" si="234"/>
        <v>0</v>
      </c>
      <c r="BU252" s="14">
        <f t="shared" si="235"/>
        <v>0</v>
      </c>
      <c r="BV252" s="14">
        <f>DISTRIBUSI!K250</f>
        <v>0</v>
      </c>
      <c r="BW252" s="14">
        <f>'PEMAKAIAN UNIT'!K249</f>
        <v>0</v>
      </c>
      <c r="BX252" s="14">
        <f t="shared" si="236"/>
        <v>0</v>
      </c>
      <c r="BY252" s="15">
        <f t="shared" si="237"/>
        <v>0</v>
      </c>
      <c r="BZ252" s="14">
        <f t="shared" si="238"/>
        <v>0</v>
      </c>
      <c r="CA252" s="14">
        <f>DISTRIBUSI!L250</f>
        <v>0</v>
      </c>
      <c r="CB252" s="14">
        <f>'PEMAKAIAN UNIT'!L249</f>
        <v>0</v>
      </c>
      <c r="CC252" s="14">
        <f t="shared" si="239"/>
        <v>0</v>
      </c>
      <c r="CD252" s="15">
        <f t="shared" si="240"/>
        <v>0</v>
      </c>
      <c r="CE252" s="14">
        <f t="shared" si="241"/>
        <v>0</v>
      </c>
      <c r="CF252" s="14">
        <f>DISTRIBUSI!M250</f>
        <v>0</v>
      </c>
      <c r="CG252" s="14">
        <f>'PEMAKAIAN UNIT'!M249</f>
        <v>0</v>
      </c>
      <c r="CH252" s="14">
        <f t="shared" si="242"/>
        <v>0</v>
      </c>
      <c r="CI252" s="15">
        <f t="shared" si="243"/>
        <v>0</v>
      </c>
      <c r="CJ252" s="14">
        <f t="shared" si="244"/>
        <v>0</v>
      </c>
      <c r="CK252" s="14" t="e">
        <f>DISTRIBUSI!#REF!</f>
        <v>#REF!</v>
      </c>
      <c r="CL252" s="14">
        <f>'PEMAKAIAN UNIT'!N249</f>
        <v>0</v>
      </c>
      <c r="CM252" s="14" t="e">
        <f t="shared" si="245"/>
        <v>#REF!</v>
      </c>
      <c r="CN252" s="15" t="e">
        <f t="shared" si="246"/>
        <v>#REF!</v>
      </c>
      <c r="CO252" s="14" t="e">
        <f>DL252+DISTRIBUSI!#REF!-'PEMAKAIAN UNIT'!O249</f>
        <v>#REF!</v>
      </c>
      <c r="CP252" s="15" t="e">
        <f t="shared" si="247"/>
        <v>#REF!</v>
      </c>
      <c r="CQ252" s="226">
        <f t="shared" si="248"/>
        <v>0</v>
      </c>
      <c r="CR252" s="226">
        <f>DISTRIBUSI!R250</f>
        <v>0</v>
      </c>
      <c r="CS252" s="226">
        <f>'PEMAKAIAN UNIT'!P249</f>
        <v>0</v>
      </c>
      <c r="CT252" s="14">
        <f t="shared" si="249"/>
        <v>0</v>
      </c>
      <c r="CU252" s="15">
        <f t="shared" si="250"/>
        <v>0</v>
      </c>
      <c r="CV252" s="14" t="e">
        <f>DN252+DISTRIBUSI!#REF!-'PEMAKAIAN UNIT'!Q249</f>
        <v>#REF!</v>
      </c>
      <c r="CW252" s="15" t="e">
        <f t="shared" si="251"/>
        <v>#REF!</v>
      </c>
      <c r="CX252" s="14">
        <f>DO252+'LPLPO PROGRAM'!E81-'LPLPO PROGRAM'!G81</f>
        <v>0</v>
      </c>
      <c r="CY252" s="15">
        <f t="shared" si="252"/>
        <v>0</v>
      </c>
      <c r="CZ252" s="28"/>
      <c r="DA252" s="14">
        <v>0</v>
      </c>
      <c r="DB252" s="14">
        <v>0</v>
      </c>
      <c r="DC252" s="14">
        <v>0</v>
      </c>
      <c r="DD252" s="14">
        <v>0</v>
      </c>
      <c r="DE252" s="14">
        <v>0</v>
      </c>
      <c r="DF252" s="14">
        <v>0</v>
      </c>
      <c r="DG252" s="14">
        <v>0</v>
      </c>
      <c r="DH252" s="14">
        <v>0</v>
      </c>
      <c r="DI252" s="14">
        <v>0</v>
      </c>
      <c r="DJ252" s="14">
        <v>0</v>
      </c>
      <c r="DK252" s="14">
        <v>0</v>
      </c>
      <c r="DL252" s="14">
        <v>0</v>
      </c>
      <c r="DM252" s="14">
        <v>0</v>
      </c>
      <c r="DN252" s="14">
        <v>0</v>
      </c>
      <c r="DO252" s="14">
        <v>0</v>
      </c>
      <c r="DP252" s="13">
        <f t="shared" si="211"/>
        <v>0</v>
      </c>
      <c r="DU252" s="20" t="e">
        <f t="shared" si="210"/>
        <v>#REF!</v>
      </c>
    </row>
    <row r="253" spans="1:125" customFormat="1" ht="20.149999999999999" customHeight="1" x14ac:dyDescent="0.35">
      <c r="A253" s="205">
        <v>69</v>
      </c>
      <c r="B253" s="183" t="s">
        <v>200</v>
      </c>
      <c r="C253" s="144" t="s">
        <v>201</v>
      </c>
      <c r="D253" s="14">
        <v>0</v>
      </c>
      <c r="E253" s="254">
        <f>'LPLPO PROGRAM'!E82</f>
        <v>0</v>
      </c>
      <c r="F253" s="254">
        <f t="shared" si="253"/>
        <v>0</v>
      </c>
      <c r="G253" s="254">
        <f>'PEMAKAIAN UNIT'!R250</f>
        <v>0</v>
      </c>
      <c r="H253" s="14">
        <v>0</v>
      </c>
      <c r="I253" s="14">
        <v>0</v>
      </c>
      <c r="J253" s="14">
        <v>0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09">
        <f t="shared" si="254"/>
        <v>0</v>
      </c>
      <c r="Z253" s="109" t="e">
        <f t="shared" si="255"/>
        <v>#REF!</v>
      </c>
      <c r="AA253" s="109" t="e">
        <f t="shared" si="256"/>
        <v>#REF!</v>
      </c>
      <c r="AB253" s="14">
        <v>0</v>
      </c>
      <c r="AC253" s="109" t="e">
        <f t="shared" si="257"/>
        <v>#REF!</v>
      </c>
      <c r="AD253" s="109">
        <f>'LPLPO PROGRAM'!H82</f>
        <v>0</v>
      </c>
      <c r="AE253" s="111" t="e">
        <f t="shared" si="258"/>
        <v>#REF!</v>
      </c>
      <c r="AF253" s="212"/>
      <c r="AG253" s="212"/>
      <c r="AH253" s="20"/>
      <c r="AI253" s="14">
        <f t="shared" si="212"/>
        <v>0</v>
      </c>
      <c r="AJ253" s="209" t="e">
        <f t="shared" si="213"/>
        <v>#REF!</v>
      </c>
      <c r="AL253" s="14">
        <f t="shared" si="214"/>
        <v>0</v>
      </c>
      <c r="AM253" s="14">
        <f>DISTRIBUSI!D251</f>
        <v>0</v>
      </c>
      <c r="AN253" s="14">
        <f>'PEMAKAIAN UNIT'!D250</f>
        <v>0</v>
      </c>
      <c r="AO253" s="14">
        <f t="shared" si="215"/>
        <v>0</v>
      </c>
      <c r="AP253" s="15">
        <f t="shared" si="216"/>
        <v>0</v>
      </c>
      <c r="AQ253" s="14">
        <f t="shared" si="217"/>
        <v>0</v>
      </c>
      <c r="AR253" s="14">
        <f>DISTRIBUSI!E251</f>
        <v>0</v>
      </c>
      <c r="AS253" s="14">
        <f>'PEMAKAIAN UNIT'!E250</f>
        <v>0</v>
      </c>
      <c r="AT253" s="14">
        <f t="shared" si="218"/>
        <v>0</v>
      </c>
      <c r="AU253" s="15">
        <f t="shared" si="219"/>
        <v>0</v>
      </c>
      <c r="AV253" s="14">
        <f t="shared" si="220"/>
        <v>0</v>
      </c>
      <c r="AW253" s="14">
        <f>DISTRIBUSI!F251</f>
        <v>0</v>
      </c>
      <c r="AX253" s="14">
        <f>'PEMAKAIAN UNIT'!F250</f>
        <v>0</v>
      </c>
      <c r="AY253" s="14">
        <f t="shared" si="221"/>
        <v>0</v>
      </c>
      <c r="AZ253" s="15">
        <f t="shared" si="222"/>
        <v>0</v>
      </c>
      <c r="BA253" s="14">
        <f t="shared" si="223"/>
        <v>0</v>
      </c>
      <c r="BB253" s="14">
        <f>DISTRIBUSI!G251</f>
        <v>0</v>
      </c>
      <c r="BC253" s="14">
        <f>'PEMAKAIAN UNIT'!G250</f>
        <v>0</v>
      </c>
      <c r="BD253" s="14">
        <f t="shared" si="224"/>
        <v>0</v>
      </c>
      <c r="BE253" s="15">
        <f t="shared" si="225"/>
        <v>0</v>
      </c>
      <c r="BF253" s="14">
        <f t="shared" si="226"/>
        <v>0</v>
      </c>
      <c r="BG253" s="14">
        <f>DISTRIBUSI!H251</f>
        <v>0</v>
      </c>
      <c r="BH253" s="14">
        <f>'PEMAKAIAN UNIT'!H250</f>
        <v>0</v>
      </c>
      <c r="BI253" s="14">
        <f t="shared" si="227"/>
        <v>0</v>
      </c>
      <c r="BJ253" s="15">
        <f t="shared" si="228"/>
        <v>0</v>
      </c>
      <c r="BK253" s="14">
        <f t="shared" si="229"/>
        <v>0</v>
      </c>
      <c r="BL253" s="14">
        <f>DISTRIBUSI!I251</f>
        <v>0</v>
      </c>
      <c r="BM253" s="14">
        <f>'PEMAKAIAN UNIT'!I250</f>
        <v>0</v>
      </c>
      <c r="BN253" s="14">
        <f t="shared" si="230"/>
        <v>0</v>
      </c>
      <c r="BO253" s="15">
        <f t="shared" si="231"/>
        <v>0</v>
      </c>
      <c r="BP253" s="14">
        <f t="shared" si="232"/>
        <v>0</v>
      </c>
      <c r="BQ253" s="14">
        <f>DISTRIBUSI!J251</f>
        <v>0</v>
      </c>
      <c r="BR253" s="14">
        <f>'PEMAKAIAN UNIT'!J250</f>
        <v>0</v>
      </c>
      <c r="BS253" s="14">
        <f t="shared" si="233"/>
        <v>0</v>
      </c>
      <c r="BT253" s="15">
        <f t="shared" si="234"/>
        <v>0</v>
      </c>
      <c r="BU253" s="14">
        <f t="shared" si="235"/>
        <v>0</v>
      </c>
      <c r="BV253" s="14">
        <f>DISTRIBUSI!K251</f>
        <v>0</v>
      </c>
      <c r="BW253" s="14">
        <f>'PEMAKAIAN UNIT'!K250</f>
        <v>0</v>
      </c>
      <c r="BX253" s="14">
        <f t="shared" si="236"/>
        <v>0</v>
      </c>
      <c r="BY253" s="15">
        <f t="shared" si="237"/>
        <v>0</v>
      </c>
      <c r="BZ253" s="14">
        <f t="shared" si="238"/>
        <v>0</v>
      </c>
      <c r="CA253" s="14">
        <f>DISTRIBUSI!L251</f>
        <v>0</v>
      </c>
      <c r="CB253" s="14">
        <f>'PEMAKAIAN UNIT'!L250</f>
        <v>0</v>
      </c>
      <c r="CC253" s="14">
        <f t="shared" si="239"/>
        <v>0</v>
      </c>
      <c r="CD253" s="15">
        <f t="shared" si="240"/>
        <v>0</v>
      </c>
      <c r="CE253" s="14">
        <f t="shared" si="241"/>
        <v>0</v>
      </c>
      <c r="CF253" s="14">
        <f>DISTRIBUSI!M251</f>
        <v>0</v>
      </c>
      <c r="CG253" s="14">
        <f>'PEMAKAIAN UNIT'!M250</f>
        <v>0</v>
      </c>
      <c r="CH253" s="14">
        <f t="shared" si="242"/>
        <v>0</v>
      </c>
      <c r="CI253" s="15">
        <f t="shared" si="243"/>
        <v>0</v>
      </c>
      <c r="CJ253" s="14">
        <f t="shared" si="244"/>
        <v>0</v>
      </c>
      <c r="CK253" s="14" t="e">
        <f>DISTRIBUSI!#REF!</f>
        <v>#REF!</v>
      </c>
      <c r="CL253" s="14">
        <f>'PEMAKAIAN UNIT'!N250</f>
        <v>0</v>
      </c>
      <c r="CM253" s="14" t="e">
        <f t="shared" si="245"/>
        <v>#REF!</v>
      </c>
      <c r="CN253" s="15" t="e">
        <f t="shared" si="246"/>
        <v>#REF!</v>
      </c>
      <c r="CO253" s="14" t="e">
        <f>DL253+DISTRIBUSI!#REF!-'PEMAKAIAN UNIT'!O250</f>
        <v>#REF!</v>
      </c>
      <c r="CP253" s="15" t="e">
        <f t="shared" si="247"/>
        <v>#REF!</v>
      </c>
      <c r="CQ253" s="226">
        <f t="shared" si="248"/>
        <v>0</v>
      </c>
      <c r="CR253" s="226">
        <f>DISTRIBUSI!R251</f>
        <v>0</v>
      </c>
      <c r="CS253" s="226">
        <f>'PEMAKAIAN UNIT'!P250</f>
        <v>0</v>
      </c>
      <c r="CT253" s="14">
        <f t="shared" si="249"/>
        <v>0</v>
      </c>
      <c r="CU253" s="15">
        <f t="shared" si="250"/>
        <v>0</v>
      </c>
      <c r="CV253" s="14" t="e">
        <f>DN253+DISTRIBUSI!#REF!-'PEMAKAIAN UNIT'!Q250</f>
        <v>#REF!</v>
      </c>
      <c r="CW253" s="15" t="e">
        <f t="shared" si="251"/>
        <v>#REF!</v>
      </c>
      <c r="CX253" s="14">
        <f>DO253+'LPLPO PROGRAM'!E82-'LPLPO PROGRAM'!G82</f>
        <v>0</v>
      </c>
      <c r="CY253" s="15">
        <f t="shared" si="252"/>
        <v>0</v>
      </c>
      <c r="CZ253" s="28"/>
      <c r="DA253" s="14">
        <v>0</v>
      </c>
      <c r="DB253" s="14">
        <v>0</v>
      </c>
      <c r="DC253" s="14">
        <v>0</v>
      </c>
      <c r="DD253" s="14">
        <v>0</v>
      </c>
      <c r="DE253" s="14">
        <v>0</v>
      </c>
      <c r="DF253" s="14">
        <v>0</v>
      </c>
      <c r="DG253" s="14">
        <v>0</v>
      </c>
      <c r="DH253" s="14">
        <v>0</v>
      </c>
      <c r="DI253" s="14">
        <v>0</v>
      </c>
      <c r="DJ253" s="14">
        <v>0</v>
      </c>
      <c r="DK253" s="14">
        <v>0</v>
      </c>
      <c r="DL253" s="14">
        <v>0</v>
      </c>
      <c r="DM253" s="14">
        <v>0</v>
      </c>
      <c r="DN253" s="14">
        <v>0</v>
      </c>
      <c r="DO253" s="14">
        <v>0</v>
      </c>
      <c r="DP253" s="13">
        <f t="shared" si="211"/>
        <v>0</v>
      </c>
      <c r="DU253" s="20" t="e">
        <f t="shared" si="210"/>
        <v>#REF!</v>
      </c>
    </row>
    <row r="254" spans="1:125" customFormat="1" ht="20.149999999999999" customHeight="1" x14ac:dyDescent="0.35">
      <c r="A254" s="205">
        <v>70</v>
      </c>
      <c r="B254" s="178" t="s">
        <v>279</v>
      </c>
      <c r="C254" s="144" t="s">
        <v>201</v>
      </c>
      <c r="D254" s="14">
        <v>0</v>
      </c>
      <c r="E254" s="254">
        <f>'LPLPO PROGRAM'!E83</f>
        <v>0</v>
      </c>
      <c r="F254" s="254">
        <f t="shared" si="253"/>
        <v>0</v>
      </c>
      <c r="G254" s="254">
        <f>'PEMAKAIAN UNIT'!R251</f>
        <v>0</v>
      </c>
      <c r="H254" s="14">
        <v>0</v>
      </c>
      <c r="I254" s="14">
        <v>0</v>
      </c>
      <c r="J254" s="14">
        <v>0</v>
      </c>
      <c r="K254" s="14"/>
      <c r="L254" s="14"/>
      <c r="M254" s="14"/>
      <c r="N254" s="14"/>
      <c r="O254" s="14"/>
      <c r="P254" s="14"/>
      <c r="Q254" s="14"/>
      <c r="R254" s="14"/>
      <c r="S254" s="14"/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09">
        <f t="shared" si="254"/>
        <v>0</v>
      </c>
      <c r="Z254" s="109" t="e">
        <f t="shared" si="255"/>
        <v>#REF!</v>
      </c>
      <c r="AA254" s="109" t="e">
        <f t="shared" si="256"/>
        <v>#REF!</v>
      </c>
      <c r="AB254" s="14">
        <v>0</v>
      </c>
      <c r="AC254" s="109" t="e">
        <f t="shared" si="257"/>
        <v>#REF!</v>
      </c>
      <c r="AD254" s="109">
        <f>'LPLPO PROGRAM'!H83</f>
        <v>0</v>
      </c>
      <c r="AE254" s="111" t="e">
        <f t="shared" si="258"/>
        <v>#REF!</v>
      </c>
      <c r="AF254" s="212"/>
      <c r="AG254" s="212"/>
      <c r="AH254" s="20"/>
      <c r="AI254" s="14">
        <f t="shared" si="212"/>
        <v>0</v>
      </c>
      <c r="AJ254" s="209" t="e">
        <f t="shared" si="213"/>
        <v>#REF!</v>
      </c>
      <c r="AL254" s="14">
        <f t="shared" si="214"/>
        <v>0</v>
      </c>
      <c r="AM254" s="14">
        <f>DISTRIBUSI!D252</f>
        <v>0</v>
      </c>
      <c r="AN254" s="14">
        <f>'PEMAKAIAN UNIT'!D251</f>
        <v>0</v>
      </c>
      <c r="AO254" s="14">
        <f t="shared" si="215"/>
        <v>0</v>
      </c>
      <c r="AP254" s="15">
        <f t="shared" si="216"/>
        <v>0</v>
      </c>
      <c r="AQ254" s="14">
        <f t="shared" si="217"/>
        <v>0</v>
      </c>
      <c r="AR254" s="14">
        <f>DISTRIBUSI!E252</f>
        <v>0</v>
      </c>
      <c r="AS254" s="14">
        <f>'PEMAKAIAN UNIT'!E251</f>
        <v>0</v>
      </c>
      <c r="AT254" s="14">
        <f t="shared" si="218"/>
        <v>0</v>
      </c>
      <c r="AU254" s="15">
        <f t="shared" si="219"/>
        <v>0</v>
      </c>
      <c r="AV254" s="14">
        <f t="shared" si="220"/>
        <v>0</v>
      </c>
      <c r="AW254" s="14">
        <f>DISTRIBUSI!F252</f>
        <v>0</v>
      </c>
      <c r="AX254" s="14">
        <f>'PEMAKAIAN UNIT'!F251</f>
        <v>0</v>
      </c>
      <c r="AY254" s="14">
        <f t="shared" si="221"/>
        <v>0</v>
      </c>
      <c r="AZ254" s="15">
        <f t="shared" si="222"/>
        <v>0</v>
      </c>
      <c r="BA254" s="14">
        <f t="shared" si="223"/>
        <v>0</v>
      </c>
      <c r="BB254" s="14">
        <f>DISTRIBUSI!G252</f>
        <v>0</v>
      </c>
      <c r="BC254" s="14">
        <f>'PEMAKAIAN UNIT'!G251</f>
        <v>0</v>
      </c>
      <c r="BD254" s="14">
        <f t="shared" si="224"/>
        <v>0</v>
      </c>
      <c r="BE254" s="15">
        <f t="shared" si="225"/>
        <v>0</v>
      </c>
      <c r="BF254" s="14">
        <f t="shared" si="226"/>
        <v>0</v>
      </c>
      <c r="BG254" s="14">
        <f>DISTRIBUSI!H252</f>
        <v>0</v>
      </c>
      <c r="BH254" s="14">
        <f>'PEMAKAIAN UNIT'!H251</f>
        <v>0</v>
      </c>
      <c r="BI254" s="14">
        <f t="shared" si="227"/>
        <v>0</v>
      </c>
      <c r="BJ254" s="15">
        <f t="shared" si="228"/>
        <v>0</v>
      </c>
      <c r="BK254" s="14">
        <f t="shared" si="229"/>
        <v>0</v>
      </c>
      <c r="BL254" s="14">
        <f>DISTRIBUSI!I252</f>
        <v>0</v>
      </c>
      <c r="BM254" s="14">
        <f>'PEMAKAIAN UNIT'!I251</f>
        <v>0</v>
      </c>
      <c r="BN254" s="14">
        <f t="shared" si="230"/>
        <v>0</v>
      </c>
      <c r="BO254" s="15">
        <f t="shared" si="231"/>
        <v>0</v>
      </c>
      <c r="BP254" s="14">
        <f t="shared" si="232"/>
        <v>0</v>
      </c>
      <c r="BQ254" s="14">
        <f>DISTRIBUSI!J252</f>
        <v>0</v>
      </c>
      <c r="BR254" s="14">
        <f>'PEMAKAIAN UNIT'!J251</f>
        <v>0</v>
      </c>
      <c r="BS254" s="14">
        <f t="shared" si="233"/>
        <v>0</v>
      </c>
      <c r="BT254" s="15">
        <f t="shared" si="234"/>
        <v>0</v>
      </c>
      <c r="BU254" s="14">
        <f t="shared" si="235"/>
        <v>0</v>
      </c>
      <c r="BV254" s="14">
        <f>DISTRIBUSI!K252</f>
        <v>0</v>
      </c>
      <c r="BW254" s="14">
        <f>'PEMAKAIAN UNIT'!K251</f>
        <v>0</v>
      </c>
      <c r="BX254" s="14">
        <f t="shared" si="236"/>
        <v>0</v>
      </c>
      <c r="BY254" s="15">
        <f t="shared" si="237"/>
        <v>0</v>
      </c>
      <c r="BZ254" s="14">
        <f t="shared" si="238"/>
        <v>0</v>
      </c>
      <c r="CA254" s="14">
        <f>DISTRIBUSI!L252</f>
        <v>0</v>
      </c>
      <c r="CB254" s="14">
        <f>'PEMAKAIAN UNIT'!L251</f>
        <v>0</v>
      </c>
      <c r="CC254" s="14">
        <f t="shared" si="239"/>
        <v>0</v>
      </c>
      <c r="CD254" s="15">
        <f t="shared" si="240"/>
        <v>0</v>
      </c>
      <c r="CE254" s="14">
        <f t="shared" si="241"/>
        <v>0</v>
      </c>
      <c r="CF254" s="14">
        <f>DISTRIBUSI!M252</f>
        <v>0</v>
      </c>
      <c r="CG254" s="14">
        <f>'PEMAKAIAN UNIT'!M251</f>
        <v>0</v>
      </c>
      <c r="CH254" s="14">
        <f t="shared" si="242"/>
        <v>0</v>
      </c>
      <c r="CI254" s="15">
        <f t="shared" si="243"/>
        <v>0</v>
      </c>
      <c r="CJ254" s="14">
        <f t="shared" si="244"/>
        <v>0</v>
      </c>
      <c r="CK254" s="14" t="e">
        <f>DISTRIBUSI!#REF!</f>
        <v>#REF!</v>
      </c>
      <c r="CL254" s="14">
        <f>'PEMAKAIAN UNIT'!N251</f>
        <v>0</v>
      </c>
      <c r="CM254" s="14" t="e">
        <f t="shared" si="245"/>
        <v>#REF!</v>
      </c>
      <c r="CN254" s="15" t="e">
        <f t="shared" si="246"/>
        <v>#REF!</v>
      </c>
      <c r="CO254" s="14" t="e">
        <f>DL254+DISTRIBUSI!#REF!-'PEMAKAIAN UNIT'!O251</f>
        <v>#REF!</v>
      </c>
      <c r="CP254" s="15" t="e">
        <f t="shared" si="247"/>
        <v>#REF!</v>
      </c>
      <c r="CQ254" s="226">
        <f t="shared" si="248"/>
        <v>0</v>
      </c>
      <c r="CR254" s="226">
        <f>DISTRIBUSI!R252</f>
        <v>0</v>
      </c>
      <c r="CS254" s="226">
        <f>'PEMAKAIAN UNIT'!P251</f>
        <v>0</v>
      </c>
      <c r="CT254" s="14">
        <f t="shared" si="249"/>
        <v>0</v>
      </c>
      <c r="CU254" s="15">
        <f t="shared" si="250"/>
        <v>0</v>
      </c>
      <c r="CV254" s="14" t="e">
        <f>DN254+DISTRIBUSI!#REF!-'PEMAKAIAN UNIT'!Q251</f>
        <v>#REF!</v>
      </c>
      <c r="CW254" s="15" t="e">
        <f t="shared" si="251"/>
        <v>#REF!</v>
      </c>
      <c r="CX254" s="14">
        <f>DO254+'LPLPO PROGRAM'!E83-'LPLPO PROGRAM'!G83</f>
        <v>0</v>
      </c>
      <c r="CY254" s="15">
        <f t="shared" si="252"/>
        <v>0</v>
      </c>
      <c r="CZ254" s="28"/>
      <c r="DA254" s="14">
        <v>0</v>
      </c>
      <c r="DB254" s="14">
        <v>0</v>
      </c>
      <c r="DC254" s="14">
        <v>0</v>
      </c>
      <c r="DD254" s="14">
        <v>0</v>
      </c>
      <c r="DE254" s="14">
        <v>0</v>
      </c>
      <c r="DF254" s="14">
        <v>0</v>
      </c>
      <c r="DG254" s="14">
        <v>0</v>
      </c>
      <c r="DH254" s="14">
        <v>0</v>
      </c>
      <c r="DI254" s="14">
        <v>0</v>
      </c>
      <c r="DJ254" s="14">
        <v>0</v>
      </c>
      <c r="DK254" s="14">
        <v>0</v>
      </c>
      <c r="DL254" s="14">
        <v>0</v>
      </c>
      <c r="DM254" s="14">
        <v>0</v>
      </c>
      <c r="DN254" s="14">
        <v>0</v>
      </c>
      <c r="DO254" s="14">
        <v>0</v>
      </c>
      <c r="DP254" s="13">
        <f t="shared" si="211"/>
        <v>0</v>
      </c>
      <c r="DU254" s="20" t="e">
        <f t="shared" si="210"/>
        <v>#REF!</v>
      </c>
    </row>
    <row r="255" spans="1:125" customFormat="1" ht="20.149999999999999" customHeight="1" x14ac:dyDescent="0.35">
      <c r="A255" s="205">
        <v>71</v>
      </c>
      <c r="B255" s="183" t="s">
        <v>365</v>
      </c>
      <c r="C255" s="144" t="s">
        <v>6</v>
      </c>
      <c r="D255" s="14">
        <v>0</v>
      </c>
      <c r="E255" s="254">
        <f>'LPLPO PROGRAM'!E84</f>
        <v>0</v>
      </c>
      <c r="F255" s="254">
        <f t="shared" si="253"/>
        <v>0</v>
      </c>
      <c r="G255" s="254">
        <f>'PEMAKAIAN UNIT'!R252</f>
        <v>0</v>
      </c>
      <c r="H255" s="14">
        <v>0</v>
      </c>
      <c r="I255" s="14">
        <v>0</v>
      </c>
      <c r="J255" s="14">
        <v>0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09">
        <f t="shared" si="254"/>
        <v>0</v>
      </c>
      <c r="Z255" s="109" t="e">
        <f t="shared" si="255"/>
        <v>#REF!</v>
      </c>
      <c r="AA255" s="109" t="e">
        <f t="shared" si="256"/>
        <v>#REF!</v>
      </c>
      <c r="AB255" s="14">
        <v>0</v>
      </c>
      <c r="AC255" s="109" t="e">
        <f t="shared" si="257"/>
        <v>#REF!</v>
      </c>
      <c r="AD255" s="109">
        <f>'LPLPO PROGRAM'!H84</f>
        <v>0</v>
      </c>
      <c r="AE255" s="111" t="e">
        <f t="shared" si="258"/>
        <v>#REF!</v>
      </c>
      <c r="AF255" s="212"/>
      <c r="AG255" s="212"/>
      <c r="AH255" s="20"/>
      <c r="AI255" s="14">
        <f t="shared" si="212"/>
        <v>0</v>
      </c>
      <c r="AJ255" s="209" t="e">
        <f t="shared" si="213"/>
        <v>#REF!</v>
      </c>
      <c r="AL255" s="14">
        <f t="shared" si="214"/>
        <v>0</v>
      </c>
      <c r="AM255" s="14">
        <f>DISTRIBUSI!D253</f>
        <v>0</v>
      </c>
      <c r="AN255" s="14">
        <f>'PEMAKAIAN UNIT'!D252</f>
        <v>0</v>
      </c>
      <c r="AO255" s="14">
        <f t="shared" si="215"/>
        <v>0</v>
      </c>
      <c r="AP255" s="15">
        <f t="shared" si="216"/>
        <v>0</v>
      </c>
      <c r="AQ255" s="14">
        <f t="shared" si="217"/>
        <v>0</v>
      </c>
      <c r="AR255" s="14">
        <f>DISTRIBUSI!E253</f>
        <v>0</v>
      </c>
      <c r="AS255" s="14">
        <f>'PEMAKAIAN UNIT'!E252</f>
        <v>0</v>
      </c>
      <c r="AT255" s="14">
        <f t="shared" si="218"/>
        <v>0</v>
      </c>
      <c r="AU255" s="15">
        <f t="shared" si="219"/>
        <v>0</v>
      </c>
      <c r="AV255" s="14">
        <f t="shared" si="220"/>
        <v>0</v>
      </c>
      <c r="AW255" s="14">
        <f>DISTRIBUSI!F253</f>
        <v>0</v>
      </c>
      <c r="AX255" s="14">
        <f>'PEMAKAIAN UNIT'!F252</f>
        <v>0</v>
      </c>
      <c r="AY255" s="14">
        <f t="shared" si="221"/>
        <v>0</v>
      </c>
      <c r="AZ255" s="15">
        <f t="shared" si="222"/>
        <v>0</v>
      </c>
      <c r="BA255" s="14">
        <f t="shared" si="223"/>
        <v>0</v>
      </c>
      <c r="BB255" s="14">
        <f>DISTRIBUSI!G253</f>
        <v>0</v>
      </c>
      <c r="BC255" s="14">
        <f>'PEMAKAIAN UNIT'!G252</f>
        <v>0</v>
      </c>
      <c r="BD255" s="14">
        <f t="shared" si="224"/>
        <v>0</v>
      </c>
      <c r="BE255" s="15">
        <f t="shared" si="225"/>
        <v>0</v>
      </c>
      <c r="BF255" s="14">
        <f t="shared" si="226"/>
        <v>0</v>
      </c>
      <c r="BG255" s="14">
        <f>DISTRIBUSI!H253</f>
        <v>0</v>
      </c>
      <c r="BH255" s="14">
        <f>'PEMAKAIAN UNIT'!H252</f>
        <v>0</v>
      </c>
      <c r="BI255" s="14">
        <f t="shared" si="227"/>
        <v>0</v>
      </c>
      <c r="BJ255" s="15">
        <f t="shared" si="228"/>
        <v>0</v>
      </c>
      <c r="BK255" s="14">
        <f t="shared" si="229"/>
        <v>0</v>
      </c>
      <c r="BL255" s="14">
        <f>DISTRIBUSI!I253</f>
        <v>0</v>
      </c>
      <c r="BM255" s="14">
        <f>'PEMAKAIAN UNIT'!I252</f>
        <v>0</v>
      </c>
      <c r="BN255" s="14">
        <f t="shared" si="230"/>
        <v>0</v>
      </c>
      <c r="BO255" s="15">
        <f t="shared" si="231"/>
        <v>0</v>
      </c>
      <c r="BP255" s="14">
        <f t="shared" si="232"/>
        <v>0</v>
      </c>
      <c r="BQ255" s="14">
        <f>DISTRIBUSI!J253</f>
        <v>0</v>
      </c>
      <c r="BR255" s="14">
        <f>'PEMAKAIAN UNIT'!J252</f>
        <v>0</v>
      </c>
      <c r="BS255" s="14">
        <f t="shared" si="233"/>
        <v>0</v>
      </c>
      <c r="BT255" s="15">
        <f t="shared" si="234"/>
        <v>0</v>
      </c>
      <c r="BU255" s="14">
        <f t="shared" si="235"/>
        <v>0</v>
      </c>
      <c r="BV255" s="14">
        <f>DISTRIBUSI!K253</f>
        <v>0</v>
      </c>
      <c r="BW255" s="14">
        <f>'PEMAKAIAN UNIT'!K252</f>
        <v>0</v>
      </c>
      <c r="BX255" s="14">
        <f t="shared" si="236"/>
        <v>0</v>
      </c>
      <c r="BY255" s="15">
        <f t="shared" si="237"/>
        <v>0</v>
      </c>
      <c r="BZ255" s="14">
        <f t="shared" si="238"/>
        <v>0</v>
      </c>
      <c r="CA255" s="14">
        <f>DISTRIBUSI!L253</f>
        <v>0</v>
      </c>
      <c r="CB255" s="14">
        <f>'PEMAKAIAN UNIT'!L252</f>
        <v>0</v>
      </c>
      <c r="CC255" s="14">
        <f t="shared" si="239"/>
        <v>0</v>
      </c>
      <c r="CD255" s="15">
        <f t="shared" si="240"/>
        <v>0</v>
      </c>
      <c r="CE255" s="14">
        <f t="shared" si="241"/>
        <v>0</v>
      </c>
      <c r="CF255" s="14">
        <f>DISTRIBUSI!M253</f>
        <v>0</v>
      </c>
      <c r="CG255" s="14">
        <f>'PEMAKAIAN UNIT'!M252</f>
        <v>0</v>
      </c>
      <c r="CH255" s="14">
        <f t="shared" si="242"/>
        <v>0</v>
      </c>
      <c r="CI255" s="15">
        <f t="shared" si="243"/>
        <v>0</v>
      </c>
      <c r="CJ255" s="14">
        <f t="shared" si="244"/>
        <v>0</v>
      </c>
      <c r="CK255" s="14" t="e">
        <f>DISTRIBUSI!#REF!</f>
        <v>#REF!</v>
      </c>
      <c r="CL255" s="14">
        <f>'PEMAKAIAN UNIT'!N252</f>
        <v>0</v>
      </c>
      <c r="CM255" s="14" t="e">
        <f t="shared" si="245"/>
        <v>#REF!</v>
      </c>
      <c r="CN255" s="15" t="e">
        <f t="shared" si="246"/>
        <v>#REF!</v>
      </c>
      <c r="CO255" s="14" t="e">
        <f>DL255+DISTRIBUSI!#REF!-'PEMAKAIAN UNIT'!O252</f>
        <v>#REF!</v>
      </c>
      <c r="CP255" s="15" t="e">
        <f t="shared" si="247"/>
        <v>#REF!</v>
      </c>
      <c r="CQ255" s="226">
        <f t="shared" si="248"/>
        <v>0</v>
      </c>
      <c r="CR255" s="226">
        <f>DISTRIBUSI!R253</f>
        <v>0</v>
      </c>
      <c r="CS255" s="226">
        <f>'PEMAKAIAN UNIT'!P252</f>
        <v>0</v>
      </c>
      <c r="CT255" s="14">
        <f t="shared" si="249"/>
        <v>0</v>
      </c>
      <c r="CU255" s="15">
        <f t="shared" si="250"/>
        <v>0</v>
      </c>
      <c r="CV255" s="14" t="e">
        <f>DN255+DISTRIBUSI!#REF!-'PEMAKAIAN UNIT'!Q252</f>
        <v>#REF!</v>
      </c>
      <c r="CW255" s="15" t="e">
        <f t="shared" si="251"/>
        <v>#REF!</v>
      </c>
      <c r="CX255" s="14">
        <f>DO255+'LPLPO PROGRAM'!E84-'LPLPO PROGRAM'!G84</f>
        <v>0</v>
      </c>
      <c r="CY255" s="15">
        <f t="shared" si="252"/>
        <v>0</v>
      </c>
      <c r="CZ255" s="28"/>
      <c r="DA255" s="14">
        <v>0</v>
      </c>
      <c r="DB255" s="14">
        <v>0</v>
      </c>
      <c r="DC255" s="14">
        <v>0</v>
      </c>
      <c r="DD255" s="14">
        <v>0</v>
      </c>
      <c r="DE255" s="14">
        <v>0</v>
      </c>
      <c r="DF255" s="14">
        <v>0</v>
      </c>
      <c r="DG255" s="14">
        <v>0</v>
      </c>
      <c r="DH255" s="14">
        <v>0</v>
      </c>
      <c r="DI255" s="14">
        <v>0</v>
      </c>
      <c r="DJ255" s="14">
        <v>0</v>
      </c>
      <c r="DK255" s="14">
        <v>0</v>
      </c>
      <c r="DL255" s="14">
        <v>0</v>
      </c>
      <c r="DM255" s="14">
        <v>0</v>
      </c>
      <c r="DN255" s="14">
        <v>0</v>
      </c>
      <c r="DO255" s="14">
        <v>0</v>
      </c>
      <c r="DP255" s="13">
        <f t="shared" si="211"/>
        <v>0</v>
      </c>
      <c r="DU255" s="20" t="e">
        <f t="shared" si="210"/>
        <v>#REF!</v>
      </c>
    </row>
    <row r="256" spans="1:125" customFormat="1" ht="20.149999999999999" customHeight="1" x14ac:dyDescent="0.35">
      <c r="A256" s="205">
        <v>72</v>
      </c>
      <c r="B256" s="183" t="s">
        <v>271</v>
      </c>
      <c r="C256" s="144" t="s">
        <v>204</v>
      </c>
      <c r="D256" s="14">
        <v>0</v>
      </c>
      <c r="E256" s="254">
        <f>'LPLPO PROGRAM'!E85</f>
        <v>0</v>
      </c>
      <c r="F256" s="254">
        <f t="shared" si="253"/>
        <v>0</v>
      </c>
      <c r="G256" s="254">
        <f>'PEMAKAIAN UNIT'!R253</f>
        <v>0</v>
      </c>
      <c r="H256" s="14">
        <v>0</v>
      </c>
      <c r="I256" s="14">
        <v>0</v>
      </c>
      <c r="J256" s="14">
        <v>0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09">
        <f t="shared" si="254"/>
        <v>0</v>
      </c>
      <c r="Z256" s="109" t="e">
        <f t="shared" si="255"/>
        <v>#REF!</v>
      </c>
      <c r="AA256" s="109" t="e">
        <f t="shared" si="256"/>
        <v>#REF!</v>
      </c>
      <c r="AB256" s="14">
        <v>0</v>
      </c>
      <c r="AC256" s="109" t="e">
        <f t="shared" si="257"/>
        <v>#REF!</v>
      </c>
      <c r="AD256" s="109">
        <f>'LPLPO PROGRAM'!H85</f>
        <v>0</v>
      </c>
      <c r="AE256" s="111" t="e">
        <f t="shared" si="258"/>
        <v>#REF!</v>
      </c>
      <c r="AF256" s="212"/>
      <c r="AG256" s="212"/>
      <c r="AH256" s="20"/>
      <c r="AI256" s="14">
        <f t="shared" si="212"/>
        <v>0</v>
      </c>
      <c r="AJ256" s="209" t="e">
        <f t="shared" si="213"/>
        <v>#REF!</v>
      </c>
      <c r="AL256" s="14">
        <f t="shared" si="214"/>
        <v>0</v>
      </c>
      <c r="AM256" s="14">
        <f>DISTRIBUSI!D254</f>
        <v>0</v>
      </c>
      <c r="AN256" s="14">
        <f>'PEMAKAIAN UNIT'!D253</f>
        <v>0</v>
      </c>
      <c r="AO256" s="14">
        <f t="shared" si="215"/>
        <v>0</v>
      </c>
      <c r="AP256" s="15">
        <f t="shared" si="216"/>
        <v>0</v>
      </c>
      <c r="AQ256" s="14">
        <f t="shared" si="217"/>
        <v>0</v>
      </c>
      <c r="AR256" s="14">
        <f>DISTRIBUSI!E254</f>
        <v>0</v>
      </c>
      <c r="AS256" s="14">
        <f>'PEMAKAIAN UNIT'!E253</f>
        <v>0</v>
      </c>
      <c r="AT256" s="14">
        <f t="shared" si="218"/>
        <v>0</v>
      </c>
      <c r="AU256" s="15">
        <f t="shared" si="219"/>
        <v>0</v>
      </c>
      <c r="AV256" s="14">
        <f t="shared" si="220"/>
        <v>0</v>
      </c>
      <c r="AW256" s="14">
        <f>DISTRIBUSI!F254</f>
        <v>0</v>
      </c>
      <c r="AX256" s="14">
        <f>'PEMAKAIAN UNIT'!F253</f>
        <v>0</v>
      </c>
      <c r="AY256" s="14">
        <f t="shared" si="221"/>
        <v>0</v>
      </c>
      <c r="AZ256" s="15">
        <f t="shared" si="222"/>
        <v>0</v>
      </c>
      <c r="BA256" s="14">
        <f t="shared" si="223"/>
        <v>0</v>
      </c>
      <c r="BB256" s="14">
        <f>DISTRIBUSI!G254</f>
        <v>0</v>
      </c>
      <c r="BC256" s="14">
        <f>'PEMAKAIAN UNIT'!G253</f>
        <v>0</v>
      </c>
      <c r="BD256" s="14">
        <f t="shared" si="224"/>
        <v>0</v>
      </c>
      <c r="BE256" s="15">
        <f t="shared" si="225"/>
        <v>0</v>
      </c>
      <c r="BF256" s="14">
        <f t="shared" si="226"/>
        <v>0</v>
      </c>
      <c r="BG256" s="14">
        <f>DISTRIBUSI!H254</f>
        <v>0</v>
      </c>
      <c r="BH256" s="14">
        <f>'PEMAKAIAN UNIT'!H253</f>
        <v>0</v>
      </c>
      <c r="BI256" s="14">
        <f t="shared" si="227"/>
        <v>0</v>
      </c>
      <c r="BJ256" s="15">
        <f t="shared" si="228"/>
        <v>0</v>
      </c>
      <c r="BK256" s="14">
        <f t="shared" si="229"/>
        <v>0</v>
      </c>
      <c r="BL256" s="14">
        <f>DISTRIBUSI!I254</f>
        <v>0</v>
      </c>
      <c r="BM256" s="14">
        <f>'PEMAKAIAN UNIT'!I253</f>
        <v>0</v>
      </c>
      <c r="BN256" s="14">
        <f t="shared" si="230"/>
        <v>0</v>
      </c>
      <c r="BO256" s="15">
        <f t="shared" si="231"/>
        <v>0</v>
      </c>
      <c r="BP256" s="14">
        <f t="shared" si="232"/>
        <v>0</v>
      </c>
      <c r="BQ256" s="14">
        <f>DISTRIBUSI!J254</f>
        <v>0</v>
      </c>
      <c r="BR256" s="14">
        <f>'PEMAKAIAN UNIT'!J253</f>
        <v>0</v>
      </c>
      <c r="BS256" s="14">
        <f t="shared" si="233"/>
        <v>0</v>
      </c>
      <c r="BT256" s="15">
        <f t="shared" si="234"/>
        <v>0</v>
      </c>
      <c r="BU256" s="14">
        <f t="shared" si="235"/>
        <v>0</v>
      </c>
      <c r="BV256" s="14">
        <f>DISTRIBUSI!K254</f>
        <v>0</v>
      </c>
      <c r="BW256" s="14">
        <f>'PEMAKAIAN UNIT'!K253</f>
        <v>0</v>
      </c>
      <c r="BX256" s="14">
        <f t="shared" si="236"/>
        <v>0</v>
      </c>
      <c r="BY256" s="15">
        <f t="shared" si="237"/>
        <v>0</v>
      </c>
      <c r="BZ256" s="14">
        <f t="shared" si="238"/>
        <v>0</v>
      </c>
      <c r="CA256" s="14">
        <f>DISTRIBUSI!L254</f>
        <v>0</v>
      </c>
      <c r="CB256" s="14">
        <f>'PEMAKAIAN UNIT'!L253</f>
        <v>0</v>
      </c>
      <c r="CC256" s="14">
        <f t="shared" si="239"/>
        <v>0</v>
      </c>
      <c r="CD256" s="15">
        <f t="shared" si="240"/>
        <v>0</v>
      </c>
      <c r="CE256" s="14">
        <f t="shared" si="241"/>
        <v>0</v>
      </c>
      <c r="CF256" s="14">
        <f>DISTRIBUSI!M254</f>
        <v>0</v>
      </c>
      <c r="CG256" s="14">
        <f>'PEMAKAIAN UNIT'!M253</f>
        <v>0</v>
      </c>
      <c r="CH256" s="14">
        <f t="shared" si="242"/>
        <v>0</v>
      </c>
      <c r="CI256" s="15">
        <f t="shared" si="243"/>
        <v>0</v>
      </c>
      <c r="CJ256" s="14">
        <f t="shared" si="244"/>
        <v>0</v>
      </c>
      <c r="CK256" s="14" t="e">
        <f>DISTRIBUSI!#REF!</f>
        <v>#REF!</v>
      </c>
      <c r="CL256" s="14">
        <f>'PEMAKAIAN UNIT'!N253</f>
        <v>0</v>
      </c>
      <c r="CM256" s="14" t="e">
        <f t="shared" si="245"/>
        <v>#REF!</v>
      </c>
      <c r="CN256" s="15" t="e">
        <f t="shared" si="246"/>
        <v>#REF!</v>
      </c>
      <c r="CO256" s="14" t="e">
        <f>DL256+DISTRIBUSI!#REF!-'PEMAKAIAN UNIT'!O253</f>
        <v>#REF!</v>
      </c>
      <c r="CP256" s="15" t="e">
        <f t="shared" si="247"/>
        <v>#REF!</v>
      </c>
      <c r="CQ256" s="226">
        <f t="shared" si="248"/>
        <v>0</v>
      </c>
      <c r="CR256" s="226">
        <f>DISTRIBUSI!R254</f>
        <v>0</v>
      </c>
      <c r="CS256" s="226">
        <f>'PEMAKAIAN UNIT'!P253</f>
        <v>0</v>
      </c>
      <c r="CT256" s="14">
        <f t="shared" si="249"/>
        <v>0</v>
      </c>
      <c r="CU256" s="15">
        <f t="shared" si="250"/>
        <v>0</v>
      </c>
      <c r="CV256" s="14" t="e">
        <f>DN256+DISTRIBUSI!#REF!-'PEMAKAIAN UNIT'!Q253</f>
        <v>#REF!</v>
      </c>
      <c r="CW256" s="15" t="e">
        <f t="shared" si="251"/>
        <v>#REF!</v>
      </c>
      <c r="CX256" s="14">
        <f>DO256+'LPLPO PROGRAM'!E85-'LPLPO PROGRAM'!G85</f>
        <v>0</v>
      </c>
      <c r="CY256" s="15">
        <f t="shared" si="252"/>
        <v>0</v>
      </c>
      <c r="CZ256" s="28"/>
      <c r="DA256" s="14">
        <v>0</v>
      </c>
      <c r="DB256" s="14">
        <v>0</v>
      </c>
      <c r="DC256" s="14">
        <v>0</v>
      </c>
      <c r="DD256" s="14">
        <v>0</v>
      </c>
      <c r="DE256" s="14">
        <v>0</v>
      </c>
      <c r="DF256" s="14">
        <v>0</v>
      </c>
      <c r="DG256" s="14">
        <v>0</v>
      </c>
      <c r="DH256" s="14">
        <v>0</v>
      </c>
      <c r="DI256" s="14">
        <v>0</v>
      </c>
      <c r="DJ256" s="14">
        <v>0</v>
      </c>
      <c r="DK256" s="14">
        <v>0</v>
      </c>
      <c r="DL256" s="14">
        <v>0</v>
      </c>
      <c r="DM256" s="14">
        <v>0</v>
      </c>
      <c r="DN256" s="14">
        <v>0</v>
      </c>
      <c r="DO256" s="14">
        <v>0</v>
      </c>
      <c r="DP256" s="13">
        <f t="shared" si="211"/>
        <v>0</v>
      </c>
      <c r="DU256" s="20" t="e">
        <f t="shared" si="210"/>
        <v>#REF!</v>
      </c>
    </row>
    <row r="257" spans="1:125" customFormat="1" ht="20.149999999999999" customHeight="1" x14ac:dyDescent="0.35">
      <c r="A257" s="205">
        <v>73</v>
      </c>
      <c r="B257" s="182" t="s">
        <v>306</v>
      </c>
      <c r="C257" s="144" t="s">
        <v>48</v>
      </c>
      <c r="D257" s="14">
        <v>0</v>
      </c>
      <c r="E257" s="254">
        <f>'LPLPO PROGRAM'!E86</f>
        <v>0</v>
      </c>
      <c r="F257" s="254">
        <f t="shared" si="253"/>
        <v>0</v>
      </c>
      <c r="G257" s="254">
        <f>'PEMAKAIAN UNIT'!R254</f>
        <v>0</v>
      </c>
      <c r="H257" s="14">
        <v>0</v>
      </c>
      <c r="I257" s="14">
        <v>0</v>
      </c>
      <c r="J257" s="14">
        <v>0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09">
        <f t="shared" si="254"/>
        <v>0</v>
      </c>
      <c r="Z257" s="109" t="e">
        <f t="shared" si="255"/>
        <v>#REF!</v>
      </c>
      <c r="AA257" s="109" t="e">
        <f t="shared" si="256"/>
        <v>#REF!</v>
      </c>
      <c r="AB257" s="14">
        <v>0</v>
      </c>
      <c r="AC257" s="109" t="e">
        <f t="shared" si="257"/>
        <v>#REF!</v>
      </c>
      <c r="AD257" s="109">
        <f>'LPLPO PROGRAM'!H86</f>
        <v>0</v>
      </c>
      <c r="AE257" s="111" t="e">
        <f t="shared" si="258"/>
        <v>#REF!</v>
      </c>
      <c r="AF257" s="212"/>
      <c r="AG257" s="212"/>
      <c r="AH257" s="20"/>
      <c r="AI257" s="14">
        <f t="shared" si="212"/>
        <v>0</v>
      </c>
      <c r="AJ257" s="209" t="e">
        <f t="shared" si="213"/>
        <v>#REF!</v>
      </c>
      <c r="AL257" s="14">
        <f t="shared" si="214"/>
        <v>0</v>
      </c>
      <c r="AM257" s="14">
        <f>DISTRIBUSI!D255</f>
        <v>0</v>
      </c>
      <c r="AN257" s="14">
        <f>'PEMAKAIAN UNIT'!D254</f>
        <v>0</v>
      </c>
      <c r="AO257" s="14">
        <f t="shared" si="215"/>
        <v>0</v>
      </c>
      <c r="AP257" s="15">
        <f t="shared" si="216"/>
        <v>0</v>
      </c>
      <c r="AQ257" s="14">
        <f t="shared" si="217"/>
        <v>0</v>
      </c>
      <c r="AR257" s="14">
        <f>DISTRIBUSI!E255</f>
        <v>0</v>
      </c>
      <c r="AS257" s="14">
        <f>'PEMAKAIAN UNIT'!E254</f>
        <v>0</v>
      </c>
      <c r="AT257" s="14">
        <f t="shared" si="218"/>
        <v>0</v>
      </c>
      <c r="AU257" s="15">
        <f t="shared" si="219"/>
        <v>0</v>
      </c>
      <c r="AV257" s="14">
        <f t="shared" si="220"/>
        <v>0</v>
      </c>
      <c r="AW257" s="14">
        <f>DISTRIBUSI!F255</f>
        <v>0</v>
      </c>
      <c r="AX257" s="14">
        <f>'PEMAKAIAN UNIT'!F254</f>
        <v>0</v>
      </c>
      <c r="AY257" s="14">
        <f t="shared" si="221"/>
        <v>0</v>
      </c>
      <c r="AZ257" s="15">
        <f t="shared" si="222"/>
        <v>0</v>
      </c>
      <c r="BA257" s="14">
        <f t="shared" si="223"/>
        <v>0</v>
      </c>
      <c r="BB257" s="14">
        <f>DISTRIBUSI!G255</f>
        <v>0</v>
      </c>
      <c r="BC257" s="14">
        <f>'PEMAKAIAN UNIT'!G254</f>
        <v>0</v>
      </c>
      <c r="BD257" s="14">
        <f t="shared" si="224"/>
        <v>0</v>
      </c>
      <c r="BE257" s="15">
        <f t="shared" si="225"/>
        <v>0</v>
      </c>
      <c r="BF257" s="14">
        <f t="shared" si="226"/>
        <v>0</v>
      </c>
      <c r="BG257" s="14">
        <f>DISTRIBUSI!H255</f>
        <v>0</v>
      </c>
      <c r="BH257" s="14">
        <f>'PEMAKAIAN UNIT'!H254</f>
        <v>0</v>
      </c>
      <c r="BI257" s="14">
        <f t="shared" si="227"/>
        <v>0</v>
      </c>
      <c r="BJ257" s="15">
        <f t="shared" si="228"/>
        <v>0</v>
      </c>
      <c r="BK257" s="14">
        <f t="shared" si="229"/>
        <v>0</v>
      </c>
      <c r="BL257" s="14">
        <f>DISTRIBUSI!I255</f>
        <v>0</v>
      </c>
      <c r="BM257" s="14">
        <f>'PEMAKAIAN UNIT'!I254</f>
        <v>0</v>
      </c>
      <c r="BN257" s="14">
        <f t="shared" si="230"/>
        <v>0</v>
      </c>
      <c r="BO257" s="15">
        <f t="shared" si="231"/>
        <v>0</v>
      </c>
      <c r="BP257" s="14">
        <f t="shared" si="232"/>
        <v>0</v>
      </c>
      <c r="BQ257" s="14">
        <f>DISTRIBUSI!J255</f>
        <v>0</v>
      </c>
      <c r="BR257" s="14">
        <f>'PEMAKAIAN UNIT'!J254</f>
        <v>0</v>
      </c>
      <c r="BS257" s="14">
        <f t="shared" si="233"/>
        <v>0</v>
      </c>
      <c r="BT257" s="15">
        <f t="shared" si="234"/>
        <v>0</v>
      </c>
      <c r="BU257" s="14">
        <f t="shared" si="235"/>
        <v>0</v>
      </c>
      <c r="BV257" s="14">
        <f>DISTRIBUSI!K255</f>
        <v>0</v>
      </c>
      <c r="BW257" s="14">
        <f>'PEMAKAIAN UNIT'!K254</f>
        <v>0</v>
      </c>
      <c r="BX257" s="14">
        <f t="shared" si="236"/>
        <v>0</v>
      </c>
      <c r="BY257" s="15">
        <f t="shared" si="237"/>
        <v>0</v>
      </c>
      <c r="BZ257" s="14">
        <f t="shared" si="238"/>
        <v>0</v>
      </c>
      <c r="CA257" s="14">
        <f>DISTRIBUSI!L255</f>
        <v>0</v>
      </c>
      <c r="CB257" s="14">
        <f>'PEMAKAIAN UNIT'!L254</f>
        <v>0</v>
      </c>
      <c r="CC257" s="14">
        <f t="shared" si="239"/>
        <v>0</v>
      </c>
      <c r="CD257" s="15">
        <f t="shared" si="240"/>
        <v>0</v>
      </c>
      <c r="CE257" s="14">
        <f t="shared" si="241"/>
        <v>0</v>
      </c>
      <c r="CF257" s="14">
        <f>DISTRIBUSI!M255</f>
        <v>0</v>
      </c>
      <c r="CG257" s="14">
        <f>'PEMAKAIAN UNIT'!M254</f>
        <v>0</v>
      </c>
      <c r="CH257" s="14">
        <f t="shared" si="242"/>
        <v>0</v>
      </c>
      <c r="CI257" s="15">
        <f t="shared" si="243"/>
        <v>0</v>
      </c>
      <c r="CJ257" s="14">
        <f t="shared" si="244"/>
        <v>0</v>
      </c>
      <c r="CK257" s="14" t="e">
        <f>DISTRIBUSI!#REF!</f>
        <v>#REF!</v>
      </c>
      <c r="CL257" s="14">
        <f>'PEMAKAIAN UNIT'!N254</f>
        <v>0</v>
      </c>
      <c r="CM257" s="14" t="e">
        <f t="shared" si="245"/>
        <v>#REF!</v>
      </c>
      <c r="CN257" s="15" t="e">
        <f t="shared" si="246"/>
        <v>#REF!</v>
      </c>
      <c r="CO257" s="14" t="e">
        <f>DL257+DISTRIBUSI!#REF!-'PEMAKAIAN UNIT'!O254</f>
        <v>#REF!</v>
      </c>
      <c r="CP257" s="15" t="e">
        <f t="shared" si="247"/>
        <v>#REF!</v>
      </c>
      <c r="CQ257" s="226">
        <f t="shared" si="248"/>
        <v>0</v>
      </c>
      <c r="CR257" s="226">
        <f>DISTRIBUSI!R255</f>
        <v>0</v>
      </c>
      <c r="CS257" s="226">
        <f>'PEMAKAIAN UNIT'!P254</f>
        <v>0</v>
      </c>
      <c r="CT257" s="14">
        <f t="shared" si="249"/>
        <v>0</v>
      </c>
      <c r="CU257" s="15">
        <f t="shared" si="250"/>
        <v>0</v>
      </c>
      <c r="CV257" s="14" t="e">
        <f>DN257+DISTRIBUSI!#REF!-'PEMAKAIAN UNIT'!Q254</f>
        <v>#REF!</v>
      </c>
      <c r="CW257" s="15" t="e">
        <f t="shared" si="251"/>
        <v>#REF!</v>
      </c>
      <c r="CX257" s="14">
        <f>DO257+'LPLPO PROGRAM'!E86-'LPLPO PROGRAM'!G86</f>
        <v>0</v>
      </c>
      <c r="CY257" s="15">
        <f t="shared" si="252"/>
        <v>0</v>
      </c>
      <c r="CZ257" s="28"/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4">
        <v>0</v>
      </c>
      <c r="DG257" s="14">
        <v>0</v>
      </c>
      <c r="DH257" s="14">
        <v>0</v>
      </c>
      <c r="DI257" s="14">
        <v>0</v>
      </c>
      <c r="DJ257" s="14">
        <v>0</v>
      </c>
      <c r="DK257" s="14">
        <v>0</v>
      </c>
      <c r="DL257" s="14">
        <v>0</v>
      </c>
      <c r="DM257" s="14">
        <v>0</v>
      </c>
      <c r="DN257" s="14">
        <v>0</v>
      </c>
      <c r="DO257" s="14">
        <v>0</v>
      </c>
      <c r="DP257" s="13">
        <f t="shared" si="211"/>
        <v>0</v>
      </c>
      <c r="DU257" s="20" t="e">
        <f t="shared" si="210"/>
        <v>#REF!</v>
      </c>
    </row>
    <row r="258" spans="1:125" customFormat="1" ht="20.149999999999999" customHeight="1" x14ac:dyDescent="0.35">
      <c r="A258" s="205">
        <v>74</v>
      </c>
      <c r="B258" s="178" t="s">
        <v>396</v>
      </c>
      <c r="C258" s="144" t="s">
        <v>33</v>
      </c>
      <c r="D258" s="14">
        <v>0</v>
      </c>
      <c r="E258" s="254">
        <f>'LPLPO PROGRAM'!E87</f>
        <v>0</v>
      </c>
      <c r="F258" s="254">
        <f t="shared" si="253"/>
        <v>0</v>
      </c>
      <c r="G258" s="254">
        <f>'PEMAKAIAN UNIT'!R255</f>
        <v>0</v>
      </c>
      <c r="H258" s="14">
        <v>0</v>
      </c>
      <c r="I258" s="14">
        <v>0</v>
      </c>
      <c r="J258" s="14">
        <v>0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09">
        <f t="shared" si="254"/>
        <v>0</v>
      </c>
      <c r="Z258" s="109" t="e">
        <f t="shared" si="255"/>
        <v>#REF!</v>
      </c>
      <c r="AA258" s="109" t="e">
        <f t="shared" si="256"/>
        <v>#REF!</v>
      </c>
      <c r="AB258" s="14">
        <v>0</v>
      </c>
      <c r="AC258" s="109" t="e">
        <f t="shared" si="257"/>
        <v>#REF!</v>
      </c>
      <c r="AD258" s="109">
        <f>'LPLPO PROGRAM'!H87</f>
        <v>0</v>
      </c>
      <c r="AE258" s="111" t="e">
        <f t="shared" si="258"/>
        <v>#REF!</v>
      </c>
      <c r="AF258" s="212"/>
      <c r="AG258" s="212"/>
      <c r="AH258" s="20"/>
      <c r="AI258" s="14">
        <f t="shared" si="212"/>
        <v>0</v>
      </c>
      <c r="AJ258" s="209" t="e">
        <f t="shared" si="213"/>
        <v>#REF!</v>
      </c>
      <c r="AL258" s="14">
        <f t="shared" si="214"/>
        <v>0</v>
      </c>
      <c r="AM258" s="14">
        <f>DISTRIBUSI!D256</f>
        <v>0</v>
      </c>
      <c r="AN258" s="14">
        <f>'PEMAKAIAN UNIT'!D255</f>
        <v>0</v>
      </c>
      <c r="AO258" s="14">
        <f t="shared" si="215"/>
        <v>0</v>
      </c>
      <c r="AP258" s="15">
        <f t="shared" si="216"/>
        <v>0</v>
      </c>
      <c r="AQ258" s="14">
        <f t="shared" si="217"/>
        <v>0</v>
      </c>
      <c r="AR258" s="14">
        <f>DISTRIBUSI!E256</f>
        <v>0</v>
      </c>
      <c r="AS258" s="14">
        <f>'PEMAKAIAN UNIT'!E255</f>
        <v>0</v>
      </c>
      <c r="AT258" s="14">
        <f t="shared" si="218"/>
        <v>0</v>
      </c>
      <c r="AU258" s="15">
        <f t="shared" si="219"/>
        <v>0</v>
      </c>
      <c r="AV258" s="14">
        <f t="shared" si="220"/>
        <v>0</v>
      </c>
      <c r="AW258" s="14">
        <f>DISTRIBUSI!F256</f>
        <v>0</v>
      </c>
      <c r="AX258" s="14">
        <f>'PEMAKAIAN UNIT'!F255</f>
        <v>0</v>
      </c>
      <c r="AY258" s="14">
        <f t="shared" si="221"/>
        <v>0</v>
      </c>
      <c r="AZ258" s="15">
        <f t="shared" si="222"/>
        <v>0</v>
      </c>
      <c r="BA258" s="14">
        <f t="shared" si="223"/>
        <v>0</v>
      </c>
      <c r="BB258" s="14">
        <f>DISTRIBUSI!G256</f>
        <v>0</v>
      </c>
      <c r="BC258" s="14">
        <f>'PEMAKAIAN UNIT'!G255</f>
        <v>0</v>
      </c>
      <c r="BD258" s="14">
        <f t="shared" si="224"/>
        <v>0</v>
      </c>
      <c r="BE258" s="15">
        <f t="shared" si="225"/>
        <v>0</v>
      </c>
      <c r="BF258" s="14">
        <f t="shared" si="226"/>
        <v>0</v>
      </c>
      <c r="BG258" s="14">
        <f>DISTRIBUSI!H256</f>
        <v>0</v>
      </c>
      <c r="BH258" s="14">
        <f>'PEMAKAIAN UNIT'!H255</f>
        <v>0</v>
      </c>
      <c r="BI258" s="14">
        <f t="shared" si="227"/>
        <v>0</v>
      </c>
      <c r="BJ258" s="15">
        <f t="shared" si="228"/>
        <v>0</v>
      </c>
      <c r="BK258" s="14">
        <f t="shared" si="229"/>
        <v>0</v>
      </c>
      <c r="BL258" s="14">
        <f>DISTRIBUSI!I256</f>
        <v>0</v>
      </c>
      <c r="BM258" s="14">
        <f>'PEMAKAIAN UNIT'!I255</f>
        <v>0</v>
      </c>
      <c r="BN258" s="14">
        <f t="shared" si="230"/>
        <v>0</v>
      </c>
      <c r="BO258" s="15">
        <f t="shared" si="231"/>
        <v>0</v>
      </c>
      <c r="BP258" s="14">
        <f t="shared" si="232"/>
        <v>0</v>
      </c>
      <c r="BQ258" s="14">
        <f>DISTRIBUSI!J256</f>
        <v>0</v>
      </c>
      <c r="BR258" s="14">
        <f>'PEMAKAIAN UNIT'!J255</f>
        <v>0</v>
      </c>
      <c r="BS258" s="14">
        <f t="shared" si="233"/>
        <v>0</v>
      </c>
      <c r="BT258" s="15">
        <f t="shared" si="234"/>
        <v>0</v>
      </c>
      <c r="BU258" s="14">
        <f t="shared" si="235"/>
        <v>0</v>
      </c>
      <c r="BV258" s="14">
        <f>DISTRIBUSI!K256</f>
        <v>0</v>
      </c>
      <c r="BW258" s="14">
        <f>'PEMAKAIAN UNIT'!K255</f>
        <v>0</v>
      </c>
      <c r="BX258" s="14">
        <f t="shared" si="236"/>
        <v>0</v>
      </c>
      <c r="BY258" s="15">
        <f t="shared" si="237"/>
        <v>0</v>
      </c>
      <c r="BZ258" s="14">
        <f t="shared" si="238"/>
        <v>0</v>
      </c>
      <c r="CA258" s="14">
        <f>DISTRIBUSI!L256</f>
        <v>0</v>
      </c>
      <c r="CB258" s="14">
        <f>'PEMAKAIAN UNIT'!L255</f>
        <v>0</v>
      </c>
      <c r="CC258" s="14">
        <f t="shared" si="239"/>
        <v>0</v>
      </c>
      <c r="CD258" s="15">
        <f t="shared" si="240"/>
        <v>0</v>
      </c>
      <c r="CE258" s="14">
        <f t="shared" si="241"/>
        <v>0</v>
      </c>
      <c r="CF258" s="14">
        <f>DISTRIBUSI!M256</f>
        <v>0</v>
      </c>
      <c r="CG258" s="14">
        <f>'PEMAKAIAN UNIT'!M255</f>
        <v>0</v>
      </c>
      <c r="CH258" s="14">
        <f t="shared" si="242"/>
        <v>0</v>
      </c>
      <c r="CI258" s="15">
        <f t="shared" si="243"/>
        <v>0</v>
      </c>
      <c r="CJ258" s="14">
        <f t="shared" si="244"/>
        <v>0</v>
      </c>
      <c r="CK258" s="14" t="e">
        <f>DISTRIBUSI!#REF!</f>
        <v>#REF!</v>
      </c>
      <c r="CL258" s="14">
        <f>'PEMAKAIAN UNIT'!N255</f>
        <v>0</v>
      </c>
      <c r="CM258" s="14" t="e">
        <f t="shared" si="245"/>
        <v>#REF!</v>
      </c>
      <c r="CN258" s="15" t="e">
        <f t="shared" si="246"/>
        <v>#REF!</v>
      </c>
      <c r="CO258" s="14" t="e">
        <f>DL258+DISTRIBUSI!#REF!-'PEMAKAIAN UNIT'!O255</f>
        <v>#REF!</v>
      </c>
      <c r="CP258" s="15" t="e">
        <f t="shared" si="247"/>
        <v>#REF!</v>
      </c>
      <c r="CQ258" s="226">
        <f t="shared" si="248"/>
        <v>0</v>
      </c>
      <c r="CR258" s="226">
        <f>DISTRIBUSI!R256</f>
        <v>0</v>
      </c>
      <c r="CS258" s="226">
        <f>'PEMAKAIAN UNIT'!P255</f>
        <v>0</v>
      </c>
      <c r="CT258" s="14">
        <f t="shared" si="249"/>
        <v>0</v>
      </c>
      <c r="CU258" s="15">
        <f t="shared" si="250"/>
        <v>0</v>
      </c>
      <c r="CV258" s="14" t="e">
        <f>DN258+DISTRIBUSI!#REF!-'PEMAKAIAN UNIT'!Q255</f>
        <v>#REF!</v>
      </c>
      <c r="CW258" s="15" t="e">
        <f t="shared" si="251"/>
        <v>#REF!</v>
      </c>
      <c r="CX258" s="14">
        <f>DO258+'LPLPO PROGRAM'!E87-'LPLPO PROGRAM'!G87</f>
        <v>0</v>
      </c>
      <c r="CY258" s="15">
        <f t="shared" si="252"/>
        <v>0</v>
      </c>
      <c r="CZ258" s="28"/>
      <c r="DA258" s="14">
        <v>0</v>
      </c>
      <c r="DB258" s="14">
        <v>0</v>
      </c>
      <c r="DC258" s="14">
        <v>0</v>
      </c>
      <c r="DD258" s="14">
        <v>0</v>
      </c>
      <c r="DE258" s="14">
        <v>0</v>
      </c>
      <c r="DF258" s="14">
        <v>0</v>
      </c>
      <c r="DG258" s="14">
        <v>0</v>
      </c>
      <c r="DH258" s="14">
        <v>0</v>
      </c>
      <c r="DI258" s="14">
        <v>0</v>
      </c>
      <c r="DJ258" s="14">
        <v>0</v>
      </c>
      <c r="DK258" s="14">
        <v>0</v>
      </c>
      <c r="DL258" s="14">
        <v>0</v>
      </c>
      <c r="DM258" s="14">
        <v>0</v>
      </c>
      <c r="DN258" s="14">
        <v>0</v>
      </c>
      <c r="DO258" s="14">
        <v>0</v>
      </c>
      <c r="DP258" s="13">
        <f t="shared" si="211"/>
        <v>0</v>
      </c>
      <c r="DU258" s="20" t="e">
        <f t="shared" si="210"/>
        <v>#REF!</v>
      </c>
    </row>
    <row r="259" spans="1:125" customFormat="1" ht="20.149999999999999" customHeight="1" x14ac:dyDescent="0.35">
      <c r="A259" s="205">
        <v>75</v>
      </c>
      <c r="B259" s="183" t="s">
        <v>432</v>
      </c>
      <c r="C259" s="144" t="s">
        <v>6</v>
      </c>
      <c r="D259" s="14">
        <v>0</v>
      </c>
      <c r="E259" s="254">
        <f>'LPLPO PROGRAM'!E88</f>
        <v>0</v>
      </c>
      <c r="F259" s="254">
        <f t="shared" si="253"/>
        <v>0</v>
      </c>
      <c r="G259" s="254">
        <f>'PEMAKAIAN UNIT'!R256</f>
        <v>0</v>
      </c>
      <c r="H259" s="14">
        <v>0</v>
      </c>
      <c r="I259" s="14">
        <v>0</v>
      </c>
      <c r="J259" s="14">
        <v>0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09">
        <f t="shared" si="254"/>
        <v>0</v>
      </c>
      <c r="Z259" s="109" t="e">
        <f t="shared" si="255"/>
        <v>#REF!</v>
      </c>
      <c r="AA259" s="109" t="e">
        <f t="shared" si="256"/>
        <v>#REF!</v>
      </c>
      <c r="AB259" s="14">
        <v>0</v>
      </c>
      <c r="AC259" s="109" t="e">
        <f t="shared" si="257"/>
        <v>#REF!</v>
      </c>
      <c r="AD259" s="109">
        <f>'LPLPO PROGRAM'!H88</f>
        <v>0</v>
      </c>
      <c r="AE259" s="111" t="e">
        <f t="shared" si="258"/>
        <v>#REF!</v>
      </c>
      <c r="AF259" s="212"/>
      <c r="AG259" s="212"/>
      <c r="AH259" s="20"/>
      <c r="AI259" s="14">
        <f t="shared" si="212"/>
        <v>0</v>
      </c>
      <c r="AJ259" s="209" t="e">
        <f t="shared" si="213"/>
        <v>#REF!</v>
      </c>
      <c r="AL259" s="14">
        <f t="shared" si="214"/>
        <v>0</v>
      </c>
      <c r="AM259" s="14">
        <f>DISTRIBUSI!D257</f>
        <v>0</v>
      </c>
      <c r="AN259" s="14">
        <f>'PEMAKAIAN UNIT'!D256</f>
        <v>0</v>
      </c>
      <c r="AO259" s="14">
        <f t="shared" si="215"/>
        <v>0</v>
      </c>
      <c r="AP259" s="15">
        <f t="shared" si="216"/>
        <v>0</v>
      </c>
      <c r="AQ259" s="14">
        <f t="shared" si="217"/>
        <v>0</v>
      </c>
      <c r="AR259" s="14">
        <f>DISTRIBUSI!E257</f>
        <v>0</v>
      </c>
      <c r="AS259" s="14">
        <f>'PEMAKAIAN UNIT'!E256</f>
        <v>0</v>
      </c>
      <c r="AT259" s="14">
        <f t="shared" si="218"/>
        <v>0</v>
      </c>
      <c r="AU259" s="15">
        <f t="shared" si="219"/>
        <v>0</v>
      </c>
      <c r="AV259" s="14">
        <f t="shared" si="220"/>
        <v>0</v>
      </c>
      <c r="AW259" s="14">
        <f>DISTRIBUSI!F257</f>
        <v>0</v>
      </c>
      <c r="AX259" s="14">
        <f>'PEMAKAIAN UNIT'!F256</f>
        <v>0</v>
      </c>
      <c r="AY259" s="14">
        <f t="shared" si="221"/>
        <v>0</v>
      </c>
      <c r="AZ259" s="15">
        <f t="shared" si="222"/>
        <v>0</v>
      </c>
      <c r="BA259" s="14">
        <f t="shared" si="223"/>
        <v>0</v>
      </c>
      <c r="BB259" s="14">
        <f>DISTRIBUSI!G257</f>
        <v>0</v>
      </c>
      <c r="BC259" s="14">
        <f>'PEMAKAIAN UNIT'!G256</f>
        <v>0</v>
      </c>
      <c r="BD259" s="14">
        <f t="shared" si="224"/>
        <v>0</v>
      </c>
      <c r="BE259" s="15">
        <f t="shared" si="225"/>
        <v>0</v>
      </c>
      <c r="BF259" s="14">
        <f t="shared" si="226"/>
        <v>0</v>
      </c>
      <c r="BG259" s="14">
        <f>DISTRIBUSI!H257</f>
        <v>0</v>
      </c>
      <c r="BH259" s="14">
        <f>'PEMAKAIAN UNIT'!H256</f>
        <v>0</v>
      </c>
      <c r="BI259" s="14">
        <f t="shared" si="227"/>
        <v>0</v>
      </c>
      <c r="BJ259" s="15">
        <f t="shared" si="228"/>
        <v>0</v>
      </c>
      <c r="BK259" s="14">
        <f t="shared" si="229"/>
        <v>0</v>
      </c>
      <c r="BL259" s="14">
        <f>DISTRIBUSI!I257</f>
        <v>0</v>
      </c>
      <c r="BM259" s="14">
        <f>'PEMAKAIAN UNIT'!I256</f>
        <v>0</v>
      </c>
      <c r="BN259" s="14">
        <f t="shared" si="230"/>
        <v>0</v>
      </c>
      <c r="BO259" s="15">
        <f t="shared" si="231"/>
        <v>0</v>
      </c>
      <c r="BP259" s="14">
        <f t="shared" si="232"/>
        <v>0</v>
      </c>
      <c r="BQ259" s="14">
        <f>DISTRIBUSI!J257</f>
        <v>0</v>
      </c>
      <c r="BR259" s="14">
        <f>'PEMAKAIAN UNIT'!J256</f>
        <v>0</v>
      </c>
      <c r="BS259" s="14">
        <f t="shared" si="233"/>
        <v>0</v>
      </c>
      <c r="BT259" s="15">
        <f t="shared" si="234"/>
        <v>0</v>
      </c>
      <c r="BU259" s="14">
        <f t="shared" si="235"/>
        <v>0</v>
      </c>
      <c r="BV259" s="14">
        <f>DISTRIBUSI!K257</f>
        <v>0</v>
      </c>
      <c r="BW259" s="14">
        <f>'PEMAKAIAN UNIT'!K256</f>
        <v>0</v>
      </c>
      <c r="BX259" s="14">
        <f t="shared" si="236"/>
        <v>0</v>
      </c>
      <c r="BY259" s="15">
        <f t="shared" si="237"/>
        <v>0</v>
      </c>
      <c r="BZ259" s="14">
        <f t="shared" si="238"/>
        <v>0</v>
      </c>
      <c r="CA259" s="14">
        <f>DISTRIBUSI!L257</f>
        <v>0</v>
      </c>
      <c r="CB259" s="14">
        <f>'PEMAKAIAN UNIT'!L256</f>
        <v>0</v>
      </c>
      <c r="CC259" s="14">
        <f t="shared" si="239"/>
        <v>0</v>
      </c>
      <c r="CD259" s="15">
        <f t="shared" si="240"/>
        <v>0</v>
      </c>
      <c r="CE259" s="14">
        <f t="shared" si="241"/>
        <v>0</v>
      </c>
      <c r="CF259" s="14">
        <f>DISTRIBUSI!M257</f>
        <v>0</v>
      </c>
      <c r="CG259" s="14">
        <f>'PEMAKAIAN UNIT'!M256</f>
        <v>0</v>
      </c>
      <c r="CH259" s="14">
        <f t="shared" si="242"/>
        <v>0</v>
      </c>
      <c r="CI259" s="15">
        <f t="shared" si="243"/>
        <v>0</v>
      </c>
      <c r="CJ259" s="14">
        <f t="shared" si="244"/>
        <v>0</v>
      </c>
      <c r="CK259" s="14" t="e">
        <f>DISTRIBUSI!#REF!</f>
        <v>#REF!</v>
      </c>
      <c r="CL259" s="14">
        <f>'PEMAKAIAN UNIT'!N256</f>
        <v>0</v>
      </c>
      <c r="CM259" s="14" t="e">
        <f t="shared" si="245"/>
        <v>#REF!</v>
      </c>
      <c r="CN259" s="15" t="e">
        <f t="shared" si="246"/>
        <v>#REF!</v>
      </c>
      <c r="CO259" s="14" t="e">
        <f>DL259+DISTRIBUSI!#REF!-'PEMAKAIAN UNIT'!O256</f>
        <v>#REF!</v>
      </c>
      <c r="CP259" s="15" t="e">
        <f t="shared" si="247"/>
        <v>#REF!</v>
      </c>
      <c r="CQ259" s="226">
        <f t="shared" si="248"/>
        <v>0</v>
      </c>
      <c r="CR259" s="226">
        <f>DISTRIBUSI!R257</f>
        <v>0</v>
      </c>
      <c r="CS259" s="226">
        <f>'PEMAKAIAN UNIT'!P256</f>
        <v>0</v>
      </c>
      <c r="CT259" s="14">
        <f t="shared" si="249"/>
        <v>0</v>
      </c>
      <c r="CU259" s="15">
        <f t="shared" si="250"/>
        <v>0</v>
      </c>
      <c r="CV259" s="14" t="e">
        <f>DN259+DISTRIBUSI!#REF!-'PEMAKAIAN UNIT'!Q256</f>
        <v>#REF!</v>
      </c>
      <c r="CW259" s="15" t="e">
        <f t="shared" si="251"/>
        <v>#REF!</v>
      </c>
      <c r="CX259" s="14">
        <f>DO259+'LPLPO PROGRAM'!E88-'LPLPO PROGRAM'!G88</f>
        <v>0</v>
      </c>
      <c r="CY259" s="15">
        <f t="shared" si="252"/>
        <v>0</v>
      </c>
      <c r="CZ259" s="28"/>
      <c r="DA259" s="14">
        <v>0</v>
      </c>
      <c r="DB259" s="14">
        <v>0</v>
      </c>
      <c r="DC259" s="14">
        <v>0</v>
      </c>
      <c r="DD259" s="14">
        <v>0</v>
      </c>
      <c r="DE259" s="14">
        <v>0</v>
      </c>
      <c r="DF259" s="14">
        <v>0</v>
      </c>
      <c r="DG259" s="14">
        <v>0</v>
      </c>
      <c r="DH259" s="14">
        <v>0</v>
      </c>
      <c r="DI259" s="14">
        <v>0</v>
      </c>
      <c r="DJ259" s="14">
        <v>0</v>
      </c>
      <c r="DK259" s="14">
        <v>0</v>
      </c>
      <c r="DL259" s="14">
        <v>0</v>
      </c>
      <c r="DM259" s="14">
        <v>0</v>
      </c>
      <c r="DN259" s="14">
        <v>0</v>
      </c>
      <c r="DO259" s="14">
        <v>0</v>
      </c>
      <c r="DP259" s="13">
        <f t="shared" si="211"/>
        <v>0</v>
      </c>
      <c r="DU259" s="20" t="e">
        <f t="shared" si="210"/>
        <v>#REF!</v>
      </c>
    </row>
    <row r="260" spans="1:125" customFormat="1" ht="20.149999999999999" customHeight="1" x14ac:dyDescent="0.35">
      <c r="A260" s="205">
        <v>76</v>
      </c>
      <c r="B260" s="183" t="s">
        <v>305</v>
      </c>
      <c r="C260" s="144" t="s">
        <v>6</v>
      </c>
      <c r="D260" s="14">
        <v>0</v>
      </c>
      <c r="E260" s="254">
        <f>'LPLPO PROGRAM'!E89</f>
        <v>0</v>
      </c>
      <c r="F260" s="254">
        <f t="shared" si="253"/>
        <v>0</v>
      </c>
      <c r="G260" s="254">
        <f>'PEMAKAIAN UNIT'!R257</f>
        <v>0</v>
      </c>
      <c r="H260" s="14">
        <v>0</v>
      </c>
      <c r="I260" s="14">
        <v>0</v>
      </c>
      <c r="J260" s="14">
        <v>0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09">
        <f t="shared" si="254"/>
        <v>0</v>
      </c>
      <c r="Z260" s="109" t="e">
        <f t="shared" si="255"/>
        <v>#REF!</v>
      </c>
      <c r="AA260" s="109" t="e">
        <f t="shared" si="256"/>
        <v>#REF!</v>
      </c>
      <c r="AB260" s="14">
        <v>0</v>
      </c>
      <c r="AC260" s="109" t="e">
        <f t="shared" si="257"/>
        <v>#REF!</v>
      </c>
      <c r="AD260" s="109">
        <f>'LPLPO PROGRAM'!H89</f>
        <v>0</v>
      </c>
      <c r="AE260" s="111" t="e">
        <f t="shared" si="258"/>
        <v>#REF!</v>
      </c>
      <c r="AF260" s="212"/>
      <c r="AG260" s="212"/>
      <c r="AH260" s="20"/>
      <c r="AI260" s="14">
        <f t="shared" si="212"/>
        <v>0</v>
      </c>
      <c r="AJ260" s="209" t="e">
        <f t="shared" si="213"/>
        <v>#REF!</v>
      </c>
      <c r="AL260" s="14">
        <f t="shared" si="214"/>
        <v>0</v>
      </c>
      <c r="AM260" s="14">
        <f>DISTRIBUSI!D258</f>
        <v>0</v>
      </c>
      <c r="AN260" s="14">
        <f>'PEMAKAIAN UNIT'!D257</f>
        <v>0</v>
      </c>
      <c r="AO260" s="14">
        <f t="shared" si="215"/>
        <v>0</v>
      </c>
      <c r="AP260" s="15">
        <f t="shared" si="216"/>
        <v>0</v>
      </c>
      <c r="AQ260" s="14">
        <f t="shared" si="217"/>
        <v>0</v>
      </c>
      <c r="AR260" s="14">
        <f>DISTRIBUSI!E258</f>
        <v>0</v>
      </c>
      <c r="AS260" s="14">
        <f>'PEMAKAIAN UNIT'!E257</f>
        <v>0</v>
      </c>
      <c r="AT260" s="14">
        <f t="shared" si="218"/>
        <v>0</v>
      </c>
      <c r="AU260" s="15">
        <f t="shared" si="219"/>
        <v>0</v>
      </c>
      <c r="AV260" s="14">
        <f t="shared" si="220"/>
        <v>0</v>
      </c>
      <c r="AW260" s="14">
        <f>DISTRIBUSI!F258</f>
        <v>0</v>
      </c>
      <c r="AX260" s="14">
        <f>'PEMAKAIAN UNIT'!F257</f>
        <v>0</v>
      </c>
      <c r="AY260" s="14">
        <f t="shared" si="221"/>
        <v>0</v>
      </c>
      <c r="AZ260" s="15">
        <f t="shared" si="222"/>
        <v>0</v>
      </c>
      <c r="BA260" s="14">
        <f t="shared" si="223"/>
        <v>0</v>
      </c>
      <c r="BB260" s="14">
        <f>DISTRIBUSI!G258</f>
        <v>0</v>
      </c>
      <c r="BC260" s="14">
        <f>'PEMAKAIAN UNIT'!G257</f>
        <v>0</v>
      </c>
      <c r="BD260" s="14">
        <f t="shared" si="224"/>
        <v>0</v>
      </c>
      <c r="BE260" s="15">
        <f t="shared" si="225"/>
        <v>0</v>
      </c>
      <c r="BF260" s="14">
        <f t="shared" si="226"/>
        <v>0</v>
      </c>
      <c r="BG260" s="14">
        <f>DISTRIBUSI!H258</f>
        <v>0</v>
      </c>
      <c r="BH260" s="14">
        <f>'PEMAKAIAN UNIT'!H257</f>
        <v>0</v>
      </c>
      <c r="BI260" s="14">
        <f t="shared" si="227"/>
        <v>0</v>
      </c>
      <c r="BJ260" s="15">
        <f t="shared" si="228"/>
        <v>0</v>
      </c>
      <c r="BK260" s="14">
        <f t="shared" si="229"/>
        <v>0</v>
      </c>
      <c r="BL260" s="14">
        <f>DISTRIBUSI!I258</f>
        <v>0</v>
      </c>
      <c r="BM260" s="14">
        <f>'PEMAKAIAN UNIT'!I257</f>
        <v>0</v>
      </c>
      <c r="BN260" s="14">
        <f t="shared" si="230"/>
        <v>0</v>
      </c>
      <c r="BO260" s="15">
        <f t="shared" si="231"/>
        <v>0</v>
      </c>
      <c r="BP260" s="14">
        <f t="shared" si="232"/>
        <v>0</v>
      </c>
      <c r="BQ260" s="14">
        <f>DISTRIBUSI!J258</f>
        <v>0</v>
      </c>
      <c r="BR260" s="14">
        <f>'PEMAKAIAN UNIT'!J257</f>
        <v>0</v>
      </c>
      <c r="BS260" s="14">
        <f t="shared" si="233"/>
        <v>0</v>
      </c>
      <c r="BT260" s="15">
        <f t="shared" si="234"/>
        <v>0</v>
      </c>
      <c r="BU260" s="14">
        <f t="shared" si="235"/>
        <v>0</v>
      </c>
      <c r="BV260" s="14">
        <f>DISTRIBUSI!K258</f>
        <v>0</v>
      </c>
      <c r="BW260" s="14">
        <f>'PEMAKAIAN UNIT'!K257</f>
        <v>0</v>
      </c>
      <c r="BX260" s="14">
        <f t="shared" si="236"/>
        <v>0</v>
      </c>
      <c r="BY260" s="15">
        <f t="shared" si="237"/>
        <v>0</v>
      </c>
      <c r="BZ260" s="14">
        <f t="shared" si="238"/>
        <v>0</v>
      </c>
      <c r="CA260" s="14">
        <f>DISTRIBUSI!L258</f>
        <v>0</v>
      </c>
      <c r="CB260" s="14">
        <f>'PEMAKAIAN UNIT'!L257</f>
        <v>0</v>
      </c>
      <c r="CC260" s="14">
        <f t="shared" si="239"/>
        <v>0</v>
      </c>
      <c r="CD260" s="15">
        <f t="shared" si="240"/>
        <v>0</v>
      </c>
      <c r="CE260" s="14">
        <f t="shared" si="241"/>
        <v>0</v>
      </c>
      <c r="CF260" s="14">
        <f>DISTRIBUSI!M258</f>
        <v>0</v>
      </c>
      <c r="CG260" s="14">
        <f>'PEMAKAIAN UNIT'!M257</f>
        <v>0</v>
      </c>
      <c r="CH260" s="14">
        <f t="shared" si="242"/>
        <v>0</v>
      </c>
      <c r="CI260" s="15">
        <f t="shared" si="243"/>
        <v>0</v>
      </c>
      <c r="CJ260" s="14">
        <f t="shared" si="244"/>
        <v>0</v>
      </c>
      <c r="CK260" s="14" t="e">
        <f>DISTRIBUSI!#REF!</f>
        <v>#REF!</v>
      </c>
      <c r="CL260" s="14">
        <f>'PEMAKAIAN UNIT'!N257</f>
        <v>0</v>
      </c>
      <c r="CM260" s="14" t="e">
        <f t="shared" si="245"/>
        <v>#REF!</v>
      </c>
      <c r="CN260" s="15" t="e">
        <f t="shared" si="246"/>
        <v>#REF!</v>
      </c>
      <c r="CO260" s="14" t="e">
        <f>DL260+DISTRIBUSI!#REF!-'PEMAKAIAN UNIT'!O257</f>
        <v>#REF!</v>
      </c>
      <c r="CP260" s="15" t="e">
        <f t="shared" si="247"/>
        <v>#REF!</v>
      </c>
      <c r="CQ260" s="226">
        <f t="shared" si="248"/>
        <v>0</v>
      </c>
      <c r="CR260" s="226">
        <f>DISTRIBUSI!R258</f>
        <v>0</v>
      </c>
      <c r="CS260" s="226">
        <f>'PEMAKAIAN UNIT'!P257</f>
        <v>0</v>
      </c>
      <c r="CT260" s="14">
        <f t="shared" si="249"/>
        <v>0</v>
      </c>
      <c r="CU260" s="15">
        <f t="shared" si="250"/>
        <v>0</v>
      </c>
      <c r="CV260" s="14" t="e">
        <f>DN260+DISTRIBUSI!#REF!-'PEMAKAIAN UNIT'!Q257</f>
        <v>#REF!</v>
      </c>
      <c r="CW260" s="15" t="e">
        <f t="shared" si="251"/>
        <v>#REF!</v>
      </c>
      <c r="CX260" s="14">
        <f>DO260+'LPLPO PROGRAM'!E89-'LPLPO PROGRAM'!G89</f>
        <v>0</v>
      </c>
      <c r="CY260" s="15">
        <f t="shared" si="252"/>
        <v>0</v>
      </c>
      <c r="CZ260" s="28"/>
      <c r="DA260" s="14">
        <v>0</v>
      </c>
      <c r="DB260" s="14">
        <v>0</v>
      </c>
      <c r="DC260" s="14">
        <v>0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0</v>
      </c>
      <c r="DJ260" s="14">
        <v>0</v>
      </c>
      <c r="DK260" s="14">
        <v>0</v>
      </c>
      <c r="DL260" s="14">
        <v>0</v>
      </c>
      <c r="DM260" s="14">
        <v>0</v>
      </c>
      <c r="DN260" s="14">
        <v>0</v>
      </c>
      <c r="DO260" s="14">
        <v>0</v>
      </c>
      <c r="DP260" s="13">
        <f t="shared" si="211"/>
        <v>0</v>
      </c>
      <c r="DU260" s="20" t="e">
        <f t="shared" si="210"/>
        <v>#REF!</v>
      </c>
    </row>
    <row r="261" spans="1:125" customFormat="1" ht="20.149999999999999" customHeight="1" x14ac:dyDescent="0.35">
      <c r="A261" s="205">
        <v>77</v>
      </c>
      <c r="B261" s="183" t="s">
        <v>303</v>
      </c>
      <c r="C261" s="144" t="s">
        <v>6</v>
      </c>
      <c r="D261" s="14">
        <v>0</v>
      </c>
      <c r="E261" s="254">
        <f>'LPLPO PROGRAM'!E90</f>
        <v>0</v>
      </c>
      <c r="F261" s="254">
        <f t="shared" si="253"/>
        <v>0</v>
      </c>
      <c r="G261" s="254">
        <f>'PEMAKAIAN UNIT'!R258</f>
        <v>0</v>
      </c>
      <c r="H261" s="14">
        <v>0</v>
      </c>
      <c r="I261" s="14">
        <v>0</v>
      </c>
      <c r="J261" s="14">
        <v>0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09">
        <f t="shared" si="254"/>
        <v>0</v>
      </c>
      <c r="Z261" s="109" t="e">
        <f t="shared" si="255"/>
        <v>#REF!</v>
      </c>
      <c r="AA261" s="109" t="e">
        <f t="shared" si="256"/>
        <v>#REF!</v>
      </c>
      <c r="AB261" s="14">
        <v>0</v>
      </c>
      <c r="AC261" s="109" t="e">
        <f t="shared" si="257"/>
        <v>#REF!</v>
      </c>
      <c r="AD261" s="109">
        <f>'LPLPO PROGRAM'!H90</f>
        <v>0</v>
      </c>
      <c r="AE261" s="111" t="e">
        <f t="shared" si="258"/>
        <v>#REF!</v>
      </c>
      <c r="AF261" s="212"/>
      <c r="AG261" s="212"/>
      <c r="AH261" s="20"/>
      <c r="AI261" s="14">
        <f t="shared" si="212"/>
        <v>0</v>
      </c>
      <c r="AJ261" s="209" t="e">
        <f t="shared" si="213"/>
        <v>#REF!</v>
      </c>
      <c r="AL261" s="14">
        <f t="shared" si="214"/>
        <v>0</v>
      </c>
      <c r="AM261" s="14">
        <f>DISTRIBUSI!D259</f>
        <v>0</v>
      </c>
      <c r="AN261" s="14">
        <f>'PEMAKAIAN UNIT'!D258</f>
        <v>0</v>
      </c>
      <c r="AO261" s="14">
        <f t="shared" si="215"/>
        <v>0</v>
      </c>
      <c r="AP261" s="15">
        <f t="shared" si="216"/>
        <v>0</v>
      </c>
      <c r="AQ261" s="14">
        <f t="shared" si="217"/>
        <v>0</v>
      </c>
      <c r="AR261" s="14">
        <f>DISTRIBUSI!E259</f>
        <v>0</v>
      </c>
      <c r="AS261" s="14">
        <f>'PEMAKAIAN UNIT'!E258</f>
        <v>0</v>
      </c>
      <c r="AT261" s="14">
        <f t="shared" si="218"/>
        <v>0</v>
      </c>
      <c r="AU261" s="15">
        <f t="shared" si="219"/>
        <v>0</v>
      </c>
      <c r="AV261" s="14">
        <f t="shared" si="220"/>
        <v>0</v>
      </c>
      <c r="AW261" s="14">
        <f>DISTRIBUSI!F259</f>
        <v>0</v>
      </c>
      <c r="AX261" s="14">
        <f>'PEMAKAIAN UNIT'!F258</f>
        <v>0</v>
      </c>
      <c r="AY261" s="14">
        <f t="shared" si="221"/>
        <v>0</v>
      </c>
      <c r="AZ261" s="15">
        <f t="shared" si="222"/>
        <v>0</v>
      </c>
      <c r="BA261" s="14">
        <f t="shared" si="223"/>
        <v>0</v>
      </c>
      <c r="BB261" s="14">
        <f>DISTRIBUSI!G259</f>
        <v>0</v>
      </c>
      <c r="BC261" s="14">
        <f>'PEMAKAIAN UNIT'!G258</f>
        <v>0</v>
      </c>
      <c r="BD261" s="14">
        <f t="shared" si="224"/>
        <v>0</v>
      </c>
      <c r="BE261" s="15">
        <f t="shared" si="225"/>
        <v>0</v>
      </c>
      <c r="BF261" s="14">
        <f t="shared" si="226"/>
        <v>0</v>
      </c>
      <c r="BG261" s="14">
        <f>DISTRIBUSI!H259</f>
        <v>0</v>
      </c>
      <c r="BH261" s="14">
        <f>'PEMAKAIAN UNIT'!H258</f>
        <v>0</v>
      </c>
      <c r="BI261" s="14">
        <f t="shared" si="227"/>
        <v>0</v>
      </c>
      <c r="BJ261" s="15">
        <f t="shared" si="228"/>
        <v>0</v>
      </c>
      <c r="BK261" s="14">
        <f t="shared" si="229"/>
        <v>0</v>
      </c>
      <c r="BL261" s="14">
        <f>DISTRIBUSI!I259</f>
        <v>0</v>
      </c>
      <c r="BM261" s="14">
        <f>'PEMAKAIAN UNIT'!I258</f>
        <v>0</v>
      </c>
      <c r="BN261" s="14">
        <f t="shared" si="230"/>
        <v>0</v>
      </c>
      <c r="BO261" s="15">
        <f t="shared" si="231"/>
        <v>0</v>
      </c>
      <c r="BP261" s="14">
        <f t="shared" si="232"/>
        <v>0</v>
      </c>
      <c r="BQ261" s="14">
        <f>DISTRIBUSI!J259</f>
        <v>0</v>
      </c>
      <c r="BR261" s="14">
        <f>'PEMAKAIAN UNIT'!J258</f>
        <v>0</v>
      </c>
      <c r="BS261" s="14">
        <f t="shared" si="233"/>
        <v>0</v>
      </c>
      <c r="BT261" s="15">
        <f t="shared" si="234"/>
        <v>0</v>
      </c>
      <c r="BU261" s="14">
        <f t="shared" si="235"/>
        <v>0</v>
      </c>
      <c r="BV261" s="14">
        <f>DISTRIBUSI!K259</f>
        <v>0</v>
      </c>
      <c r="BW261" s="14">
        <f>'PEMAKAIAN UNIT'!K258</f>
        <v>0</v>
      </c>
      <c r="BX261" s="14">
        <f t="shared" si="236"/>
        <v>0</v>
      </c>
      <c r="BY261" s="15">
        <f t="shared" si="237"/>
        <v>0</v>
      </c>
      <c r="BZ261" s="14">
        <f t="shared" si="238"/>
        <v>0</v>
      </c>
      <c r="CA261" s="14">
        <f>DISTRIBUSI!L259</f>
        <v>0</v>
      </c>
      <c r="CB261" s="14">
        <f>'PEMAKAIAN UNIT'!L258</f>
        <v>0</v>
      </c>
      <c r="CC261" s="14">
        <f t="shared" si="239"/>
        <v>0</v>
      </c>
      <c r="CD261" s="15">
        <f t="shared" si="240"/>
        <v>0</v>
      </c>
      <c r="CE261" s="14">
        <f t="shared" si="241"/>
        <v>0</v>
      </c>
      <c r="CF261" s="14">
        <f>DISTRIBUSI!M259</f>
        <v>0</v>
      </c>
      <c r="CG261" s="14">
        <f>'PEMAKAIAN UNIT'!M258</f>
        <v>0</v>
      </c>
      <c r="CH261" s="14">
        <f t="shared" si="242"/>
        <v>0</v>
      </c>
      <c r="CI261" s="15">
        <f t="shared" si="243"/>
        <v>0</v>
      </c>
      <c r="CJ261" s="14">
        <f t="shared" si="244"/>
        <v>0</v>
      </c>
      <c r="CK261" s="14" t="e">
        <f>DISTRIBUSI!#REF!</f>
        <v>#REF!</v>
      </c>
      <c r="CL261" s="14">
        <f>'PEMAKAIAN UNIT'!N258</f>
        <v>0</v>
      </c>
      <c r="CM261" s="14" t="e">
        <f t="shared" si="245"/>
        <v>#REF!</v>
      </c>
      <c r="CN261" s="15" t="e">
        <f t="shared" si="246"/>
        <v>#REF!</v>
      </c>
      <c r="CO261" s="14" t="e">
        <f>DL261+DISTRIBUSI!#REF!-'PEMAKAIAN UNIT'!O258</f>
        <v>#REF!</v>
      </c>
      <c r="CP261" s="15" t="e">
        <f t="shared" si="247"/>
        <v>#REF!</v>
      </c>
      <c r="CQ261" s="226">
        <f t="shared" si="248"/>
        <v>0</v>
      </c>
      <c r="CR261" s="226">
        <f>DISTRIBUSI!R259</f>
        <v>0</v>
      </c>
      <c r="CS261" s="226">
        <f>'PEMAKAIAN UNIT'!P258</f>
        <v>0</v>
      </c>
      <c r="CT261" s="14">
        <f t="shared" si="249"/>
        <v>0</v>
      </c>
      <c r="CU261" s="15">
        <f t="shared" si="250"/>
        <v>0</v>
      </c>
      <c r="CV261" s="14" t="e">
        <f>DN261+DISTRIBUSI!#REF!-'PEMAKAIAN UNIT'!Q258</f>
        <v>#REF!</v>
      </c>
      <c r="CW261" s="15" t="e">
        <f t="shared" si="251"/>
        <v>#REF!</v>
      </c>
      <c r="CX261" s="14">
        <f>DO261+'LPLPO PROGRAM'!E90-'LPLPO PROGRAM'!G90</f>
        <v>0</v>
      </c>
      <c r="CY261" s="15">
        <f t="shared" si="252"/>
        <v>0</v>
      </c>
      <c r="CZ261" s="28"/>
      <c r="DA261" s="14">
        <v>0</v>
      </c>
      <c r="DB261" s="14">
        <v>0</v>
      </c>
      <c r="DC261" s="14">
        <v>0</v>
      </c>
      <c r="DD261" s="14">
        <v>0</v>
      </c>
      <c r="DE261" s="14">
        <v>0</v>
      </c>
      <c r="DF261" s="14">
        <v>0</v>
      </c>
      <c r="DG261" s="14">
        <v>0</v>
      </c>
      <c r="DH261" s="14">
        <v>0</v>
      </c>
      <c r="DI261" s="14">
        <v>0</v>
      </c>
      <c r="DJ261" s="14">
        <v>0</v>
      </c>
      <c r="DK261" s="14">
        <v>0</v>
      </c>
      <c r="DL261" s="14">
        <v>0</v>
      </c>
      <c r="DM261" s="14">
        <v>0</v>
      </c>
      <c r="DN261" s="14">
        <v>0</v>
      </c>
      <c r="DO261" s="14">
        <v>0</v>
      </c>
      <c r="DP261" s="13">
        <f t="shared" si="211"/>
        <v>0</v>
      </c>
      <c r="DU261" s="20" t="e">
        <f t="shared" si="210"/>
        <v>#REF!</v>
      </c>
    </row>
    <row r="262" spans="1:125" customFormat="1" ht="20.149999999999999" customHeight="1" x14ac:dyDescent="0.35">
      <c r="A262" s="205">
        <v>78</v>
      </c>
      <c r="B262" s="178" t="s">
        <v>304</v>
      </c>
      <c r="C262" s="144" t="s">
        <v>182</v>
      </c>
      <c r="D262" s="14">
        <v>0</v>
      </c>
      <c r="E262" s="254">
        <f>'LPLPO PROGRAM'!E91</f>
        <v>0</v>
      </c>
      <c r="F262" s="254">
        <f t="shared" si="253"/>
        <v>0</v>
      </c>
      <c r="G262" s="254">
        <f>'PEMAKAIAN UNIT'!R259</f>
        <v>0</v>
      </c>
      <c r="H262" s="14">
        <v>0</v>
      </c>
      <c r="I262" s="14">
        <v>0</v>
      </c>
      <c r="J262" s="14">
        <v>0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09">
        <f t="shared" si="254"/>
        <v>0</v>
      </c>
      <c r="Z262" s="109" t="e">
        <f t="shared" si="255"/>
        <v>#REF!</v>
      </c>
      <c r="AA262" s="109" t="e">
        <f t="shared" si="256"/>
        <v>#REF!</v>
      </c>
      <c r="AB262" s="14">
        <v>0</v>
      </c>
      <c r="AC262" s="109" t="e">
        <f t="shared" si="257"/>
        <v>#REF!</v>
      </c>
      <c r="AD262" s="109">
        <f>'LPLPO PROGRAM'!H91</f>
        <v>0</v>
      </c>
      <c r="AE262" s="111" t="e">
        <f t="shared" si="258"/>
        <v>#REF!</v>
      </c>
      <c r="AF262" s="212"/>
      <c r="AG262" s="212"/>
      <c r="AH262" s="20"/>
      <c r="AI262" s="14">
        <f t="shared" si="212"/>
        <v>0</v>
      </c>
      <c r="AJ262" s="209" t="e">
        <f t="shared" si="213"/>
        <v>#REF!</v>
      </c>
      <c r="AL262" s="14">
        <f t="shared" si="214"/>
        <v>0</v>
      </c>
      <c r="AM262" s="14">
        <f>DISTRIBUSI!D260</f>
        <v>0</v>
      </c>
      <c r="AN262" s="14">
        <f>'PEMAKAIAN UNIT'!D259</f>
        <v>0</v>
      </c>
      <c r="AO262" s="14">
        <f t="shared" si="215"/>
        <v>0</v>
      </c>
      <c r="AP262" s="15">
        <f t="shared" si="216"/>
        <v>0</v>
      </c>
      <c r="AQ262" s="14">
        <f t="shared" si="217"/>
        <v>0</v>
      </c>
      <c r="AR262" s="14">
        <f>DISTRIBUSI!E260</f>
        <v>0</v>
      </c>
      <c r="AS262" s="14">
        <f>'PEMAKAIAN UNIT'!E259</f>
        <v>0</v>
      </c>
      <c r="AT262" s="14">
        <f t="shared" si="218"/>
        <v>0</v>
      </c>
      <c r="AU262" s="15">
        <f t="shared" si="219"/>
        <v>0</v>
      </c>
      <c r="AV262" s="14">
        <f t="shared" si="220"/>
        <v>0</v>
      </c>
      <c r="AW262" s="14">
        <f>DISTRIBUSI!F260</f>
        <v>0</v>
      </c>
      <c r="AX262" s="14">
        <f>'PEMAKAIAN UNIT'!F259</f>
        <v>0</v>
      </c>
      <c r="AY262" s="14">
        <f t="shared" si="221"/>
        <v>0</v>
      </c>
      <c r="AZ262" s="15">
        <f t="shared" si="222"/>
        <v>0</v>
      </c>
      <c r="BA262" s="14">
        <f t="shared" si="223"/>
        <v>0</v>
      </c>
      <c r="BB262" s="14">
        <f>DISTRIBUSI!G260</f>
        <v>0</v>
      </c>
      <c r="BC262" s="14">
        <f>'PEMAKAIAN UNIT'!G259</f>
        <v>0</v>
      </c>
      <c r="BD262" s="14">
        <f t="shared" si="224"/>
        <v>0</v>
      </c>
      <c r="BE262" s="15">
        <f t="shared" si="225"/>
        <v>0</v>
      </c>
      <c r="BF262" s="14">
        <f t="shared" si="226"/>
        <v>0</v>
      </c>
      <c r="BG262" s="14">
        <f>DISTRIBUSI!H260</f>
        <v>0</v>
      </c>
      <c r="BH262" s="14">
        <f>'PEMAKAIAN UNIT'!H259</f>
        <v>0</v>
      </c>
      <c r="BI262" s="14">
        <f t="shared" si="227"/>
        <v>0</v>
      </c>
      <c r="BJ262" s="15">
        <f t="shared" si="228"/>
        <v>0</v>
      </c>
      <c r="BK262" s="14">
        <f t="shared" si="229"/>
        <v>0</v>
      </c>
      <c r="BL262" s="14">
        <f>DISTRIBUSI!I260</f>
        <v>0</v>
      </c>
      <c r="BM262" s="14">
        <f>'PEMAKAIAN UNIT'!I259</f>
        <v>0</v>
      </c>
      <c r="BN262" s="14">
        <f t="shared" si="230"/>
        <v>0</v>
      </c>
      <c r="BO262" s="15">
        <f t="shared" si="231"/>
        <v>0</v>
      </c>
      <c r="BP262" s="14">
        <f t="shared" si="232"/>
        <v>0</v>
      </c>
      <c r="BQ262" s="14">
        <f>DISTRIBUSI!J260</f>
        <v>0</v>
      </c>
      <c r="BR262" s="14">
        <f>'PEMAKAIAN UNIT'!J259</f>
        <v>0</v>
      </c>
      <c r="BS262" s="14">
        <f t="shared" si="233"/>
        <v>0</v>
      </c>
      <c r="BT262" s="15">
        <f t="shared" si="234"/>
        <v>0</v>
      </c>
      <c r="BU262" s="14">
        <f t="shared" si="235"/>
        <v>0</v>
      </c>
      <c r="BV262" s="14">
        <f>DISTRIBUSI!K260</f>
        <v>0</v>
      </c>
      <c r="BW262" s="14">
        <f>'PEMAKAIAN UNIT'!K259</f>
        <v>0</v>
      </c>
      <c r="BX262" s="14">
        <f t="shared" si="236"/>
        <v>0</v>
      </c>
      <c r="BY262" s="15">
        <f t="shared" si="237"/>
        <v>0</v>
      </c>
      <c r="BZ262" s="14">
        <f t="shared" si="238"/>
        <v>0</v>
      </c>
      <c r="CA262" s="14">
        <f>DISTRIBUSI!L260</f>
        <v>0</v>
      </c>
      <c r="CB262" s="14">
        <f>'PEMAKAIAN UNIT'!L259</f>
        <v>0</v>
      </c>
      <c r="CC262" s="14">
        <f t="shared" si="239"/>
        <v>0</v>
      </c>
      <c r="CD262" s="15">
        <f t="shared" si="240"/>
        <v>0</v>
      </c>
      <c r="CE262" s="14">
        <f t="shared" si="241"/>
        <v>0</v>
      </c>
      <c r="CF262" s="14">
        <f>DISTRIBUSI!M260</f>
        <v>0</v>
      </c>
      <c r="CG262" s="14">
        <f>'PEMAKAIAN UNIT'!M259</f>
        <v>0</v>
      </c>
      <c r="CH262" s="14">
        <f t="shared" si="242"/>
        <v>0</v>
      </c>
      <c r="CI262" s="15">
        <f t="shared" si="243"/>
        <v>0</v>
      </c>
      <c r="CJ262" s="14">
        <f t="shared" si="244"/>
        <v>0</v>
      </c>
      <c r="CK262" s="14" t="e">
        <f>DISTRIBUSI!#REF!</f>
        <v>#REF!</v>
      </c>
      <c r="CL262" s="14">
        <f>'PEMAKAIAN UNIT'!N259</f>
        <v>0</v>
      </c>
      <c r="CM262" s="14" t="e">
        <f t="shared" si="245"/>
        <v>#REF!</v>
      </c>
      <c r="CN262" s="15" t="e">
        <f t="shared" si="246"/>
        <v>#REF!</v>
      </c>
      <c r="CO262" s="14" t="e">
        <f>DL262+DISTRIBUSI!#REF!-'PEMAKAIAN UNIT'!O259</f>
        <v>#REF!</v>
      </c>
      <c r="CP262" s="15" t="e">
        <f t="shared" si="247"/>
        <v>#REF!</v>
      </c>
      <c r="CQ262" s="226">
        <f t="shared" si="248"/>
        <v>0</v>
      </c>
      <c r="CR262" s="226">
        <f>DISTRIBUSI!R260</f>
        <v>0</v>
      </c>
      <c r="CS262" s="226">
        <f>'PEMAKAIAN UNIT'!P259</f>
        <v>0</v>
      </c>
      <c r="CT262" s="14">
        <f t="shared" si="249"/>
        <v>0</v>
      </c>
      <c r="CU262" s="15">
        <f t="shared" si="250"/>
        <v>0</v>
      </c>
      <c r="CV262" s="14" t="e">
        <f>DN262+DISTRIBUSI!#REF!-'PEMAKAIAN UNIT'!Q259</f>
        <v>#REF!</v>
      </c>
      <c r="CW262" s="15" t="e">
        <f t="shared" si="251"/>
        <v>#REF!</v>
      </c>
      <c r="CX262" s="14">
        <f>DO262+'LPLPO PROGRAM'!E91-'LPLPO PROGRAM'!G91</f>
        <v>6</v>
      </c>
      <c r="CY262" s="15">
        <f t="shared" si="252"/>
        <v>6</v>
      </c>
      <c r="CZ262" s="28"/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4">
        <v>0</v>
      </c>
      <c r="DG262" s="14">
        <v>0</v>
      </c>
      <c r="DH262" s="14">
        <v>0</v>
      </c>
      <c r="DI262" s="14">
        <v>0</v>
      </c>
      <c r="DJ262" s="14">
        <v>0</v>
      </c>
      <c r="DK262" s="14">
        <v>0</v>
      </c>
      <c r="DL262" s="14">
        <v>0</v>
      </c>
      <c r="DM262" s="14">
        <v>0</v>
      </c>
      <c r="DN262" s="14">
        <v>0</v>
      </c>
      <c r="DO262" s="14">
        <v>6</v>
      </c>
      <c r="DP262" s="13">
        <f t="shared" si="211"/>
        <v>6</v>
      </c>
      <c r="DU262" s="20" t="e">
        <f t="shared" si="210"/>
        <v>#REF!</v>
      </c>
    </row>
    <row r="263" spans="1:125" customFormat="1" ht="20.149999999999999" customHeight="1" x14ac:dyDescent="0.35">
      <c r="A263" s="205">
        <v>79</v>
      </c>
      <c r="B263" s="178" t="s">
        <v>202</v>
      </c>
      <c r="C263" s="144" t="s">
        <v>201</v>
      </c>
      <c r="D263" s="14">
        <v>0</v>
      </c>
      <c r="E263" s="254">
        <f>'LPLPO PROGRAM'!E92</f>
        <v>0</v>
      </c>
      <c r="F263" s="254">
        <f t="shared" si="253"/>
        <v>0</v>
      </c>
      <c r="G263" s="254">
        <f>'PEMAKAIAN UNIT'!R260</f>
        <v>0</v>
      </c>
      <c r="H263" s="14">
        <v>0</v>
      </c>
      <c r="I263" s="14">
        <v>0</v>
      </c>
      <c r="J263" s="14">
        <v>0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09">
        <f t="shared" si="254"/>
        <v>0</v>
      </c>
      <c r="Z263" s="109" t="e">
        <f t="shared" si="255"/>
        <v>#REF!</v>
      </c>
      <c r="AA263" s="109" t="e">
        <f t="shared" si="256"/>
        <v>#REF!</v>
      </c>
      <c r="AB263" s="14">
        <v>0</v>
      </c>
      <c r="AC263" s="109" t="e">
        <f t="shared" si="257"/>
        <v>#REF!</v>
      </c>
      <c r="AD263" s="109">
        <f>'LPLPO PROGRAM'!H92</f>
        <v>0</v>
      </c>
      <c r="AE263" s="111" t="e">
        <f t="shared" si="258"/>
        <v>#REF!</v>
      </c>
      <c r="AF263" s="212"/>
      <c r="AG263" s="212"/>
      <c r="AH263" s="20"/>
      <c r="AI263" s="14">
        <f t="shared" si="212"/>
        <v>0</v>
      </c>
      <c r="AJ263" s="209" t="e">
        <f t="shared" si="213"/>
        <v>#REF!</v>
      </c>
      <c r="AL263" s="14">
        <f t="shared" si="214"/>
        <v>0</v>
      </c>
      <c r="AM263" s="14">
        <f>DISTRIBUSI!D261</f>
        <v>0</v>
      </c>
      <c r="AN263" s="14">
        <f>'PEMAKAIAN UNIT'!D260</f>
        <v>0</v>
      </c>
      <c r="AO263" s="14">
        <f t="shared" si="215"/>
        <v>0</v>
      </c>
      <c r="AP263" s="15">
        <f t="shared" si="216"/>
        <v>0</v>
      </c>
      <c r="AQ263" s="14">
        <f t="shared" si="217"/>
        <v>0</v>
      </c>
      <c r="AR263" s="14">
        <f>DISTRIBUSI!E261</f>
        <v>0</v>
      </c>
      <c r="AS263" s="14">
        <f>'PEMAKAIAN UNIT'!E260</f>
        <v>0</v>
      </c>
      <c r="AT263" s="14">
        <f t="shared" si="218"/>
        <v>0</v>
      </c>
      <c r="AU263" s="15">
        <f t="shared" si="219"/>
        <v>0</v>
      </c>
      <c r="AV263" s="14">
        <f t="shared" si="220"/>
        <v>0</v>
      </c>
      <c r="AW263" s="14">
        <f>DISTRIBUSI!F261</f>
        <v>0</v>
      </c>
      <c r="AX263" s="14">
        <f>'PEMAKAIAN UNIT'!F260</f>
        <v>0</v>
      </c>
      <c r="AY263" s="14">
        <f t="shared" si="221"/>
        <v>0</v>
      </c>
      <c r="AZ263" s="15">
        <f t="shared" si="222"/>
        <v>0</v>
      </c>
      <c r="BA263" s="14">
        <f t="shared" si="223"/>
        <v>0</v>
      </c>
      <c r="BB263" s="14">
        <f>DISTRIBUSI!G261</f>
        <v>0</v>
      </c>
      <c r="BC263" s="14">
        <f>'PEMAKAIAN UNIT'!G260</f>
        <v>0</v>
      </c>
      <c r="BD263" s="14">
        <f t="shared" si="224"/>
        <v>0</v>
      </c>
      <c r="BE263" s="15">
        <f t="shared" si="225"/>
        <v>0</v>
      </c>
      <c r="BF263" s="14">
        <f t="shared" si="226"/>
        <v>0</v>
      </c>
      <c r="BG263" s="14">
        <f>DISTRIBUSI!H261</f>
        <v>0</v>
      </c>
      <c r="BH263" s="14">
        <f>'PEMAKAIAN UNIT'!H260</f>
        <v>0</v>
      </c>
      <c r="BI263" s="14">
        <f t="shared" si="227"/>
        <v>0</v>
      </c>
      <c r="BJ263" s="15">
        <f t="shared" si="228"/>
        <v>0</v>
      </c>
      <c r="BK263" s="14">
        <f t="shared" si="229"/>
        <v>0</v>
      </c>
      <c r="BL263" s="14">
        <f>DISTRIBUSI!I261</f>
        <v>0</v>
      </c>
      <c r="BM263" s="14">
        <f>'PEMAKAIAN UNIT'!I260</f>
        <v>0</v>
      </c>
      <c r="BN263" s="14">
        <f t="shared" si="230"/>
        <v>0</v>
      </c>
      <c r="BO263" s="15">
        <f t="shared" si="231"/>
        <v>0</v>
      </c>
      <c r="BP263" s="14">
        <f t="shared" si="232"/>
        <v>0</v>
      </c>
      <c r="BQ263" s="14">
        <f>DISTRIBUSI!J261</f>
        <v>0</v>
      </c>
      <c r="BR263" s="14">
        <f>'PEMAKAIAN UNIT'!J260</f>
        <v>0</v>
      </c>
      <c r="BS263" s="14">
        <f t="shared" si="233"/>
        <v>0</v>
      </c>
      <c r="BT263" s="15">
        <f t="shared" si="234"/>
        <v>0</v>
      </c>
      <c r="BU263" s="14">
        <f t="shared" si="235"/>
        <v>0</v>
      </c>
      <c r="BV263" s="14">
        <f>DISTRIBUSI!K261</f>
        <v>0</v>
      </c>
      <c r="BW263" s="14">
        <f>'PEMAKAIAN UNIT'!K260</f>
        <v>0</v>
      </c>
      <c r="BX263" s="14">
        <f t="shared" si="236"/>
        <v>0</v>
      </c>
      <c r="BY263" s="15">
        <f t="shared" si="237"/>
        <v>0</v>
      </c>
      <c r="BZ263" s="14">
        <f t="shared" si="238"/>
        <v>0</v>
      </c>
      <c r="CA263" s="14">
        <f>DISTRIBUSI!L261</f>
        <v>0</v>
      </c>
      <c r="CB263" s="14">
        <f>'PEMAKAIAN UNIT'!L260</f>
        <v>0</v>
      </c>
      <c r="CC263" s="14">
        <f t="shared" si="239"/>
        <v>0</v>
      </c>
      <c r="CD263" s="15">
        <f t="shared" si="240"/>
        <v>0</v>
      </c>
      <c r="CE263" s="14">
        <f t="shared" si="241"/>
        <v>0</v>
      </c>
      <c r="CF263" s="14">
        <f>DISTRIBUSI!M261</f>
        <v>0</v>
      </c>
      <c r="CG263" s="14">
        <f>'PEMAKAIAN UNIT'!M260</f>
        <v>0</v>
      </c>
      <c r="CH263" s="14">
        <f t="shared" si="242"/>
        <v>0</v>
      </c>
      <c r="CI263" s="15">
        <f t="shared" si="243"/>
        <v>0</v>
      </c>
      <c r="CJ263" s="14">
        <f t="shared" si="244"/>
        <v>0</v>
      </c>
      <c r="CK263" s="14" t="e">
        <f>DISTRIBUSI!#REF!</f>
        <v>#REF!</v>
      </c>
      <c r="CL263" s="14">
        <f>'PEMAKAIAN UNIT'!N260</f>
        <v>0</v>
      </c>
      <c r="CM263" s="14" t="e">
        <f t="shared" si="245"/>
        <v>#REF!</v>
      </c>
      <c r="CN263" s="15" t="e">
        <f t="shared" si="246"/>
        <v>#REF!</v>
      </c>
      <c r="CO263" s="14" t="e">
        <f>DL263+DISTRIBUSI!#REF!-'PEMAKAIAN UNIT'!O260</f>
        <v>#REF!</v>
      </c>
      <c r="CP263" s="15" t="e">
        <f t="shared" si="247"/>
        <v>#REF!</v>
      </c>
      <c r="CQ263" s="226">
        <f t="shared" si="248"/>
        <v>0</v>
      </c>
      <c r="CR263" s="226">
        <f>DISTRIBUSI!R261</f>
        <v>0</v>
      </c>
      <c r="CS263" s="226">
        <f>'PEMAKAIAN UNIT'!P260</f>
        <v>0</v>
      </c>
      <c r="CT263" s="14">
        <f t="shared" si="249"/>
        <v>0</v>
      </c>
      <c r="CU263" s="15">
        <f t="shared" si="250"/>
        <v>0</v>
      </c>
      <c r="CV263" s="14" t="e">
        <f>DN263+DISTRIBUSI!#REF!-'PEMAKAIAN UNIT'!Q260</f>
        <v>#REF!</v>
      </c>
      <c r="CW263" s="15" t="e">
        <f t="shared" si="251"/>
        <v>#REF!</v>
      </c>
      <c r="CX263" s="14">
        <f>DO263+'LPLPO PROGRAM'!E92-'LPLPO PROGRAM'!G92</f>
        <v>0</v>
      </c>
      <c r="CY263" s="15">
        <f t="shared" si="252"/>
        <v>0</v>
      </c>
      <c r="CZ263" s="28"/>
      <c r="DA263" s="14">
        <v>0</v>
      </c>
      <c r="DB263" s="14">
        <v>0</v>
      </c>
      <c r="DC263" s="14">
        <v>0</v>
      </c>
      <c r="DD263" s="14">
        <v>0</v>
      </c>
      <c r="DE263" s="14">
        <v>0</v>
      </c>
      <c r="DF263" s="14">
        <v>0</v>
      </c>
      <c r="DG263" s="14">
        <v>0</v>
      </c>
      <c r="DH263" s="14">
        <v>0</v>
      </c>
      <c r="DI263" s="14">
        <v>0</v>
      </c>
      <c r="DJ263" s="14">
        <v>0</v>
      </c>
      <c r="DK263" s="14">
        <v>0</v>
      </c>
      <c r="DL263" s="14">
        <v>0</v>
      </c>
      <c r="DM263" s="14">
        <v>0</v>
      </c>
      <c r="DN263" s="14">
        <v>0</v>
      </c>
      <c r="DO263" s="14">
        <v>0</v>
      </c>
      <c r="DP263" s="13">
        <f t="shared" si="211"/>
        <v>0</v>
      </c>
      <c r="DU263" s="20" t="e">
        <f t="shared" si="210"/>
        <v>#REF!</v>
      </c>
    </row>
    <row r="264" spans="1:125" customFormat="1" ht="20.149999999999999" customHeight="1" x14ac:dyDescent="0.35">
      <c r="A264" s="205">
        <v>80</v>
      </c>
      <c r="B264" s="178" t="s">
        <v>433</v>
      </c>
      <c r="C264" s="144" t="s">
        <v>203</v>
      </c>
      <c r="D264" s="14">
        <v>0</v>
      </c>
      <c r="E264" s="254">
        <f>'LPLPO PROGRAM'!E93</f>
        <v>0</v>
      </c>
      <c r="F264" s="254">
        <f t="shared" si="253"/>
        <v>0</v>
      </c>
      <c r="G264" s="254">
        <f>'PEMAKAIAN UNIT'!R261</f>
        <v>0</v>
      </c>
      <c r="H264" s="14">
        <v>0</v>
      </c>
      <c r="I264" s="14">
        <v>0</v>
      </c>
      <c r="J264" s="14">
        <v>0</v>
      </c>
      <c r="K264" s="14"/>
      <c r="L264" s="14"/>
      <c r="M264" s="14"/>
      <c r="N264" s="14"/>
      <c r="O264" s="14"/>
      <c r="P264" s="14"/>
      <c r="Q264" s="14"/>
      <c r="R264" s="14"/>
      <c r="S264" s="14"/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09">
        <f t="shared" si="254"/>
        <v>0</v>
      </c>
      <c r="Z264" s="109" t="e">
        <f t="shared" si="255"/>
        <v>#REF!</v>
      </c>
      <c r="AA264" s="109" t="e">
        <f t="shared" si="256"/>
        <v>#REF!</v>
      </c>
      <c r="AB264" s="14">
        <v>0</v>
      </c>
      <c r="AC264" s="109" t="e">
        <f t="shared" si="257"/>
        <v>#REF!</v>
      </c>
      <c r="AD264" s="109">
        <f>'LPLPO PROGRAM'!H93</f>
        <v>0</v>
      </c>
      <c r="AE264" s="111" t="e">
        <f t="shared" si="258"/>
        <v>#REF!</v>
      </c>
      <c r="AF264" s="212"/>
      <c r="AG264" s="212"/>
      <c r="AH264" s="20"/>
      <c r="AI264" s="14">
        <f t="shared" si="212"/>
        <v>0</v>
      </c>
      <c r="AJ264" s="209" t="e">
        <f t="shared" si="213"/>
        <v>#REF!</v>
      </c>
      <c r="AL264" s="14">
        <f t="shared" si="214"/>
        <v>0</v>
      </c>
      <c r="AM264" s="14">
        <f>DISTRIBUSI!D262</f>
        <v>0</v>
      </c>
      <c r="AN264" s="14">
        <f>'PEMAKAIAN UNIT'!D261</f>
        <v>0</v>
      </c>
      <c r="AO264" s="14">
        <f t="shared" si="215"/>
        <v>0</v>
      </c>
      <c r="AP264" s="15">
        <f t="shared" si="216"/>
        <v>0</v>
      </c>
      <c r="AQ264" s="14">
        <f t="shared" si="217"/>
        <v>0</v>
      </c>
      <c r="AR264" s="14">
        <f>DISTRIBUSI!E262</f>
        <v>0</v>
      </c>
      <c r="AS264" s="14">
        <f>'PEMAKAIAN UNIT'!E261</f>
        <v>0</v>
      </c>
      <c r="AT264" s="14">
        <f t="shared" si="218"/>
        <v>0</v>
      </c>
      <c r="AU264" s="15">
        <f t="shared" si="219"/>
        <v>0</v>
      </c>
      <c r="AV264" s="14">
        <f t="shared" si="220"/>
        <v>0</v>
      </c>
      <c r="AW264" s="14">
        <f>DISTRIBUSI!F262</f>
        <v>0</v>
      </c>
      <c r="AX264" s="14">
        <f>'PEMAKAIAN UNIT'!F261</f>
        <v>0</v>
      </c>
      <c r="AY264" s="14">
        <f t="shared" si="221"/>
        <v>0</v>
      </c>
      <c r="AZ264" s="15">
        <f t="shared" si="222"/>
        <v>0</v>
      </c>
      <c r="BA264" s="14">
        <f t="shared" si="223"/>
        <v>0</v>
      </c>
      <c r="BB264" s="14">
        <f>DISTRIBUSI!G262</f>
        <v>0</v>
      </c>
      <c r="BC264" s="14">
        <f>'PEMAKAIAN UNIT'!G261</f>
        <v>0</v>
      </c>
      <c r="BD264" s="14">
        <f t="shared" si="224"/>
        <v>0</v>
      </c>
      <c r="BE264" s="15">
        <f t="shared" si="225"/>
        <v>0</v>
      </c>
      <c r="BF264" s="14">
        <f t="shared" si="226"/>
        <v>0</v>
      </c>
      <c r="BG264" s="14">
        <f>DISTRIBUSI!H262</f>
        <v>0</v>
      </c>
      <c r="BH264" s="14">
        <f>'PEMAKAIAN UNIT'!H261</f>
        <v>0</v>
      </c>
      <c r="BI264" s="14">
        <f t="shared" si="227"/>
        <v>0</v>
      </c>
      <c r="BJ264" s="15">
        <f t="shared" si="228"/>
        <v>0</v>
      </c>
      <c r="BK264" s="14">
        <f t="shared" si="229"/>
        <v>0</v>
      </c>
      <c r="BL264" s="14">
        <f>DISTRIBUSI!I262</f>
        <v>0</v>
      </c>
      <c r="BM264" s="14">
        <f>'PEMAKAIAN UNIT'!I261</f>
        <v>0</v>
      </c>
      <c r="BN264" s="14">
        <f t="shared" si="230"/>
        <v>0</v>
      </c>
      <c r="BO264" s="15">
        <f t="shared" si="231"/>
        <v>0</v>
      </c>
      <c r="BP264" s="14">
        <f t="shared" si="232"/>
        <v>0</v>
      </c>
      <c r="BQ264" s="14">
        <f>DISTRIBUSI!J262</f>
        <v>0</v>
      </c>
      <c r="BR264" s="14">
        <f>'PEMAKAIAN UNIT'!J261</f>
        <v>0</v>
      </c>
      <c r="BS264" s="14">
        <f t="shared" si="233"/>
        <v>0</v>
      </c>
      <c r="BT264" s="15">
        <f t="shared" si="234"/>
        <v>0</v>
      </c>
      <c r="BU264" s="14">
        <f t="shared" si="235"/>
        <v>0</v>
      </c>
      <c r="BV264" s="14">
        <f>DISTRIBUSI!K262</f>
        <v>0</v>
      </c>
      <c r="BW264" s="14">
        <f>'PEMAKAIAN UNIT'!K261</f>
        <v>0</v>
      </c>
      <c r="BX264" s="14">
        <f t="shared" si="236"/>
        <v>0</v>
      </c>
      <c r="BY264" s="15">
        <f t="shared" si="237"/>
        <v>0</v>
      </c>
      <c r="BZ264" s="14">
        <f t="shared" si="238"/>
        <v>0</v>
      </c>
      <c r="CA264" s="14">
        <f>DISTRIBUSI!L262</f>
        <v>0</v>
      </c>
      <c r="CB264" s="14">
        <f>'PEMAKAIAN UNIT'!L261</f>
        <v>0</v>
      </c>
      <c r="CC264" s="14">
        <f t="shared" si="239"/>
        <v>0</v>
      </c>
      <c r="CD264" s="15">
        <f t="shared" si="240"/>
        <v>0</v>
      </c>
      <c r="CE264" s="14">
        <f t="shared" si="241"/>
        <v>0</v>
      </c>
      <c r="CF264" s="14">
        <f>DISTRIBUSI!M262</f>
        <v>0</v>
      </c>
      <c r="CG264" s="14">
        <f>'PEMAKAIAN UNIT'!M261</f>
        <v>0</v>
      </c>
      <c r="CH264" s="14">
        <f t="shared" si="242"/>
        <v>0</v>
      </c>
      <c r="CI264" s="15">
        <f t="shared" si="243"/>
        <v>0</v>
      </c>
      <c r="CJ264" s="14">
        <f t="shared" si="244"/>
        <v>0</v>
      </c>
      <c r="CK264" s="14" t="e">
        <f>DISTRIBUSI!#REF!</f>
        <v>#REF!</v>
      </c>
      <c r="CL264" s="14">
        <f>'PEMAKAIAN UNIT'!N261</f>
        <v>0</v>
      </c>
      <c r="CM264" s="14" t="e">
        <f t="shared" si="245"/>
        <v>#REF!</v>
      </c>
      <c r="CN264" s="15" t="e">
        <f t="shared" si="246"/>
        <v>#REF!</v>
      </c>
      <c r="CO264" s="14" t="e">
        <f>DL264+DISTRIBUSI!#REF!-'PEMAKAIAN UNIT'!O261</f>
        <v>#REF!</v>
      </c>
      <c r="CP264" s="15" t="e">
        <f t="shared" si="247"/>
        <v>#REF!</v>
      </c>
      <c r="CQ264" s="226">
        <f t="shared" si="248"/>
        <v>0</v>
      </c>
      <c r="CR264" s="226">
        <f>DISTRIBUSI!R262</f>
        <v>0</v>
      </c>
      <c r="CS264" s="226">
        <f>'PEMAKAIAN UNIT'!P261</f>
        <v>0</v>
      </c>
      <c r="CT264" s="14">
        <f t="shared" si="249"/>
        <v>0</v>
      </c>
      <c r="CU264" s="15">
        <f t="shared" si="250"/>
        <v>0</v>
      </c>
      <c r="CV264" s="14" t="e">
        <f>DN264+DISTRIBUSI!#REF!-'PEMAKAIAN UNIT'!Q261</f>
        <v>#REF!</v>
      </c>
      <c r="CW264" s="15" t="e">
        <f t="shared" si="251"/>
        <v>#REF!</v>
      </c>
      <c r="CX264" s="14">
        <f>DO264+'LPLPO PROGRAM'!E93-'LPLPO PROGRAM'!G93</f>
        <v>0</v>
      </c>
      <c r="CY264" s="15">
        <f t="shared" si="252"/>
        <v>0</v>
      </c>
      <c r="CZ264" s="28"/>
      <c r="DA264" s="14">
        <v>0</v>
      </c>
      <c r="DB264" s="14">
        <v>0</v>
      </c>
      <c r="DC264" s="14">
        <v>0</v>
      </c>
      <c r="DD264" s="14">
        <v>0</v>
      </c>
      <c r="DE264" s="14">
        <v>0</v>
      </c>
      <c r="DF264" s="14">
        <v>0</v>
      </c>
      <c r="DG264" s="14">
        <v>0</v>
      </c>
      <c r="DH264" s="14">
        <v>0</v>
      </c>
      <c r="DI264" s="14">
        <v>0</v>
      </c>
      <c r="DJ264" s="14">
        <v>0</v>
      </c>
      <c r="DK264" s="14">
        <v>0</v>
      </c>
      <c r="DL264" s="14">
        <v>0</v>
      </c>
      <c r="DM264" s="14">
        <v>0</v>
      </c>
      <c r="DN264" s="14">
        <v>0</v>
      </c>
      <c r="DO264" s="14">
        <v>0</v>
      </c>
      <c r="DP264" s="13">
        <f t="shared" si="211"/>
        <v>0</v>
      </c>
      <c r="DU264" s="20" t="e">
        <f t="shared" si="210"/>
        <v>#REF!</v>
      </c>
    </row>
    <row r="265" spans="1:125" customFormat="1" ht="20.149999999999999" customHeight="1" x14ac:dyDescent="0.35">
      <c r="A265" s="205">
        <v>81</v>
      </c>
      <c r="B265" s="178"/>
      <c r="C265" s="144"/>
      <c r="D265" s="14">
        <v>0</v>
      </c>
      <c r="E265" s="254">
        <f>'LPLPO PROGRAM'!E94</f>
        <v>0</v>
      </c>
      <c r="F265" s="254">
        <f t="shared" si="253"/>
        <v>0</v>
      </c>
      <c r="G265" s="254">
        <f>'PEMAKAIAN UNIT'!R262</f>
        <v>0</v>
      </c>
      <c r="H265" s="14">
        <v>0</v>
      </c>
      <c r="I265" s="14">
        <v>0</v>
      </c>
      <c r="J265" s="14">
        <v>0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09">
        <f t="shared" si="254"/>
        <v>0</v>
      </c>
      <c r="Z265" s="109" t="e">
        <f t="shared" si="255"/>
        <v>#REF!</v>
      </c>
      <c r="AA265" s="109" t="e">
        <f t="shared" si="256"/>
        <v>#REF!</v>
      </c>
      <c r="AB265" s="14">
        <v>0</v>
      </c>
      <c r="AC265" s="109" t="e">
        <f t="shared" si="257"/>
        <v>#REF!</v>
      </c>
      <c r="AD265" s="109">
        <f>'LPLPO PROGRAM'!H94</f>
        <v>0</v>
      </c>
      <c r="AE265" s="111" t="e">
        <f t="shared" si="258"/>
        <v>#REF!</v>
      </c>
      <c r="AF265" s="212"/>
      <c r="AG265" s="212"/>
      <c r="AH265" s="20"/>
      <c r="AI265" s="14">
        <f t="shared" si="212"/>
        <v>0</v>
      </c>
      <c r="AJ265" s="209" t="e">
        <f t="shared" si="213"/>
        <v>#REF!</v>
      </c>
      <c r="AL265" s="14">
        <f t="shared" si="214"/>
        <v>0</v>
      </c>
      <c r="AM265" s="14">
        <f>DISTRIBUSI!D263</f>
        <v>0</v>
      </c>
      <c r="AN265" s="14">
        <f>'PEMAKAIAN UNIT'!D262</f>
        <v>0</v>
      </c>
      <c r="AO265" s="14">
        <f t="shared" si="215"/>
        <v>0</v>
      </c>
      <c r="AP265" s="15">
        <f t="shared" si="216"/>
        <v>0</v>
      </c>
      <c r="AQ265" s="14">
        <f t="shared" si="217"/>
        <v>0</v>
      </c>
      <c r="AR265" s="14">
        <f>DISTRIBUSI!E263</f>
        <v>0</v>
      </c>
      <c r="AS265" s="14">
        <f>'PEMAKAIAN UNIT'!E262</f>
        <v>0</v>
      </c>
      <c r="AT265" s="14">
        <f t="shared" si="218"/>
        <v>0</v>
      </c>
      <c r="AU265" s="15">
        <f t="shared" si="219"/>
        <v>0</v>
      </c>
      <c r="AV265" s="14">
        <f t="shared" si="220"/>
        <v>0</v>
      </c>
      <c r="AW265" s="14">
        <f>DISTRIBUSI!F263</f>
        <v>0</v>
      </c>
      <c r="AX265" s="14">
        <f>'PEMAKAIAN UNIT'!F262</f>
        <v>0</v>
      </c>
      <c r="AY265" s="14">
        <f t="shared" si="221"/>
        <v>0</v>
      </c>
      <c r="AZ265" s="15">
        <f t="shared" si="222"/>
        <v>0</v>
      </c>
      <c r="BA265" s="14">
        <f t="shared" si="223"/>
        <v>0</v>
      </c>
      <c r="BB265" s="14">
        <f>DISTRIBUSI!G263</f>
        <v>0</v>
      </c>
      <c r="BC265" s="14">
        <f>'PEMAKAIAN UNIT'!G262</f>
        <v>0</v>
      </c>
      <c r="BD265" s="14">
        <f t="shared" si="224"/>
        <v>0</v>
      </c>
      <c r="BE265" s="15">
        <f t="shared" si="225"/>
        <v>0</v>
      </c>
      <c r="BF265" s="14">
        <f t="shared" si="226"/>
        <v>0</v>
      </c>
      <c r="BG265" s="14">
        <f>DISTRIBUSI!H263</f>
        <v>0</v>
      </c>
      <c r="BH265" s="14">
        <f>'PEMAKAIAN UNIT'!H262</f>
        <v>0</v>
      </c>
      <c r="BI265" s="14">
        <f t="shared" si="227"/>
        <v>0</v>
      </c>
      <c r="BJ265" s="15">
        <f t="shared" si="228"/>
        <v>0</v>
      </c>
      <c r="BK265" s="14">
        <f t="shared" si="229"/>
        <v>0</v>
      </c>
      <c r="BL265" s="14">
        <f>DISTRIBUSI!I263</f>
        <v>0</v>
      </c>
      <c r="BM265" s="14">
        <f>'PEMAKAIAN UNIT'!I262</f>
        <v>0</v>
      </c>
      <c r="BN265" s="14">
        <f t="shared" si="230"/>
        <v>0</v>
      </c>
      <c r="BO265" s="15">
        <f t="shared" si="231"/>
        <v>0</v>
      </c>
      <c r="BP265" s="14">
        <f t="shared" si="232"/>
        <v>0</v>
      </c>
      <c r="BQ265" s="14">
        <f>DISTRIBUSI!J263</f>
        <v>0</v>
      </c>
      <c r="BR265" s="14">
        <f>'PEMAKAIAN UNIT'!J262</f>
        <v>0</v>
      </c>
      <c r="BS265" s="14">
        <f t="shared" si="233"/>
        <v>0</v>
      </c>
      <c r="BT265" s="15">
        <f t="shared" si="234"/>
        <v>0</v>
      </c>
      <c r="BU265" s="14">
        <f t="shared" si="235"/>
        <v>0</v>
      </c>
      <c r="BV265" s="14">
        <f>DISTRIBUSI!K263</f>
        <v>0</v>
      </c>
      <c r="BW265" s="14">
        <f>'PEMAKAIAN UNIT'!K262</f>
        <v>0</v>
      </c>
      <c r="BX265" s="14">
        <f t="shared" si="236"/>
        <v>0</v>
      </c>
      <c r="BY265" s="15">
        <f t="shared" si="237"/>
        <v>0</v>
      </c>
      <c r="BZ265" s="14">
        <f t="shared" si="238"/>
        <v>0</v>
      </c>
      <c r="CA265" s="14">
        <f>DISTRIBUSI!L263</f>
        <v>0</v>
      </c>
      <c r="CB265" s="14">
        <f>'PEMAKAIAN UNIT'!L262</f>
        <v>0</v>
      </c>
      <c r="CC265" s="14">
        <f t="shared" si="239"/>
        <v>0</v>
      </c>
      <c r="CD265" s="15">
        <f t="shared" si="240"/>
        <v>0</v>
      </c>
      <c r="CE265" s="14">
        <f t="shared" si="241"/>
        <v>0</v>
      </c>
      <c r="CF265" s="14">
        <f>DISTRIBUSI!M263</f>
        <v>0</v>
      </c>
      <c r="CG265" s="14">
        <f>'PEMAKAIAN UNIT'!M262</f>
        <v>0</v>
      </c>
      <c r="CH265" s="14">
        <f t="shared" si="242"/>
        <v>0</v>
      </c>
      <c r="CI265" s="15">
        <f t="shared" si="243"/>
        <v>0</v>
      </c>
      <c r="CJ265" s="14">
        <f t="shared" si="244"/>
        <v>0</v>
      </c>
      <c r="CK265" s="14" t="e">
        <f>DISTRIBUSI!#REF!</f>
        <v>#REF!</v>
      </c>
      <c r="CL265" s="14">
        <f>'PEMAKAIAN UNIT'!N262</f>
        <v>0</v>
      </c>
      <c r="CM265" s="14" t="e">
        <f t="shared" si="245"/>
        <v>#REF!</v>
      </c>
      <c r="CN265" s="15" t="e">
        <f t="shared" si="246"/>
        <v>#REF!</v>
      </c>
      <c r="CO265" s="14" t="e">
        <f>DL265+DISTRIBUSI!#REF!-'PEMAKAIAN UNIT'!O262</f>
        <v>#REF!</v>
      </c>
      <c r="CP265" s="15" t="e">
        <f t="shared" si="247"/>
        <v>#REF!</v>
      </c>
      <c r="CQ265" s="226">
        <f t="shared" si="248"/>
        <v>0</v>
      </c>
      <c r="CR265" s="226">
        <f>DISTRIBUSI!R263</f>
        <v>0</v>
      </c>
      <c r="CS265" s="226">
        <f>'PEMAKAIAN UNIT'!P262</f>
        <v>0</v>
      </c>
      <c r="CT265" s="14">
        <f t="shared" si="249"/>
        <v>0</v>
      </c>
      <c r="CU265" s="15">
        <f t="shared" si="250"/>
        <v>0</v>
      </c>
      <c r="CV265" s="14" t="e">
        <f>DN265+DISTRIBUSI!#REF!-'PEMAKAIAN UNIT'!Q262</f>
        <v>#REF!</v>
      </c>
      <c r="CW265" s="15" t="e">
        <f t="shared" si="251"/>
        <v>#REF!</v>
      </c>
      <c r="CX265" s="14">
        <f>DO265+'LPLPO PROGRAM'!E94-'LPLPO PROGRAM'!G94</f>
        <v>0</v>
      </c>
      <c r="CY265" s="15">
        <f t="shared" si="252"/>
        <v>0</v>
      </c>
      <c r="CZ265" s="28"/>
      <c r="DA265" s="14">
        <v>0</v>
      </c>
      <c r="DB265" s="14">
        <v>0</v>
      </c>
      <c r="DC265" s="14">
        <v>0</v>
      </c>
      <c r="DD265" s="14">
        <v>0</v>
      </c>
      <c r="DE265" s="14">
        <v>0</v>
      </c>
      <c r="DF265" s="14">
        <v>0</v>
      </c>
      <c r="DG265" s="14">
        <v>0</v>
      </c>
      <c r="DH265" s="14">
        <v>0</v>
      </c>
      <c r="DI265" s="14">
        <v>0</v>
      </c>
      <c r="DJ265" s="14">
        <v>0</v>
      </c>
      <c r="DK265" s="14">
        <v>0</v>
      </c>
      <c r="DL265" s="14">
        <v>0</v>
      </c>
      <c r="DM265" s="14">
        <v>0</v>
      </c>
      <c r="DN265" s="14">
        <v>0</v>
      </c>
      <c r="DO265" s="14">
        <v>0</v>
      </c>
      <c r="DP265" s="13">
        <f t="shared" si="211"/>
        <v>0</v>
      </c>
      <c r="DU265" s="20" t="e">
        <f t="shared" si="210"/>
        <v>#REF!</v>
      </c>
    </row>
    <row r="266" spans="1:125" customFormat="1" ht="20.149999999999999" customHeight="1" x14ac:dyDescent="0.35">
      <c r="A266" s="205">
        <v>82</v>
      </c>
      <c r="B266" s="178"/>
      <c r="C266" s="144"/>
      <c r="D266" s="14">
        <v>0</v>
      </c>
      <c r="E266" s="254">
        <f>'LPLPO PROGRAM'!E95</f>
        <v>0</v>
      </c>
      <c r="F266" s="254">
        <f t="shared" si="253"/>
        <v>0</v>
      </c>
      <c r="G266" s="254">
        <f>'PEMAKAIAN UNIT'!R263</f>
        <v>0</v>
      </c>
      <c r="H266" s="14">
        <v>0</v>
      </c>
      <c r="I266" s="14">
        <v>0</v>
      </c>
      <c r="J266" s="14">
        <v>0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09">
        <f t="shared" si="254"/>
        <v>0</v>
      </c>
      <c r="Z266" s="109" t="e">
        <f t="shared" si="255"/>
        <v>#REF!</v>
      </c>
      <c r="AA266" s="109" t="e">
        <f t="shared" si="256"/>
        <v>#REF!</v>
      </c>
      <c r="AB266" s="14">
        <v>0</v>
      </c>
      <c r="AC266" s="109" t="e">
        <f t="shared" si="257"/>
        <v>#REF!</v>
      </c>
      <c r="AD266" s="109">
        <f>'LPLPO PROGRAM'!H95</f>
        <v>0</v>
      </c>
      <c r="AE266" s="111" t="e">
        <f t="shared" si="258"/>
        <v>#REF!</v>
      </c>
      <c r="AF266" s="212"/>
      <c r="AG266" s="212"/>
      <c r="AH266" s="20"/>
      <c r="AI266" s="14">
        <f t="shared" si="212"/>
        <v>0</v>
      </c>
      <c r="AJ266" s="209" t="e">
        <f t="shared" si="213"/>
        <v>#REF!</v>
      </c>
      <c r="AL266" s="14">
        <f t="shared" si="214"/>
        <v>0</v>
      </c>
      <c r="AM266" s="14">
        <f>DISTRIBUSI!D264</f>
        <v>0</v>
      </c>
      <c r="AN266" s="14">
        <f>'PEMAKAIAN UNIT'!D263</f>
        <v>0</v>
      </c>
      <c r="AO266" s="14">
        <f t="shared" si="215"/>
        <v>0</v>
      </c>
      <c r="AP266" s="15">
        <f t="shared" si="216"/>
        <v>0</v>
      </c>
      <c r="AQ266" s="14">
        <f t="shared" si="217"/>
        <v>0</v>
      </c>
      <c r="AR266" s="14">
        <f>DISTRIBUSI!E264</f>
        <v>0</v>
      </c>
      <c r="AS266" s="14">
        <f>'PEMAKAIAN UNIT'!E263</f>
        <v>0</v>
      </c>
      <c r="AT266" s="14">
        <f t="shared" si="218"/>
        <v>0</v>
      </c>
      <c r="AU266" s="15">
        <f t="shared" si="219"/>
        <v>0</v>
      </c>
      <c r="AV266" s="14">
        <f t="shared" si="220"/>
        <v>0</v>
      </c>
      <c r="AW266" s="14">
        <f>DISTRIBUSI!F264</f>
        <v>0</v>
      </c>
      <c r="AX266" s="14">
        <f>'PEMAKAIAN UNIT'!F263</f>
        <v>0</v>
      </c>
      <c r="AY266" s="14">
        <f t="shared" si="221"/>
        <v>0</v>
      </c>
      <c r="AZ266" s="15">
        <f t="shared" si="222"/>
        <v>0</v>
      </c>
      <c r="BA266" s="14">
        <f t="shared" si="223"/>
        <v>0</v>
      </c>
      <c r="BB266" s="14">
        <f>DISTRIBUSI!G264</f>
        <v>0</v>
      </c>
      <c r="BC266" s="14">
        <f>'PEMAKAIAN UNIT'!G263</f>
        <v>0</v>
      </c>
      <c r="BD266" s="14">
        <f t="shared" si="224"/>
        <v>0</v>
      </c>
      <c r="BE266" s="15">
        <f t="shared" si="225"/>
        <v>0</v>
      </c>
      <c r="BF266" s="14">
        <f t="shared" si="226"/>
        <v>0</v>
      </c>
      <c r="BG266" s="14">
        <f>DISTRIBUSI!H264</f>
        <v>0</v>
      </c>
      <c r="BH266" s="14">
        <f>'PEMAKAIAN UNIT'!H263</f>
        <v>0</v>
      </c>
      <c r="BI266" s="14">
        <f t="shared" si="227"/>
        <v>0</v>
      </c>
      <c r="BJ266" s="15">
        <f t="shared" si="228"/>
        <v>0</v>
      </c>
      <c r="BK266" s="14">
        <f t="shared" si="229"/>
        <v>0</v>
      </c>
      <c r="BL266" s="14">
        <f>DISTRIBUSI!I264</f>
        <v>0</v>
      </c>
      <c r="BM266" s="14">
        <f>'PEMAKAIAN UNIT'!I263</f>
        <v>0</v>
      </c>
      <c r="BN266" s="14">
        <f t="shared" si="230"/>
        <v>0</v>
      </c>
      <c r="BO266" s="15">
        <f t="shared" si="231"/>
        <v>0</v>
      </c>
      <c r="BP266" s="14">
        <f t="shared" si="232"/>
        <v>0</v>
      </c>
      <c r="BQ266" s="14">
        <f>DISTRIBUSI!J264</f>
        <v>0</v>
      </c>
      <c r="BR266" s="14">
        <f>'PEMAKAIAN UNIT'!J263</f>
        <v>0</v>
      </c>
      <c r="BS266" s="14">
        <f t="shared" si="233"/>
        <v>0</v>
      </c>
      <c r="BT266" s="15">
        <f t="shared" si="234"/>
        <v>0</v>
      </c>
      <c r="BU266" s="14">
        <f t="shared" si="235"/>
        <v>0</v>
      </c>
      <c r="BV266" s="14">
        <f>DISTRIBUSI!K264</f>
        <v>0</v>
      </c>
      <c r="BW266" s="14">
        <f>'PEMAKAIAN UNIT'!K263</f>
        <v>0</v>
      </c>
      <c r="BX266" s="14">
        <f t="shared" si="236"/>
        <v>0</v>
      </c>
      <c r="BY266" s="15">
        <f t="shared" si="237"/>
        <v>0</v>
      </c>
      <c r="BZ266" s="14">
        <f t="shared" si="238"/>
        <v>0</v>
      </c>
      <c r="CA266" s="14">
        <f>DISTRIBUSI!L264</f>
        <v>0</v>
      </c>
      <c r="CB266" s="14">
        <f>'PEMAKAIAN UNIT'!L263</f>
        <v>0</v>
      </c>
      <c r="CC266" s="14">
        <f t="shared" si="239"/>
        <v>0</v>
      </c>
      <c r="CD266" s="15">
        <f t="shared" si="240"/>
        <v>0</v>
      </c>
      <c r="CE266" s="14">
        <f t="shared" si="241"/>
        <v>0</v>
      </c>
      <c r="CF266" s="14">
        <f>DISTRIBUSI!M264</f>
        <v>0</v>
      </c>
      <c r="CG266" s="14">
        <f>'PEMAKAIAN UNIT'!M263</f>
        <v>0</v>
      </c>
      <c r="CH266" s="14">
        <f t="shared" si="242"/>
        <v>0</v>
      </c>
      <c r="CI266" s="15">
        <f t="shared" si="243"/>
        <v>0</v>
      </c>
      <c r="CJ266" s="14">
        <f t="shared" si="244"/>
        <v>0</v>
      </c>
      <c r="CK266" s="14" t="e">
        <f>DISTRIBUSI!#REF!</f>
        <v>#REF!</v>
      </c>
      <c r="CL266" s="14">
        <f>'PEMAKAIAN UNIT'!N263</f>
        <v>0</v>
      </c>
      <c r="CM266" s="14" t="e">
        <f t="shared" si="245"/>
        <v>#REF!</v>
      </c>
      <c r="CN266" s="15" t="e">
        <f t="shared" si="246"/>
        <v>#REF!</v>
      </c>
      <c r="CO266" s="14" t="e">
        <f>DL266+DISTRIBUSI!#REF!-'PEMAKAIAN UNIT'!O263</f>
        <v>#REF!</v>
      </c>
      <c r="CP266" s="15" t="e">
        <f t="shared" si="247"/>
        <v>#REF!</v>
      </c>
      <c r="CQ266" s="226">
        <f t="shared" si="248"/>
        <v>0</v>
      </c>
      <c r="CR266" s="226">
        <f>DISTRIBUSI!R264</f>
        <v>0</v>
      </c>
      <c r="CS266" s="226">
        <f>'PEMAKAIAN UNIT'!P263</f>
        <v>0</v>
      </c>
      <c r="CT266" s="14">
        <f t="shared" si="249"/>
        <v>0</v>
      </c>
      <c r="CU266" s="15">
        <f t="shared" si="250"/>
        <v>0</v>
      </c>
      <c r="CV266" s="14" t="e">
        <f>DN266+DISTRIBUSI!#REF!-'PEMAKAIAN UNIT'!Q263</f>
        <v>#REF!</v>
      </c>
      <c r="CW266" s="15" t="e">
        <f t="shared" si="251"/>
        <v>#REF!</v>
      </c>
      <c r="CX266" s="14">
        <f>DO266+'LPLPO PROGRAM'!E95-'LPLPO PROGRAM'!G95</f>
        <v>0</v>
      </c>
      <c r="CY266" s="15">
        <f t="shared" si="252"/>
        <v>0</v>
      </c>
      <c r="CZ266" s="28"/>
      <c r="DA266" s="14">
        <v>0</v>
      </c>
      <c r="DB266" s="14">
        <v>0</v>
      </c>
      <c r="DC266" s="14">
        <v>0</v>
      </c>
      <c r="DD266" s="14">
        <v>0</v>
      </c>
      <c r="DE266" s="14">
        <v>0</v>
      </c>
      <c r="DF266" s="14">
        <v>0</v>
      </c>
      <c r="DG266" s="14">
        <v>0</v>
      </c>
      <c r="DH266" s="14">
        <v>0</v>
      </c>
      <c r="DI266" s="14">
        <v>0</v>
      </c>
      <c r="DJ266" s="14">
        <v>0</v>
      </c>
      <c r="DK266" s="14">
        <v>0</v>
      </c>
      <c r="DL266" s="14">
        <v>0</v>
      </c>
      <c r="DM266" s="14">
        <v>0</v>
      </c>
      <c r="DN266" s="14">
        <v>0</v>
      </c>
      <c r="DO266" s="14">
        <v>0</v>
      </c>
      <c r="DP266" s="13">
        <f t="shared" si="211"/>
        <v>0</v>
      </c>
      <c r="DU266" s="20" t="e">
        <f t="shared" si="210"/>
        <v>#REF!</v>
      </c>
    </row>
    <row r="267" spans="1:125" customFormat="1" ht="20.149999999999999" customHeight="1" x14ac:dyDescent="0.35">
      <c r="A267" s="205">
        <v>83</v>
      </c>
      <c r="B267" s="178"/>
      <c r="C267" s="144"/>
      <c r="D267" s="14">
        <v>0</v>
      </c>
      <c r="E267" s="254">
        <f>'LPLPO PROGRAM'!E96</f>
        <v>0</v>
      </c>
      <c r="F267" s="254">
        <f t="shared" si="253"/>
        <v>0</v>
      </c>
      <c r="G267" s="254">
        <f>'PEMAKAIAN UNIT'!R264</f>
        <v>0</v>
      </c>
      <c r="H267" s="14">
        <v>0</v>
      </c>
      <c r="I267" s="14">
        <v>0</v>
      </c>
      <c r="J267" s="14">
        <v>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09">
        <f t="shared" si="254"/>
        <v>0</v>
      </c>
      <c r="Z267" s="109" t="e">
        <f t="shared" si="255"/>
        <v>#REF!</v>
      </c>
      <c r="AA267" s="109" t="e">
        <f t="shared" si="256"/>
        <v>#REF!</v>
      </c>
      <c r="AB267" s="14">
        <v>0</v>
      </c>
      <c r="AC267" s="109" t="e">
        <f t="shared" si="257"/>
        <v>#REF!</v>
      </c>
      <c r="AD267" s="109">
        <f>'LPLPO PROGRAM'!H96</f>
        <v>0</v>
      </c>
      <c r="AE267" s="111" t="e">
        <f t="shared" si="258"/>
        <v>#REF!</v>
      </c>
      <c r="AF267" s="212"/>
      <c r="AG267" s="212"/>
      <c r="AH267" s="20"/>
      <c r="AI267" s="14">
        <f t="shared" si="212"/>
        <v>0</v>
      </c>
      <c r="AJ267" s="209" t="e">
        <f t="shared" si="213"/>
        <v>#REF!</v>
      </c>
      <c r="AL267" s="14">
        <f t="shared" si="214"/>
        <v>0</v>
      </c>
      <c r="AM267" s="14">
        <f>DISTRIBUSI!D265</f>
        <v>0</v>
      </c>
      <c r="AN267" s="14">
        <f>'PEMAKAIAN UNIT'!D264</f>
        <v>0</v>
      </c>
      <c r="AO267" s="14">
        <f t="shared" si="215"/>
        <v>0</v>
      </c>
      <c r="AP267" s="15">
        <f t="shared" si="216"/>
        <v>0</v>
      </c>
      <c r="AQ267" s="14">
        <f t="shared" si="217"/>
        <v>0</v>
      </c>
      <c r="AR267" s="14">
        <f>DISTRIBUSI!E265</f>
        <v>0</v>
      </c>
      <c r="AS267" s="14">
        <f>'PEMAKAIAN UNIT'!E264</f>
        <v>0</v>
      </c>
      <c r="AT267" s="14">
        <f t="shared" si="218"/>
        <v>0</v>
      </c>
      <c r="AU267" s="15">
        <f t="shared" si="219"/>
        <v>0</v>
      </c>
      <c r="AV267" s="14">
        <f t="shared" si="220"/>
        <v>0</v>
      </c>
      <c r="AW267" s="14">
        <f>DISTRIBUSI!F265</f>
        <v>0</v>
      </c>
      <c r="AX267" s="14">
        <f>'PEMAKAIAN UNIT'!F264</f>
        <v>0</v>
      </c>
      <c r="AY267" s="14">
        <f t="shared" si="221"/>
        <v>0</v>
      </c>
      <c r="AZ267" s="15">
        <f t="shared" si="222"/>
        <v>0</v>
      </c>
      <c r="BA267" s="14">
        <f t="shared" si="223"/>
        <v>0</v>
      </c>
      <c r="BB267" s="14">
        <f>DISTRIBUSI!G265</f>
        <v>0</v>
      </c>
      <c r="BC267" s="14">
        <f>'PEMAKAIAN UNIT'!G264</f>
        <v>0</v>
      </c>
      <c r="BD267" s="14">
        <f t="shared" si="224"/>
        <v>0</v>
      </c>
      <c r="BE267" s="15">
        <f t="shared" si="225"/>
        <v>0</v>
      </c>
      <c r="BF267" s="14">
        <f t="shared" si="226"/>
        <v>0</v>
      </c>
      <c r="BG267" s="14">
        <f>DISTRIBUSI!H265</f>
        <v>0</v>
      </c>
      <c r="BH267" s="14">
        <f>'PEMAKAIAN UNIT'!H264</f>
        <v>0</v>
      </c>
      <c r="BI267" s="14">
        <f t="shared" si="227"/>
        <v>0</v>
      </c>
      <c r="BJ267" s="15">
        <f t="shared" si="228"/>
        <v>0</v>
      </c>
      <c r="BK267" s="14">
        <f t="shared" si="229"/>
        <v>0</v>
      </c>
      <c r="BL267" s="14">
        <f>DISTRIBUSI!I265</f>
        <v>0</v>
      </c>
      <c r="BM267" s="14">
        <f>'PEMAKAIAN UNIT'!I264</f>
        <v>0</v>
      </c>
      <c r="BN267" s="14">
        <f t="shared" si="230"/>
        <v>0</v>
      </c>
      <c r="BO267" s="15">
        <f t="shared" si="231"/>
        <v>0</v>
      </c>
      <c r="BP267" s="14">
        <f t="shared" si="232"/>
        <v>0</v>
      </c>
      <c r="BQ267" s="14">
        <f>DISTRIBUSI!J265</f>
        <v>0</v>
      </c>
      <c r="BR267" s="14">
        <f>'PEMAKAIAN UNIT'!J264</f>
        <v>0</v>
      </c>
      <c r="BS267" s="14">
        <f t="shared" si="233"/>
        <v>0</v>
      </c>
      <c r="BT267" s="15">
        <f t="shared" si="234"/>
        <v>0</v>
      </c>
      <c r="BU267" s="14">
        <f t="shared" si="235"/>
        <v>0</v>
      </c>
      <c r="BV267" s="14">
        <f>DISTRIBUSI!K265</f>
        <v>0</v>
      </c>
      <c r="BW267" s="14">
        <f>'PEMAKAIAN UNIT'!K264</f>
        <v>0</v>
      </c>
      <c r="BX267" s="14">
        <f t="shared" si="236"/>
        <v>0</v>
      </c>
      <c r="BY267" s="15">
        <f t="shared" si="237"/>
        <v>0</v>
      </c>
      <c r="BZ267" s="14">
        <f t="shared" si="238"/>
        <v>0</v>
      </c>
      <c r="CA267" s="14">
        <f>DISTRIBUSI!L265</f>
        <v>0</v>
      </c>
      <c r="CB267" s="14">
        <f>'PEMAKAIAN UNIT'!L264</f>
        <v>0</v>
      </c>
      <c r="CC267" s="14">
        <f t="shared" si="239"/>
        <v>0</v>
      </c>
      <c r="CD267" s="15">
        <f t="shared" si="240"/>
        <v>0</v>
      </c>
      <c r="CE267" s="14">
        <f t="shared" si="241"/>
        <v>0</v>
      </c>
      <c r="CF267" s="14">
        <f>DISTRIBUSI!M265</f>
        <v>0</v>
      </c>
      <c r="CG267" s="14">
        <f>'PEMAKAIAN UNIT'!M264</f>
        <v>0</v>
      </c>
      <c r="CH267" s="14">
        <f t="shared" si="242"/>
        <v>0</v>
      </c>
      <c r="CI267" s="15">
        <f t="shared" si="243"/>
        <v>0</v>
      </c>
      <c r="CJ267" s="14">
        <f t="shared" si="244"/>
        <v>0</v>
      </c>
      <c r="CK267" s="14" t="e">
        <f>DISTRIBUSI!#REF!</f>
        <v>#REF!</v>
      </c>
      <c r="CL267" s="14">
        <f>'PEMAKAIAN UNIT'!N264</f>
        <v>0</v>
      </c>
      <c r="CM267" s="14" t="e">
        <f t="shared" si="245"/>
        <v>#REF!</v>
      </c>
      <c r="CN267" s="15" t="e">
        <f t="shared" si="246"/>
        <v>#REF!</v>
      </c>
      <c r="CO267" s="14" t="e">
        <f>DL267+DISTRIBUSI!#REF!-'PEMAKAIAN UNIT'!O264</f>
        <v>#REF!</v>
      </c>
      <c r="CP267" s="15" t="e">
        <f t="shared" si="247"/>
        <v>#REF!</v>
      </c>
      <c r="CQ267" s="226">
        <f t="shared" si="248"/>
        <v>0</v>
      </c>
      <c r="CR267" s="226">
        <f>DISTRIBUSI!R265</f>
        <v>0</v>
      </c>
      <c r="CS267" s="226">
        <f>'PEMAKAIAN UNIT'!P264</f>
        <v>0</v>
      </c>
      <c r="CT267" s="14">
        <f t="shared" si="249"/>
        <v>0</v>
      </c>
      <c r="CU267" s="15">
        <f t="shared" si="250"/>
        <v>0</v>
      </c>
      <c r="CV267" s="14" t="e">
        <f>DN267+DISTRIBUSI!#REF!-'PEMAKAIAN UNIT'!Q264</f>
        <v>#REF!</v>
      </c>
      <c r="CW267" s="15" t="e">
        <f t="shared" si="251"/>
        <v>#REF!</v>
      </c>
      <c r="CX267" s="14">
        <f>DO267+'LPLPO PROGRAM'!E96-'LPLPO PROGRAM'!G96</f>
        <v>0</v>
      </c>
      <c r="CY267" s="15">
        <f t="shared" si="252"/>
        <v>0</v>
      </c>
      <c r="CZ267" s="28"/>
      <c r="DA267" s="14">
        <v>0</v>
      </c>
      <c r="DB267" s="14">
        <v>0</v>
      </c>
      <c r="DC267" s="14">
        <v>0</v>
      </c>
      <c r="DD267" s="14">
        <v>0</v>
      </c>
      <c r="DE267" s="14">
        <v>0</v>
      </c>
      <c r="DF267" s="14">
        <v>0</v>
      </c>
      <c r="DG267" s="14">
        <v>0</v>
      </c>
      <c r="DH267" s="14">
        <v>0</v>
      </c>
      <c r="DI267" s="14">
        <v>0</v>
      </c>
      <c r="DJ267" s="14">
        <v>0</v>
      </c>
      <c r="DK267" s="14">
        <v>0</v>
      </c>
      <c r="DL267" s="14">
        <v>0</v>
      </c>
      <c r="DM267" s="14">
        <v>0</v>
      </c>
      <c r="DN267" s="14">
        <v>0</v>
      </c>
      <c r="DO267" s="14">
        <v>0</v>
      </c>
      <c r="DP267" s="13">
        <f t="shared" si="211"/>
        <v>0</v>
      </c>
      <c r="DU267" s="20" t="e">
        <f t="shared" si="210"/>
        <v>#REF!</v>
      </c>
    </row>
    <row r="268" spans="1:125" customFormat="1" ht="20.149999999999999" customHeight="1" x14ac:dyDescent="0.35">
      <c r="A268" s="204">
        <v>84</v>
      </c>
      <c r="B268" s="190" t="s">
        <v>205</v>
      </c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212"/>
      <c r="AG268" s="212"/>
      <c r="AH268" s="20"/>
      <c r="AI268" s="14">
        <f t="shared" si="212"/>
        <v>0</v>
      </c>
      <c r="AJ268" s="209">
        <f t="shared" si="213"/>
        <v>0</v>
      </c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  <c r="AW268" s="146"/>
      <c r="AX268" s="146"/>
      <c r="AY268" s="146"/>
      <c r="AZ268" s="146"/>
      <c r="BA268" s="146"/>
      <c r="BB268" s="146"/>
      <c r="BC268" s="146"/>
      <c r="BD268" s="146"/>
      <c r="BE268" s="146"/>
      <c r="BF268" s="146"/>
      <c r="BG268" s="146"/>
      <c r="BH268" s="146"/>
      <c r="BI268" s="146"/>
      <c r="BJ268" s="146"/>
      <c r="BK268" s="146"/>
      <c r="BL268" s="146"/>
      <c r="BM268" s="146"/>
      <c r="BN268" s="146"/>
      <c r="BO268" s="146"/>
      <c r="BP268" s="146"/>
      <c r="BQ268" s="146"/>
      <c r="BR268" s="146"/>
      <c r="BS268" s="146"/>
      <c r="BT268" s="146"/>
      <c r="BU268" s="146"/>
      <c r="BV268" s="146"/>
      <c r="BW268" s="146"/>
      <c r="BX268" s="146"/>
      <c r="BY268" s="146"/>
      <c r="BZ268" s="146"/>
      <c r="CA268" s="146"/>
      <c r="CB268" s="146"/>
      <c r="CC268" s="146"/>
      <c r="CD268" s="146"/>
      <c r="CE268" s="146"/>
      <c r="CF268" s="146"/>
      <c r="CG268" s="146"/>
      <c r="CH268" s="146"/>
      <c r="CI268" s="146"/>
      <c r="CJ268" s="146"/>
      <c r="CK268" s="146"/>
      <c r="CL268" s="146"/>
      <c r="CM268" s="146"/>
      <c r="CN268" s="146"/>
      <c r="CO268" s="146"/>
      <c r="CP268" s="146"/>
      <c r="CQ268" s="146"/>
      <c r="CR268" s="146"/>
      <c r="CS268" s="146"/>
      <c r="CT268" s="146"/>
      <c r="CU268" s="146"/>
      <c r="CV268" s="146"/>
      <c r="CW268" s="146"/>
      <c r="CX268" s="146"/>
      <c r="CY268" s="146"/>
      <c r="CZ268" s="28"/>
      <c r="DA268" s="14">
        <v>0</v>
      </c>
      <c r="DB268" s="14">
        <v>0</v>
      </c>
      <c r="DC268" s="14">
        <v>0</v>
      </c>
      <c r="DD268" s="14">
        <v>0</v>
      </c>
      <c r="DE268" s="14">
        <v>0</v>
      </c>
      <c r="DF268" s="14">
        <v>0</v>
      </c>
      <c r="DG268" s="14">
        <v>0</v>
      </c>
      <c r="DH268" s="14">
        <v>0</v>
      </c>
      <c r="DI268" s="14">
        <v>0</v>
      </c>
      <c r="DJ268" s="14">
        <v>0</v>
      </c>
      <c r="DK268" s="14">
        <v>0</v>
      </c>
      <c r="DL268" s="14">
        <v>0</v>
      </c>
      <c r="DM268" s="14">
        <v>0</v>
      </c>
      <c r="DN268" s="14">
        <v>0</v>
      </c>
      <c r="DO268" s="14">
        <v>0</v>
      </c>
      <c r="DP268" s="13">
        <f t="shared" si="211"/>
        <v>0</v>
      </c>
      <c r="DU268" s="20">
        <f t="shared" si="210"/>
        <v>0</v>
      </c>
    </row>
    <row r="269" spans="1:125" customFormat="1" ht="20.149999999999999" customHeight="1" x14ac:dyDescent="0.35">
      <c r="A269" s="205">
        <v>85</v>
      </c>
      <c r="B269" s="184" t="s">
        <v>206</v>
      </c>
      <c r="C269" s="144" t="s">
        <v>177</v>
      </c>
      <c r="D269" s="14">
        <v>0</v>
      </c>
      <c r="E269" s="254">
        <f>'LPLPO PROGRAM'!E98</f>
        <v>200</v>
      </c>
      <c r="F269" s="254">
        <f t="shared" si="253"/>
        <v>200</v>
      </c>
      <c r="G269" s="254">
        <f>'PEMAKAIAN UNIT'!R266</f>
        <v>0</v>
      </c>
      <c r="H269" s="14">
        <v>9</v>
      </c>
      <c r="I269" s="14">
        <v>1</v>
      </c>
      <c r="J269" s="14">
        <v>0</v>
      </c>
      <c r="K269" s="14"/>
      <c r="L269" s="14"/>
      <c r="M269" s="14"/>
      <c r="N269" s="14"/>
      <c r="O269" s="14"/>
      <c r="P269" s="14"/>
      <c r="Q269" s="14"/>
      <c r="R269" s="14"/>
      <c r="S269" s="14">
        <v>25</v>
      </c>
      <c r="T269" s="14">
        <v>0</v>
      </c>
      <c r="U269" s="14">
        <v>14</v>
      </c>
      <c r="V269" s="14">
        <v>4</v>
      </c>
      <c r="W269" s="14">
        <v>0</v>
      </c>
      <c r="X269" s="14">
        <v>18</v>
      </c>
      <c r="Y269" s="109">
        <f t="shared" si="254"/>
        <v>0</v>
      </c>
      <c r="Z269" s="109" t="e">
        <f t="shared" si="255"/>
        <v>#REF!</v>
      </c>
      <c r="AA269" s="109" t="e">
        <f t="shared" si="256"/>
        <v>#REF!</v>
      </c>
      <c r="AB269" s="14">
        <v>64</v>
      </c>
      <c r="AC269" s="109" t="e">
        <f t="shared" si="257"/>
        <v>#REF!</v>
      </c>
      <c r="AD269" s="109">
        <f>'LPLPO PROGRAM'!H98</f>
        <v>175</v>
      </c>
      <c r="AE269" s="111" t="e">
        <f t="shared" si="258"/>
        <v>#REF!</v>
      </c>
      <c r="AF269" s="212"/>
      <c r="AG269" s="212"/>
      <c r="AH269" s="20"/>
      <c r="AI269" s="14">
        <f t="shared" si="212"/>
        <v>200</v>
      </c>
      <c r="AJ269" s="209" t="e">
        <f t="shared" si="213"/>
        <v>#REF!</v>
      </c>
      <c r="AL269" s="14">
        <f t="shared" si="214"/>
        <v>24</v>
      </c>
      <c r="AM269" s="14">
        <f>DISTRIBUSI!D267</f>
        <v>0</v>
      </c>
      <c r="AN269" s="14">
        <f>'PEMAKAIAN UNIT'!D266</f>
        <v>0</v>
      </c>
      <c r="AO269" s="14">
        <f t="shared" si="215"/>
        <v>24</v>
      </c>
      <c r="AP269" s="15">
        <f t="shared" si="216"/>
        <v>15</v>
      </c>
      <c r="AQ269" s="14">
        <f t="shared" si="217"/>
        <v>3</v>
      </c>
      <c r="AR269" s="14">
        <f>DISTRIBUSI!E267</f>
        <v>0</v>
      </c>
      <c r="AS269" s="14">
        <f>'PEMAKAIAN UNIT'!E266</f>
        <v>0</v>
      </c>
      <c r="AT269" s="14">
        <f t="shared" si="218"/>
        <v>3</v>
      </c>
      <c r="AU269" s="15">
        <f t="shared" si="219"/>
        <v>2</v>
      </c>
      <c r="AV269" s="14">
        <f t="shared" si="220"/>
        <v>22</v>
      </c>
      <c r="AW269" s="14">
        <f>DISTRIBUSI!F267</f>
        <v>0</v>
      </c>
      <c r="AX269" s="14">
        <f>'PEMAKAIAN UNIT'!F266</f>
        <v>0</v>
      </c>
      <c r="AY269" s="14">
        <f t="shared" si="221"/>
        <v>22</v>
      </c>
      <c r="AZ269" s="15">
        <f t="shared" si="222"/>
        <v>22</v>
      </c>
      <c r="BA269" s="14">
        <f t="shared" si="223"/>
        <v>15</v>
      </c>
      <c r="BB269" s="14">
        <f>DISTRIBUSI!G267</f>
        <v>0</v>
      </c>
      <c r="BC269" s="14">
        <f>'PEMAKAIAN UNIT'!G266</f>
        <v>0</v>
      </c>
      <c r="BD269" s="14">
        <f t="shared" si="224"/>
        <v>15</v>
      </c>
      <c r="BE269" s="15">
        <f t="shared" si="225"/>
        <v>-10</v>
      </c>
      <c r="BF269" s="14">
        <f t="shared" si="226"/>
        <v>0</v>
      </c>
      <c r="BG269" s="14">
        <f>DISTRIBUSI!H267</f>
        <v>0</v>
      </c>
      <c r="BH269" s="14">
        <f>'PEMAKAIAN UNIT'!H266</f>
        <v>0</v>
      </c>
      <c r="BI269" s="14">
        <f t="shared" si="227"/>
        <v>0</v>
      </c>
      <c r="BJ269" s="15">
        <f t="shared" si="228"/>
        <v>0</v>
      </c>
      <c r="BK269" s="14">
        <f t="shared" si="229"/>
        <v>17</v>
      </c>
      <c r="BL269" s="14">
        <f>DISTRIBUSI!I267</f>
        <v>0</v>
      </c>
      <c r="BM269" s="14">
        <f>'PEMAKAIAN UNIT'!I266</f>
        <v>0</v>
      </c>
      <c r="BN269" s="14">
        <f t="shared" si="230"/>
        <v>17</v>
      </c>
      <c r="BO269" s="15">
        <f t="shared" si="231"/>
        <v>3</v>
      </c>
      <c r="BP269" s="14">
        <f t="shared" si="232"/>
        <v>4</v>
      </c>
      <c r="BQ269" s="14">
        <f>DISTRIBUSI!J267</f>
        <v>0</v>
      </c>
      <c r="BR269" s="14">
        <f>'PEMAKAIAN UNIT'!J266</f>
        <v>0</v>
      </c>
      <c r="BS269" s="14">
        <f t="shared" si="233"/>
        <v>4</v>
      </c>
      <c r="BT269" s="15">
        <f t="shared" si="234"/>
        <v>0</v>
      </c>
      <c r="BU269" s="14">
        <f t="shared" si="235"/>
        <v>13</v>
      </c>
      <c r="BV269" s="14">
        <f>DISTRIBUSI!K267</f>
        <v>0</v>
      </c>
      <c r="BW269" s="14">
        <f>'PEMAKAIAN UNIT'!K266</f>
        <v>0</v>
      </c>
      <c r="BX269" s="14">
        <f t="shared" si="236"/>
        <v>13</v>
      </c>
      <c r="BY269" s="15">
        <f t="shared" si="237"/>
        <v>13</v>
      </c>
      <c r="BZ269" s="14">
        <f t="shared" si="238"/>
        <v>24</v>
      </c>
      <c r="CA269" s="14">
        <f>DISTRIBUSI!L267</f>
        <v>0</v>
      </c>
      <c r="CB269" s="14">
        <f>'PEMAKAIAN UNIT'!L266</f>
        <v>0</v>
      </c>
      <c r="CC269" s="14">
        <f t="shared" si="239"/>
        <v>24</v>
      </c>
      <c r="CD269" s="15">
        <f t="shared" si="240"/>
        <v>6</v>
      </c>
      <c r="CE269" s="14">
        <f t="shared" si="241"/>
        <v>0</v>
      </c>
      <c r="CF269" s="14">
        <f>DISTRIBUSI!M267</f>
        <v>0</v>
      </c>
      <c r="CG269" s="14">
        <f>'PEMAKAIAN UNIT'!M266</f>
        <v>0</v>
      </c>
      <c r="CH269" s="14">
        <f t="shared" si="242"/>
        <v>0</v>
      </c>
      <c r="CI269" s="15">
        <f t="shared" si="243"/>
        <v>0</v>
      </c>
      <c r="CJ269" s="14">
        <f t="shared" si="244"/>
        <v>0</v>
      </c>
      <c r="CK269" s="14" t="e">
        <f>DISTRIBUSI!#REF!</f>
        <v>#REF!</v>
      </c>
      <c r="CL269" s="14">
        <f>'PEMAKAIAN UNIT'!N266</f>
        <v>0</v>
      </c>
      <c r="CM269" s="14" t="e">
        <f t="shared" si="245"/>
        <v>#REF!</v>
      </c>
      <c r="CN269" s="15" t="e">
        <f t="shared" si="246"/>
        <v>#REF!</v>
      </c>
      <c r="CO269" s="14" t="e">
        <f>DL269+DISTRIBUSI!#REF!-'PEMAKAIAN UNIT'!O266</f>
        <v>#REF!</v>
      </c>
      <c r="CP269" s="15" t="e">
        <f t="shared" si="247"/>
        <v>#REF!</v>
      </c>
      <c r="CQ269" s="226">
        <f t="shared" si="248"/>
        <v>31</v>
      </c>
      <c r="CR269" s="226">
        <f>DISTRIBUSI!R267</f>
        <v>100</v>
      </c>
      <c r="CS269" s="226">
        <f>'PEMAKAIAN UNIT'!P266</f>
        <v>0</v>
      </c>
      <c r="CT269" s="14">
        <f t="shared" si="249"/>
        <v>131</v>
      </c>
      <c r="CU269" s="15">
        <f t="shared" si="250"/>
        <v>67</v>
      </c>
      <c r="CV269" s="14" t="e">
        <f>DN269+DISTRIBUSI!#REF!-'PEMAKAIAN UNIT'!Q266</f>
        <v>#REF!</v>
      </c>
      <c r="CW269" s="15" t="e">
        <f t="shared" si="251"/>
        <v>#REF!</v>
      </c>
      <c r="CX269" s="14">
        <f>DO269+'LPLPO PROGRAM'!E98-'LPLPO PROGRAM'!G98</f>
        <v>220</v>
      </c>
      <c r="CY269" s="15">
        <f t="shared" si="252"/>
        <v>45</v>
      </c>
      <c r="CZ269" s="28"/>
      <c r="DA269" s="110">
        <v>24</v>
      </c>
      <c r="DB269" s="109">
        <v>3</v>
      </c>
      <c r="DC269" s="109">
        <v>22</v>
      </c>
      <c r="DD269" s="109">
        <v>15</v>
      </c>
      <c r="DE269" s="109">
        <v>0</v>
      </c>
      <c r="DF269" s="109">
        <v>17</v>
      </c>
      <c r="DG269" s="109">
        <v>4</v>
      </c>
      <c r="DH269" s="109">
        <v>13</v>
      </c>
      <c r="DI269" s="109">
        <v>24</v>
      </c>
      <c r="DJ269" s="109">
        <v>0</v>
      </c>
      <c r="DK269" s="109">
        <v>0</v>
      </c>
      <c r="DL269" s="109">
        <v>0</v>
      </c>
      <c r="DM269" s="109">
        <v>31</v>
      </c>
      <c r="DN269" s="109">
        <v>0</v>
      </c>
      <c r="DO269" s="109">
        <v>120</v>
      </c>
      <c r="DP269" s="109">
        <v>120</v>
      </c>
      <c r="DU269" s="20" t="e">
        <f t="shared" ref="DU269:DU332" si="259">H269+I269+J269+S269+T269+U269+V269+W269+X269+Y269+Z269+AA269+AC269</f>
        <v>#REF!</v>
      </c>
    </row>
    <row r="270" spans="1:125" customFormat="1" ht="20.149999999999999" customHeight="1" x14ac:dyDescent="0.35">
      <c r="A270" s="205">
        <v>86</v>
      </c>
      <c r="B270" s="178" t="s">
        <v>257</v>
      </c>
      <c r="C270" s="144" t="s">
        <v>48</v>
      </c>
      <c r="D270" s="14">
        <v>0</v>
      </c>
      <c r="E270" s="254">
        <f>'LPLPO PROGRAM'!E99</f>
        <v>0</v>
      </c>
      <c r="F270" s="254">
        <f t="shared" si="253"/>
        <v>0</v>
      </c>
      <c r="G270" s="254">
        <f>'PEMAKAIAN UNIT'!R267</f>
        <v>0</v>
      </c>
      <c r="H270" s="14">
        <v>0</v>
      </c>
      <c r="I270" s="14">
        <v>0</v>
      </c>
      <c r="J270" s="14">
        <v>0</v>
      </c>
      <c r="K270" s="14"/>
      <c r="L270" s="14"/>
      <c r="M270" s="14"/>
      <c r="N270" s="14"/>
      <c r="O270" s="14"/>
      <c r="P270" s="14"/>
      <c r="Q270" s="14"/>
      <c r="R270" s="14"/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09">
        <f t="shared" si="254"/>
        <v>0</v>
      </c>
      <c r="Z270" s="109" t="e">
        <f t="shared" si="255"/>
        <v>#REF!</v>
      </c>
      <c r="AA270" s="109" t="e">
        <f t="shared" si="256"/>
        <v>#REF!</v>
      </c>
      <c r="AB270" s="14">
        <v>0</v>
      </c>
      <c r="AC270" s="109" t="e">
        <f t="shared" si="257"/>
        <v>#REF!</v>
      </c>
      <c r="AD270" s="109">
        <f>'LPLPO PROGRAM'!H99</f>
        <v>0</v>
      </c>
      <c r="AE270" s="111" t="e">
        <f t="shared" si="258"/>
        <v>#REF!</v>
      </c>
      <c r="AF270" s="212"/>
      <c r="AG270" s="212"/>
      <c r="AH270" s="20"/>
      <c r="AI270" s="14">
        <f t="shared" si="212"/>
        <v>0</v>
      </c>
      <c r="AJ270" s="209" t="e">
        <f t="shared" si="213"/>
        <v>#REF!</v>
      </c>
      <c r="AL270" s="14">
        <f t="shared" si="214"/>
        <v>0</v>
      </c>
      <c r="AM270" s="14">
        <f>DISTRIBUSI!D268</f>
        <v>0</v>
      </c>
      <c r="AN270" s="14">
        <f>'PEMAKAIAN UNIT'!D267</f>
        <v>0</v>
      </c>
      <c r="AO270" s="14">
        <f t="shared" si="215"/>
        <v>0</v>
      </c>
      <c r="AP270" s="15">
        <f t="shared" si="216"/>
        <v>0</v>
      </c>
      <c r="AQ270" s="14">
        <f t="shared" si="217"/>
        <v>0</v>
      </c>
      <c r="AR270" s="14">
        <f>DISTRIBUSI!E268</f>
        <v>0</v>
      </c>
      <c r="AS270" s="14">
        <f>'PEMAKAIAN UNIT'!E267</f>
        <v>0</v>
      </c>
      <c r="AT270" s="14">
        <f t="shared" si="218"/>
        <v>0</v>
      </c>
      <c r="AU270" s="15">
        <f t="shared" si="219"/>
        <v>0</v>
      </c>
      <c r="AV270" s="14">
        <f t="shared" si="220"/>
        <v>0</v>
      </c>
      <c r="AW270" s="14">
        <f>DISTRIBUSI!F268</f>
        <v>0</v>
      </c>
      <c r="AX270" s="14">
        <f>'PEMAKAIAN UNIT'!F267</f>
        <v>0</v>
      </c>
      <c r="AY270" s="14">
        <f t="shared" si="221"/>
        <v>0</v>
      </c>
      <c r="AZ270" s="15">
        <f t="shared" si="222"/>
        <v>0</v>
      </c>
      <c r="BA270" s="14">
        <f t="shared" si="223"/>
        <v>0</v>
      </c>
      <c r="BB270" s="14">
        <f>DISTRIBUSI!G268</f>
        <v>0</v>
      </c>
      <c r="BC270" s="14">
        <f>'PEMAKAIAN UNIT'!G267</f>
        <v>0</v>
      </c>
      <c r="BD270" s="14">
        <f t="shared" si="224"/>
        <v>0</v>
      </c>
      <c r="BE270" s="15">
        <f t="shared" si="225"/>
        <v>0</v>
      </c>
      <c r="BF270" s="14">
        <f t="shared" si="226"/>
        <v>0</v>
      </c>
      <c r="BG270" s="14">
        <f>DISTRIBUSI!H268</f>
        <v>0</v>
      </c>
      <c r="BH270" s="14">
        <f>'PEMAKAIAN UNIT'!H267</f>
        <v>0</v>
      </c>
      <c r="BI270" s="14">
        <f t="shared" si="227"/>
        <v>0</v>
      </c>
      <c r="BJ270" s="15">
        <f t="shared" si="228"/>
        <v>0</v>
      </c>
      <c r="BK270" s="14">
        <f t="shared" si="229"/>
        <v>0</v>
      </c>
      <c r="BL270" s="14">
        <f>DISTRIBUSI!I268</f>
        <v>0</v>
      </c>
      <c r="BM270" s="14">
        <f>'PEMAKAIAN UNIT'!I267</f>
        <v>0</v>
      </c>
      <c r="BN270" s="14">
        <f t="shared" si="230"/>
        <v>0</v>
      </c>
      <c r="BO270" s="15">
        <f t="shared" si="231"/>
        <v>0</v>
      </c>
      <c r="BP270" s="14">
        <f t="shared" si="232"/>
        <v>0</v>
      </c>
      <c r="BQ270" s="14">
        <f>DISTRIBUSI!J268</f>
        <v>0</v>
      </c>
      <c r="BR270" s="14">
        <f>'PEMAKAIAN UNIT'!J267</f>
        <v>0</v>
      </c>
      <c r="BS270" s="14">
        <f t="shared" si="233"/>
        <v>0</v>
      </c>
      <c r="BT270" s="15">
        <f t="shared" si="234"/>
        <v>0</v>
      </c>
      <c r="BU270" s="14">
        <f t="shared" si="235"/>
        <v>0</v>
      </c>
      <c r="BV270" s="14">
        <f>DISTRIBUSI!K268</f>
        <v>0</v>
      </c>
      <c r="BW270" s="14">
        <f>'PEMAKAIAN UNIT'!K267</f>
        <v>0</v>
      </c>
      <c r="BX270" s="14">
        <f t="shared" si="236"/>
        <v>0</v>
      </c>
      <c r="BY270" s="15">
        <f t="shared" si="237"/>
        <v>0</v>
      </c>
      <c r="BZ270" s="14">
        <f t="shared" si="238"/>
        <v>0</v>
      </c>
      <c r="CA270" s="14">
        <f>DISTRIBUSI!L268</f>
        <v>0</v>
      </c>
      <c r="CB270" s="14">
        <f>'PEMAKAIAN UNIT'!L267</f>
        <v>0</v>
      </c>
      <c r="CC270" s="14">
        <f t="shared" si="239"/>
        <v>0</v>
      </c>
      <c r="CD270" s="15">
        <f t="shared" si="240"/>
        <v>0</v>
      </c>
      <c r="CE270" s="14">
        <f t="shared" si="241"/>
        <v>0</v>
      </c>
      <c r="CF270" s="14">
        <f>DISTRIBUSI!M268</f>
        <v>0</v>
      </c>
      <c r="CG270" s="14">
        <f>'PEMAKAIAN UNIT'!M267</f>
        <v>0</v>
      </c>
      <c r="CH270" s="14">
        <f t="shared" si="242"/>
        <v>0</v>
      </c>
      <c r="CI270" s="15">
        <f t="shared" si="243"/>
        <v>0</v>
      </c>
      <c r="CJ270" s="14">
        <f t="shared" si="244"/>
        <v>0</v>
      </c>
      <c r="CK270" s="14" t="e">
        <f>DISTRIBUSI!#REF!</f>
        <v>#REF!</v>
      </c>
      <c r="CL270" s="14">
        <f>'PEMAKAIAN UNIT'!N267</f>
        <v>0</v>
      </c>
      <c r="CM270" s="14" t="e">
        <f t="shared" si="245"/>
        <v>#REF!</v>
      </c>
      <c r="CN270" s="15" t="e">
        <f t="shared" si="246"/>
        <v>#REF!</v>
      </c>
      <c r="CO270" s="14" t="e">
        <f>DL270+DISTRIBUSI!#REF!-'PEMAKAIAN UNIT'!O267</f>
        <v>#REF!</v>
      </c>
      <c r="CP270" s="15" t="e">
        <f t="shared" si="247"/>
        <v>#REF!</v>
      </c>
      <c r="CQ270" s="226">
        <f t="shared" si="248"/>
        <v>0</v>
      </c>
      <c r="CR270" s="226">
        <f>DISTRIBUSI!R268</f>
        <v>0</v>
      </c>
      <c r="CS270" s="226">
        <f>'PEMAKAIAN UNIT'!P267</f>
        <v>0</v>
      </c>
      <c r="CT270" s="14">
        <f t="shared" si="249"/>
        <v>0</v>
      </c>
      <c r="CU270" s="15">
        <f t="shared" si="250"/>
        <v>0</v>
      </c>
      <c r="CV270" s="14" t="e">
        <f>DN270+DISTRIBUSI!#REF!-'PEMAKAIAN UNIT'!Q267</f>
        <v>#REF!</v>
      </c>
      <c r="CW270" s="15" t="e">
        <f t="shared" si="251"/>
        <v>#REF!</v>
      </c>
      <c r="CX270" s="14">
        <f>DO270+'LPLPO PROGRAM'!E99-'LPLPO PROGRAM'!G99</f>
        <v>0</v>
      </c>
      <c r="CY270" s="15">
        <f t="shared" si="252"/>
        <v>0</v>
      </c>
      <c r="CZ270" s="28"/>
      <c r="DA270" s="110">
        <v>0</v>
      </c>
      <c r="DB270" s="109">
        <v>0</v>
      </c>
      <c r="DC270" s="109">
        <v>0</v>
      </c>
      <c r="DD270" s="109">
        <v>0</v>
      </c>
      <c r="DE270" s="109">
        <v>0</v>
      </c>
      <c r="DF270" s="109">
        <v>0</v>
      </c>
      <c r="DG270" s="109">
        <v>0</v>
      </c>
      <c r="DH270" s="109">
        <v>0</v>
      </c>
      <c r="DI270" s="109">
        <v>0</v>
      </c>
      <c r="DJ270" s="109">
        <v>0</v>
      </c>
      <c r="DK270" s="109">
        <v>0</v>
      </c>
      <c r="DL270" s="109">
        <v>0</v>
      </c>
      <c r="DM270" s="109">
        <v>0</v>
      </c>
      <c r="DN270" s="109">
        <v>0</v>
      </c>
      <c r="DO270" s="109">
        <v>0</v>
      </c>
      <c r="DP270" s="109">
        <v>0</v>
      </c>
      <c r="DU270" s="20" t="e">
        <f t="shared" si="259"/>
        <v>#REF!</v>
      </c>
    </row>
    <row r="271" spans="1:125" customFormat="1" ht="20.149999999999999" customHeight="1" x14ac:dyDescent="0.35">
      <c r="A271" s="205">
        <v>87</v>
      </c>
      <c r="B271" s="184" t="s">
        <v>272</v>
      </c>
      <c r="C271" s="144" t="s">
        <v>198</v>
      </c>
      <c r="D271" s="14">
        <v>0</v>
      </c>
      <c r="E271" s="254">
        <f>'LPLPO PROGRAM'!E100</f>
        <v>0</v>
      </c>
      <c r="F271" s="254">
        <f t="shared" si="253"/>
        <v>0</v>
      </c>
      <c r="G271" s="254">
        <f>'PEMAKAIAN UNIT'!R268</f>
        <v>0</v>
      </c>
      <c r="H271" s="14">
        <v>80</v>
      </c>
      <c r="I271" s="14">
        <v>85</v>
      </c>
      <c r="J271" s="14">
        <v>0</v>
      </c>
      <c r="K271" s="14"/>
      <c r="L271" s="14"/>
      <c r="M271" s="14"/>
      <c r="N271" s="14"/>
      <c r="O271" s="14"/>
      <c r="P271" s="14"/>
      <c r="Q271" s="14"/>
      <c r="R271" s="14"/>
      <c r="S271" s="14">
        <v>190</v>
      </c>
      <c r="T271" s="14">
        <v>0</v>
      </c>
      <c r="U271" s="14">
        <v>115</v>
      </c>
      <c r="V271" s="14">
        <v>0</v>
      </c>
      <c r="W271" s="14">
        <v>0</v>
      </c>
      <c r="X271" s="14">
        <v>0</v>
      </c>
      <c r="Y271" s="109">
        <f t="shared" si="254"/>
        <v>0</v>
      </c>
      <c r="Z271" s="109" t="e">
        <f t="shared" si="255"/>
        <v>#REF!</v>
      </c>
      <c r="AA271" s="109" t="e">
        <f t="shared" si="256"/>
        <v>#REF!</v>
      </c>
      <c r="AB271" s="14">
        <v>0</v>
      </c>
      <c r="AC271" s="109" t="e">
        <f t="shared" si="257"/>
        <v>#REF!</v>
      </c>
      <c r="AD271" s="109">
        <f>'LPLPO PROGRAM'!H100</f>
        <v>600</v>
      </c>
      <c r="AE271" s="111" t="e">
        <f t="shared" si="258"/>
        <v>#REF!</v>
      </c>
      <c r="AF271" s="212"/>
      <c r="AG271" s="212"/>
      <c r="AH271" s="20"/>
      <c r="AI271" s="14">
        <f t="shared" si="212"/>
        <v>0</v>
      </c>
      <c r="AJ271" s="209" t="e">
        <f t="shared" si="213"/>
        <v>#REF!</v>
      </c>
      <c r="AL271" s="14">
        <f t="shared" si="214"/>
        <v>130</v>
      </c>
      <c r="AM271" s="14">
        <f>DISTRIBUSI!D269</f>
        <v>0</v>
      </c>
      <c r="AN271" s="14">
        <f>'PEMAKAIAN UNIT'!D268</f>
        <v>0</v>
      </c>
      <c r="AO271" s="14">
        <f t="shared" si="215"/>
        <v>130</v>
      </c>
      <c r="AP271" s="15">
        <f t="shared" si="216"/>
        <v>50</v>
      </c>
      <c r="AQ271" s="14">
        <f t="shared" si="217"/>
        <v>100</v>
      </c>
      <c r="AR271" s="14">
        <f>DISTRIBUSI!E269</f>
        <v>0</v>
      </c>
      <c r="AS271" s="14">
        <f>'PEMAKAIAN UNIT'!E268</f>
        <v>0</v>
      </c>
      <c r="AT271" s="14">
        <f t="shared" si="218"/>
        <v>100</v>
      </c>
      <c r="AU271" s="15">
        <f t="shared" si="219"/>
        <v>15</v>
      </c>
      <c r="AV271" s="14">
        <f t="shared" si="220"/>
        <v>20</v>
      </c>
      <c r="AW271" s="14">
        <f>DISTRIBUSI!F269</f>
        <v>0</v>
      </c>
      <c r="AX271" s="14">
        <f>'PEMAKAIAN UNIT'!F268</f>
        <v>0</v>
      </c>
      <c r="AY271" s="14">
        <f t="shared" si="221"/>
        <v>20</v>
      </c>
      <c r="AZ271" s="15">
        <f t="shared" si="222"/>
        <v>20</v>
      </c>
      <c r="BA271" s="14">
        <f t="shared" si="223"/>
        <v>90</v>
      </c>
      <c r="BB271" s="14">
        <f>DISTRIBUSI!G269</f>
        <v>0</v>
      </c>
      <c r="BC271" s="14">
        <f>'PEMAKAIAN UNIT'!G268</f>
        <v>0</v>
      </c>
      <c r="BD271" s="14">
        <f t="shared" si="224"/>
        <v>90</v>
      </c>
      <c r="BE271" s="15">
        <f t="shared" si="225"/>
        <v>-100</v>
      </c>
      <c r="BF271" s="14">
        <f t="shared" si="226"/>
        <v>0</v>
      </c>
      <c r="BG271" s="14">
        <f>DISTRIBUSI!H269</f>
        <v>0</v>
      </c>
      <c r="BH271" s="14">
        <f>'PEMAKAIAN UNIT'!H268</f>
        <v>0</v>
      </c>
      <c r="BI271" s="14">
        <f t="shared" si="227"/>
        <v>0</v>
      </c>
      <c r="BJ271" s="15">
        <f t="shared" si="228"/>
        <v>0</v>
      </c>
      <c r="BK271" s="14">
        <f t="shared" si="229"/>
        <v>115</v>
      </c>
      <c r="BL271" s="14">
        <f>DISTRIBUSI!I269</f>
        <v>0</v>
      </c>
      <c r="BM271" s="14">
        <f>'PEMAKAIAN UNIT'!I268</f>
        <v>0</v>
      </c>
      <c r="BN271" s="14">
        <f t="shared" si="230"/>
        <v>115</v>
      </c>
      <c r="BO271" s="15">
        <f t="shared" si="231"/>
        <v>0</v>
      </c>
      <c r="BP271" s="14">
        <f t="shared" si="232"/>
        <v>0</v>
      </c>
      <c r="BQ271" s="14">
        <f>DISTRIBUSI!J269</f>
        <v>0</v>
      </c>
      <c r="BR271" s="14">
        <f>'PEMAKAIAN UNIT'!J268</f>
        <v>0</v>
      </c>
      <c r="BS271" s="14">
        <f t="shared" si="233"/>
        <v>0</v>
      </c>
      <c r="BT271" s="15">
        <f t="shared" si="234"/>
        <v>0</v>
      </c>
      <c r="BU271" s="14">
        <f t="shared" si="235"/>
        <v>0</v>
      </c>
      <c r="BV271" s="14">
        <f>DISTRIBUSI!K269</f>
        <v>0</v>
      </c>
      <c r="BW271" s="14">
        <f>'PEMAKAIAN UNIT'!K268</f>
        <v>0</v>
      </c>
      <c r="BX271" s="14">
        <f t="shared" si="236"/>
        <v>0</v>
      </c>
      <c r="BY271" s="15">
        <f t="shared" si="237"/>
        <v>0</v>
      </c>
      <c r="BZ271" s="14">
        <f t="shared" si="238"/>
        <v>0</v>
      </c>
      <c r="CA271" s="14">
        <f>DISTRIBUSI!L269</f>
        <v>0</v>
      </c>
      <c r="CB271" s="14">
        <f>'PEMAKAIAN UNIT'!L268</f>
        <v>0</v>
      </c>
      <c r="CC271" s="14">
        <f t="shared" si="239"/>
        <v>0</v>
      </c>
      <c r="CD271" s="15">
        <f t="shared" si="240"/>
        <v>0</v>
      </c>
      <c r="CE271" s="14">
        <f t="shared" si="241"/>
        <v>0</v>
      </c>
      <c r="CF271" s="14">
        <f>DISTRIBUSI!M269</f>
        <v>0</v>
      </c>
      <c r="CG271" s="14">
        <f>'PEMAKAIAN UNIT'!M268</f>
        <v>0</v>
      </c>
      <c r="CH271" s="14">
        <f t="shared" si="242"/>
        <v>0</v>
      </c>
      <c r="CI271" s="15">
        <f t="shared" si="243"/>
        <v>0</v>
      </c>
      <c r="CJ271" s="14">
        <f t="shared" si="244"/>
        <v>0</v>
      </c>
      <c r="CK271" s="14" t="e">
        <f>DISTRIBUSI!#REF!</f>
        <v>#REF!</v>
      </c>
      <c r="CL271" s="14">
        <f>'PEMAKAIAN UNIT'!N268</f>
        <v>0</v>
      </c>
      <c r="CM271" s="14" t="e">
        <f t="shared" si="245"/>
        <v>#REF!</v>
      </c>
      <c r="CN271" s="15" t="e">
        <f t="shared" si="246"/>
        <v>#REF!</v>
      </c>
      <c r="CO271" s="14" t="e">
        <f>DL271+DISTRIBUSI!#REF!-'PEMAKAIAN UNIT'!O268</f>
        <v>#REF!</v>
      </c>
      <c r="CP271" s="15" t="e">
        <f t="shared" si="247"/>
        <v>#REF!</v>
      </c>
      <c r="CQ271" s="226">
        <f t="shared" si="248"/>
        <v>0</v>
      </c>
      <c r="CR271" s="226">
        <f>DISTRIBUSI!R269</f>
        <v>0</v>
      </c>
      <c r="CS271" s="226">
        <f>'PEMAKAIAN UNIT'!P268</f>
        <v>0</v>
      </c>
      <c r="CT271" s="14">
        <f t="shared" si="249"/>
        <v>0</v>
      </c>
      <c r="CU271" s="15">
        <f t="shared" si="250"/>
        <v>0</v>
      </c>
      <c r="CV271" s="14" t="e">
        <f>DN271+DISTRIBUSI!#REF!-'PEMAKAIAN UNIT'!Q268</f>
        <v>#REF!</v>
      </c>
      <c r="CW271" s="15" t="e">
        <f t="shared" si="251"/>
        <v>#REF!</v>
      </c>
      <c r="CX271" s="14">
        <f>DO271+'LPLPO PROGRAM'!E100-'LPLPO PROGRAM'!G100</f>
        <v>500</v>
      </c>
      <c r="CY271" s="15">
        <f t="shared" si="252"/>
        <v>-100</v>
      </c>
      <c r="CZ271" s="28"/>
      <c r="DA271" s="110">
        <v>130</v>
      </c>
      <c r="DB271" s="109">
        <v>100</v>
      </c>
      <c r="DC271" s="109">
        <v>20</v>
      </c>
      <c r="DD271" s="109">
        <v>90</v>
      </c>
      <c r="DE271" s="109">
        <v>0</v>
      </c>
      <c r="DF271" s="109">
        <v>115</v>
      </c>
      <c r="DG271" s="109">
        <v>0</v>
      </c>
      <c r="DH271" s="109">
        <v>0</v>
      </c>
      <c r="DI271" s="109">
        <v>0</v>
      </c>
      <c r="DJ271" s="109">
        <v>0</v>
      </c>
      <c r="DK271" s="109">
        <v>0</v>
      </c>
      <c r="DL271" s="109">
        <v>0</v>
      </c>
      <c r="DM271" s="109">
        <v>0</v>
      </c>
      <c r="DN271" s="109">
        <v>0</v>
      </c>
      <c r="DO271" s="109">
        <v>500</v>
      </c>
      <c r="DP271" s="109">
        <v>500</v>
      </c>
      <c r="DU271" s="20" t="e">
        <f t="shared" si="259"/>
        <v>#REF!</v>
      </c>
    </row>
    <row r="272" spans="1:125" customFormat="1" ht="20.149999999999999" customHeight="1" x14ac:dyDescent="0.35">
      <c r="A272" s="205">
        <v>88</v>
      </c>
      <c r="B272" s="180"/>
      <c r="C272" s="144"/>
      <c r="D272" s="14">
        <v>0</v>
      </c>
      <c r="E272" s="254">
        <f>'LPLPO PROGRAM'!E101</f>
        <v>0</v>
      </c>
      <c r="F272" s="254">
        <f t="shared" si="253"/>
        <v>0</v>
      </c>
      <c r="G272" s="254">
        <f>'PEMAKAIAN UNIT'!R269</f>
        <v>0</v>
      </c>
      <c r="H272" s="14">
        <v>0</v>
      </c>
      <c r="I272" s="14">
        <v>0</v>
      </c>
      <c r="J272" s="14">
        <v>0</v>
      </c>
      <c r="K272" s="14"/>
      <c r="L272" s="14"/>
      <c r="M272" s="14"/>
      <c r="N272" s="14"/>
      <c r="O272" s="14"/>
      <c r="P272" s="14"/>
      <c r="Q272" s="14"/>
      <c r="R272" s="14"/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09">
        <f t="shared" si="254"/>
        <v>0</v>
      </c>
      <c r="Z272" s="109" t="e">
        <f t="shared" si="255"/>
        <v>#REF!</v>
      </c>
      <c r="AA272" s="109" t="e">
        <f t="shared" si="256"/>
        <v>#REF!</v>
      </c>
      <c r="AB272" s="14">
        <v>0</v>
      </c>
      <c r="AC272" s="109" t="e">
        <f t="shared" si="257"/>
        <v>#REF!</v>
      </c>
      <c r="AD272" s="109">
        <f>'LPLPO PROGRAM'!H101</f>
        <v>0</v>
      </c>
      <c r="AE272" s="111" t="e">
        <f t="shared" si="258"/>
        <v>#REF!</v>
      </c>
      <c r="AF272" s="212"/>
      <c r="AG272" s="212"/>
      <c r="AH272" s="20"/>
      <c r="AI272" s="14">
        <f t="shared" si="212"/>
        <v>0</v>
      </c>
      <c r="AJ272" s="209" t="e">
        <f t="shared" si="213"/>
        <v>#REF!</v>
      </c>
      <c r="AL272" s="14">
        <f t="shared" si="214"/>
        <v>0</v>
      </c>
      <c r="AM272" s="14">
        <f>DISTRIBUSI!D270</f>
        <v>0</v>
      </c>
      <c r="AN272" s="14">
        <f>'PEMAKAIAN UNIT'!D269</f>
        <v>0</v>
      </c>
      <c r="AO272" s="14">
        <f t="shared" si="215"/>
        <v>0</v>
      </c>
      <c r="AP272" s="15">
        <f t="shared" si="216"/>
        <v>0</v>
      </c>
      <c r="AQ272" s="14">
        <f t="shared" si="217"/>
        <v>0</v>
      </c>
      <c r="AR272" s="14">
        <f>DISTRIBUSI!E270</f>
        <v>0</v>
      </c>
      <c r="AS272" s="14">
        <f>'PEMAKAIAN UNIT'!E269</f>
        <v>0</v>
      </c>
      <c r="AT272" s="14">
        <f t="shared" si="218"/>
        <v>0</v>
      </c>
      <c r="AU272" s="15">
        <f t="shared" si="219"/>
        <v>0</v>
      </c>
      <c r="AV272" s="14">
        <f t="shared" si="220"/>
        <v>0</v>
      </c>
      <c r="AW272" s="14">
        <f>DISTRIBUSI!F270</f>
        <v>0</v>
      </c>
      <c r="AX272" s="14">
        <f>'PEMAKAIAN UNIT'!F269</f>
        <v>0</v>
      </c>
      <c r="AY272" s="14">
        <f t="shared" si="221"/>
        <v>0</v>
      </c>
      <c r="AZ272" s="15">
        <f t="shared" si="222"/>
        <v>0</v>
      </c>
      <c r="BA272" s="14">
        <f t="shared" si="223"/>
        <v>0</v>
      </c>
      <c r="BB272" s="14">
        <f>DISTRIBUSI!G270</f>
        <v>0</v>
      </c>
      <c r="BC272" s="14">
        <f>'PEMAKAIAN UNIT'!G269</f>
        <v>0</v>
      </c>
      <c r="BD272" s="14">
        <f t="shared" si="224"/>
        <v>0</v>
      </c>
      <c r="BE272" s="15">
        <f t="shared" si="225"/>
        <v>0</v>
      </c>
      <c r="BF272" s="14">
        <f t="shared" si="226"/>
        <v>0</v>
      </c>
      <c r="BG272" s="14">
        <f>DISTRIBUSI!H270</f>
        <v>0</v>
      </c>
      <c r="BH272" s="14">
        <f>'PEMAKAIAN UNIT'!H269</f>
        <v>0</v>
      </c>
      <c r="BI272" s="14">
        <f t="shared" si="227"/>
        <v>0</v>
      </c>
      <c r="BJ272" s="15">
        <f t="shared" si="228"/>
        <v>0</v>
      </c>
      <c r="BK272" s="14">
        <f t="shared" si="229"/>
        <v>0</v>
      </c>
      <c r="BL272" s="14">
        <f>DISTRIBUSI!I270</f>
        <v>0</v>
      </c>
      <c r="BM272" s="14">
        <f>'PEMAKAIAN UNIT'!I269</f>
        <v>0</v>
      </c>
      <c r="BN272" s="14">
        <f t="shared" si="230"/>
        <v>0</v>
      </c>
      <c r="BO272" s="15">
        <f t="shared" si="231"/>
        <v>0</v>
      </c>
      <c r="BP272" s="14">
        <f t="shared" si="232"/>
        <v>0</v>
      </c>
      <c r="BQ272" s="14">
        <f>DISTRIBUSI!J270</f>
        <v>0</v>
      </c>
      <c r="BR272" s="14">
        <f>'PEMAKAIAN UNIT'!J269</f>
        <v>0</v>
      </c>
      <c r="BS272" s="14">
        <f t="shared" si="233"/>
        <v>0</v>
      </c>
      <c r="BT272" s="15">
        <f t="shared" si="234"/>
        <v>0</v>
      </c>
      <c r="BU272" s="14">
        <f t="shared" si="235"/>
        <v>0</v>
      </c>
      <c r="BV272" s="14">
        <f>DISTRIBUSI!K270</f>
        <v>0</v>
      </c>
      <c r="BW272" s="14">
        <f>'PEMAKAIAN UNIT'!K269</f>
        <v>0</v>
      </c>
      <c r="BX272" s="14">
        <f t="shared" si="236"/>
        <v>0</v>
      </c>
      <c r="BY272" s="15">
        <f t="shared" si="237"/>
        <v>0</v>
      </c>
      <c r="BZ272" s="14">
        <f t="shared" si="238"/>
        <v>0</v>
      </c>
      <c r="CA272" s="14">
        <f>DISTRIBUSI!L270</f>
        <v>0</v>
      </c>
      <c r="CB272" s="14">
        <f>'PEMAKAIAN UNIT'!L269</f>
        <v>0</v>
      </c>
      <c r="CC272" s="14">
        <f t="shared" si="239"/>
        <v>0</v>
      </c>
      <c r="CD272" s="15">
        <f t="shared" si="240"/>
        <v>0</v>
      </c>
      <c r="CE272" s="14">
        <f t="shared" si="241"/>
        <v>0</v>
      </c>
      <c r="CF272" s="14">
        <f>DISTRIBUSI!M270</f>
        <v>0</v>
      </c>
      <c r="CG272" s="14">
        <f>'PEMAKAIAN UNIT'!M269</f>
        <v>0</v>
      </c>
      <c r="CH272" s="14">
        <f t="shared" si="242"/>
        <v>0</v>
      </c>
      <c r="CI272" s="15">
        <f t="shared" si="243"/>
        <v>0</v>
      </c>
      <c r="CJ272" s="14">
        <f t="shared" si="244"/>
        <v>0</v>
      </c>
      <c r="CK272" s="14" t="e">
        <f>DISTRIBUSI!#REF!</f>
        <v>#REF!</v>
      </c>
      <c r="CL272" s="14">
        <f>'PEMAKAIAN UNIT'!N269</f>
        <v>0</v>
      </c>
      <c r="CM272" s="14" t="e">
        <f t="shared" si="245"/>
        <v>#REF!</v>
      </c>
      <c r="CN272" s="15" t="e">
        <f t="shared" si="246"/>
        <v>#REF!</v>
      </c>
      <c r="CO272" s="14" t="e">
        <f>DL272+DISTRIBUSI!#REF!-'PEMAKAIAN UNIT'!O269</f>
        <v>#REF!</v>
      </c>
      <c r="CP272" s="15" t="e">
        <f t="shared" si="247"/>
        <v>#REF!</v>
      </c>
      <c r="CQ272" s="226">
        <f t="shared" si="248"/>
        <v>0</v>
      </c>
      <c r="CR272" s="226">
        <f>DISTRIBUSI!R270</f>
        <v>0</v>
      </c>
      <c r="CS272" s="226">
        <f>'PEMAKAIAN UNIT'!P269</f>
        <v>0</v>
      </c>
      <c r="CT272" s="14">
        <f t="shared" si="249"/>
        <v>0</v>
      </c>
      <c r="CU272" s="15">
        <f t="shared" si="250"/>
        <v>0</v>
      </c>
      <c r="CV272" s="14" t="e">
        <f>DN272+DISTRIBUSI!#REF!-'PEMAKAIAN UNIT'!Q269</f>
        <v>#REF!</v>
      </c>
      <c r="CW272" s="15" t="e">
        <f t="shared" si="251"/>
        <v>#REF!</v>
      </c>
      <c r="CX272" s="14">
        <f>DO272+'LPLPO PROGRAM'!E101-'LPLPO PROGRAM'!G101</f>
        <v>0</v>
      </c>
      <c r="CY272" s="15">
        <f t="shared" si="252"/>
        <v>0</v>
      </c>
      <c r="CZ272" s="28"/>
      <c r="DA272" s="14">
        <v>0</v>
      </c>
      <c r="DB272" s="14">
        <v>0</v>
      </c>
      <c r="DC272" s="14">
        <v>0</v>
      </c>
      <c r="DD272" s="14">
        <v>0</v>
      </c>
      <c r="DE272" s="14">
        <v>0</v>
      </c>
      <c r="DF272" s="14">
        <v>0</v>
      </c>
      <c r="DG272" s="14">
        <v>0</v>
      </c>
      <c r="DH272" s="14">
        <v>0</v>
      </c>
      <c r="DI272" s="14">
        <v>0</v>
      </c>
      <c r="DJ272" s="14">
        <v>0</v>
      </c>
      <c r="DK272" s="14">
        <v>0</v>
      </c>
      <c r="DL272" s="14">
        <v>0</v>
      </c>
      <c r="DM272" s="14">
        <v>0</v>
      </c>
      <c r="DN272" s="14">
        <v>0</v>
      </c>
      <c r="DO272" s="14">
        <v>0</v>
      </c>
      <c r="DP272" s="13">
        <f t="shared" si="211"/>
        <v>0</v>
      </c>
      <c r="DU272" s="20" t="e">
        <f t="shared" si="259"/>
        <v>#REF!</v>
      </c>
    </row>
    <row r="273" spans="1:125" customFormat="1" ht="20.149999999999999" customHeight="1" x14ac:dyDescent="0.35">
      <c r="A273" s="205">
        <v>89</v>
      </c>
      <c r="B273" s="185"/>
      <c r="C273" s="144"/>
      <c r="D273" s="14">
        <v>0</v>
      </c>
      <c r="E273" s="254">
        <f>'LPLPO PROGRAM'!E102</f>
        <v>0</v>
      </c>
      <c r="F273" s="254">
        <f t="shared" si="253"/>
        <v>0</v>
      </c>
      <c r="G273" s="254">
        <f>'PEMAKAIAN UNIT'!R270</f>
        <v>0</v>
      </c>
      <c r="H273" s="14">
        <v>0</v>
      </c>
      <c r="I273" s="14">
        <v>0</v>
      </c>
      <c r="J273" s="14">
        <v>0</v>
      </c>
      <c r="K273" s="14"/>
      <c r="L273" s="14"/>
      <c r="M273" s="14"/>
      <c r="N273" s="14"/>
      <c r="O273" s="14"/>
      <c r="P273" s="14"/>
      <c r="Q273" s="14"/>
      <c r="R273" s="14"/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09">
        <f t="shared" si="254"/>
        <v>0</v>
      </c>
      <c r="Z273" s="109" t="e">
        <f t="shared" si="255"/>
        <v>#REF!</v>
      </c>
      <c r="AA273" s="109" t="e">
        <f t="shared" si="256"/>
        <v>#REF!</v>
      </c>
      <c r="AB273" s="14">
        <v>0</v>
      </c>
      <c r="AC273" s="109" t="e">
        <f t="shared" si="257"/>
        <v>#REF!</v>
      </c>
      <c r="AD273" s="109">
        <f>'LPLPO PROGRAM'!H102</f>
        <v>0</v>
      </c>
      <c r="AE273" s="111" t="e">
        <f t="shared" si="258"/>
        <v>#REF!</v>
      </c>
      <c r="AF273" s="212"/>
      <c r="AG273" s="212"/>
      <c r="AH273" s="20"/>
      <c r="AI273" s="14">
        <f t="shared" si="212"/>
        <v>0</v>
      </c>
      <c r="AJ273" s="209" t="e">
        <f t="shared" si="213"/>
        <v>#REF!</v>
      </c>
      <c r="AL273" s="14">
        <f t="shared" si="214"/>
        <v>0</v>
      </c>
      <c r="AM273" s="14">
        <f>DISTRIBUSI!D271</f>
        <v>0</v>
      </c>
      <c r="AN273" s="14">
        <f>'PEMAKAIAN UNIT'!D270</f>
        <v>0</v>
      </c>
      <c r="AO273" s="14">
        <f t="shared" si="215"/>
        <v>0</v>
      </c>
      <c r="AP273" s="15">
        <f t="shared" si="216"/>
        <v>0</v>
      </c>
      <c r="AQ273" s="14">
        <f t="shared" si="217"/>
        <v>0</v>
      </c>
      <c r="AR273" s="14">
        <f>DISTRIBUSI!E271</f>
        <v>0</v>
      </c>
      <c r="AS273" s="14">
        <f>'PEMAKAIAN UNIT'!E270</f>
        <v>0</v>
      </c>
      <c r="AT273" s="14">
        <f t="shared" si="218"/>
        <v>0</v>
      </c>
      <c r="AU273" s="15">
        <f t="shared" si="219"/>
        <v>0</v>
      </c>
      <c r="AV273" s="14">
        <f t="shared" si="220"/>
        <v>0</v>
      </c>
      <c r="AW273" s="14">
        <f>DISTRIBUSI!F271</f>
        <v>0</v>
      </c>
      <c r="AX273" s="14">
        <f>'PEMAKAIAN UNIT'!F270</f>
        <v>0</v>
      </c>
      <c r="AY273" s="14">
        <f t="shared" si="221"/>
        <v>0</v>
      </c>
      <c r="AZ273" s="15">
        <f t="shared" si="222"/>
        <v>0</v>
      </c>
      <c r="BA273" s="14">
        <f t="shared" si="223"/>
        <v>0</v>
      </c>
      <c r="BB273" s="14">
        <f>DISTRIBUSI!G271</f>
        <v>0</v>
      </c>
      <c r="BC273" s="14">
        <f>'PEMAKAIAN UNIT'!G270</f>
        <v>0</v>
      </c>
      <c r="BD273" s="14">
        <f t="shared" si="224"/>
        <v>0</v>
      </c>
      <c r="BE273" s="15">
        <f t="shared" si="225"/>
        <v>0</v>
      </c>
      <c r="BF273" s="14">
        <f t="shared" si="226"/>
        <v>0</v>
      </c>
      <c r="BG273" s="14">
        <f>DISTRIBUSI!H271</f>
        <v>0</v>
      </c>
      <c r="BH273" s="14">
        <f>'PEMAKAIAN UNIT'!H270</f>
        <v>0</v>
      </c>
      <c r="BI273" s="14">
        <f t="shared" si="227"/>
        <v>0</v>
      </c>
      <c r="BJ273" s="15">
        <f t="shared" si="228"/>
        <v>0</v>
      </c>
      <c r="BK273" s="14">
        <f t="shared" si="229"/>
        <v>0</v>
      </c>
      <c r="BL273" s="14">
        <f>DISTRIBUSI!I271</f>
        <v>0</v>
      </c>
      <c r="BM273" s="14">
        <f>'PEMAKAIAN UNIT'!I270</f>
        <v>0</v>
      </c>
      <c r="BN273" s="14">
        <f t="shared" si="230"/>
        <v>0</v>
      </c>
      <c r="BO273" s="15">
        <f t="shared" si="231"/>
        <v>0</v>
      </c>
      <c r="BP273" s="14">
        <f t="shared" si="232"/>
        <v>0</v>
      </c>
      <c r="BQ273" s="14">
        <f>DISTRIBUSI!J271</f>
        <v>0</v>
      </c>
      <c r="BR273" s="14">
        <f>'PEMAKAIAN UNIT'!J270</f>
        <v>0</v>
      </c>
      <c r="BS273" s="14">
        <f t="shared" si="233"/>
        <v>0</v>
      </c>
      <c r="BT273" s="15">
        <f t="shared" si="234"/>
        <v>0</v>
      </c>
      <c r="BU273" s="14">
        <f t="shared" si="235"/>
        <v>0</v>
      </c>
      <c r="BV273" s="14">
        <f>DISTRIBUSI!K271</f>
        <v>0</v>
      </c>
      <c r="BW273" s="14">
        <f>'PEMAKAIAN UNIT'!K270</f>
        <v>0</v>
      </c>
      <c r="BX273" s="14">
        <f t="shared" si="236"/>
        <v>0</v>
      </c>
      <c r="BY273" s="15">
        <f t="shared" si="237"/>
        <v>0</v>
      </c>
      <c r="BZ273" s="14">
        <f t="shared" si="238"/>
        <v>0</v>
      </c>
      <c r="CA273" s="14">
        <f>DISTRIBUSI!L271</f>
        <v>0</v>
      </c>
      <c r="CB273" s="14">
        <f>'PEMAKAIAN UNIT'!L270</f>
        <v>0</v>
      </c>
      <c r="CC273" s="14">
        <f t="shared" si="239"/>
        <v>0</v>
      </c>
      <c r="CD273" s="15">
        <f t="shared" si="240"/>
        <v>0</v>
      </c>
      <c r="CE273" s="14">
        <f t="shared" si="241"/>
        <v>0</v>
      </c>
      <c r="CF273" s="14">
        <f>DISTRIBUSI!M271</f>
        <v>0</v>
      </c>
      <c r="CG273" s="14">
        <f>'PEMAKAIAN UNIT'!M270</f>
        <v>0</v>
      </c>
      <c r="CH273" s="14">
        <f t="shared" si="242"/>
        <v>0</v>
      </c>
      <c r="CI273" s="15">
        <f t="shared" si="243"/>
        <v>0</v>
      </c>
      <c r="CJ273" s="14">
        <f t="shared" si="244"/>
        <v>0</v>
      </c>
      <c r="CK273" s="14" t="e">
        <f>DISTRIBUSI!#REF!</f>
        <v>#REF!</v>
      </c>
      <c r="CL273" s="14">
        <f>'PEMAKAIAN UNIT'!N270</f>
        <v>0</v>
      </c>
      <c r="CM273" s="14" t="e">
        <f t="shared" si="245"/>
        <v>#REF!</v>
      </c>
      <c r="CN273" s="15" t="e">
        <f t="shared" si="246"/>
        <v>#REF!</v>
      </c>
      <c r="CO273" s="14" t="e">
        <f>DL273+DISTRIBUSI!#REF!-'PEMAKAIAN UNIT'!O270</f>
        <v>#REF!</v>
      </c>
      <c r="CP273" s="15" t="e">
        <f t="shared" si="247"/>
        <v>#REF!</v>
      </c>
      <c r="CQ273" s="226">
        <f t="shared" si="248"/>
        <v>0</v>
      </c>
      <c r="CR273" s="226">
        <f>DISTRIBUSI!R271</f>
        <v>0</v>
      </c>
      <c r="CS273" s="226">
        <f>'PEMAKAIAN UNIT'!P270</f>
        <v>0</v>
      </c>
      <c r="CT273" s="14">
        <f t="shared" si="249"/>
        <v>0</v>
      </c>
      <c r="CU273" s="15">
        <f t="shared" si="250"/>
        <v>0</v>
      </c>
      <c r="CV273" s="14" t="e">
        <f>DN273+DISTRIBUSI!#REF!-'PEMAKAIAN UNIT'!Q270</f>
        <v>#REF!</v>
      </c>
      <c r="CW273" s="15" t="e">
        <f t="shared" si="251"/>
        <v>#REF!</v>
      </c>
      <c r="CX273" s="14">
        <f>DO273+'LPLPO PROGRAM'!E102-'LPLPO PROGRAM'!G102</f>
        <v>0</v>
      </c>
      <c r="CY273" s="15">
        <f t="shared" si="252"/>
        <v>0</v>
      </c>
      <c r="CZ273" s="28"/>
      <c r="DA273" s="14">
        <v>0</v>
      </c>
      <c r="DB273" s="14">
        <v>0</v>
      </c>
      <c r="DC273" s="14">
        <v>0</v>
      </c>
      <c r="DD273" s="14">
        <v>0</v>
      </c>
      <c r="DE273" s="14">
        <v>0</v>
      </c>
      <c r="DF273" s="14">
        <v>0</v>
      </c>
      <c r="DG273" s="14">
        <v>0</v>
      </c>
      <c r="DH273" s="14">
        <v>0</v>
      </c>
      <c r="DI273" s="14">
        <v>0</v>
      </c>
      <c r="DJ273" s="14">
        <v>0</v>
      </c>
      <c r="DK273" s="14">
        <v>0</v>
      </c>
      <c r="DL273" s="14">
        <v>0</v>
      </c>
      <c r="DM273" s="14">
        <v>0</v>
      </c>
      <c r="DN273" s="14">
        <v>0</v>
      </c>
      <c r="DO273" s="14">
        <v>0</v>
      </c>
      <c r="DP273" s="13">
        <f t="shared" si="211"/>
        <v>0</v>
      </c>
      <c r="DU273" s="20" t="e">
        <f t="shared" si="259"/>
        <v>#REF!</v>
      </c>
    </row>
    <row r="274" spans="1:125" customFormat="1" ht="20.149999999999999" customHeight="1" x14ac:dyDescent="0.35">
      <c r="A274" s="205">
        <v>90</v>
      </c>
      <c r="B274" s="185"/>
      <c r="C274" s="144"/>
      <c r="D274" s="14">
        <v>0</v>
      </c>
      <c r="E274" s="254">
        <f>'LPLPO PROGRAM'!E103</f>
        <v>0</v>
      </c>
      <c r="F274" s="254">
        <f t="shared" si="253"/>
        <v>0</v>
      </c>
      <c r="G274" s="254">
        <f>'PEMAKAIAN UNIT'!R271</f>
        <v>0</v>
      </c>
      <c r="H274" s="14">
        <v>0</v>
      </c>
      <c r="I274" s="14">
        <v>0</v>
      </c>
      <c r="J274" s="14">
        <v>0</v>
      </c>
      <c r="K274" s="14"/>
      <c r="L274" s="14"/>
      <c r="M274" s="14"/>
      <c r="N274" s="14"/>
      <c r="O274" s="14"/>
      <c r="P274" s="14"/>
      <c r="Q274" s="14"/>
      <c r="R274" s="14"/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09">
        <f t="shared" si="254"/>
        <v>0</v>
      </c>
      <c r="Z274" s="109" t="e">
        <f t="shared" si="255"/>
        <v>#REF!</v>
      </c>
      <c r="AA274" s="109" t="e">
        <f t="shared" si="256"/>
        <v>#REF!</v>
      </c>
      <c r="AB274" s="14">
        <v>0</v>
      </c>
      <c r="AC274" s="109" t="e">
        <f t="shared" si="257"/>
        <v>#REF!</v>
      </c>
      <c r="AD274" s="109">
        <f>'LPLPO PROGRAM'!H103</f>
        <v>0</v>
      </c>
      <c r="AE274" s="111" t="e">
        <f t="shared" si="258"/>
        <v>#REF!</v>
      </c>
      <c r="AF274" s="212"/>
      <c r="AG274" s="212"/>
      <c r="AH274" s="20"/>
      <c r="AI274" s="14">
        <f t="shared" si="212"/>
        <v>0</v>
      </c>
      <c r="AJ274" s="209" t="e">
        <f t="shared" si="213"/>
        <v>#REF!</v>
      </c>
      <c r="AL274" s="14">
        <f t="shared" si="214"/>
        <v>0</v>
      </c>
      <c r="AM274" s="14">
        <f>DISTRIBUSI!D272</f>
        <v>0</v>
      </c>
      <c r="AN274" s="14">
        <f>'PEMAKAIAN UNIT'!D271</f>
        <v>0</v>
      </c>
      <c r="AO274" s="14">
        <f t="shared" si="215"/>
        <v>0</v>
      </c>
      <c r="AP274" s="15">
        <f t="shared" si="216"/>
        <v>0</v>
      </c>
      <c r="AQ274" s="14">
        <f t="shared" si="217"/>
        <v>0</v>
      </c>
      <c r="AR274" s="14">
        <f>DISTRIBUSI!E272</f>
        <v>0</v>
      </c>
      <c r="AS274" s="14">
        <f>'PEMAKAIAN UNIT'!E271</f>
        <v>0</v>
      </c>
      <c r="AT274" s="14">
        <f t="shared" si="218"/>
        <v>0</v>
      </c>
      <c r="AU274" s="15">
        <f t="shared" si="219"/>
        <v>0</v>
      </c>
      <c r="AV274" s="14">
        <f t="shared" si="220"/>
        <v>0</v>
      </c>
      <c r="AW274" s="14">
        <f>DISTRIBUSI!F272</f>
        <v>0</v>
      </c>
      <c r="AX274" s="14">
        <f>'PEMAKAIAN UNIT'!F271</f>
        <v>0</v>
      </c>
      <c r="AY274" s="14">
        <f t="shared" si="221"/>
        <v>0</v>
      </c>
      <c r="AZ274" s="15">
        <f t="shared" si="222"/>
        <v>0</v>
      </c>
      <c r="BA274" s="14">
        <f t="shared" si="223"/>
        <v>0</v>
      </c>
      <c r="BB274" s="14">
        <f>DISTRIBUSI!G272</f>
        <v>0</v>
      </c>
      <c r="BC274" s="14">
        <f>'PEMAKAIAN UNIT'!G271</f>
        <v>0</v>
      </c>
      <c r="BD274" s="14">
        <f t="shared" si="224"/>
        <v>0</v>
      </c>
      <c r="BE274" s="15">
        <f t="shared" si="225"/>
        <v>0</v>
      </c>
      <c r="BF274" s="14">
        <f t="shared" si="226"/>
        <v>0</v>
      </c>
      <c r="BG274" s="14">
        <f>DISTRIBUSI!H272</f>
        <v>0</v>
      </c>
      <c r="BH274" s="14">
        <f>'PEMAKAIAN UNIT'!H271</f>
        <v>0</v>
      </c>
      <c r="BI274" s="14">
        <f t="shared" si="227"/>
        <v>0</v>
      </c>
      <c r="BJ274" s="15">
        <f t="shared" si="228"/>
        <v>0</v>
      </c>
      <c r="BK274" s="14">
        <f t="shared" si="229"/>
        <v>0</v>
      </c>
      <c r="BL274" s="14">
        <f>DISTRIBUSI!I272</f>
        <v>0</v>
      </c>
      <c r="BM274" s="14">
        <f>'PEMAKAIAN UNIT'!I271</f>
        <v>0</v>
      </c>
      <c r="BN274" s="14">
        <f t="shared" si="230"/>
        <v>0</v>
      </c>
      <c r="BO274" s="15">
        <f t="shared" si="231"/>
        <v>0</v>
      </c>
      <c r="BP274" s="14">
        <f t="shared" si="232"/>
        <v>0</v>
      </c>
      <c r="BQ274" s="14">
        <f>DISTRIBUSI!J272</f>
        <v>0</v>
      </c>
      <c r="BR274" s="14">
        <f>'PEMAKAIAN UNIT'!J271</f>
        <v>0</v>
      </c>
      <c r="BS274" s="14">
        <f t="shared" si="233"/>
        <v>0</v>
      </c>
      <c r="BT274" s="15">
        <f t="shared" si="234"/>
        <v>0</v>
      </c>
      <c r="BU274" s="14">
        <f t="shared" si="235"/>
        <v>0</v>
      </c>
      <c r="BV274" s="14">
        <f>DISTRIBUSI!K272</f>
        <v>0</v>
      </c>
      <c r="BW274" s="14">
        <f>'PEMAKAIAN UNIT'!K271</f>
        <v>0</v>
      </c>
      <c r="BX274" s="14">
        <f t="shared" si="236"/>
        <v>0</v>
      </c>
      <c r="BY274" s="15">
        <f t="shared" si="237"/>
        <v>0</v>
      </c>
      <c r="BZ274" s="14">
        <f t="shared" si="238"/>
        <v>0</v>
      </c>
      <c r="CA274" s="14">
        <f>DISTRIBUSI!L272</f>
        <v>0</v>
      </c>
      <c r="CB274" s="14">
        <f>'PEMAKAIAN UNIT'!L271</f>
        <v>0</v>
      </c>
      <c r="CC274" s="14">
        <f t="shared" si="239"/>
        <v>0</v>
      </c>
      <c r="CD274" s="15">
        <f t="shared" si="240"/>
        <v>0</v>
      </c>
      <c r="CE274" s="14">
        <f t="shared" si="241"/>
        <v>0</v>
      </c>
      <c r="CF274" s="14">
        <f>DISTRIBUSI!M272</f>
        <v>0</v>
      </c>
      <c r="CG274" s="14">
        <f>'PEMAKAIAN UNIT'!M271</f>
        <v>0</v>
      </c>
      <c r="CH274" s="14">
        <f t="shared" si="242"/>
        <v>0</v>
      </c>
      <c r="CI274" s="15">
        <f t="shared" si="243"/>
        <v>0</v>
      </c>
      <c r="CJ274" s="14">
        <f t="shared" si="244"/>
        <v>0</v>
      </c>
      <c r="CK274" s="14" t="e">
        <f>DISTRIBUSI!#REF!</f>
        <v>#REF!</v>
      </c>
      <c r="CL274" s="14">
        <f>'PEMAKAIAN UNIT'!N271</f>
        <v>0</v>
      </c>
      <c r="CM274" s="14" t="e">
        <f t="shared" si="245"/>
        <v>#REF!</v>
      </c>
      <c r="CN274" s="15" t="e">
        <f t="shared" si="246"/>
        <v>#REF!</v>
      </c>
      <c r="CO274" s="14" t="e">
        <f>DL274+DISTRIBUSI!#REF!-'PEMAKAIAN UNIT'!O271</f>
        <v>#REF!</v>
      </c>
      <c r="CP274" s="15" t="e">
        <f t="shared" si="247"/>
        <v>#REF!</v>
      </c>
      <c r="CQ274" s="226">
        <f t="shared" si="248"/>
        <v>0</v>
      </c>
      <c r="CR274" s="226">
        <f>DISTRIBUSI!R272</f>
        <v>0</v>
      </c>
      <c r="CS274" s="226">
        <f>'PEMAKAIAN UNIT'!P271</f>
        <v>0</v>
      </c>
      <c r="CT274" s="14">
        <f t="shared" si="249"/>
        <v>0</v>
      </c>
      <c r="CU274" s="15">
        <f t="shared" si="250"/>
        <v>0</v>
      </c>
      <c r="CV274" s="14" t="e">
        <f>DN274+DISTRIBUSI!#REF!-'PEMAKAIAN UNIT'!Q271</f>
        <v>#REF!</v>
      </c>
      <c r="CW274" s="15" t="e">
        <f t="shared" si="251"/>
        <v>#REF!</v>
      </c>
      <c r="CX274" s="14">
        <f>DO274+'LPLPO PROGRAM'!E103-'LPLPO PROGRAM'!G103</f>
        <v>0</v>
      </c>
      <c r="CY274" s="15">
        <f t="shared" si="252"/>
        <v>0</v>
      </c>
      <c r="CZ274" s="28"/>
      <c r="DA274" s="14">
        <v>0</v>
      </c>
      <c r="DB274" s="14">
        <v>0</v>
      </c>
      <c r="DC274" s="14">
        <v>0</v>
      </c>
      <c r="DD274" s="14">
        <v>0</v>
      </c>
      <c r="DE274" s="14">
        <v>0</v>
      </c>
      <c r="DF274" s="14">
        <v>0</v>
      </c>
      <c r="DG274" s="14">
        <v>0</v>
      </c>
      <c r="DH274" s="14">
        <v>0</v>
      </c>
      <c r="DI274" s="14">
        <v>0</v>
      </c>
      <c r="DJ274" s="14">
        <v>0</v>
      </c>
      <c r="DK274" s="14">
        <v>0</v>
      </c>
      <c r="DL274" s="14">
        <v>0</v>
      </c>
      <c r="DM274" s="14">
        <v>0</v>
      </c>
      <c r="DN274" s="14">
        <v>0</v>
      </c>
      <c r="DO274" s="14">
        <v>0</v>
      </c>
      <c r="DP274" s="13">
        <f t="shared" si="211"/>
        <v>0</v>
      </c>
      <c r="DU274" s="20" t="e">
        <f t="shared" si="259"/>
        <v>#REF!</v>
      </c>
    </row>
    <row r="275" spans="1:125" customFormat="1" ht="20.149999999999999" customHeight="1" x14ac:dyDescent="0.35">
      <c r="A275" s="204">
        <v>91</v>
      </c>
      <c r="B275" s="189" t="s">
        <v>207</v>
      </c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212"/>
      <c r="AG275" s="212"/>
      <c r="AH275" s="20"/>
      <c r="AI275" s="14">
        <f t="shared" si="212"/>
        <v>0</v>
      </c>
      <c r="AJ275" s="209">
        <f t="shared" si="213"/>
        <v>0</v>
      </c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  <c r="AW275" s="146"/>
      <c r="AX275" s="146"/>
      <c r="AY275" s="146"/>
      <c r="AZ275" s="146"/>
      <c r="BA275" s="146"/>
      <c r="BB275" s="146"/>
      <c r="BC275" s="146"/>
      <c r="BD275" s="146"/>
      <c r="BE275" s="146"/>
      <c r="BF275" s="146"/>
      <c r="BG275" s="146"/>
      <c r="BH275" s="146"/>
      <c r="BI275" s="146"/>
      <c r="BJ275" s="146"/>
      <c r="BK275" s="146"/>
      <c r="BL275" s="146"/>
      <c r="BM275" s="146"/>
      <c r="BN275" s="146"/>
      <c r="BO275" s="146"/>
      <c r="BP275" s="146"/>
      <c r="BQ275" s="146"/>
      <c r="BR275" s="146"/>
      <c r="BS275" s="146"/>
      <c r="BT275" s="146"/>
      <c r="BU275" s="146"/>
      <c r="BV275" s="146"/>
      <c r="BW275" s="146"/>
      <c r="BX275" s="146"/>
      <c r="BY275" s="146"/>
      <c r="BZ275" s="146"/>
      <c r="CA275" s="146"/>
      <c r="CB275" s="146"/>
      <c r="CC275" s="146"/>
      <c r="CD275" s="146"/>
      <c r="CE275" s="146"/>
      <c r="CF275" s="146"/>
      <c r="CG275" s="146"/>
      <c r="CH275" s="146"/>
      <c r="CI275" s="146"/>
      <c r="CJ275" s="146"/>
      <c r="CK275" s="146"/>
      <c r="CL275" s="146"/>
      <c r="CM275" s="146"/>
      <c r="CN275" s="146"/>
      <c r="CO275" s="146"/>
      <c r="CP275" s="146"/>
      <c r="CQ275" s="146"/>
      <c r="CR275" s="146"/>
      <c r="CS275" s="146"/>
      <c r="CT275" s="146"/>
      <c r="CU275" s="146"/>
      <c r="CV275" s="146"/>
      <c r="CW275" s="146"/>
      <c r="CX275" s="146"/>
      <c r="CY275" s="146"/>
      <c r="CZ275" s="28"/>
      <c r="DA275" s="14">
        <v>0</v>
      </c>
      <c r="DB275" s="14">
        <v>0</v>
      </c>
      <c r="DC275" s="14">
        <v>0</v>
      </c>
      <c r="DD275" s="14">
        <v>0</v>
      </c>
      <c r="DE275" s="14">
        <v>0</v>
      </c>
      <c r="DF275" s="14">
        <v>0</v>
      </c>
      <c r="DG275" s="14">
        <v>0</v>
      </c>
      <c r="DH275" s="14">
        <v>0</v>
      </c>
      <c r="DI275" s="14">
        <v>0</v>
      </c>
      <c r="DJ275" s="14">
        <v>0</v>
      </c>
      <c r="DK275" s="14">
        <v>0</v>
      </c>
      <c r="DL275" s="14">
        <v>0</v>
      </c>
      <c r="DM275" s="14">
        <v>0</v>
      </c>
      <c r="DN275" s="14">
        <v>0</v>
      </c>
      <c r="DO275" s="14">
        <v>0</v>
      </c>
      <c r="DP275" s="13">
        <f t="shared" si="211"/>
        <v>0</v>
      </c>
      <c r="DU275" s="20">
        <f t="shared" si="259"/>
        <v>0</v>
      </c>
    </row>
    <row r="276" spans="1:125" customFormat="1" ht="20.149999999999999" customHeight="1" x14ac:dyDescent="0.35">
      <c r="A276" s="205">
        <v>92</v>
      </c>
      <c r="B276" s="186" t="s">
        <v>208</v>
      </c>
      <c r="C276" s="144" t="s">
        <v>209</v>
      </c>
      <c r="D276" s="14">
        <v>0</v>
      </c>
      <c r="E276" s="254">
        <f>'LPLPO PROGRAM'!E105</f>
        <v>0</v>
      </c>
      <c r="F276" s="254">
        <f t="shared" si="253"/>
        <v>0</v>
      </c>
      <c r="G276" s="254">
        <f>'PEMAKAIAN UNIT'!R273</f>
        <v>0</v>
      </c>
      <c r="H276" s="14">
        <v>0</v>
      </c>
      <c r="I276" s="14">
        <v>0</v>
      </c>
      <c r="J276" s="14">
        <v>0</v>
      </c>
      <c r="K276" s="14"/>
      <c r="L276" s="14"/>
      <c r="M276" s="14"/>
      <c r="N276" s="14"/>
      <c r="O276" s="14"/>
      <c r="P276" s="14"/>
      <c r="Q276" s="14"/>
      <c r="R276" s="14"/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09">
        <f t="shared" si="254"/>
        <v>0</v>
      </c>
      <c r="Z276" s="109" t="e">
        <f t="shared" si="255"/>
        <v>#REF!</v>
      </c>
      <c r="AA276" s="109" t="e">
        <f t="shared" si="256"/>
        <v>#REF!</v>
      </c>
      <c r="AB276" s="14">
        <v>10</v>
      </c>
      <c r="AC276" s="109" t="e">
        <f t="shared" si="257"/>
        <v>#REF!</v>
      </c>
      <c r="AD276" s="109">
        <f>'LPLPO PROGRAM'!H105</f>
        <v>0</v>
      </c>
      <c r="AE276" s="111" t="e">
        <f t="shared" si="258"/>
        <v>#REF!</v>
      </c>
      <c r="AF276" s="212"/>
      <c r="AG276" s="212"/>
      <c r="AH276" s="20"/>
      <c r="AI276" s="14">
        <f t="shared" si="212"/>
        <v>0</v>
      </c>
      <c r="AJ276" s="209" t="e">
        <f t="shared" si="213"/>
        <v>#REF!</v>
      </c>
      <c r="AL276" s="14">
        <f t="shared" si="214"/>
        <v>0</v>
      </c>
      <c r="AM276" s="14">
        <f>DISTRIBUSI!D274</f>
        <v>0</v>
      </c>
      <c r="AN276" s="14">
        <f>'PEMAKAIAN UNIT'!D273</f>
        <v>0</v>
      </c>
      <c r="AO276" s="14">
        <f t="shared" si="215"/>
        <v>0</v>
      </c>
      <c r="AP276" s="15">
        <f t="shared" si="216"/>
        <v>0</v>
      </c>
      <c r="AQ276" s="14">
        <f t="shared" si="217"/>
        <v>0</v>
      </c>
      <c r="AR276" s="14">
        <f>DISTRIBUSI!E274</f>
        <v>0</v>
      </c>
      <c r="AS276" s="14">
        <f>'PEMAKAIAN UNIT'!E273</f>
        <v>0</v>
      </c>
      <c r="AT276" s="14">
        <f t="shared" si="218"/>
        <v>0</v>
      </c>
      <c r="AU276" s="15">
        <f t="shared" si="219"/>
        <v>0</v>
      </c>
      <c r="AV276" s="14">
        <f t="shared" si="220"/>
        <v>0</v>
      </c>
      <c r="AW276" s="14">
        <f>DISTRIBUSI!F274</f>
        <v>0</v>
      </c>
      <c r="AX276" s="14">
        <f>'PEMAKAIAN UNIT'!F273</f>
        <v>0</v>
      </c>
      <c r="AY276" s="14">
        <f t="shared" si="221"/>
        <v>0</v>
      </c>
      <c r="AZ276" s="15">
        <f t="shared" si="222"/>
        <v>0</v>
      </c>
      <c r="BA276" s="14">
        <f t="shared" si="223"/>
        <v>0</v>
      </c>
      <c r="BB276" s="14">
        <f>DISTRIBUSI!G274</f>
        <v>0</v>
      </c>
      <c r="BC276" s="14">
        <f>'PEMAKAIAN UNIT'!G273</f>
        <v>0</v>
      </c>
      <c r="BD276" s="14">
        <f t="shared" si="224"/>
        <v>0</v>
      </c>
      <c r="BE276" s="15">
        <f t="shared" si="225"/>
        <v>0</v>
      </c>
      <c r="BF276" s="14">
        <f t="shared" si="226"/>
        <v>0</v>
      </c>
      <c r="BG276" s="14">
        <f>DISTRIBUSI!H274</f>
        <v>0</v>
      </c>
      <c r="BH276" s="14">
        <f>'PEMAKAIAN UNIT'!H273</f>
        <v>0</v>
      </c>
      <c r="BI276" s="14">
        <f t="shared" si="227"/>
        <v>0</v>
      </c>
      <c r="BJ276" s="15">
        <f t="shared" si="228"/>
        <v>0</v>
      </c>
      <c r="BK276" s="14">
        <f t="shared" si="229"/>
        <v>0</v>
      </c>
      <c r="BL276" s="14">
        <f>DISTRIBUSI!I274</f>
        <v>0</v>
      </c>
      <c r="BM276" s="14">
        <f>'PEMAKAIAN UNIT'!I273</f>
        <v>0</v>
      </c>
      <c r="BN276" s="14">
        <f t="shared" si="230"/>
        <v>0</v>
      </c>
      <c r="BO276" s="15">
        <f t="shared" si="231"/>
        <v>0</v>
      </c>
      <c r="BP276" s="14">
        <f t="shared" si="232"/>
        <v>0</v>
      </c>
      <c r="BQ276" s="14">
        <f>DISTRIBUSI!J274</f>
        <v>0</v>
      </c>
      <c r="BR276" s="14">
        <f>'PEMAKAIAN UNIT'!J273</f>
        <v>0</v>
      </c>
      <c r="BS276" s="14">
        <f t="shared" si="233"/>
        <v>0</v>
      </c>
      <c r="BT276" s="15">
        <f t="shared" si="234"/>
        <v>0</v>
      </c>
      <c r="BU276" s="14">
        <f t="shared" si="235"/>
        <v>0</v>
      </c>
      <c r="BV276" s="14">
        <f>DISTRIBUSI!K274</f>
        <v>0</v>
      </c>
      <c r="BW276" s="14">
        <f>'PEMAKAIAN UNIT'!K273</f>
        <v>0</v>
      </c>
      <c r="BX276" s="14">
        <f t="shared" si="236"/>
        <v>0</v>
      </c>
      <c r="BY276" s="15">
        <f t="shared" si="237"/>
        <v>0</v>
      </c>
      <c r="BZ276" s="14">
        <f t="shared" si="238"/>
        <v>0</v>
      </c>
      <c r="CA276" s="14">
        <f>DISTRIBUSI!L274</f>
        <v>0</v>
      </c>
      <c r="CB276" s="14">
        <f>'PEMAKAIAN UNIT'!L273</f>
        <v>0</v>
      </c>
      <c r="CC276" s="14">
        <f t="shared" si="239"/>
        <v>0</v>
      </c>
      <c r="CD276" s="15">
        <f t="shared" si="240"/>
        <v>0</v>
      </c>
      <c r="CE276" s="14">
        <f t="shared" si="241"/>
        <v>0</v>
      </c>
      <c r="CF276" s="14">
        <f>DISTRIBUSI!M274</f>
        <v>0</v>
      </c>
      <c r="CG276" s="14">
        <f>'PEMAKAIAN UNIT'!M273</f>
        <v>0</v>
      </c>
      <c r="CH276" s="14">
        <f t="shared" si="242"/>
        <v>0</v>
      </c>
      <c r="CI276" s="15">
        <f t="shared" si="243"/>
        <v>0</v>
      </c>
      <c r="CJ276" s="14">
        <f t="shared" si="244"/>
        <v>0</v>
      </c>
      <c r="CK276" s="14" t="e">
        <f>DISTRIBUSI!#REF!</f>
        <v>#REF!</v>
      </c>
      <c r="CL276" s="14">
        <f>'PEMAKAIAN UNIT'!N273</f>
        <v>0</v>
      </c>
      <c r="CM276" s="14" t="e">
        <f t="shared" si="245"/>
        <v>#REF!</v>
      </c>
      <c r="CN276" s="15" t="e">
        <f t="shared" si="246"/>
        <v>#REF!</v>
      </c>
      <c r="CO276" s="14" t="e">
        <f>DL276+DISTRIBUSI!#REF!-'PEMAKAIAN UNIT'!O273</f>
        <v>#REF!</v>
      </c>
      <c r="CP276" s="15" t="e">
        <f t="shared" si="247"/>
        <v>#REF!</v>
      </c>
      <c r="CQ276" s="226">
        <f t="shared" si="248"/>
        <v>10</v>
      </c>
      <c r="CR276" s="226">
        <f>DISTRIBUSI!R274</f>
        <v>0</v>
      </c>
      <c r="CS276" s="226">
        <f>'PEMAKAIAN UNIT'!P273</f>
        <v>0</v>
      </c>
      <c r="CT276" s="14">
        <f t="shared" si="249"/>
        <v>10</v>
      </c>
      <c r="CU276" s="15">
        <f t="shared" si="250"/>
        <v>0</v>
      </c>
      <c r="CV276" s="14" t="e">
        <f>DN276+DISTRIBUSI!#REF!-'PEMAKAIAN UNIT'!Q273</f>
        <v>#REF!</v>
      </c>
      <c r="CW276" s="15" t="e">
        <f t="shared" si="251"/>
        <v>#REF!</v>
      </c>
      <c r="CX276" s="14">
        <f>DO276+'LPLPO PROGRAM'!E105-'LPLPO PROGRAM'!G105</f>
        <v>0</v>
      </c>
      <c r="CY276" s="15">
        <f t="shared" si="252"/>
        <v>0</v>
      </c>
      <c r="CZ276" s="28"/>
      <c r="DA276" s="14">
        <v>0</v>
      </c>
      <c r="DB276" s="14">
        <v>0</v>
      </c>
      <c r="DC276" s="14">
        <v>0</v>
      </c>
      <c r="DD276" s="14">
        <v>0</v>
      </c>
      <c r="DE276" s="14">
        <v>0</v>
      </c>
      <c r="DF276" s="14">
        <v>0</v>
      </c>
      <c r="DG276" s="14">
        <v>0</v>
      </c>
      <c r="DH276" s="14">
        <v>0</v>
      </c>
      <c r="DI276" s="14">
        <v>0</v>
      </c>
      <c r="DJ276" s="14">
        <v>0</v>
      </c>
      <c r="DK276" s="14">
        <v>0</v>
      </c>
      <c r="DL276" s="14">
        <v>0</v>
      </c>
      <c r="DM276" s="14">
        <v>10</v>
      </c>
      <c r="DN276" s="14">
        <v>0</v>
      </c>
      <c r="DO276" s="14">
        <v>0</v>
      </c>
      <c r="DP276" s="13">
        <f t="shared" si="211"/>
        <v>10</v>
      </c>
      <c r="DU276" s="20" t="e">
        <f t="shared" si="259"/>
        <v>#REF!</v>
      </c>
    </row>
    <row r="277" spans="1:125" customFormat="1" ht="20.149999999999999" customHeight="1" x14ac:dyDescent="0.35">
      <c r="A277" s="205">
        <v>93</v>
      </c>
      <c r="B277" s="184" t="s">
        <v>286</v>
      </c>
      <c r="C277" s="144" t="s">
        <v>209</v>
      </c>
      <c r="D277" s="14">
        <v>0</v>
      </c>
      <c r="E277" s="254">
        <f>'LPLPO PROGRAM'!E106</f>
        <v>0</v>
      </c>
      <c r="F277" s="254">
        <f t="shared" si="253"/>
        <v>0</v>
      </c>
      <c r="G277" s="254">
        <f>'PEMAKAIAN UNIT'!R274</f>
        <v>0</v>
      </c>
      <c r="H277" s="14">
        <v>0</v>
      </c>
      <c r="I277" s="14">
        <v>0</v>
      </c>
      <c r="J277" s="14">
        <v>0</v>
      </c>
      <c r="K277" s="14"/>
      <c r="L277" s="14"/>
      <c r="M277" s="14"/>
      <c r="N277" s="14"/>
      <c r="O277" s="14"/>
      <c r="P277" s="14"/>
      <c r="Q277" s="14"/>
      <c r="R277" s="14"/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09">
        <f t="shared" si="254"/>
        <v>0</v>
      </c>
      <c r="Z277" s="109" t="e">
        <f t="shared" si="255"/>
        <v>#REF!</v>
      </c>
      <c r="AA277" s="109" t="e">
        <f t="shared" si="256"/>
        <v>#REF!</v>
      </c>
      <c r="AB277" s="14">
        <v>0</v>
      </c>
      <c r="AC277" s="109" t="e">
        <f t="shared" si="257"/>
        <v>#REF!</v>
      </c>
      <c r="AD277" s="109">
        <f>'LPLPO PROGRAM'!H106</f>
        <v>0</v>
      </c>
      <c r="AE277" s="111" t="e">
        <f t="shared" si="258"/>
        <v>#REF!</v>
      </c>
      <c r="AF277" s="212"/>
      <c r="AG277" s="212"/>
      <c r="AH277" s="20"/>
      <c r="AI277" s="14">
        <f t="shared" si="212"/>
        <v>0</v>
      </c>
      <c r="AJ277" s="209" t="e">
        <f t="shared" si="213"/>
        <v>#REF!</v>
      </c>
      <c r="AL277" s="14">
        <f t="shared" si="214"/>
        <v>0</v>
      </c>
      <c r="AM277" s="14">
        <f>DISTRIBUSI!D275</f>
        <v>0</v>
      </c>
      <c r="AN277" s="14">
        <f>'PEMAKAIAN UNIT'!D274</f>
        <v>0</v>
      </c>
      <c r="AO277" s="14">
        <f t="shared" si="215"/>
        <v>0</v>
      </c>
      <c r="AP277" s="15">
        <f t="shared" si="216"/>
        <v>0</v>
      </c>
      <c r="AQ277" s="14">
        <f t="shared" si="217"/>
        <v>0</v>
      </c>
      <c r="AR277" s="14">
        <f>DISTRIBUSI!E275</f>
        <v>0</v>
      </c>
      <c r="AS277" s="14">
        <f>'PEMAKAIAN UNIT'!E274</f>
        <v>0</v>
      </c>
      <c r="AT277" s="14">
        <f t="shared" si="218"/>
        <v>0</v>
      </c>
      <c r="AU277" s="15">
        <f t="shared" si="219"/>
        <v>0</v>
      </c>
      <c r="AV277" s="14">
        <f t="shared" si="220"/>
        <v>0</v>
      </c>
      <c r="AW277" s="14">
        <f>DISTRIBUSI!F275</f>
        <v>0</v>
      </c>
      <c r="AX277" s="14">
        <f>'PEMAKAIAN UNIT'!F274</f>
        <v>0</v>
      </c>
      <c r="AY277" s="14">
        <f t="shared" si="221"/>
        <v>0</v>
      </c>
      <c r="AZ277" s="15">
        <f t="shared" si="222"/>
        <v>0</v>
      </c>
      <c r="BA277" s="14">
        <f t="shared" si="223"/>
        <v>0</v>
      </c>
      <c r="BB277" s="14">
        <f>DISTRIBUSI!G275</f>
        <v>0</v>
      </c>
      <c r="BC277" s="14">
        <f>'PEMAKAIAN UNIT'!G274</f>
        <v>0</v>
      </c>
      <c r="BD277" s="14">
        <f t="shared" si="224"/>
        <v>0</v>
      </c>
      <c r="BE277" s="15">
        <f t="shared" si="225"/>
        <v>0</v>
      </c>
      <c r="BF277" s="14">
        <f t="shared" si="226"/>
        <v>0</v>
      </c>
      <c r="BG277" s="14">
        <f>DISTRIBUSI!H275</f>
        <v>0</v>
      </c>
      <c r="BH277" s="14">
        <f>'PEMAKAIAN UNIT'!H274</f>
        <v>0</v>
      </c>
      <c r="BI277" s="14">
        <f t="shared" si="227"/>
        <v>0</v>
      </c>
      <c r="BJ277" s="15">
        <f t="shared" si="228"/>
        <v>0</v>
      </c>
      <c r="BK277" s="14">
        <f t="shared" si="229"/>
        <v>0</v>
      </c>
      <c r="BL277" s="14">
        <f>DISTRIBUSI!I275</f>
        <v>0</v>
      </c>
      <c r="BM277" s="14">
        <f>'PEMAKAIAN UNIT'!I274</f>
        <v>0</v>
      </c>
      <c r="BN277" s="14">
        <f t="shared" si="230"/>
        <v>0</v>
      </c>
      <c r="BO277" s="15">
        <f t="shared" si="231"/>
        <v>0</v>
      </c>
      <c r="BP277" s="14">
        <f t="shared" si="232"/>
        <v>0</v>
      </c>
      <c r="BQ277" s="14">
        <f>DISTRIBUSI!J275</f>
        <v>0</v>
      </c>
      <c r="BR277" s="14">
        <f>'PEMAKAIAN UNIT'!J274</f>
        <v>0</v>
      </c>
      <c r="BS277" s="14">
        <f t="shared" si="233"/>
        <v>0</v>
      </c>
      <c r="BT277" s="15">
        <f t="shared" si="234"/>
        <v>0</v>
      </c>
      <c r="BU277" s="14">
        <f t="shared" si="235"/>
        <v>0</v>
      </c>
      <c r="BV277" s="14">
        <f>DISTRIBUSI!K275</f>
        <v>0</v>
      </c>
      <c r="BW277" s="14">
        <f>'PEMAKAIAN UNIT'!K274</f>
        <v>0</v>
      </c>
      <c r="BX277" s="14">
        <f t="shared" si="236"/>
        <v>0</v>
      </c>
      <c r="BY277" s="15">
        <f t="shared" si="237"/>
        <v>0</v>
      </c>
      <c r="BZ277" s="14">
        <f t="shared" si="238"/>
        <v>0</v>
      </c>
      <c r="CA277" s="14">
        <f>DISTRIBUSI!L275</f>
        <v>0</v>
      </c>
      <c r="CB277" s="14">
        <f>'PEMAKAIAN UNIT'!L274</f>
        <v>0</v>
      </c>
      <c r="CC277" s="14">
        <f t="shared" si="239"/>
        <v>0</v>
      </c>
      <c r="CD277" s="15">
        <f t="shared" si="240"/>
        <v>0</v>
      </c>
      <c r="CE277" s="14">
        <f t="shared" si="241"/>
        <v>0</v>
      </c>
      <c r="CF277" s="14">
        <f>DISTRIBUSI!M275</f>
        <v>0</v>
      </c>
      <c r="CG277" s="14">
        <f>'PEMAKAIAN UNIT'!M274</f>
        <v>0</v>
      </c>
      <c r="CH277" s="14">
        <f t="shared" si="242"/>
        <v>0</v>
      </c>
      <c r="CI277" s="15">
        <f t="shared" si="243"/>
        <v>0</v>
      </c>
      <c r="CJ277" s="14">
        <f t="shared" si="244"/>
        <v>0</v>
      </c>
      <c r="CK277" s="14" t="e">
        <f>DISTRIBUSI!#REF!</f>
        <v>#REF!</v>
      </c>
      <c r="CL277" s="14">
        <f>'PEMAKAIAN UNIT'!N274</f>
        <v>0</v>
      </c>
      <c r="CM277" s="14" t="e">
        <f t="shared" si="245"/>
        <v>#REF!</v>
      </c>
      <c r="CN277" s="15" t="e">
        <f t="shared" si="246"/>
        <v>#REF!</v>
      </c>
      <c r="CO277" s="14" t="e">
        <f>DL277+DISTRIBUSI!#REF!-'PEMAKAIAN UNIT'!O274</f>
        <v>#REF!</v>
      </c>
      <c r="CP277" s="15" t="e">
        <f t="shared" si="247"/>
        <v>#REF!</v>
      </c>
      <c r="CQ277" s="226">
        <f t="shared" si="248"/>
        <v>0</v>
      </c>
      <c r="CR277" s="226">
        <f>DISTRIBUSI!R275</f>
        <v>0</v>
      </c>
      <c r="CS277" s="226">
        <f>'PEMAKAIAN UNIT'!P274</f>
        <v>0</v>
      </c>
      <c r="CT277" s="14">
        <f t="shared" si="249"/>
        <v>0</v>
      </c>
      <c r="CU277" s="15">
        <f t="shared" si="250"/>
        <v>0</v>
      </c>
      <c r="CV277" s="14" t="e">
        <f>DN277+DISTRIBUSI!#REF!-'PEMAKAIAN UNIT'!Q274</f>
        <v>#REF!</v>
      </c>
      <c r="CW277" s="15" t="e">
        <f t="shared" si="251"/>
        <v>#REF!</v>
      </c>
      <c r="CX277" s="14">
        <f>DO277+'LPLPO PROGRAM'!E106-'LPLPO PROGRAM'!G106</f>
        <v>0</v>
      </c>
      <c r="CY277" s="15">
        <f t="shared" si="252"/>
        <v>0</v>
      </c>
      <c r="CZ277" s="28"/>
      <c r="DA277" s="14">
        <v>0</v>
      </c>
      <c r="DB277" s="14">
        <v>0</v>
      </c>
      <c r="DC277" s="14">
        <v>0</v>
      </c>
      <c r="DD277" s="14">
        <v>0</v>
      </c>
      <c r="DE277" s="14">
        <v>0</v>
      </c>
      <c r="DF277" s="14">
        <v>0</v>
      </c>
      <c r="DG277" s="14">
        <v>0</v>
      </c>
      <c r="DH277" s="14">
        <v>0</v>
      </c>
      <c r="DI277" s="14">
        <v>0</v>
      </c>
      <c r="DJ277" s="14">
        <v>0</v>
      </c>
      <c r="DK277" s="14">
        <v>0</v>
      </c>
      <c r="DL277" s="14">
        <v>0</v>
      </c>
      <c r="DM277" s="14">
        <v>0</v>
      </c>
      <c r="DN277" s="14">
        <v>0</v>
      </c>
      <c r="DO277" s="14">
        <v>0</v>
      </c>
      <c r="DP277" s="13">
        <f t="shared" si="211"/>
        <v>0</v>
      </c>
      <c r="DU277" s="20" t="e">
        <f t="shared" si="259"/>
        <v>#REF!</v>
      </c>
    </row>
    <row r="278" spans="1:125" customFormat="1" ht="20.149999999999999" customHeight="1" x14ac:dyDescent="0.35">
      <c r="A278" s="205">
        <v>94</v>
      </c>
      <c r="B278" s="184"/>
      <c r="C278" s="144"/>
      <c r="D278" s="14">
        <v>0</v>
      </c>
      <c r="E278" s="254">
        <f>'LPLPO PROGRAM'!E107</f>
        <v>0</v>
      </c>
      <c r="F278" s="254">
        <f t="shared" si="253"/>
        <v>0</v>
      </c>
      <c r="G278" s="254">
        <f>'PEMAKAIAN UNIT'!R275</f>
        <v>0</v>
      </c>
      <c r="H278" s="14">
        <v>0</v>
      </c>
      <c r="I278" s="14">
        <v>0</v>
      </c>
      <c r="J278" s="14">
        <v>0</v>
      </c>
      <c r="K278" s="14"/>
      <c r="L278" s="14"/>
      <c r="M278" s="14"/>
      <c r="N278" s="14"/>
      <c r="O278" s="14"/>
      <c r="P278" s="14"/>
      <c r="Q278" s="14"/>
      <c r="R278" s="14"/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09">
        <f t="shared" si="254"/>
        <v>0</v>
      </c>
      <c r="Z278" s="109" t="e">
        <f t="shared" si="255"/>
        <v>#REF!</v>
      </c>
      <c r="AA278" s="109" t="e">
        <f t="shared" si="256"/>
        <v>#REF!</v>
      </c>
      <c r="AB278" s="14">
        <v>0</v>
      </c>
      <c r="AC278" s="109" t="e">
        <f t="shared" si="257"/>
        <v>#REF!</v>
      </c>
      <c r="AD278" s="109">
        <f>'LPLPO PROGRAM'!H107</f>
        <v>0</v>
      </c>
      <c r="AE278" s="111" t="e">
        <f t="shared" si="258"/>
        <v>#REF!</v>
      </c>
      <c r="AF278" s="212"/>
      <c r="AG278" s="212"/>
      <c r="AH278" s="20"/>
      <c r="AI278" s="14">
        <f t="shared" si="212"/>
        <v>0</v>
      </c>
      <c r="AJ278" s="209" t="e">
        <f t="shared" si="213"/>
        <v>#REF!</v>
      </c>
      <c r="AL278" s="14">
        <f t="shared" si="214"/>
        <v>0</v>
      </c>
      <c r="AM278" s="14">
        <f>DISTRIBUSI!D276</f>
        <v>0</v>
      </c>
      <c r="AN278" s="14">
        <f>'PEMAKAIAN UNIT'!D275</f>
        <v>0</v>
      </c>
      <c r="AO278" s="14">
        <f t="shared" si="215"/>
        <v>0</v>
      </c>
      <c r="AP278" s="15">
        <f t="shared" si="216"/>
        <v>0</v>
      </c>
      <c r="AQ278" s="14">
        <f t="shared" si="217"/>
        <v>0</v>
      </c>
      <c r="AR278" s="14">
        <f>DISTRIBUSI!E276</f>
        <v>0</v>
      </c>
      <c r="AS278" s="14">
        <f>'PEMAKAIAN UNIT'!E275</f>
        <v>0</v>
      </c>
      <c r="AT278" s="14">
        <f t="shared" si="218"/>
        <v>0</v>
      </c>
      <c r="AU278" s="15">
        <f t="shared" si="219"/>
        <v>0</v>
      </c>
      <c r="AV278" s="14">
        <f t="shared" si="220"/>
        <v>0</v>
      </c>
      <c r="AW278" s="14">
        <f>DISTRIBUSI!F276</f>
        <v>0</v>
      </c>
      <c r="AX278" s="14">
        <f>'PEMAKAIAN UNIT'!F275</f>
        <v>0</v>
      </c>
      <c r="AY278" s="14">
        <f t="shared" si="221"/>
        <v>0</v>
      </c>
      <c r="AZ278" s="15">
        <f t="shared" si="222"/>
        <v>0</v>
      </c>
      <c r="BA278" s="14">
        <f t="shared" si="223"/>
        <v>0</v>
      </c>
      <c r="BB278" s="14">
        <f>DISTRIBUSI!G276</f>
        <v>0</v>
      </c>
      <c r="BC278" s="14">
        <f>'PEMAKAIAN UNIT'!G275</f>
        <v>0</v>
      </c>
      <c r="BD278" s="14">
        <f t="shared" si="224"/>
        <v>0</v>
      </c>
      <c r="BE278" s="15">
        <f t="shared" si="225"/>
        <v>0</v>
      </c>
      <c r="BF278" s="14">
        <f t="shared" si="226"/>
        <v>0</v>
      </c>
      <c r="BG278" s="14">
        <f>DISTRIBUSI!H276</f>
        <v>0</v>
      </c>
      <c r="BH278" s="14">
        <f>'PEMAKAIAN UNIT'!H275</f>
        <v>0</v>
      </c>
      <c r="BI278" s="14">
        <f t="shared" si="227"/>
        <v>0</v>
      </c>
      <c r="BJ278" s="15">
        <f t="shared" si="228"/>
        <v>0</v>
      </c>
      <c r="BK278" s="14">
        <f t="shared" si="229"/>
        <v>0</v>
      </c>
      <c r="BL278" s="14">
        <f>DISTRIBUSI!I276</f>
        <v>0</v>
      </c>
      <c r="BM278" s="14">
        <f>'PEMAKAIAN UNIT'!I275</f>
        <v>0</v>
      </c>
      <c r="BN278" s="14">
        <f t="shared" si="230"/>
        <v>0</v>
      </c>
      <c r="BO278" s="15">
        <f t="shared" si="231"/>
        <v>0</v>
      </c>
      <c r="BP278" s="14">
        <f t="shared" si="232"/>
        <v>0</v>
      </c>
      <c r="BQ278" s="14">
        <f>DISTRIBUSI!J276</f>
        <v>0</v>
      </c>
      <c r="BR278" s="14">
        <f>'PEMAKAIAN UNIT'!J275</f>
        <v>0</v>
      </c>
      <c r="BS278" s="14">
        <f t="shared" si="233"/>
        <v>0</v>
      </c>
      <c r="BT278" s="15">
        <f t="shared" si="234"/>
        <v>0</v>
      </c>
      <c r="BU278" s="14">
        <f t="shared" si="235"/>
        <v>0</v>
      </c>
      <c r="BV278" s="14">
        <f>DISTRIBUSI!K276</f>
        <v>0</v>
      </c>
      <c r="BW278" s="14">
        <f>'PEMAKAIAN UNIT'!K275</f>
        <v>0</v>
      </c>
      <c r="BX278" s="14">
        <f t="shared" si="236"/>
        <v>0</v>
      </c>
      <c r="BY278" s="15">
        <f t="shared" si="237"/>
        <v>0</v>
      </c>
      <c r="BZ278" s="14">
        <f t="shared" si="238"/>
        <v>0</v>
      </c>
      <c r="CA278" s="14">
        <f>DISTRIBUSI!L276</f>
        <v>0</v>
      </c>
      <c r="CB278" s="14">
        <f>'PEMAKAIAN UNIT'!L275</f>
        <v>0</v>
      </c>
      <c r="CC278" s="14">
        <f t="shared" si="239"/>
        <v>0</v>
      </c>
      <c r="CD278" s="15">
        <f t="shared" si="240"/>
        <v>0</v>
      </c>
      <c r="CE278" s="14">
        <f t="shared" si="241"/>
        <v>0</v>
      </c>
      <c r="CF278" s="14">
        <f>DISTRIBUSI!M276</f>
        <v>0</v>
      </c>
      <c r="CG278" s="14">
        <f>'PEMAKAIAN UNIT'!M275</f>
        <v>0</v>
      </c>
      <c r="CH278" s="14">
        <f t="shared" si="242"/>
        <v>0</v>
      </c>
      <c r="CI278" s="15">
        <f t="shared" si="243"/>
        <v>0</v>
      </c>
      <c r="CJ278" s="14">
        <f t="shared" si="244"/>
        <v>0</v>
      </c>
      <c r="CK278" s="14" t="e">
        <f>DISTRIBUSI!#REF!</f>
        <v>#REF!</v>
      </c>
      <c r="CL278" s="14">
        <f>'PEMAKAIAN UNIT'!N275</f>
        <v>0</v>
      </c>
      <c r="CM278" s="14" t="e">
        <f t="shared" si="245"/>
        <v>#REF!</v>
      </c>
      <c r="CN278" s="15" t="e">
        <f t="shared" si="246"/>
        <v>#REF!</v>
      </c>
      <c r="CO278" s="14" t="e">
        <f>DL278+DISTRIBUSI!#REF!-'PEMAKAIAN UNIT'!O275</f>
        <v>#REF!</v>
      </c>
      <c r="CP278" s="15" t="e">
        <f t="shared" si="247"/>
        <v>#REF!</v>
      </c>
      <c r="CQ278" s="226">
        <f t="shared" si="248"/>
        <v>0</v>
      </c>
      <c r="CR278" s="226">
        <f>DISTRIBUSI!R276</f>
        <v>0</v>
      </c>
      <c r="CS278" s="226">
        <f>'PEMAKAIAN UNIT'!P275</f>
        <v>0</v>
      </c>
      <c r="CT278" s="14">
        <f t="shared" si="249"/>
        <v>0</v>
      </c>
      <c r="CU278" s="15">
        <f t="shared" si="250"/>
        <v>0</v>
      </c>
      <c r="CV278" s="14" t="e">
        <f>DN278+DISTRIBUSI!#REF!-'PEMAKAIAN UNIT'!Q275</f>
        <v>#REF!</v>
      </c>
      <c r="CW278" s="15" t="e">
        <f t="shared" si="251"/>
        <v>#REF!</v>
      </c>
      <c r="CX278" s="14">
        <f>DO278+'LPLPO PROGRAM'!E107-'LPLPO PROGRAM'!G107</f>
        <v>0</v>
      </c>
      <c r="CY278" s="15">
        <f t="shared" si="252"/>
        <v>0</v>
      </c>
      <c r="CZ278" s="28"/>
      <c r="DA278" s="14">
        <v>0</v>
      </c>
      <c r="DB278" s="14">
        <v>0</v>
      </c>
      <c r="DC278" s="14">
        <v>0</v>
      </c>
      <c r="DD278" s="14">
        <v>0</v>
      </c>
      <c r="DE278" s="14">
        <v>0</v>
      </c>
      <c r="DF278" s="14">
        <v>0</v>
      </c>
      <c r="DG278" s="14">
        <v>0</v>
      </c>
      <c r="DH278" s="14">
        <v>0</v>
      </c>
      <c r="DI278" s="14">
        <v>0</v>
      </c>
      <c r="DJ278" s="14">
        <v>0</v>
      </c>
      <c r="DK278" s="14">
        <v>0</v>
      </c>
      <c r="DL278" s="14">
        <v>0</v>
      </c>
      <c r="DM278" s="14">
        <v>0</v>
      </c>
      <c r="DN278" s="14">
        <v>0</v>
      </c>
      <c r="DO278" s="14">
        <v>0</v>
      </c>
      <c r="DP278" s="13">
        <f t="shared" si="211"/>
        <v>0</v>
      </c>
      <c r="DU278" s="20" t="e">
        <f t="shared" si="259"/>
        <v>#REF!</v>
      </c>
    </row>
    <row r="279" spans="1:125" customFormat="1" ht="20.149999999999999" customHeight="1" x14ac:dyDescent="0.35">
      <c r="A279" s="205">
        <v>95</v>
      </c>
      <c r="B279" s="184"/>
      <c r="C279" s="144"/>
      <c r="D279" s="14">
        <v>0</v>
      </c>
      <c r="E279" s="254">
        <f>'LPLPO PROGRAM'!E108</f>
        <v>0</v>
      </c>
      <c r="F279" s="254">
        <f t="shared" si="253"/>
        <v>0</v>
      </c>
      <c r="G279" s="254">
        <f>'PEMAKAIAN UNIT'!R276</f>
        <v>0</v>
      </c>
      <c r="H279" s="14">
        <v>0</v>
      </c>
      <c r="I279" s="14">
        <v>0</v>
      </c>
      <c r="J279" s="14">
        <v>0</v>
      </c>
      <c r="K279" s="14"/>
      <c r="L279" s="14"/>
      <c r="M279" s="14"/>
      <c r="N279" s="14"/>
      <c r="O279" s="14"/>
      <c r="P279" s="14"/>
      <c r="Q279" s="14"/>
      <c r="R279" s="14"/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09">
        <f t="shared" si="254"/>
        <v>0</v>
      </c>
      <c r="Z279" s="109" t="e">
        <f t="shared" si="255"/>
        <v>#REF!</v>
      </c>
      <c r="AA279" s="109" t="e">
        <f t="shared" si="256"/>
        <v>#REF!</v>
      </c>
      <c r="AB279" s="14">
        <v>0</v>
      </c>
      <c r="AC279" s="109" t="e">
        <f t="shared" si="257"/>
        <v>#REF!</v>
      </c>
      <c r="AD279" s="109">
        <f>'LPLPO PROGRAM'!H108</f>
        <v>0</v>
      </c>
      <c r="AE279" s="111" t="e">
        <f t="shared" si="258"/>
        <v>#REF!</v>
      </c>
      <c r="AF279" s="212"/>
      <c r="AG279" s="212"/>
      <c r="AH279" s="20"/>
      <c r="AI279" s="14">
        <f t="shared" si="212"/>
        <v>0</v>
      </c>
      <c r="AJ279" s="209" t="e">
        <f t="shared" si="213"/>
        <v>#REF!</v>
      </c>
      <c r="AL279" s="14">
        <f t="shared" si="214"/>
        <v>0</v>
      </c>
      <c r="AM279" s="14">
        <f>DISTRIBUSI!D277</f>
        <v>0</v>
      </c>
      <c r="AN279" s="14">
        <f>'PEMAKAIAN UNIT'!D276</f>
        <v>0</v>
      </c>
      <c r="AO279" s="14">
        <f t="shared" si="215"/>
        <v>0</v>
      </c>
      <c r="AP279" s="15">
        <f t="shared" si="216"/>
        <v>0</v>
      </c>
      <c r="AQ279" s="14">
        <f t="shared" si="217"/>
        <v>0</v>
      </c>
      <c r="AR279" s="14">
        <f>DISTRIBUSI!E277</f>
        <v>0</v>
      </c>
      <c r="AS279" s="14">
        <f>'PEMAKAIAN UNIT'!E276</f>
        <v>0</v>
      </c>
      <c r="AT279" s="14">
        <f t="shared" si="218"/>
        <v>0</v>
      </c>
      <c r="AU279" s="15">
        <f t="shared" si="219"/>
        <v>0</v>
      </c>
      <c r="AV279" s="14">
        <f t="shared" si="220"/>
        <v>0</v>
      </c>
      <c r="AW279" s="14">
        <f>DISTRIBUSI!F277</f>
        <v>0</v>
      </c>
      <c r="AX279" s="14">
        <f>'PEMAKAIAN UNIT'!F276</f>
        <v>0</v>
      </c>
      <c r="AY279" s="14">
        <f t="shared" si="221"/>
        <v>0</v>
      </c>
      <c r="AZ279" s="15">
        <f t="shared" si="222"/>
        <v>0</v>
      </c>
      <c r="BA279" s="14">
        <f t="shared" si="223"/>
        <v>0</v>
      </c>
      <c r="BB279" s="14">
        <f>DISTRIBUSI!G277</f>
        <v>0</v>
      </c>
      <c r="BC279" s="14">
        <f>'PEMAKAIAN UNIT'!G276</f>
        <v>0</v>
      </c>
      <c r="BD279" s="14">
        <f t="shared" si="224"/>
        <v>0</v>
      </c>
      <c r="BE279" s="15">
        <f t="shared" si="225"/>
        <v>0</v>
      </c>
      <c r="BF279" s="14">
        <f t="shared" si="226"/>
        <v>0</v>
      </c>
      <c r="BG279" s="14">
        <f>DISTRIBUSI!H277</f>
        <v>0</v>
      </c>
      <c r="BH279" s="14">
        <f>'PEMAKAIAN UNIT'!H276</f>
        <v>0</v>
      </c>
      <c r="BI279" s="14">
        <f t="shared" si="227"/>
        <v>0</v>
      </c>
      <c r="BJ279" s="15">
        <f t="shared" si="228"/>
        <v>0</v>
      </c>
      <c r="BK279" s="14">
        <f t="shared" si="229"/>
        <v>0</v>
      </c>
      <c r="BL279" s="14">
        <f>DISTRIBUSI!I277</f>
        <v>0</v>
      </c>
      <c r="BM279" s="14">
        <f>'PEMAKAIAN UNIT'!I276</f>
        <v>0</v>
      </c>
      <c r="BN279" s="14">
        <f t="shared" si="230"/>
        <v>0</v>
      </c>
      <c r="BO279" s="15">
        <f t="shared" si="231"/>
        <v>0</v>
      </c>
      <c r="BP279" s="14">
        <f t="shared" si="232"/>
        <v>0</v>
      </c>
      <c r="BQ279" s="14">
        <f>DISTRIBUSI!J277</f>
        <v>0</v>
      </c>
      <c r="BR279" s="14">
        <f>'PEMAKAIAN UNIT'!J276</f>
        <v>0</v>
      </c>
      <c r="BS279" s="14">
        <f t="shared" si="233"/>
        <v>0</v>
      </c>
      <c r="BT279" s="15">
        <f t="shared" si="234"/>
        <v>0</v>
      </c>
      <c r="BU279" s="14">
        <f t="shared" si="235"/>
        <v>0</v>
      </c>
      <c r="BV279" s="14">
        <f>DISTRIBUSI!K277</f>
        <v>0</v>
      </c>
      <c r="BW279" s="14">
        <f>'PEMAKAIAN UNIT'!K276</f>
        <v>0</v>
      </c>
      <c r="BX279" s="14">
        <f t="shared" si="236"/>
        <v>0</v>
      </c>
      <c r="BY279" s="15">
        <f t="shared" si="237"/>
        <v>0</v>
      </c>
      <c r="BZ279" s="14">
        <f t="shared" si="238"/>
        <v>0</v>
      </c>
      <c r="CA279" s="14">
        <f>DISTRIBUSI!L277</f>
        <v>0</v>
      </c>
      <c r="CB279" s="14">
        <f>'PEMAKAIAN UNIT'!L276</f>
        <v>0</v>
      </c>
      <c r="CC279" s="14">
        <f t="shared" si="239"/>
        <v>0</v>
      </c>
      <c r="CD279" s="15">
        <f t="shared" si="240"/>
        <v>0</v>
      </c>
      <c r="CE279" s="14">
        <f t="shared" si="241"/>
        <v>0</v>
      </c>
      <c r="CF279" s="14">
        <f>DISTRIBUSI!M277</f>
        <v>0</v>
      </c>
      <c r="CG279" s="14">
        <f>'PEMAKAIAN UNIT'!M276</f>
        <v>0</v>
      </c>
      <c r="CH279" s="14">
        <f t="shared" si="242"/>
        <v>0</v>
      </c>
      <c r="CI279" s="15">
        <f t="shared" si="243"/>
        <v>0</v>
      </c>
      <c r="CJ279" s="14">
        <f t="shared" si="244"/>
        <v>0</v>
      </c>
      <c r="CK279" s="14" t="e">
        <f>DISTRIBUSI!#REF!</f>
        <v>#REF!</v>
      </c>
      <c r="CL279" s="14">
        <f>'PEMAKAIAN UNIT'!N276</f>
        <v>0</v>
      </c>
      <c r="CM279" s="14" t="e">
        <f t="shared" si="245"/>
        <v>#REF!</v>
      </c>
      <c r="CN279" s="15" t="e">
        <f t="shared" si="246"/>
        <v>#REF!</v>
      </c>
      <c r="CO279" s="14" t="e">
        <f>DL279+DISTRIBUSI!#REF!-'PEMAKAIAN UNIT'!O276</f>
        <v>#REF!</v>
      </c>
      <c r="CP279" s="15" t="e">
        <f t="shared" si="247"/>
        <v>#REF!</v>
      </c>
      <c r="CQ279" s="226">
        <f t="shared" si="248"/>
        <v>0</v>
      </c>
      <c r="CR279" s="226">
        <f>DISTRIBUSI!R277</f>
        <v>0</v>
      </c>
      <c r="CS279" s="226">
        <f>'PEMAKAIAN UNIT'!P276</f>
        <v>0</v>
      </c>
      <c r="CT279" s="14">
        <f t="shared" si="249"/>
        <v>0</v>
      </c>
      <c r="CU279" s="15">
        <f t="shared" si="250"/>
        <v>0</v>
      </c>
      <c r="CV279" s="14" t="e">
        <f>DN279+DISTRIBUSI!#REF!-'PEMAKAIAN UNIT'!Q276</f>
        <v>#REF!</v>
      </c>
      <c r="CW279" s="15" t="e">
        <f t="shared" si="251"/>
        <v>#REF!</v>
      </c>
      <c r="CX279" s="14">
        <f>DO279+'LPLPO PROGRAM'!E108-'LPLPO PROGRAM'!G108</f>
        <v>0</v>
      </c>
      <c r="CY279" s="15">
        <f t="shared" si="252"/>
        <v>0</v>
      </c>
      <c r="CZ279" s="28"/>
      <c r="DA279" s="14">
        <v>0</v>
      </c>
      <c r="DB279" s="14">
        <v>0</v>
      </c>
      <c r="DC279" s="14">
        <v>0</v>
      </c>
      <c r="DD279" s="14">
        <v>0</v>
      </c>
      <c r="DE279" s="14">
        <v>0</v>
      </c>
      <c r="DF279" s="14">
        <v>0</v>
      </c>
      <c r="DG279" s="14">
        <v>0</v>
      </c>
      <c r="DH279" s="14">
        <v>0</v>
      </c>
      <c r="DI279" s="14">
        <v>0</v>
      </c>
      <c r="DJ279" s="14">
        <v>0</v>
      </c>
      <c r="DK279" s="14">
        <v>0</v>
      </c>
      <c r="DL279" s="14">
        <v>0</v>
      </c>
      <c r="DM279" s="14">
        <v>0</v>
      </c>
      <c r="DN279" s="14">
        <v>0</v>
      </c>
      <c r="DO279" s="14">
        <v>0</v>
      </c>
      <c r="DP279" s="13">
        <f t="shared" si="211"/>
        <v>0</v>
      </c>
      <c r="DU279" s="20" t="e">
        <f t="shared" si="259"/>
        <v>#REF!</v>
      </c>
    </row>
    <row r="280" spans="1:125" customFormat="1" ht="20.149999999999999" customHeight="1" x14ac:dyDescent="0.35">
      <c r="A280" s="205">
        <v>96</v>
      </c>
      <c r="B280" s="180"/>
      <c r="C280" s="144"/>
      <c r="D280" s="14">
        <v>0</v>
      </c>
      <c r="E280" s="254">
        <f>'LPLPO PROGRAM'!E109</f>
        <v>0</v>
      </c>
      <c r="F280" s="254">
        <f t="shared" si="253"/>
        <v>0</v>
      </c>
      <c r="G280" s="254">
        <f>'PEMAKAIAN UNIT'!R277</f>
        <v>0</v>
      </c>
      <c r="H280" s="14">
        <v>0</v>
      </c>
      <c r="I280" s="14">
        <v>0</v>
      </c>
      <c r="J280" s="14">
        <v>0</v>
      </c>
      <c r="K280" s="14"/>
      <c r="L280" s="14"/>
      <c r="M280" s="14"/>
      <c r="N280" s="14"/>
      <c r="O280" s="14"/>
      <c r="P280" s="14"/>
      <c r="Q280" s="14"/>
      <c r="R280" s="14"/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09">
        <f t="shared" si="254"/>
        <v>0</v>
      </c>
      <c r="Z280" s="109" t="e">
        <f t="shared" si="255"/>
        <v>#REF!</v>
      </c>
      <c r="AA280" s="109" t="e">
        <f t="shared" si="256"/>
        <v>#REF!</v>
      </c>
      <c r="AB280" s="14">
        <v>0</v>
      </c>
      <c r="AC280" s="109" t="e">
        <f t="shared" si="257"/>
        <v>#REF!</v>
      </c>
      <c r="AD280" s="109">
        <f>'LPLPO PROGRAM'!H109</f>
        <v>0</v>
      </c>
      <c r="AE280" s="111" t="e">
        <f t="shared" si="258"/>
        <v>#REF!</v>
      </c>
      <c r="AF280" s="212"/>
      <c r="AG280" s="212"/>
      <c r="AH280" s="20"/>
      <c r="AI280" s="14">
        <f t="shared" si="212"/>
        <v>0</v>
      </c>
      <c r="AJ280" s="209" t="e">
        <f t="shared" si="213"/>
        <v>#REF!</v>
      </c>
      <c r="AL280" s="14">
        <f t="shared" si="214"/>
        <v>0</v>
      </c>
      <c r="AM280" s="14">
        <f>DISTRIBUSI!D278</f>
        <v>0</v>
      </c>
      <c r="AN280" s="14">
        <f>'PEMAKAIAN UNIT'!D277</f>
        <v>0</v>
      </c>
      <c r="AO280" s="14">
        <f t="shared" si="215"/>
        <v>0</v>
      </c>
      <c r="AP280" s="15">
        <f t="shared" si="216"/>
        <v>0</v>
      </c>
      <c r="AQ280" s="14">
        <f t="shared" si="217"/>
        <v>0</v>
      </c>
      <c r="AR280" s="14">
        <f>DISTRIBUSI!E278</f>
        <v>0</v>
      </c>
      <c r="AS280" s="14">
        <f>'PEMAKAIAN UNIT'!E277</f>
        <v>0</v>
      </c>
      <c r="AT280" s="14">
        <f t="shared" si="218"/>
        <v>0</v>
      </c>
      <c r="AU280" s="15">
        <f t="shared" si="219"/>
        <v>0</v>
      </c>
      <c r="AV280" s="14">
        <f t="shared" si="220"/>
        <v>0</v>
      </c>
      <c r="AW280" s="14">
        <f>DISTRIBUSI!F278</f>
        <v>0</v>
      </c>
      <c r="AX280" s="14">
        <f>'PEMAKAIAN UNIT'!F277</f>
        <v>0</v>
      </c>
      <c r="AY280" s="14">
        <f t="shared" si="221"/>
        <v>0</v>
      </c>
      <c r="AZ280" s="15">
        <f t="shared" si="222"/>
        <v>0</v>
      </c>
      <c r="BA280" s="14">
        <f t="shared" si="223"/>
        <v>0</v>
      </c>
      <c r="BB280" s="14">
        <f>DISTRIBUSI!G278</f>
        <v>0</v>
      </c>
      <c r="BC280" s="14">
        <f>'PEMAKAIAN UNIT'!G277</f>
        <v>0</v>
      </c>
      <c r="BD280" s="14">
        <f t="shared" si="224"/>
        <v>0</v>
      </c>
      <c r="BE280" s="15">
        <f t="shared" si="225"/>
        <v>0</v>
      </c>
      <c r="BF280" s="14">
        <f t="shared" si="226"/>
        <v>0</v>
      </c>
      <c r="BG280" s="14">
        <f>DISTRIBUSI!H278</f>
        <v>0</v>
      </c>
      <c r="BH280" s="14">
        <f>'PEMAKAIAN UNIT'!H277</f>
        <v>0</v>
      </c>
      <c r="BI280" s="14">
        <f t="shared" si="227"/>
        <v>0</v>
      </c>
      <c r="BJ280" s="15">
        <f t="shared" si="228"/>
        <v>0</v>
      </c>
      <c r="BK280" s="14">
        <f t="shared" si="229"/>
        <v>0</v>
      </c>
      <c r="BL280" s="14">
        <f>DISTRIBUSI!I278</f>
        <v>0</v>
      </c>
      <c r="BM280" s="14">
        <f>'PEMAKAIAN UNIT'!I277</f>
        <v>0</v>
      </c>
      <c r="BN280" s="14">
        <f t="shared" si="230"/>
        <v>0</v>
      </c>
      <c r="BO280" s="15">
        <f t="shared" si="231"/>
        <v>0</v>
      </c>
      <c r="BP280" s="14">
        <f t="shared" si="232"/>
        <v>0</v>
      </c>
      <c r="BQ280" s="14">
        <f>DISTRIBUSI!J278</f>
        <v>0</v>
      </c>
      <c r="BR280" s="14">
        <f>'PEMAKAIAN UNIT'!J277</f>
        <v>0</v>
      </c>
      <c r="BS280" s="14">
        <f t="shared" si="233"/>
        <v>0</v>
      </c>
      <c r="BT280" s="15">
        <f t="shared" si="234"/>
        <v>0</v>
      </c>
      <c r="BU280" s="14">
        <f t="shared" si="235"/>
        <v>0</v>
      </c>
      <c r="BV280" s="14">
        <f>DISTRIBUSI!K278</f>
        <v>0</v>
      </c>
      <c r="BW280" s="14">
        <f>'PEMAKAIAN UNIT'!K277</f>
        <v>0</v>
      </c>
      <c r="BX280" s="14">
        <f t="shared" si="236"/>
        <v>0</v>
      </c>
      <c r="BY280" s="15">
        <f t="shared" si="237"/>
        <v>0</v>
      </c>
      <c r="BZ280" s="14">
        <f t="shared" si="238"/>
        <v>0</v>
      </c>
      <c r="CA280" s="14">
        <f>DISTRIBUSI!L278</f>
        <v>0</v>
      </c>
      <c r="CB280" s="14">
        <f>'PEMAKAIAN UNIT'!L277</f>
        <v>0</v>
      </c>
      <c r="CC280" s="14">
        <f t="shared" si="239"/>
        <v>0</v>
      </c>
      <c r="CD280" s="15">
        <f t="shared" si="240"/>
        <v>0</v>
      </c>
      <c r="CE280" s="14">
        <f t="shared" si="241"/>
        <v>0</v>
      </c>
      <c r="CF280" s="14">
        <f>DISTRIBUSI!M278</f>
        <v>0</v>
      </c>
      <c r="CG280" s="14">
        <f>'PEMAKAIAN UNIT'!M277</f>
        <v>0</v>
      </c>
      <c r="CH280" s="14">
        <f t="shared" si="242"/>
        <v>0</v>
      </c>
      <c r="CI280" s="15">
        <f t="shared" si="243"/>
        <v>0</v>
      </c>
      <c r="CJ280" s="14">
        <f t="shared" si="244"/>
        <v>0</v>
      </c>
      <c r="CK280" s="14" t="e">
        <f>DISTRIBUSI!#REF!</f>
        <v>#REF!</v>
      </c>
      <c r="CL280" s="14">
        <f>'PEMAKAIAN UNIT'!N277</f>
        <v>0</v>
      </c>
      <c r="CM280" s="14" t="e">
        <f t="shared" si="245"/>
        <v>#REF!</v>
      </c>
      <c r="CN280" s="15" t="e">
        <f t="shared" si="246"/>
        <v>#REF!</v>
      </c>
      <c r="CO280" s="14" t="e">
        <f>DL280+DISTRIBUSI!#REF!-'PEMAKAIAN UNIT'!O277</f>
        <v>#REF!</v>
      </c>
      <c r="CP280" s="15" t="e">
        <f t="shared" si="247"/>
        <v>#REF!</v>
      </c>
      <c r="CQ280" s="226">
        <f t="shared" si="248"/>
        <v>0</v>
      </c>
      <c r="CR280" s="226">
        <f>DISTRIBUSI!R278</f>
        <v>0</v>
      </c>
      <c r="CS280" s="226">
        <f>'PEMAKAIAN UNIT'!P277</f>
        <v>0</v>
      </c>
      <c r="CT280" s="14">
        <f t="shared" si="249"/>
        <v>0</v>
      </c>
      <c r="CU280" s="15">
        <f t="shared" si="250"/>
        <v>0</v>
      </c>
      <c r="CV280" s="14" t="e">
        <f>DN280+DISTRIBUSI!#REF!-'PEMAKAIAN UNIT'!Q277</f>
        <v>#REF!</v>
      </c>
      <c r="CW280" s="15" t="e">
        <f t="shared" si="251"/>
        <v>#REF!</v>
      </c>
      <c r="CX280" s="14">
        <f>DO280+'LPLPO PROGRAM'!E109-'LPLPO PROGRAM'!G109</f>
        <v>0</v>
      </c>
      <c r="CY280" s="15">
        <f t="shared" si="252"/>
        <v>0</v>
      </c>
      <c r="CZ280" s="28"/>
      <c r="DA280" s="14">
        <v>0</v>
      </c>
      <c r="DB280" s="14">
        <v>0</v>
      </c>
      <c r="DC280" s="14">
        <v>0</v>
      </c>
      <c r="DD280" s="14">
        <v>0</v>
      </c>
      <c r="DE280" s="14">
        <v>0</v>
      </c>
      <c r="DF280" s="14">
        <v>0</v>
      </c>
      <c r="DG280" s="14">
        <v>0</v>
      </c>
      <c r="DH280" s="14">
        <v>0</v>
      </c>
      <c r="DI280" s="14">
        <v>0</v>
      </c>
      <c r="DJ280" s="14">
        <v>0</v>
      </c>
      <c r="DK280" s="14">
        <v>0</v>
      </c>
      <c r="DL280" s="14">
        <v>0</v>
      </c>
      <c r="DM280" s="14">
        <v>0</v>
      </c>
      <c r="DN280" s="14">
        <v>0</v>
      </c>
      <c r="DO280" s="14">
        <v>0</v>
      </c>
      <c r="DP280" s="13">
        <f t="shared" si="211"/>
        <v>0</v>
      </c>
      <c r="DU280" s="20" t="e">
        <f t="shared" si="259"/>
        <v>#REF!</v>
      </c>
    </row>
    <row r="281" spans="1:125" customFormat="1" ht="20.149999999999999" customHeight="1" x14ac:dyDescent="0.35">
      <c r="A281" s="204">
        <v>97</v>
      </c>
      <c r="B281" s="191" t="s">
        <v>210</v>
      </c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212"/>
      <c r="AG281" s="212"/>
      <c r="AH281" s="20"/>
      <c r="AI281" s="14">
        <f t="shared" si="212"/>
        <v>0</v>
      </c>
      <c r="AJ281" s="209">
        <f t="shared" si="213"/>
        <v>0</v>
      </c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  <c r="AW281" s="146"/>
      <c r="AX281" s="146"/>
      <c r="AY281" s="146"/>
      <c r="AZ281" s="146"/>
      <c r="BA281" s="146"/>
      <c r="BB281" s="146"/>
      <c r="BC281" s="146"/>
      <c r="BD281" s="146"/>
      <c r="BE281" s="146"/>
      <c r="BF281" s="146"/>
      <c r="BG281" s="146"/>
      <c r="BH281" s="146"/>
      <c r="BI281" s="146"/>
      <c r="BJ281" s="146"/>
      <c r="BK281" s="146"/>
      <c r="BL281" s="146"/>
      <c r="BM281" s="146"/>
      <c r="BN281" s="146"/>
      <c r="BO281" s="146"/>
      <c r="BP281" s="146"/>
      <c r="BQ281" s="146"/>
      <c r="BR281" s="146"/>
      <c r="BS281" s="146"/>
      <c r="BT281" s="146"/>
      <c r="BU281" s="146"/>
      <c r="BV281" s="146"/>
      <c r="BW281" s="146"/>
      <c r="BX281" s="146"/>
      <c r="BY281" s="146"/>
      <c r="BZ281" s="146"/>
      <c r="CA281" s="146"/>
      <c r="CB281" s="146"/>
      <c r="CC281" s="146"/>
      <c r="CD281" s="146"/>
      <c r="CE281" s="146"/>
      <c r="CF281" s="146"/>
      <c r="CG281" s="146"/>
      <c r="CH281" s="146"/>
      <c r="CI281" s="146"/>
      <c r="CJ281" s="146"/>
      <c r="CK281" s="146"/>
      <c r="CL281" s="146"/>
      <c r="CM281" s="146"/>
      <c r="CN281" s="146"/>
      <c r="CO281" s="146"/>
      <c r="CP281" s="146"/>
      <c r="CQ281" s="146"/>
      <c r="CR281" s="146"/>
      <c r="CS281" s="146"/>
      <c r="CT281" s="146"/>
      <c r="CU281" s="146"/>
      <c r="CV281" s="146"/>
      <c r="CW281" s="146"/>
      <c r="CX281" s="146"/>
      <c r="CY281" s="146"/>
      <c r="CZ281" s="28"/>
      <c r="DA281" s="14">
        <v>0</v>
      </c>
      <c r="DB281" s="14">
        <v>0</v>
      </c>
      <c r="DC281" s="14">
        <v>0</v>
      </c>
      <c r="DD281" s="14">
        <v>0</v>
      </c>
      <c r="DE281" s="14">
        <v>0</v>
      </c>
      <c r="DF281" s="14">
        <v>0</v>
      </c>
      <c r="DG281" s="14">
        <v>0</v>
      </c>
      <c r="DH281" s="14">
        <v>0</v>
      </c>
      <c r="DI281" s="14">
        <v>0</v>
      </c>
      <c r="DJ281" s="14">
        <v>0</v>
      </c>
      <c r="DK281" s="14">
        <v>0</v>
      </c>
      <c r="DL281" s="14">
        <v>0</v>
      </c>
      <c r="DM281" s="14">
        <v>0</v>
      </c>
      <c r="DN281" s="14">
        <v>0</v>
      </c>
      <c r="DO281" s="14">
        <v>0</v>
      </c>
      <c r="DP281" s="13">
        <f t="shared" si="211"/>
        <v>0</v>
      </c>
      <c r="DU281" s="20">
        <f t="shared" si="259"/>
        <v>0</v>
      </c>
    </row>
    <row r="282" spans="1:125" customFormat="1" ht="20.149999999999999" customHeight="1" x14ac:dyDescent="0.35">
      <c r="A282" s="205">
        <v>98</v>
      </c>
      <c r="B282" s="180" t="s">
        <v>213</v>
      </c>
      <c r="C282" s="144" t="s">
        <v>212</v>
      </c>
      <c r="D282" s="14">
        <v>0</v>
      </c>
      <c r="E282" s="254">
        <f>'LPLPO PROGRAM'!E111</f>
        <v>0</v>
      </c>
      <c r="F282" s="254">
        <f t="shared" si="253"/>
        <v>0</v>
      </c>
      <c r="G282" s="254">
        <f>'PEMAKAIAN UNIT'!R279</f>
        <v>0</v>
      </c>
      <c r="H282" s="14">
        <v>0</v>
      </c>
      <c r="I282" s="14">
        <v>0</v>
      </c>
      <c r="J282" s="14">
        <v>0</v>
      </c>
      <c r="K282" s="14"/>
      <c r="L282" s="14"/>
      <c r="M282" s="14"/>
      <c r="N282" s="14"/>
      <c r="O282" s="14"/>
      <c r="P282" s="14"/>
      <c r="Q282" s="14"/>
      <c r="R282" s="14"/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09">
        <f t="shared" si="254"/>
        <v>0</v>
      </c>
      <c r="Z282" s="109" t="e">
        <f t="shared" si="255"/>
        <v>#REF!</v>
      </c>
      <c r="AA282" s="109" t="e">
        <f t="shared" si="256"/>
        <v>#REF!</v>
      </c>
      <c r="AB282" s="14">
        <v>0</v>
      </c>
      <c r="AC282" s="109" t="e">
        <f t="shared" si="257"/>
        <v>#REF!</v>
      </c>
      <c r="AD282" s="109">
        <f>'LPLPO PROGRAM'!H111</f>
        <v>0</v>
      </c>
      <c r="AE282" s="111" t="e">
        <f t="shared" si="258"/>
        <v>#REF!</v>
      </c>
      <c r="AF282" s="212"/>
      <c r="AG282" s="212"/>
      <c r="AH282" s="20"/>
      <c r="AI282" s="14">
        <f t="shared" si="212"/>
        <v>0</v>
      </c>
      <c r="AJ282" s="209" t="e">
        <f t="shared" si="213"/>
        <v>#REF!</v>
      </c>
      <c r="AL282" s="14">
        <f t="shared" si="214"/>
        <v>0</v>
      </c>
      <c r="AM282" s="14">
        <f>DISTRIBUSI!D280</f>
        <v>0</v>
      </c>
      <c r="AN282" s="14">
        <f>'PEMAKAIAN UNIT'!D279</f>
        <v>0</v>
      </c>
      <c r="AO282" s="14">
        <f t="shared" si="215"/>
        <v>0</v>
      </c>
      <c r="AP282" s="15">
        <f t="shared" si="216"/>
        <v>0</v>
      </c>
      <c r="AQ282" s="14">
        <f t="shared" si="217"/>
        <v>0</v>
      </c>
      <c r="AR282" s="14">
        <f>DISTRIBUSI!E280</f>
        <v>0</v>
      </c>
      <c r="AS282" s="14">
        <f>'PEMAKAIAN UNIT'!E279</f>
        <v>0</v>
      </c>
      <c r="AT282" s="14">
        <f t="shared" si="218"/>
        <v>0</v>
      </c>
      <c r="AU282" s="15">
        <f t="shared" si="219"/>
        <v>0</v>
      </c>
      <c r="AV282" s="14">
        <f t="shared" si="220"/>
        <v>0</v>
      </c>
      <c r="AW282" s="14">
        <f>DISTRIBUSI!F280</f>
        <v>0</v>
      </c>
      <c r="AX282" s="14">
        <f>'PEMAKAIAN UNIT'!F279</f>
        <v>0</v>
      </c>
      <c r="AY282" s="14">
        <f t="shared" si="221"/>
        <v>0</v>
      </c>
      <c r="AZ282" s="15">
        <f t="shared" si="222"/>
        <v>0</v>
      </c>
      <c r="BA282" s="14">
        <f t="shared" si="223"/>
        <v>0</v>
      </c>
      <c r="BB282" s="14">
        <f>DISTRIBUSI!G280</f>
        <v>0</v>
      </c>
      <c r="BC282" s="14">
        <f>'PEMAKAIAN UNIT'!G279</f>
        <v>0</v>
      </c>
      <c r="BD282" s="14">
        <f t="shared" si="224"/>
        <v>0</v>
      </c>
      <c r="BE282" s="15">
        <f t="shared" si="225"/>
        <v>0</v>
      </c>
      <c r="BF282" s="14">
        <f t="shared" si="226"/>
        <v>0</v>
      </c>
      <c r="BG282" s="14">
        <f>DISTRIBUSI!H280</f>
        <v>0</v>
      </c>
      <c r="BH282" s="14">
        <f>'PEMAKAIAN UNIT'!H279</f>
        <v>0</v>
      </c>
      <c r="BI282" s="14">
        <f t="shared" si="227"/>
        <v>0</v>
      </c>
      <c r="BJ282" s="15">
        <f t="shared" si="228"/>
        <v>0</v>
      </c>
      <c r="BK282" s="14">
        <f t="shared" si="229"/>
        <v>0</v>
      </c>
      <c r="BL282" s="14">
        <f>DISTRIBUSI!I280</f>
        <v>0</v>
      </c>
      <c r="BM282" s="14">
        <f>'PEMAKAIAN UNIT'!I279</f>
        <v>0</v>
      </c>
      <c r="BN282" s="14">
        <f t="shared" si="230"/>
        <v>0</v>
      </c>
      <c r="BO282" s="15">
        <f t="shared" si="231"/>
        <v>0</v>
      </c>
      <c r="BP282" s="14">
        <f t="shared" si="232"/>
        <v>0</v>
      </c>
      <c r="BQ282" s="14">
        <f>DISTRIBUSI!J280</f>
        <v>0</v>
      </c>
      <c r="BR282" s="14">
        <f>'PEMAKAIAN UNIT'!J279</f>
        <v>0</v>
      </c>
      <c r="BS282" s="14">
        <f t="shared" si="233"/>
        <v>0</v>
      </c>
      <c r="BT282" s="15">
        <f t="shared" si="234"/>
        <v>0</v>
      </c>
      <c r="BU282" s="14">
        <f t="shared" si="235"/>
        <v>0</v>
      </c>
      <c r="BV282" s="14">
        <f>DISTRIBUSI!K280</f>
        <v>0</v>
      </c>
      <c r="BW282" s="14">
        <f>'PEMAKAIAN UNIT'!K279</f>
        <v>0</v>
      </c>
      <c r="BX282" s="14">
        <f t="shared" si="236"/>
        <v>0</v>
      </c>
      <c r="BY282" s="15">
        <f t="shared" si="237"/>
        <v>0</v>
      </c>
      <c r="BZ282" s="14">
        <f t="shared" si="238"/>
        <v>0</v>
      </c>
      <c r="CA282" s="14">
        <f>DISTRIBUSI!L280</f>
        <v>0</v>
      </c>
      <c r="CB282" s="14">
        <f>'PEMAKAIAN UNIT'!L279</f>
        <v>0</v>
      </c>
      <c r="CC282" s="14">
        <f t="shared" si="239"/>
        <v>0</v>
      </c>
      <c r="CD282" s="15">
        <f t="shared" si="240"/>
        <v>0</v>
      </c>
      <c r="CE282" s="14">
        <f t="shared" si="241"/>
        <v>0</v>
      </c>
      <c r="CF282" s="14">
        <f>DISTRIBUSI!M280</f>
        <v>0</v>
      </c>
      <c r="CG282" s="14">
        <f>'PEMAKAIAN UNIT'!M279</f>
        <v>0</v>
      </c>
      <c r="CH282" s="14">
        <f t="shared" si="242"/>
        <v>0</v>
      </c>
      <c r="CI282" s="15">
        <f t="shared" si="243"/>
        <v>0</v>
      </c>
      <c r="CJ282" s="14">
        <f t="shared" si="244"/>
        <v>0</v>
      </c>
      <c r="CK282" s="14" t="e">
        <f>DISTRIBUSI!#REF!</f>
        <v>#REF!</v>
      </c>
      <c r="CL282" s="14">
        <f>'PEMAKAIAN UNIT'!N279</f>
        <v>0</v>
      </c>
      <c r="CM282" s="14" t="e">
        <f t="shared" si="245"/>
        <v>#REF!</v>
      </c>
      <c r="CN282" s="15" t="e">
        <f t="shared" si="246"/>
        <v>#REF!</v>
      </c>
      <c r="CO282" s="14" t="e">
        <f>DL282+DISTRIBUSI!#REF!-'PEMAKAIAN UNIT'!O279</f>
        <v>#REF!</v>
      </c>
      <c r="CP282" s="15" t="e">
        <f t="shared" si="247"/>
        <v>#REF!</v>
      </c>
      <c r="CQ282" s="226">
        <f t="shared" si="248"/>
        <v>0</v>
      </c>
      <c r="CR282" s="226">
        <f>DISTRIBUSI!R280</f>
        <v>0</v>
      </c>
      <c r="CS282" s="226">
        <f>'PEMAKAIAN UNIT'!P279</f>
        <v>0</v>
      </c>
      <c r="CT282" s="14">
        <f t="shared" si="249"/>
        <v>0</v>
      </c>
      <c r="CU282" s="15">
        <f t="shared" si="250"/>
        <v>0</v>
      </c>
      <c r="CV282" s="14" t="e">
        <f>DN282+DISTRIBUSI!#REF!-'PEMAKAIAN UNIT'!Q279</f>
        <v>#REF!</v>
      </c>
      <c r="CW282" s="15" t="e">
        <f t="shared" si="251"/>
        <v>#REF!</v>
      </c>
      <c r="CX282" s="14">
        <f>DO282+'LPLPO PROGRAM'!E111-'LPLPO PROGRAM'!G111</f>
        <v>0</v>
      </c>
      <c r="CY282" s="15">
        <f t="shared" si="252"/>
        <v>0</v>
      </c>
      <c r="CZ282" s="28"/>
      <c r="DA282" s="14">
        <v>0</v>
      </c>
      <c r="DB282" s="14">
        <v>0</v>
      </c>
      <c r="DC282" s="14">
        <v>0</v>
      </c>
      <c r="DD282" s="14">
        <v>0</v>
      </c>
      <c r="DE282" s="14">
        <v>0</v>
      </c>
      <c r="DF282" s="14">
        <v>0</v>
      </c>
      <c r="DG282" s="14">
        <v>0</v>
      </c>
      <c r="DH282" s="14">
        <v>0</v>
      </c>
      <c r="DI282" s="14">
        <v>0</v>
      </c>
      <c r="DJ282" s="14">
        <v>0</v>
      </c>
      <c r="DK282" s="14">
        <v>0</v>
      </c>
      <c r="DL282" s="14">
        <v>0</v>
      </c>
      <c r="DM282" s="14">
        <v>0</v>
      </c>
      <c r="DN282" s="14">
        <v>0</v>
      </c>
      <c r="DO282" s="14">
        <v>0</v>
      </c>
      <c r="DP282" s="13">
        <f t="shared" si="211"/>
        <v>0</v>
      </c>
      <c r="DU282" s="20" t="e">
        <f t="shared" si="259"/>
        <v>#REF!</v>
      </c>
    </row>
    <row r="283" spans="1:125" customFormat="1" ht="20.149999999999999" customHeight="1" x14ac:dyDescent="0.35">
      <c r="A283" s="205">
        <v>99</v>
      </c>
      <c r="B283" s="184" t="s">
        <v>211</v>
      </c>
      <c r="C283" s="144" t="s">
        <v>212</v>
      </c>
      <c r="D283" s="14">
        <v>0</v>
      </c>
      <c r="E283" s="254">
        <f>'LPLPO PROGRAM'!E112</f>
        <v>0</v>
      </c>
      <c r="F283" s="254">
        <f t="shared" si="253"/>
        <v>0</v>
      </c>
      <c r="G283" s="254">
        <f>'PEMAKAIAN UNIT'!R280</f>
        <v>0</v>
      </c>
      <c r="H283" s="14">
        <v>0</v>
      </c>
      <c r="I283" s="14">
        <v>0</v>
      </c>
      <c r="J283" s="14">
        <v>0</v>
      </c>
      <c r="K283" s="14"/>
      <c r="L283" s="14"/>
      <c r="M283" s="14"/>
      <c r="N283" s="14"/>
      <c r="O283" s="14"/>
      <c r="P283" s="14"/>
      <c r="Q283" s="14"/>
      <c r="R283" s="14"/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09">
        <f t="shared" si="254"/>
        <v>0</v>
      </c>
      <c r="Z283" s="109" t="e">
        <f t="shared" si="255"/>
        <v>#REF!</v>
      </c>
      <c r="AA283" s="109" t="e">
        <f t="shared" si="256"/>
        <v>#REF!</v>
      </c>
      <c r="AB283" s="14">
        <v>0</v>
      </c>
      <c r="AC283" s="109" t="e">
        <f t="shared" si="257"/>
        <v>#REF!</v>
      </c>
      <c r="AD283" s="109">
        <f>'LPLPO PROGRAM'!H112</f>
        <v>0</v>
      </c>
      <c r="AE283" s="111" t="e">
        <f t="shared" si="258"/>
        <v>#REF!</v>
      </c>
      <c r="AF283" s="212"/>
      <c r="AG283" s="212"/>
      <c r="AH283" s="20"/>
      <c r="AI283" s="14">
        <f t="shared" si="212"/>
        <v>0</v>
      </c>
      <c r="AJ283" s="209" t="e">
        <f t="shared" si="213"/>
        <v>#REF!</v>
      </c>
      <c r="AL283" s="14">
        <f t="shared" si="214"/>
        <v>0</v>
      </c>
      <c r="AM283" s="14">
        <f>DISTRIBUSI!D281</f>
        <v>0</v>
      </c>
      <c r="AN283" s="14">
        <f>'PEMAKAIAN UNIT'!D280</f>
        <v>0</v>
      </c>
      <c r="AO283" s="14">
        <f t="shared" si="215"/>
        <v>0</v>
      </c>
      <c r="AP283" s="15">
        <f t="shared" si="216"/>
        <v>0</v>
      </c>
      <c r="AQ283" s="14">
        <f t="shared" si="217"/>
        <v>0</v>
      </c>
      <c r="AR283" s="14">
        <f>DISTRIBUSI!E281</f>
        <v>0</v>
      </c>
      <c r="AS283" s="14">
        <f>'PEMAKAIAN UNIT'!E280</f>
        <v>0</v>
      </c>
      <c r="AT283" s="14">
        <f t="shared" si="218"/>
        <v>0</v>
      </c>
      <c r="AU283" s="15">
        <f t="shared" si="219"/>
        <v>0</v>
      </c>
      <c r="AV283" s="14">
        <f t="shared" si="220"/>
        <v>0</v>
      </c>
      <c r="AW283" s="14">
        <f>DISTRIBUSI!F281</f>
        <v>0</v>
      </c>
      <c r="AX283" s="14">
        <f>'PEMAKAIAN UNIT'!F280</f>
        <v>0</v>
      </c>
      <c r="AY283" s="14">
        <f t="shared" si="221"/>
        <v>0</v>
      </c>
      <c r="AZ283" s="15">
        <f t="shared" si="222"/>
        <v>0</v>
      </c>
      <c r="BA283" s="14">
        <f t="shared" si="223"/>
        <v>0</v>
      </c>
      <c r="BB283" s="14">
        <f>DISTRIBUSI!G281</f>
        <v>0</v>
      </c>
      <c r="BC283" s="14">
        <f>'PEMAKAIAN UNIT'!G280</f>
        <v>0</v>
      </c>
      <c r="BD283" s="14">
        <f t="shared" si="224"/>
        <v>0</v>
      </c>
      <c r="BE283" s="15">
        <f t="shared" si="225"/>
        <v>0</v>
      </c>
      <c r="BF283" s="14">
        <f t="shared" si="226"/>
        <v>0</v>
      </c>
      <c r="BG283" s="14">
        <f>DISTRIBUSI!H281</f>
        <v>0</v>
      </c>
      <c r="BH283" s="14">
        <f>'PEMAKAIAN UNIT'!H280</f>
        <v>0</v>
      </c>
      <c r="BI283" s="14">
        <f t="shared" si="227"/>
        <v>0</v>
      </c>
      <c r="BJ283" s="15">
        <f t="shared" si="228"/>
        <v>0</v>
      </c>
      <c r="BK283" s="14">
        <f t="shared" si="229"/>
        <v>0</v>
      </c>
      <c r="BL283" s="14">
        <f>DISTRIBUSI!I281</f>
        <v>0</v>
      </c>
      <c r="BM283" s="14">
        <f>'PEMAKAIAN UNIT'!I280</f>
        <v>0</v>
      </c>
      <c r="BN283" s="14">
        <f t="shared" si="230"/>
        <v>0</v>
      </c>
      <c r="BO283" s="15">
        <f t="shared" si="231"/>
        <v>0</v>
      </c>
      <c r="BP283" s="14">
        <f t="shared" si="232"/>
        <v>0</v>
      </c>
      <c r="BQ283" s="14">
        <f>DISTRIBUSI!J281</f>
        <v>0</v>
      </c>
      <c r="BR283" s="14">
        <f>'PEMAKAIAN UNIT'!J280</f>
        <v>0</v>
      </c>
      <c r="BS283" s="14">
        <f t="shared" si="233"/>
        <v>0</v>
      </c>
      <c r="BT283" s="15">
        <f t="shared" si="234"/>
        <v>0</v>
      </c>
      <c r="BU283" s="14">
        <f t="shared" si="235"/>
        <v>0</v>
      </c>
      <c r="BV283" s="14">
        <f>DISTRIBUSI!K281</f>
        <v>0</v>
      </c>
      <c r="BW283" s="14">
        <f>'PEMAKAIAN UNIT'!K280</f>
        <v>0</v>
      </c>
      <c r="BX283" s="14">
        <f t="shared" si="236"/>
        <v>0</v>
      </c>
      <c r="BY283" s="15">
        <f t="shared" si="237"/>
        <v>0</v>
      </c>
      <c r="BZ283" s="14">
        <f t="shared" si="238"/>
        <v>0</v>
      </c>
      <c r="CA283" s="14">
        <f>DISTRIBUSI!L281</f>
        <v>0</v>
      </c>
      <c r="CB283" s="14">
        <f>'PEMAKAIAN UNIT'!L280</f>
        <v>0</v>
      </c>
      <c r="CC283" s="14">
        <f t="shared" si="239"/>
        <v>0</v>
      </c>
      <c r="CD283" s="15">
        <f t="shared" si="240"/>
        <v>0</v>
      </c>
      <c r="CE283" s="14">
        <f t="shared" si="241"/>
        <v>0</v>
      </c>
      <c r="CF283" s="14">
        <f>DISTRIBUSI!M281</f>
        <v>0</v>
      </c>
      <c r="CG283" s="14">
        <f>'PEMAKAIAN UNIT'!M280</f>
        <v>0</v>
      </c>
      <c r="CH283" s="14">
        <f t="shared" si="242"/>
        <v>0</v>
      </c>
      <c r="CI283" s="15">
        <f t="shared" si="243"/>
        <v>0</v>
      </c>
      <c r="CJ283" s="14">
        <f t="shared" si="244"/>
        <v>0</v>
      </c>
      <c r="CK283" s="14" t="e">
        <f>DISTRIBUSI!#REF!</f>
        <v>#REF!</v>
      </c>
      <c r="CL283" s="14">
        <f>'PEMAKAIAN UNIT'!N280</f>
        <v>0</v>
      </c>
      <c r="CM283" s="14" t="e">
        <f t="shared" si="245"/>
        <v>#REF!</v>
      </c>
      <c r="CN283" s="15" t="e">
        <f t="shared" si="246"/>
        <v>#REF!</v>
      </c>
      <c r="CO283" s="14" t="e">
        <f>DL283+DISTRIBUSI!#REF!-'PEMAKAIAN UNIT'!O280</f>
        <v>#REF!</v>
      </c>
      <c r="CP283" s="15" t="e">
        <f t="shared" si="247"/>
        <v>#REF!</v>
      </c>
      <c r="CQ283" s="226">
        <f t="shared" si="248"/>
        <v>0</v>
      </c>
      <c r="CR283" s="226">
        <f>DISTRIBUSI!R281</f>
        <v>0</v>
      </c>
      <c r="CS283" s="226">
        <f>'PEMAKAIAN UNIT'!P280</f>
        <v>0</v>
      </c>
      <c r="CT283" s="14">
        <f t="shared" si="249"/>
        <v>0</v>
      </c>
      <c r="CU283" s="15">
        <f t="shared" si="250"/>
        <v>0</v>
      </c>
      <c r="CV283" s="14" t="e">
        <f>DN283+DISTRIBUSI!#REF!-'PEMAKAIAN UNIT'!Q280</f>
        <v>#REF!</v>
      </c>
      <c r="CW283" s="15" t="e">
        <f t="shared" si="251"/>
        <v>#REF!</v>
      </c>
      <c r="CX283" s="14">
        <f>DO283+'LPLPO PROGRAM'!E112-'LPLPO PROGRAM'!G112</f>
        <v>0</v>
      </c>
      <c r="CY283" s="15">
        <f t="shared" si="252"/>
        <v>0</v>
      </c>
      <c r="CZ283" s="28"/>
      <c r="DA283" s="14">
        <v>0</v>
      </c>
      <c r="DB283" s="14">
        <v>0</v>
      </c>
      <c r="DC283" s="14">
        <v>0</v>
      </c>
      <c r="DD283" s="14">
        <v>0</v>
      </c>
      <c r="DE283" s="14">
        <v>0</v>
      </c>
      <c r="DF283" s="14">
        <v>0</v>
      </c>
      <c r="DG283" s="14">
        <v>0</v>
      </c>
      <c r="DH283" s="14">
        <v>0</v>
      </c>
      <c r="DI283" s="14">
        <v>0</v>
      </c>
      <c r="DJ283" s="14">
        <v>0</v>
      </c>
      <c r="DK283" s="14">
        <v>0</v>
      </c>
      <c r="DL283" s="14">
        <v>0</v>
      </c>
      <c r="DM283" s="14">
        <v>0</v>
      </c>
      <c r="DN283" s="14">
        <v>0</v>
      </c>
      <c r="DO283" s="14">
        <v>0</v>
      </c>
      <c r="DP283" s="13">
        <f t="shared" si="211"/>
        <v>0</v>
      </c>
      <c r="DU283" s="20" t="e">
        <f t="shared" si="259"/>
        <v>#REF!</v>
      </c>
    </row>
    <row r="284" spans="1:125" customFormat="1" ht="20.149999999999999" customHeight="1" x14ac:dyDescent="0.35">
      <c r="A284" s="205">
        <v>100</v>
      </c>
      <c r="B284" s="180" t="s">
        <v>214</v>
      </c>
      <c r="C284" s="144" t="s">
        <v>212</v>
      </c>
      <c r="D284" s="14">
        <v>0</v>
      </c>
      <c r="E284" s="254">
        <f>'LPLPO PROGRAM'!E113</f>
        <v>0</v>
      </c>
      <c r="F284" s="254">
        <f t="shared" si="253"/>
        <v>0</v>
      </c>
      <c r="G284" s="254">
        <f>'PEMAKAIAN UNIT'!R281</f>
        <v>0</v>
      </c>
      <c r="H284" s="14">
        <v>0</v>
      </c>
      <c r="I284" s="14">
        <v>0</v>
      </c>
      <c r="J284" s="14">
        <v>0</v>
      </c>
      <c r="K284" s="14"/>
      <c r="L284" s="14"/>
      <c r="M284" s="14"/>
      <c r="N284" s="14"/>
      <c r="O284" s="14"/>
      <c r="P284" s="14"/>
      <c r="Q284" s="14"/>
      <c r="R284" s="14"/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09">
        <f t="shared" si="254"/>
        <v>0</v>
      </c>
      <c r="Z284" s="109" t="e">
        <f t="shared" si="255"/>
        <v>#REF!</v>
      </c>
      <c r="AA284" s="109" t="e">
        <f t="shared" si="256"/>
        <v>#REF!</v>
      </c>
      <c r="AB284" s="14">
        <v>0</v>
      </c>
      <c r="AC284" s="109" t="e">
        <f t="shared" si="257"/>
        <v>#REF!</v>
      </c>
      <c r="AD284" s="109">
        <f>'LPLPO PROGRAM'!H113</f>
        <v>0</v>
      </c>
      <c r="AE284" s="111" t="e">
        <f t="shared" si="258"/>
        <v>#REF!</v>
      </c>
      <c r="AF284" s="212"/>
      <c r="AG284" s="212"/>
      <c r="AH284" s="20"/>
      <c r="AI284" s="14">
        <f t="shared" si="212"/>
        <v>0</v>
      </c>
      <c r="AJ284" s="209" t="e">
        <f t="shared" si="213"/>
        <v>#REF!</v>
      </c>
      <c r="AL284" s="14">
        <f t="shared" si="214"/>
        <v>0</v>
      </c>
      <c r="AM284" s="14">
        <f>DISTRIBUSI!D282</f>
        <v>0</v>
      </c>
      <c r="AN284" s="14">
        <f>'PEMAKAIAN UNIT'!D281</f>
        <v>0</v>
      </c>
      <c r="AO284" s="14">
        <f t="shared" si="215"/>
        <v>0</v>
      </c>
      <c r="AP284" s="15">
        <f t="shared" si="216"/>
        <v>0</v>
      </c>
      <c r="AQ284" s="14">
        <f t="shared" si="217"/>
        <v>0</v>
      </c>
      <c r="AR284" s="14">
        <f>DISTRIBUSI!E282</f>
        <v>0</v>
      </c>
      <c r="AS284" s="14">
        <f>'PEMAKAIAN UNIT'!E281</f>
        <v>0</v>
      </c>
      <c r="AT284" s="14">
        <f t="shared" si="218"/>
        <v>0</v>
      </c>
      <c r="AU284" s="15">
        <f t="shared" si="219"/>
        <v>0</v>
      </c>
      <c r="AV284" s="14">
        <f t="shared" si="220"/>
        <v>0</v>
      </c>
      <c r="AW284" s="14">
        <f>DISTRIBUSI!F282</f>
        <v>0</v>
      </c>
      <c r="AX284" s="14">
        <f>'PEMAKAIAN UNIT'!F281</f>
        <v>0</v>
      </c>
      <c r="AY284" s="14">
        <f t="shared" si="221"/>
        <v>0</v>
      </c>
      <c r="AZ284" s="15">
        <f t="shared" si="222"/>
        <v>0</v>
      </c>
      <c r="BA284" s="14">
        <f t="shared" si="223"/>
        <v>0</v>
      </c>
      <c r="BB284" s="14">
        <f>DISTRIBUSI!G282</f>
        <v>0</v>
      </c>
      <c r="BC284" s="14">
        <f>'PEMAKAIAN UNIT'!G281</f>
        <v>0</v>
      </c>
      <c r="BD284" s="14">
        <f t="shared" si="224"/>
        <v>0</v>
      </c>
      <c r="BE284" s="15">
        <f t="shared" si="225"/>
        <v>0</v>
      </c>
      <c r="BF284" s="14">
        <f t="shared" si="226"/>
        <v>0</v>
      </c>
      <c r="BG284" s="14">
        <f>DISTRIBUSI!H282</f>
        <v>0</v>
      </c>
      <c r="BH284" s="14">
        <f>'PEMAKAIAN UNIT'!H281</f>
        <v>0</v>
      </c>
      <c r="BI284" s="14">
        <f t="shared" si="227"/>
        <v>0</v>
      </c>
      <c r="BJ284" s="15">
        <f t="shared" si="228"/>
        <v>0</v>
      </c>
      <c r="BK284" s="14">
        <f t="shared" si="229"/>
        <v>0</v>
      </c>
      <c r="BL284" s="14">
        <f>DISTRIBUSI!I282</f>
        <v>0</v>
      </c>
      <c r="BM284" s="14">
        <f>'PEMAKAIAN UNIT'!I281</f>
        <v>0</v>
      </c>
      <c r="BN284" s="14">
        <f t="shared" si="230"/>
        <v>0</v>
      </c>
      <c r="BO284" s="15">
        <f t="shared" si="231"/>
        <v>0</v>
      </c>
      <c r="BP284" s="14">
        <f t="shared" si="232"/>
        <v>0</v>
      </c>
      <c r="BQ284" s="14">
        <f>DISTRIBUSI!J282</f>
        <v>0</v>
      </c>
      <c r="BR284" s="14">
        <f>'PEMAKAIAN UNIT'!J281</f>
        <v>0</v>
      </c>
      <c r="BS284" s="14">
        <f t="shared" si="233"/>
        <v>0</v>
      </c>
      <c r="BT284" s="15">
        <f t="shared" si="234"/>
        <v>0</v>
      </c>
      <c r="BU284" s="14">
        <f t="shared" si="235"/>
        <v>0</v>
      </c>
      <c r="BV284" s="14">
        <f>DISTRIBUSI!K282</f>
        <v>0</v>
      </c>
      <c r="BW284" s="14">
        <f>'PEMAKAIAN UNIT'!K281</f>
        <v>0</v>
      </c>
      <c r="BX284" s="14">
        <f t="shared" si="236"/>
        <v>0</v>
      </c>
      <c r="BY284" s="15">
        <f t="shared" si="237"/>
        <v>0</v>
      </c>
      <c r="BZ284" s="14">
        <f t="shared" si="238"/>
        <v>0</v>
      </c>
      <c r="CA284" s="14">
        <f>DISTRIBUSI!L282</f>
        <v>0</v>
      </c>
      <c r="CB284" s="14">
        <f>'PEMAKAIAN UNIT'!L281</f>
        <v>0</v>
      </c>
      <c r="CC284" s="14">
        <f t="shared" si="239"/>
        <v>0</v>
      </c>
      <c r="CD284" s="15">
        <f t="shared" si="240"/>
        <v>0</v>
      </c>
      <c r="CE284" s="14">
        <f t="shared" si="241"/>
        <v>0</v>
      </c>
      <c r="CF284" s="14">
        <f>DISTRIBUSI!M282</f>
        <v>0</v>
      </c>
      <c r="CG284" s="14">
        <f>'PEMAKAIAN UNIT'!M281</f>
        <v>0</v>
      </c>
      <c r="CH284" s="14">
        <f t="shared" si="242"/>
        <v>0</v>
      </c>
      <c r="CI284" s="15">
        <f t="shared" si="243"/>
        <v>0</v>
      </c>
      <c r="CJ284" s="14">
        <f t="shared" si="244"/>
        <v>0</v>
      </c>
      <c r="CK284" s="14" t="e">
        <f>DISTRIBUSI!#REF!</f>
        <v>#REF!</v>
      </c>
      <c r="CL284" s="14">
        <f>'PEMAKAIAN UNIT'!N281</f>
        <v>0</v>
      </c>
      <c r="CM284" s="14" t="e">
        <f t="shared" si="245"/>
        <v>#REF!</v>
      </c>
      <c r="CN284" s="15" t="e">
        <f t="shared" si="246"/>
        <v>#REF!</v>
      </c>
      <c r="CO284" s="14" t="e">
        <f>DL284+DISTRIBUSI!#REF!-'PEMAKAIAN UNIT'!O281</f>
        <v>#REF!</v>
      </c>
      <c r="CP284" s="15" t="e">
        <f t="shared" si="247"/>
        <v>#REF!</v>
      </c>
      <c r="CQ284" s="226">
        <f t="shared" si="248"/>
        <v>0</v>
      </c>
      <c r="CR284" s="226">
        <f>DISTRIBUSI!R282</f>
        <v>0</v>
      </c>
      <c r="CS284" s="226">
        <f>'PEMAKAIAN UNIT'!P281</f>
        <v>0</v>
      </c>
      <c r="CT284" s="14">
        <f t="shared" si="249"/>
        <v>0</v>
      </c>
      <c r="CU284" s="15">
        <f t="shared" si="250"/>
        <v>0</v>
      </c>
      <c r="CV284" s="14" t="e">
        <f>DN284+DISTRIBUSI!#REF!-'PEMAKAIAN UNIT'!Q281</f>
        <v>#REF!</v>
      </c>
      <c r="CW284" s="15" t="e">
        <f t="shared" si="251"/>
        <v>#REF!</v>
      </c>
      <c r="CX284" s="14">
        <f>DO284+'LPLPO PROGRAM'!E113-'LPLPO PROGRAM'!G113</f>
        <v>0</v>
      </c>
      <c r="CY284" s="15">
        <f t="shared" si="252"/>
        <v>0</v>
      </c>
      <c r="CZ284" s="28"/>
      <c r="DA284" s="14">
        <v>0</v>
      </c>
      <c r="DB284" s="14">
        <v>0</v>
      </c>
      <c r="DC284" s="14">
        <v>0</v>
      </c>
      <c r="DD284" s="14">
        <v>0</v>
      </c>
      <c r="DE284" s="14">
        <v>0</v>
      </c>
      <c r="DF284" s="14">
        <v>0</v>
      </c>
      <c r="DG284" s="14">
        <v>0</v>
      </c>
      <c r="DH284" s="14">
        <v>0</v>
      </c>
      <c r="DI284" s="14">
        <v>0</v>
      </c>
      <c r="DJ284" s="14">
        <v>0</v>
      </c>
      <c r="DK284" s="14">
        <v>0</v>
      </c>
      <c r="DL284" s="14">
        <v>0</v>
      </c>
      <c r="DM284" s="14">
        <v>0</v>
      </c>
      <c r="DN284" s="14">
        <v>0</v>
      </c>
      <c r="DO284" s="14">
        <v>0</v>
      </c>
      <c r="DP284" s="13">
        <f t="shared" si="211"/>
        <v>0</v>
      </c>
      <c r="DU284" s="20" t="e">
        <f t="shared" si="259"/>
        <v>#REF!</v>
      </c>
    </row>
    <row r="285" spans="1:125" customFormat="1" ht="15.5" x14ac:dyDescent="0.35">
      <c r="A285" s="205">
        <v>101</v>
      </c>
      <c r="B285" s="180" t="s">
        <v>215</v>
      </c>
      <c r="C285" s="144" t="s">
        <v>212</v>
      </c>
      <c r="D285" s="14">
        <v>0</v>
      </c>
      <c r="E285" s="254">
        <f>'LPLPO PROGRAM'!E114</f>
        <v>0</v>
      </c>
      <c r="F285" s="254">
        <f t="shared" si="253"/>
        <v>0</v>
      </c>
      <c r="G285" s="254">
        <f>'PEMAKAIAN UNIT'!R282</f>
        <v>0</v>
      </c>
      <c r="H285" s="14">
        <v>0</v>
      </c>
      <c r="I285" s="14">
        <v>0</v>
      </c>
      <c r="J285" s="14">
        <v>0</v>
      </c>
      <c r="K285" s="14"/>
      <c r="L285" s="14"/>
      <c r="M285" s="14"/>
      <c r="N285" s="14"/>
      <c r="O285" s="14"/>
      <c r="P285" s="14"/>
      <c r="Q285" s="14"/>
      <c r="R285" s="14"/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09">
        <f t="shared" si="254"/>
        <v>0</v>
      </c>
      <c r="Z285" s="109" t="e">
        <f t="shared" si="255"/>
        <v>#REF!</v>
      </c>
      <c r="AA285" s="109" t="e">
        <f t="shared" si="256"/>
        <v>#REF!</v>
      </c>
      <c r="AB285" s="14">
        <v>0</v>
      </c>
      <c r="AC285" s="109" t="e">
        <f t="shared" si="257"/>
        <v>#REF!</v>
      </c>
      <c r="AD285" s="109">
        <f>'LPLPO PROGRAM'!H114</f>
        <v>0</v>
      </c>
      <c r="AE285" s="111" t="e">
        <f t="shared" si="258"/>
        <v>#REF!</v>
      </c>
      <c r="AF285" s="212"/>
      <c r="AG285" s="212"/>
      <c r="AI285" s="14">
        <f t="shared" si="212"/>
        <v>0</v>
      </c>
      <c r="AJ285" s="209" t="e">
        <f t="shared" si="213"/>
        <v>#REF!</v>
      </c>
      <c r="AL285" s="14">
        <f t="shared" si="214"/>
        <v>0</v>
      </c>
      <c r="AM285" s="14">
        <f>DISTRIBUSI!D283</f>
        <v>0</v>
      </c>
      <c r="AN285" s="14">
        <f>'PEMAKAIAN UNIT'!D282</f>
        <v>0</v>
      </c>
      <c r="AO285" s="14">
        <f t="shared" si="215"/>
        <v>0</v>
      </c>
      <c r="AP285" s="15">
        <f t="shared" si="216"/>
        <v>0</v>
      </c>
      <c r="AQ285" s="14">
        <f t="shared" si="217"/>
        <v>0</v>
      </c>
      <c r="AR285" s="14">
        <f>DISTRIBUSI!E283</f>
        <v>0</v>
      </c>
      <c r="AS285" s="14">
        <f>'PEMAKAIAN UNIT'!E282</f>
        <v>0</v>
      </c>
      <c r="AT285" s="14">
        <f t="shared" si="218"/>
        <v>0</v>
      </c>
      <c r="AU285" s="15">
        <f t="shared" si="219"/>
        <v>0</v>
      </c>
      <c r="AV285" s="14">
        <f t="shared" si="220"/>
        <v>0</v>
      </c>
      <c r="AW285" s="14">
        <f>DISTRIBUSI!F283</f>
        <v>0</v>
      </c>
      <c r="AX285" s="14">
        <f>'PEMAKAIAN UNIT'!F282</f>
        <v>0</v>
      </c>
      <c r="AY285" s="14">
        <f t="shared" si="221"/>
        <v>0</v>
      </c>
      <c r="AZ285" s="15">
        <f t="shared" si="222"/>
        <v>0</v>
      </c>
      <c r="BA285" s="14">
        <f t="shared" si="223"/>
        <v>0</v>
      </c>
      <c r="BB285" s="14">
        <f>DISTRIBUSI!G283</f>
        <v>0</v>
      </c>
      <c r="BC285" s="14">
        <f>'PEMAKAIAN UNIT'!G282</f>
        <v>0</v>
      </c>
      <c r="BD285" s="14">
        <f t="shared" si="224"/>
        <v>0</v>
      </c>
      <c r="BE285" s="15">
        <f t="shared" si="225"/>
        <v>0</v>
      </c>
      <c r="BF285" s="14">
        <f t="shared" si="226"/>
        <v>0</v>
      </c>
      <c r="BG285" s="14">
        <f>DISTRIBUSI!H283</f>
        <v>0</v>
      </c>
      <c r="BH285" s="14">
        <f>'PEMAKAIAN UNIT'!H282</f>
        <v>0</v>
      </c>
      <c r="BI285" s="14">
        <f t="shared" si="227"/>
        <v>0</v>
      </c>
      <c r="BJ285" s="15">
        <f t="shared" si="228"/>
        <v>0</v>
      </c>
      <c r="BK285" s="14">
        <f t="shared" si="229"/>
        <v>0</v>
      </c>
      <c r="BL285" s="14">
        <f>DISTRIBUSI!I283</f>
        <v>0</v>
      </c>
      <c r="BM285" s="14">
        <f>'PEMAKAIAN UNIT'!I282</f>
        <v>0</v>
      </c>
      <c r="BN285" s="14">
        <f t="shared" si="230"/>
        <v>0</v>
      </c>
      <c r="BO285" s="15">
        <f t="shared" si="231"/>
        <v>0</v>
      </c>
      <c r="BP285" s="14">
        <f t="shared" si="232"/>
        <v>0</v>
      </c>
      <c r="BQ285" s="14">
        <f>DISTRIBUSI!J283</f>
        <v>0</v>
      </c>
      <c r="BR285" s="14">
        <f>'PEMAKAIAN UNIT'!J282</f>
        <v>0</v>
      </c>
      <c r="BS285" s="14">
        <f t="shared" si="233"/>
        <v>0</v>
      </c>
      <c r="BT285" s="15">
        <f t="shared" si="234"/>
        <v>0</v>
      </c>
      <c r="BU285" s="14">
        <f t="shared" si="235"/>
        <v>0</v>
      </c>
      <c r="BV285" s="14">
        <f>DISTRIBUSI!K283</f>
        <v>0</v>
      </c>
      <c r="BW285" s="14">
        <f>'PEMAKAIAN UNIT'!K282</f>
        <v>0</v>
      </c>
      <c r="BX285" s="14">
        <f t="shared" si="236"/>
        <v>0</v>
      </c>
      <c r="BY285" s="15">
        <f t="shared" si="237"/>
        <v>0</v>
      </c>
      <c r="BZ285" s="14">
        <f t="shared" si="238"/>
        <v>0</v>
      </c>
      <c r="CA285" s="14">
        <f>DISTRIBUSI!L283</f>
        <v>0</v>
      </c>
      <c r="CB285" s="14">
        <f>'PEMAKAIAN UNIT'!L282</f>
        <v>0</v>
      </c>
      <c r="CC285" s="14">
        <f t="shared" si="239"/>
        <v>0</v>
      </c>
      <c r="CD285" s="15">
        <f t="shared" si="240"/>
        <v>0</v>
      </c>
      <c r="CE285" s="14">
        <f t="shared" si="241"/>
        <v>0</v>
      </c>
      <c r="CF285" s="14">
        <f>DISTRIBUSI!M283</f>
        <v>0</v>
      </c>
      <c r="CG285" s="14">
        <f>'PEMAKAIAN UNIT'!M282</f>
        <v>0</v>
      </c>
      <c r="CH285" s="14">
        <f t="shared" si="242"/>
        <v>0</v>
      </c>
      <c r="CI285" s="15">
        <f t="shared" si="243"/>
        <v>0</v>
      </c>
      <c r="CJ285" s="14">
        <f t="shared" si="244"/>
        <v>0</v>
      </c>
      <c r="CK285" s="14" t="e">
        <f>DISTRIBUSI!#REF!</f>
        <v>#REF!</v>
      </c>
      <c r="CL285" s="14">
        <f>'PEMAKAIAN UNIT'!N282</f>
        <v>0</v>
      </c>
      <c r="CM285" s="14" t="e">
        <f t="shared" si="245"/>
        <v>#REF!</v>
      </c>
      <c r="CN285" s="15" t="e">
        <f t="shared" si="246"/>
        <v>#REF!</v>
      </c>
      <c r="CO285" s="14" t="e">
        <f>DL285+DISTRIBUSI!#REF!-'PEMAKAIAN UNIT'!O282</f>
        <v>#REF!</v>
      </c>
      <c r="CP285" s="15" t="e">
        <f t="shared" si="247"/>
        <v>#REF!</v>
      </c>
      <c r="CQ285" s="226">
        <f t="shared" si="248"/>
        <v>0</v>
      </c>
      <c r="CR285" s="226">
        <f>DISTRIBUSI!R283</f>
        <v>0</v>
      </c>
      <c r="CS285" s="226">
        <f>'PEMAKAIAN UNIT'!P282</f>
        <v>0</v>
      </c>
      <c r="CT285" s="14">
        <f t="shared" si="249"/>
        <v>0</v>
      </c>
      <c r="CU285" s="15">
        <f t="shared" si="250"/>
        <v>0</v>
      </c>
      <c r="CV285" s="14" t="e">
        <f>DN285+DISTRIBUSI!#REF!-'PEMAKAIAN UNIT'!Q282</f>
        <v>#REF!</v>
      </c>
      <c r="CW285" s="15" t="e">
        <f t="shared" si="251"/>
        <v>#REF!</v>
      </c>
      <c r="CX285" s="14">
        <f>DO285+'LPLPO PROGRAM'!E114-'LPLPO PROGRAM'!G114</f>
        <v>0</v>
      </c>
      <c r="CY285" s="15">
        <f t="shared" si="252"/>
        <v>0</v>
      </c>
      <c r="CZ285" s="21"/>
      <c r="DA285" s="14">
        <v>0</v>
      </c>
      <c r="DB285" s="14">
        <v>0</v>
      </c>
      <c r="DC285" s="14">
        <v>0</v>
      </c>
      <c r="DD285" s="14">
        <v>0</v>
      </c>
      <c r="DE285" s="14">
        <v>0</v>
      </c>
      <c r="DF285" s="14">
        <v>0</v>
      </c>
      <c r="DG285" s="14">
        <v>0</v>
      </c>
      <c r="DH285" s="14">
        <v>0</v>
      </c>
      <c r="DI285" s="14">
        <v>0</v>
      </c>
      <c r="DJ285" s="14">
        <v>0</v>
      </c>
      <c r="DK285" s="14">
        <v>0</v>
      </c>
      <c r="DL285" s="14">
        <v>0</v>
      </c>
      <c r="DM285" s="14">
        <v>0</v>
      </c>
      <c r="DN285" s="14">
        <v>0</v>
      </c>
      <c r="DO285" s="14">
        <v>0</v>
      </c>
      <c r="DP285" s="13">
        <f t="shared" si="211"/>
        <v>0</v>
      </c>
      <c r="DU285" s="20" t="e">
        <f t="shared" si="259"/>
        <v>#REF!</v>
      </c>
    </row>
    <row r="286" spans="1:125" customFormat="1" ht="15.5" x14ac:dyDescent="0.35">
      <c r="A286" s="205">
        <v>102</v>
      </c>
      <c r="B286" s="180"/>
      <c r="C286" s="144"/>
      <c r="D286" s="14">
        <v>0</v>
      </c>
      <c r="E286" s="254">
        <f>'LPLPO PROGRAM'!E115</f>
        <v>0</v>
      </c>
      <c r="F286" s="254">
        <f t="shared" si="253"/>
        <v>0</v>
      </c>
      <c r="G286" s="254">
        <f>'PEMAKAIAN UNIT'!R283</f>
        <v>0</v>
      </c>
      <c r="H286" s="14">
        <v>0</v>
      </c>
      <c r="I286" s="14">
        <v>0</v>
      </c>
      <c r="J286" s="14">
        <v>0</v>
      </c>
      <c r="K286" s="14"/>
      <c r="L286" s="14"/>
      <c r="M286" s="14"/>
      <c r="N286" s="14"/>
      <c r="O286" s="14"/>
      <c r="P286" s="14"/>
      <c r="Q286" s="14"/>
      <c r="R286" s="14"/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09">
        <f t="shared" si="254"/>
        <v>0</v>
      </c>
      <c r="Z286" s="109" t="e">
        <f t="shared" si="255"/>
        <v>#REF!</v>
      </c>
      <c r="AA286" s="109" t="e">
        <f t="shared" si="256"/>
        <v>#REF!</v>
      </c>
      <c r="AB286" s="14">
        <v>0</v>
      </c>
      <c r="AC286" s="109" t="e">
        <f t="shared" si="257"/>
        <v>#REF!</v>
      </c>
      <c r="AD286" s="109">
        <f>'LPLPO PROGRAM'!H115</f>
        <v>0</v>
      </c>
      <c r="AE286" s="111" t="e">
        <f t="shared" si="258"/>
        <v>#REF!</v>
      </c>
      <c r="AF286" s="212"/>
      <c r="AG286" s="212"/>
      <c r="AI286" s="14">
        <f t="shared" si="212"/>
        <v>0</v>
      </c>
      <c r="AJ286" s="209" t="e">
        <f t="shared" si="213"/>
        <v>#REF!</v>
      </c>
      <c r="AL286" s="14">
        <f t="shared" si="214"/>
        <v>0</v>
      </c>
      <c r="AM286" s="14">
        <f>DISTRIBUSI!D284</f>
        <v>0</v>
      </c>
      <c r="AN286" s="14">
        <f>'PEMAKAIAN UNIT'!D283</f>
        <v>0</v>
      </c>
      <c r="AO286" s="14">
        <f t="shared" si="215"/>
        <v>0</v>
      </c>
      <c r="AP286" s="15">
        <f t="shared" si="216"/>
        <v>0</v>
      </c>
      <c r="AQ286" s="14">
        <f t="shared" si="217"/>
        <v>0</v>
      </c>
      <c r="AR286" s="14">
        <f>DISTRIBUSI!E284</f>
        <v>0</v>
      </c>
      <c r="AS286" s="14">
        <f>'PEMAKAIAN UNIT'!E283</f>
        <v>0</v>
      </c>
      <c r="AT286" s="14">
        <f t="shared" si="218"/>
        <v>0</v>
      </c>
      <c r="AU286" s="15">
        <f t="shared" si="219"/>
        <v>0</v>
      </c>
      <c r="AV286" s="14">
        <f t="shared" si="220"/>
        <v>0</v>
      </c>
      <c r="AW286" s="14">
        <f>DISTRIBUSI!F284</f>
        <v>0</v>
      </c>
      <c r="AX286" s="14">
        <f>'PEMAKAIAN UNIT'!F283</f>
        <v>0</v>
      </c>
      <c r="AY286" s="14">
        <f t="shared" si="221"/>
        <v>0</v>
      </c>
      <c r="AZ286" s="15">
        <f t="shared" si="222"/>
        <v>0</v>
      </c>
      <c r="BA286" s="14">
        <f t="shared" si="223"/>
        <v>0</v>
      </c>
      <c r="BB286" s="14">
        <f>DISTRIBUSI!G284</f>
        <v>0</v>
      </c>
      <c r="BC286" s="14">
        <f>'PEMAKAIAN UNIT'!G283</f>
        <v>0</v>
      </c>
      <c r="BD286" s="14">
        <f t="shared" si="224"/>
        <v>0</v>
      </c>
      <c r="BE286" s="15">
        <f t="shared" si="225"/>
        <v>0</v>
      </c>
      <c r="BF286" s="14">
        <f t="shared" si="226"/>
        <v>0</v>
      </c>
      <c r="BG286" s="14">
        <f>DISTRIBUSI!H284</f>
        <v>0</v>
      </c>
      <c r="BH286" s="14">
        <f>'PEMAKAIAN UNIT'!H283</f>
        <v>0</v>
      </c>
      <c r="BI286" s="14">
        <f t="shared" si="227"/>
        <v>0</v>
      </c>
      <c r="BJ286" s="15">
        <f t="shared" si="228"/>
        <v>0</v>
      </c>
      <c r="BK286" s="14">
        <f t="shared" si="229"/>
        <v>0</v>
      </c>
      <c r="BL286" s="14">
        <f>DISTRIBUSI!I284</f>
        <v>0</v>
      </c>
      <c r="BM286" s="14">
        <f>'PEMAKAIAN UNIT'!I283</f>
        <v>0</v>
      </c>
      <c r="BN286" s="14">
        <f t="shared" si="230"/>
        <v>0</v>
      </c>
      <c r="BO286" s="15">
        <f t="shared" si="231"/>
        <v>0</v>
      </c>
      <c r="BP286" s="14">
        <f t="shared" si="232"/>
        <v>0</v>
      </c>
      <c r="BQ286" s="14">
        <f>DISTRIBUSI!J284</f>
        <v>0</v>
      </c>
      <c r="BR286" s="14">
        <f>'PEMAKAIAN UNIT'!J283</f>
        <v>0</v>
      </c>
      <c r="BS286" s="14">
        <f t="shared" si="233"/>
        <v>0</v>
      </c>
      <c r="BT286" s="15">
        <f t="shared" si="234"/>
        <v>0</v>
      </c>
      <c r="BU286" s="14">
        <f t="shared" si="235"/>
        <v>0</v>
      </c>
      <c r="BV286" s="14">
        <f>DISTRIBUSI!K284</f>
        <v>0</v>
      </c>
      <c r="BW286" s="14">
        <f>'PEMAKAIAN UNIT'!K283</f>
        <v>0</v>
      </c>
      <c r="BX286" s="14">
        <f t="shared" si="236"/>
        <v>0</v>
      </c>
      <c r="BY286" s="15">
        <f t="shared" si="237"/>
        <v>0</v>
      </c>
      <c r="BZ286" s="14">
        <f t="shared" si="238"/>
        <v>0</v>
      </c>
      <c r="CA286" s="14">
        <f>DISTRIBUSI!L284</f>
        <v>0</v>
      </c>
      <c r="CB286" s="14">
        <f>'PEMAKAIAN UNIT'!L283</f>
        <v>0</v>
      </c>
      <c r="CC286" s="14">
        <f t="shared" si="239"/>
        <v>0</v>
      </c>
      <c r="CD286" s="15">
        <f t="shared" si="240"/>
        <v>0</v>
      </c>
      <c r="CE286" s="14">
        <f t="shared" si="241"/>
        <v>0</v>
      </c>
      <c r="CF286" s="14">
        <f>DISTRIBUSI!M284</f>
        <v>0</v>
      </c>
      <c r="CG286" s="14">
        <f>'PEMAKAIAN UNIT'!M283</f>
        <v>0</v>
      </c>
      <c r="CH286" s="14">
        <f t="shared" si="242"/>
        <v>0</v>
      </c>
      <c r="CI286" s="15">
        <f t="shared" si="243"/>
        <v>0</v>
      </c>
      <c r="CJ286" s="14">
        <f t="shared" si="244"/>
        <v>0</v>
      </c>
      <c r="CK286" s="14" t="e">
        <f>DISTRIBUSI!#REF!</f>
        <v>#REF!</v>
      </c>
      <c r="CL286" s="14">
        <f>'PEMAKAIAN UNIT'!N283</f>
        <v>0</v>
      </c>
      <c r="CM286" s="14" t="e">
        <f t="shared" si="245"/>
        <v>#REF!</v>
      </c>
      <c r="CN286" s="15" t="e">
        <f t="shared" si="246"/>
        <v>#REF!</v>
      </c>
      <c r="CO286" s="14" t="e">
        <f>DL286+DISTRIBUSI!#REF!-'PEMAKAIAN UNIT'!O283</f>
        <v>#REF!</v>
      </c>
      <c r="CP286" s="15" t="e">
        <f t="shared" si="247"/>
        <v>#REF!</v>
      </c>
      <c r="CQ286" s="226">
        <f t="shared" si="248"/>
        <v>0</v>
      </c>
      <c r="CR286" s="226">
        <f>DISTRIBUSI!R284</f>
        <v>0</v>
      </c>
      <c r="CS286" s="226">
        <f>'PEMAKAIAN UNIT'!P283</f>
        <v>0</v>
      </c>
      <c r="CT286" s="14">
        <f t="shared" si="249"/>
        <v>0</v>
      </c>
      <c r="CU286" s="15">
        <f t="shared" si="250"/>
        <v>0</v>
      </c>
      <c r="CV286" s="14" t="e">
        <f>DN286+DISTRIBUSI!#REF!-'PEMAKAIAN UNIT'!Q283</f>
        <v>#REF!</v>
      </c>
      <c r="CW286" s="15" t="e">
        <f t="shared" si="251"/>
        <v>#REF!</v>
      </c>
      <c r="CX286" s="14">
        <f>DO286+'LPLPO PROGRAM'!E115-'LPLPO PROGRAM'!G115</f>
        <v>0</v>
      </c>
      <c r="CY286" s="15">
        <f t="shared" si="252"/>
        <v>0</v>
      </c>
      <c r="CZ286" s="21"/>
      <c r="DA286" s="14">
        <v>0</v>
      </c>
      <c r="DB286" s="14">
        <v>0</v>
      </c>
      <c r="DC286" s="14">
        <v>0</v>
      </c>
      <c r="DD286" s="14">
        <v>0</v>
      </c>
      <c r="DE286" s="14">
        <v>0</v>
      </c>
      <c r="DF286" s="14">
        <v>0</v>
      </c>
      <c r="DG286" s="14">
        <v>0</v>
      </c>
      <c r="DH286" s="14">
        <v>0</v>
      </c>
      <c r="DI286" s="14">
        <v>0</v>
      </c>
      <c r="DJ286" s="14">
        <v>0</v>
      </c>
      <c r="DK286" s="14">
        <v>0</v>
      </c>
      <c r="DL286" s="14">
        <v>0</v>
      </c>
      <c r="DM286" s="14">
        <v>0</v>
      </c>
      <c r="DN286" s="14">
        <v>0</v>
      </c>
      <c r="DO286" s="14">
        <v>0</v>
      </c>
      <c r="DP286" s="13">
        <f t="shared" si="211"/>
        <v>0</v>
      </c>
      <c r="DU286" s="20" t="e">
        <f t="shared" si="259"/>
        <v>#REF!</v>
      </c>
    </row>
    <row r="287" spans="1:125" customFormat="1" ht="15.5" x14ac:dyDescent="0.35">
      <c r="A287" s="205">
        <v>103</v>
      </c>
      <c r="B287" s="180"/>
      <c r="C287" s="144"/>
      <c r="D287" s="14">
        <v>0</v>
      </c>
      <c r="E287" s="254">
        <f>'LPLPO PROGRAM'!E116</f>
        <v>0</v>
      </c>
      <c r="F287" s="254">
        <f t="shared" si="253"/>
        <v>0</v>
      </c>
      <c r="G287" s="254">
        <f>'PEMAKAIAN UNIT'!R284</f>
        <v>0</v>
      </c>
      <c r="H287" s="14">
        <v>0</v>
      </c>
      <c r="I287" s="14">
        <v>0</v>
      </c>
      <c r="J287" s="14">
        <v>0</v>
      </c>
      <c r="K287" s="14"/>
      <c r="L287" s="14"/>
      <c r="M287" s="14"/>
      <c r="N287" s="14"/>
      <c r="O287" s="14"/>
      <c r="P287" s="14"/>
      <c r="Q287" s="14"/>
      <c r="R287" s="14"/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09">
        <f t="shared" si="254"/>
        <v>0</v>
      </c>
      <c r="Z287" s="109" t="e">
        <f t="shared" si="255"/>
        <v>#REF!</v>
      </c>
      <c r="AA287" s="109" t="e">
        <f t="shared" si="256"/>
        <v>#REF!</v>
      </c>
      <c r="AB287" s="14">
        <v>0</v>
      </c>
      <c r="AC287" s="109" t="e">
        <f t="shared" si="257"/>
        <v>#REF!</v>
      </c>
      <c r="AD287" s="109">
        <f>'LPLPO PROGRAM'!H116</f>
        <v>0</v>
      </c>
      <c r="AE287" s="111" t="e">
        <f t="shared" si="258"/>
        <v>#REF!</v>
      </c>
      <c r="AF287" s="212"/>
      <c r="AG287" s="212"/>
      <c r="AI287" s="14">
        <f t="shared" si="212"/>
        <v>0</v>
      </c>
      <c r="AJ287" s="209" t="e">
        <f t="shared" si="213"/>
        <v>#REF!</v>
      </c>
      <c r="AL287" s="14">
        <f t="shared" si="214"/>
        <v>0</v>
      </c>
      <c r="AM287" s="14">
        <f>DISTRIBUSI!D285</f>
        <v>0</v>
      </c>
      <c r="AN287" s="14">
        <f>'PEMAKAIAN UNIT'!D284</f>
        <v>0</v>
      </c>
      <c r="AO287" s="14">
        <f t="shared" si="215"/>
        <v>0</v>
      </c>
      <c r="AP287" s="15">
        <f t="shared" si="216"/>
        <v>0</v>
      </c>
      <c r="AQ287" s="14">
        <f t="shared" si="217"/>
        <v>0</v>
      </c>
      <c r="AR287" s="14">
        <f>DISTRIBUSI!E285</f>
        <v>0</v>
      </c>
      <c r="AS287" s="14">
        <f>'PEMAKAIAN UNIT'!E284</f>
        <v>0</v>
      </c>
      <c r="AT287" s="14">
        <f t="shared" si="218"/>
        <v>0</v>
      </c>
      <c r="AU287" s="15">
        <f t="shared" si="219"/>
        <v>0</v>
      </c>
      <c r="AV287" s="14">
        <f t="shared" si="220"/>
        <v>0</v>
      </c>
      <c r="AW287" s="14">
        <f>DISTRIBUSI!F285</f>
        <v>0</v>
      </c>
      <c r="AX287" s="14">
        <f>'PEMAKAIAN UNIT'!F284</f>
        <v>0</v>
      </c>
      <c r="AY287" s="14">
        <f t="shared" si="221"/>
        <v>0</v>
      </c>
      <c r="AZ287" s="15">
        <f t="shared" si="222"/>
        <v>0</v>
      </c>
      <c r="BA287" s="14">
        <f t="shared" si="223"/>
        <v>0</v>
      </c>
      <c r="BB287" s="14">
        <f>DISTRIBUSI!G285</f>
        <v>0</v>
      </c>
      <c r="BC287" s="14">
        <f>'PEMAKAIAN UNIT'!G284</f>
        <v>0</v>
      </c>
      <c r="BD287" s="14">
        <f t="shared" si="224"/>
        <v>0</v>
      </c>
      <c r="BE287" s="15">
        <f t="shared" si="225"/>
        <v>0</v>
      </c>
      <c r="BF287" s="14">
        <f t="shared" si="226"/>
        <v>0</v>
      </c>
      <c r="BG287" s="14">
        <f>DISTRIBUSI!H285</f>
        <v>0</v>
      </c>
      <c r="BH287" s="14">
        <f>'PEMAKAIAN UNIT'!H284</f>
        <v>0</v>
      </c>
      <c r="BI287" s="14">
        <f t="shared" si="227"/>
        <v>0</v>
      </c>
      <c r="BJ287" s="15">
        <f t="shared" si="228"/>
        <v>0</v>
      </c>
      <c r="BK287" s="14">
        <f t="shared" si="229"/>
        <v>0</v>
      </c>
      <c r="BL287" s="14">
        <f>DISTRIBUSI!I285</f>
        <v>0</v>
      </c>
      <c r="BM287" s="14">
        <f>'PEMAKAIAN UNIT'!I284</f>
        <v>0</v>
      </c>
      <c r="BN287" s="14">
        <f t="shared" si="230"/>
        <v>0</v>
      </c>
      <c r="BO287" s="15">
        <f t="shared" si="231"/>
        <v>0</v>
      </c>
      <c r="BP287" s="14">
        <f t="shared" si="232"/>
        <v>0</v>
      </c>
      <c r="BQ287" s="14">
        <f>DISTRIBUSI!J285</f>
        <v>0</v>
      </c>
      <c r="BR287" s="14">
        <f>'PEMAKAIAN UNIT'!J284</f>
        <v>0</v>
      </c>
      <c r="BS287" s="14">
        <f t="shared" si="233"/>
        <v>0</v>
      </c>
      <c r="BT287" s="15">
        <f t="shared" si="234"/>
        <v>0</v>
      </c>
      <c r="BU287" s="14">
        <f t="shared" si="235"/>
        <v>0</v>
      </c>
      <c r="BV287" s="14">
        <f>DISTRIBUSI!K285</f>
        <v>0</v>
      </c>
      <c r="BW287" s="14">
        <f>'PEMAKAIAN UNIT'!K284</f>
        <v>0</v>
      </c>
      <c r="BX287" s="14">
        <f t="shared" si="236"/>
        <v>0</v>
      </c>
      <c r="BY287" s="15">
        <f t="shared" si="237"/>
        <v>0</v>
      </c>
      <c r="BZ287" s="14">
        <f t="shared" si="238"/>
        <v>0</v>
      </c>
      <c r="CA287" s="14">
        <f>DISTRIBUSI!L285</f>
        <v>0</v>
      </c>
      <c r="CB287" s="14">
        <f>'PEMAKAIAN UNIT'!L284</f>
        <v>0</v>
      </c>
      <c r="CC287" s="14">
        <f t="shared" si="239"/>
        <v>0</v>
      </c>
      <c r="CD287" s="15">
        <f t="shared" si="240"/>
        <v>0</v>
      </c>
      <c r="CE287" s="14">
        <f t="shared" si="241"/>
        <v>0</v>
      </c>
      <c r="CF287" s="14">
        <f>DISTRIBUSI!M285</f>
        <v>0</v>
      </c>
      <c r="CG287" s="14">
        <f>'PEMAKAIAN UNIT'!M284</f>
        <v>0</v>
      </c>
      <c r="CH287" s="14">
        <f t="shared" si="242"/>
        <v>0</v>
      </c>
      <c r="CI287" s="15">
        <f t="shared" si="243"/>
        <v>0</v>
      </c>
      <c r="CJ287" s="14">
        <f t="shared" si="244"/>
        <v>0</v>
      </c>
      <c r="CK287" s="14" t="e">
        <f>DISTRIBUSI!#REF!</f>
        <v>#REF!</v>
      </c>
      <c r="CL287" s="14">
        <f>'PEMAKAIAN UNIT'!N284</f>
        <v>0</v>
      </c>
      <c r="CM287" s="14" t="e">
        <f t="shared" si="245"/>
        <v>#REF!</v>
      </c>
      <c r="CN287" s="15" t="e">
        <f t="shared" si="246"/>
        <v>#REF!</v>
      </c>
      <c r="CO287" s="14" t="e">
        <f>DL287+DISTRIBUSI!#REF!-'PEMAKAIAN UNIT'!O284</f>
        <v>#REF!</v>
      </c>
      <c r="CP287" s="15" t="e">
        <f t="shared" si="247"/>
        <v>#REF!</v>
      </c>
      <c r="CQ287" s="226">
        <f t="shared" si="248"/>
        <v>0</v>
      </c>
      <c r="CR287" s="226">
        <f>DISTRIBUSI!R285</f>
        <v>0</v>
      </c>
      <c r="CS287" s="226">
        <f>'PEMAKAIAN UNIT'!P284</f>
        <v>0</v>
      </c>
      <c r="CT287" s="14">
        <f t="shared" si="249"/>
        <v>0</v>
      </c>
      <c r="CU287" s="15">
        <f t="shared" si="250"/>
        <v>0</v>
      </c>
      <c r="CV287" s="14" t="e">
        <f>DN287+DISTRIBUSI!#REF!-'PEMAKAIAN UNIT'!Q284</f>
        <v>#REF!</v>
      </c>
      <c r="CW287" s="15" t="e">
        <f t="shared" si="251"/>
        <v>#REF!</v>
      </c>
      <c r="CX287" s="14">
        <f>DO287+'LPLPO PROGRAM'!E116-'LPLPO PROGRAM'!G116</f>
        <v>0</v>
      </c>
      <c r="CY287" s="15">
        <f t="shared" si="252"/>
        <v>0</v>
      </c>
      <c r="CZ287" s="21"/>
      <c r="DA287" s="14">
        <v>0</v>
      </c>
      <c r="DB287" s="14">
        <v>0</v>
      </c>
      <c r="DC287" s="14">
        <v>0</v>
      </c>
      <c r="DD287" s="14">
        <v>0</v>
      </c>
      <c r="DE287" s="14">
        <v>0</v>
      </c>
      <c r="DF287" s="14">
        <v>0</v>
      </c>
      <c r="DG287" s="14">
        <v>0</v>
      </c>
      <c r="DH287" s="14">
        <v>0</v>
      </c>
      <c r="DI287" s="14">
        <v>0</v>
      </c>
      <c r="DJ287" s="14">
        <v>0</v>
      </c>
      <c r="DK287" s="14">
        <v>0</v>
      </c>
      <c r="DL287" s="14">
        <v>0</v>
      </c>
      <c r="DM287" s="14">
        <v>0</v>
      </c>
      <c r="DN287" s="14">
        <v>0</v>
      </c>
      <c r="DO287" s="14">
        <v>0</v>
      </c>
      <c r="DP287" s="13">
        <f t="shared" si="211"/>
        <v>0</v>
      </c>
      <c r="DU287" s="20" t="e">
        <f t="shared" si="259"/>
        <v>#REF!</v>
      </c>
    </row>
    <row r="288" spans="1:125" customFormat="1" ht="15.5" x14ac:dyDescent="0.35">
      <c r="A288" s="205">
        <v>104</v>
      </c>
      <c r="B288" s="180"/>
      <c r="C288" s="144"/>
      <c r="D288" s="14">
        <v>0</v>
      </c>
      <c r="E288" s="254">
        <f>'LPLPO PROGRAM'!E117</f>
        <v>0</v>
      </c>
      <c r="F288" s="254">
        <f t="shared" si="253"/>
        <v>0</v>
      </c>
      <c r="G288" s="254">
        <f>'PEMAKAIAN UNIT'!R285</f>
        <v>0</v>
      </c>
      <c r="H288" s="14">
        <v>0</v>
      </c>
      <c r="I288" s="14">
        <v>0</v>
      </c>
      <c r="J288" s="14">
        <v>0</v>
      </c>
      <c r="K288" s="14"/>
      <c r="L288" s="14"/>
      <c r="M288" s="14"/>
      <c r="N288" s="14"/>
      <c r="O288" s="14"/>
      <c r="P288" s="14"/>
      <c r="Q288" s="14"/>
      <c r="R288" s="14"/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09">
        <f t="shared" si="254"/>
        <v>0</v>
      </c>
      <c r="Z288" s="109" t="e">
        <f t="shared" si="255"/>
        <v>#REF!</v>
      </c>
      <c r="AA288" s="109" t="e">
        <f t="shared" si="256"/>
        <v>#REF!</v>
      </c>
      <c r="AB288" s="14">
        <v>0</v>
      </c>
      <c r="AC288" s="109" t="e">
        <f t="shared" si="257"/>
        <v>#REF!</v>
      </c>
      <c r="AD288" s="109">
        <f>'LPLPO PROGRAM'!H117</f>
        <v>0</v>
      </c>
      <c r="AE288" s="111" t="e">
        <f t="shared" si="258"/>
        <v>#REF!</v>
      </c>
      <c r="AF288" s="212"/>
      <c r="AG288" s="212"/>
      <c r="AI288" s="14">
        <f t="shared" si="212"/>
        <v>0</v>
      </c>
      <c r="AJ288" s="209" t="e">
        <f t="shared" si="213"/>
        <v>#REF!</v>
      </c>
      <c r="AL288" s="14">
        <f t="shared" si="214"/>
        <v>0</v>
      </c>
      <c r="AM288" s="14">
        <f>DISTRIBUSI!D286</f>
        <v>0</v>
      </c>
      <c r="AN288" s="14">
        <f>'PEMAKAIAN UNIT'!D285</f>
        <v>0</v>
      </c>
      <c r="AO288" s="14">
        <f t="shared" si="215"/>
        <v>0</v>
      </c>
      <c r="AP288" s="15">
        <f t="shared" si="216"/>
        <v>0</v>
      </c>
      <c r="AQ288" s="14">
        <f t="shared" si="217"/>
        <v>0</v>
      </c>
      <c r="AR288" s="14">
        <f>DISTRIBUSI!E286</f>
        <v>0</v>
      </c>
      <c r="AS288" s="14">
        <f>'PEMAKAIAN UNIT'!E285</f>
        <v>0</v>
      </c>
      <c r="AT288" s="14">
        <f t="shared" si="218"/>
        <v>0</v>
      </c>
      <c r="AU288" s="15">
        <f t="shared" si="219"/>
        <v>0</v>
      </c>
      <c r="AV288" s="14">
        <f t="shared" si="220"/>
        <v>0</v>
      </c>
      <c r="AW288" s="14">
        <f>DISTRIBUSI!F286</f>
        <v>0</v>
      </c>
      <c r="AX288" s="14">
        <f>'PEMAKAIAN UNIT'!F285</f>
        <v>0</v>
      </c>
      <c r="AY288" s="14">
        <f t="shared" si="221"/>
        <v>0</v>
      </c>
      <c r="AZ288" s="15">
        <f t="shared" si="222"/>
        <v>0</v>
      </c>
      <c r="BA288" s="14">
        <f t="shared" si="223"/>
        <v>0</v>
      </c>
      <c r="BB288" s="14">
        <f>DISTRIBUSI!G286</f>
        <v>0</v>
      </c>
      <c r="BC288" s="14">
        <f>'PEMAKAIAN UNIT'!G285</f>
        <v>0</v>
      </c>
      <c r="BD288" s="14">
        <f t="shared" si="224"/>
        <v>0</v>
      </c>
      <c r="BE288" s="15">
        <f t="shared" si="225"/>
        <v>0</v>
      </c>
      <c r="BF288" s="14">
        <f t="shared" si="226"/>
        <v>0</v>
      </c>
      <c r="BG288" s="14">
        <f>DISTRIBUSI!H286</f>
        <v>0</v>
      </c>
      <c r="BH288" s="14">
        <f>'PEMAKAIAN UNIT'!H285</f>
        <v>0</v>
      </c>
      <c r="BI288" s="14">
        <f t="shared" si="227"/>
        <v>0</v>
      </c>
      <c r="BJ288" s="15">
        <f t="shared" si="228"/>
        <v>0</v>
      </c>
      <c r="BK288" s="14">
        <f t="shared" si="229"/>
        <v>0</v>
      </c>
      <c r="BL288" s="14">
        <f>DISTRIBUSI!I286</f>
        <v>0</v>
      </c>
      <c r="BM288" s="14">
        <f>'PEMAKAIAN UNIT'!I285</f>
        <v>0</v>
      </c>
      <c r="BN288" s="14">
        <f t="shared" si="230"/>
        <v>0</v>
      </c>
      <c r="BO288" s="15">
        <f t="shared" si="231"/>
        <v>0</v>
      </c>
      <c r="BP288" s="14">
        <f t="shared" si="232"/>
        <v>0</v>
      </c>
      <c r="BQ288" s="14">
        <f>DISTRIBUSI!J286</f>
        <v>0</v>
      </c>
      <c r="BR288" s="14">
        <f>'PEMAKAIAN UNIT'!J285</f>
        <v>0</v>
      </c>
      <c r="BS288" s="14">
        <f t="shared" si="233"/>
        <v>0</v>
      </c>
      <c r="BT288" s="15">
        <f t="shared" si="234"/>
        <v>0</v>
      </c>
      <c r="BU288" s="14">
        <f t="shared" si="235"/>
        <v>0</v>
      </c>
      <c r="BV288" s="14">
        <f>DISTRIBUSI!K286</f>
        <v>0</v>
      </c>
      <c r="BW288" s="14">
        <f>'PEMAKAIAN UNIT'!K285</f>
        <v>0</v>
      </c>
      <c r="BX288" s="14">
        <f t="shared" si="236"/>
        <v>0</v>
      </c>
      <c r="BY288" s="15">
        <f t="shared" si="237"/>
        <v>0</v>
      </c>
      <c r="BZ288" s="14">
        <f t="shared" si="238"/>
        <v>0</v>
      </c>
      <c r="CA288" s="14">
        <f>DISTRIBUSI!L286</f>
        <v>0</v>
      </c>
      <c r="CB288" s="14">
        <f>'PEMAKAIAN UNIT'!L285</f>
        <v>0</v>
      </c>
      <c r="CC288" s="14">
        <f t="shared" si="239"/>
        <v>0</v>
      </c>
      <c r="CD288" s="15">
        <f t="shared" si="240"/>
        <v>0</v>
      </c>
      <c r="CE288" s="14">
        <f t="shared" si="241"/>
        <v>0</v>
      </c>
      <c r="CF288" s="14">
        <f>DISTRIBUSI!M286</f>
        <v>0</v>
      </c>
      <c r="CG288" s="14">
        <f>'PEMAKAIAN UNIT'!M285</f>
        <v>0</v>
      </c>
      <c r="CH288" s="14">
        <f t="shared" si="242"/>
        <v>0</v>
      </c>
      <c r="CI288" s="15">
        <f t="shared" si="243"/>
        <v>0</v>
      </c>
      <c r="CJ288" s="14">
        <f t="shared" si="244"/>
        <v>0</v>
      </c>
      <c r="CK288" s="14" t="e">
        <f>DISTRIBUSI!#REF!</f>
        <v>#REF!</v>
      </c>
      <c r="CL288" s="14">
        <f>'PEMAKAIAN UNIT'!N285</f>
        <v>0</v>
      </c>
      <c r="CM288" s="14" t="e">
        <f t="shared" si="245"/>
        <v>#REF!</v>
      </c>
      <c r="CN288" s="15" t="e">
        <f t="shared" si="246"/>
        <v>#REF!</v>
      </c>
      <c r="CO288" s="14" t="e">
        <f>DL288+DISTRIBUSI!#REF!-'PEMAKAIAN UNIT'!O285</f>
        <v>#REF!</v>
      </c>
      <c r="CP288" s="15" t="e">
        <f t="shared" si="247"/>
        <v>#REF!</v>
      </c>
      <c r="CQ288" s="226">
        <f t="shared" si="248"/>
        <v>0</v>
      </c>
      <c r="CR288" s="226">
        <f>DISTRIBUSI!R286</f>
        <v>0</v>
      </c>
      <c r="CS288" s="226">
        <f>'PEMAKAIAN UNIT'!P285</f>
        <v>0</v>
      </c>
      <c r="CT288" s="14">
        <f t="shared" si="249"/>
        <v>0</v>
      </c>
      <c r="CU288" s="15">
        <f t="shared" si="250"/>
        <v>0</v>
      </c>
      <c r="CV288" s="14" t="e">
        <f>DN288+DISTRIBUSI!#REF!-'PEMAKAIAN UNIT'!Q285</f>
        <v>#REF!</v>
      </c>
      <c r="CW288" s="15" t="e">
        <f t="shared" si="251"/>
        <v>#REF!</v>
      </c>
      <c r="CX288" s="14">
        <f>DO288+'LPLPO PROGRAM'!E117-'LPLPO PROGRAM'!G117</f>
        <v>0</v>
      </c>
      <c r="CY288" s="15">
        <f t="shared" si="252"/>
        <v>0</v>
      </c>
      <c r="CZ288" s="21"/>
      <c r="DA288" s="14">
        <v>0</v>
      </c>
      <c r="DB288" s="14">
        <v>0</v>
      </c>
      <c r="DC288" s="14">
        <v>0</v>
      </c>
      <c r="DD288" s="14">
        <v>0</v>
      </c>
      <c r="DE288" s="14">
        <v>0</v>
      </c>
      <c r="DF288" s="14">
        <v>0</v>
      </c>
      <c r="DG288" s="14">
        <v>0</v>
      </c>
      <c r="DH288" s="14">
        <v>0</v>
      </c>
      <c r="DI288" s="14">
        <v>0</v>
      </c>
      <c r="DJ288" s="14">
        <v>0</v>
      </c>
      <c r="DK288" s="14">
        <v>0</v>
      </c>
      <c r="DL288" s="14">
        <v>0</v>
      </c>
      <c r="DM288" s="14">
        <v>0</v>
      </c>
      <c r="DN288" s="14">
        <v>0</v>
      </c>
      <c r="DO288" s="14">
        <v>0</v>
      </c>
      <c r="DP288" s="13">
        <f t="shared" si="211"/>
        <v>0</v>
      </c>
      <c r="DU288" s="20" t="e">
        <f t="shared" si="259"/>
        <v>#REF!</v>
      </c>
    </row>
    <row r="289" spans="1:125" ht="15.5" x14ac:dyDescent="0.35">
      <c r="A289" s="204">
        <v>105</v>
      </c>
      <c r="B289" s="189" t="s">
        <v>216</v>
      </c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212"/>
      <c r="AG289" s="212"/>
      <c r="AI289" s="14">
        <f t="shared" ref="AI289:AI337" si="260">F289-G289</f>
        <v>0</v>
      </c>
      <c r="AJ289" s="209">
        <f t="shared" ref="AJ289:AJ337" si="261">AE289-AI289</f>
        <v>0</v>
      </c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  <c r="AW289" s="146"/>
      <c r="AX289" s="146"/>
      <c r="AY289" s="146"/>
      <c r="AZ289" s="146"/>
      <c r="BA289" s="146"/>
      <c r="BB289" s="146"/>
      <c r="BC289" s="146"/>
      <c r="BD289" s="146"/>
      <c r="BE289" s="146"/>
      <c r="BF289" s="146"/>
      <c r="BG289" s="146"/>
      <c r="BH289" s="146"/>
      <c r="BI289" s="146"/>
      <c r="BJ289" s="146"/>
      <c r="BK289" s="146"/>
      <c r="BL289" s="146"/>
      <c r="BM289" s="146"/>
      <c r="BN289" s="146"/>
      <c r="BO289" s="146"/>
      <c r="BP289" s="146"/>
      <c r="BQ289" s="146"/>
      <c r="BR289" s="146"/>
      <c r="BS289" s="146"/>
      <c r="BT289" s="146"/>
      <c r="BU289" s="146"/>
      <c r="BV289" s="146"/>
      <c r="BW289" s="146"/>
      <c r="BX289" s="146"/>
      <c r="BY289" s="146"/>
      <c r="BZ289" s="146"/>
      <c r="CA289" s="146"/>
      <c r="CB289" s="146"/>
      <c r="CC289" s="146"/>
      <c r="CD289" s="146"/>
      <c r="CE289" s="146"/>
      <c r="CF289" s="146"/>
      <c r="CG289" s="146"/>
      <c r="CH289" s="146"/>
      <c r="CI289" s="146"/>
      <c r="CJ289" s="146"/>
      <c r="CK289" s="146"/>
      <c r="CL289" s="146"/>
      <c r="CM289" s="146"/>
      <c r="CN289" s="146"/>
      <c r="CO289" s="146"/>
      <c r="CP289" s="146"/>
      <c r="CQ289" s="146"/>
      <c r="CR289" s="146"/>
      <c r="CS289" s="146"/>
      <c r="CT289" s="146"/>
      <c r="CU289" s="146"/>
      <c r="CV289" s="146"/>
      <c r="CW289" s="146"/>
      <c r="CX289" s="146"/>
      <c r="CY289" s="146"/>
      <c r="DA289" s="14">
        <v>0</v>
      </c>
      <c r="DB289" s="14">
        <v>0</v>
      </c>
      <c r="DC289" s="14">
        <v>0</v>
      </c>
      <c r="DD289" s="14">
        <v>0</v>
      </c>
      <c r="DE289" s="14">
        <v>0</v>
      </c>
      <c r="DF289" s="14">
        <v>0</v>
      </c>
      <c r="DG289" s="14">
        <v>0</v>
      </c>
      <c r="DH289" s="14">
        <v>0</v>
      </c>
      <c r="DI289" s="14">
        <v>0</v>
      </c>
      <c r="DJ289" s="14">
        <v>0</v>
      </c>
      <c r="DK289" s="14">
        <v>0</v>
      </c>
      <c r="DL289" s="14">
        <v>0</v>
      </c>
      <c r="DM289" s="14">
        <v>0</v>
      </c>
      <c r="DN289" s="14">
        <v>0</v>
      </c>
      <c r="DO289" s="14">
        <v>0</v>
      </c>
      <c r="DP289" s="13">
        <f t="shared" si="211"/>
        <v>0</v>
      </c>
      <c r="DR289"/>
      <c r="DU289" s="20">
        <f t="shared" si="259"/>
        <v>0</v>
      </c>
    </row>
    <row r="290" spans="1:125" ht="15.5" x14ac:dyDescent="0.35">
      <c r="A290" s="205">
        <v>106</v>
      </c>
      <c r="B290" s="184" t="s">
        <v>397</v>
      </c>
      <c r="C290" s="144" t="s">
        <v>48</v>
      </c>
      <c r="D290" s="14">
        <v>0</v>
      </c>
      <c r="E290" s="254">
        <f>'LPLPO PROGRAM'!E119</f>
        <v>0</v>
      </c>
      <c r="F290" s="254">
        <f t="shared" si="253"/>
        <v>0</v>
      </c>
      <c r="G290" s="254">
        <f>'PEMAKAIAN UNIT'!R287</f>
        <v>0</v>
      </c>
      <c r="H290" s="14">
        <v>0</v>
      </c>
      <c r="I290" s="14">
        <v>0</v>
      </c>
      <c r="J290" s="14">
        <v>0</v>
      </c>
      <c r="K290" s="14"/>
      <c r="L290" s="14"/>
      <c r="M290" s="14"/>
      <c r="N290" s="14"/>
      <c r="O290" s="14"/>
      <c r="P290" s="14"/>
      <c r="Q290" s="14"/>
      <c r="R290" s="14"/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09">
        <f t="shared" si="254"/>
        <v>0</v>
      </c>
      <c r="Z290" s="109" t="e">
        <f t="shared" si="255"/>
        <v>#REF!</v>
      </c>
      <c r="AA290" s="109" t="e">
        <f t="shared" si="256"/>
        <v>#REF!</v>
      </c>
      <c r="AB290" s="14">
        <v>0</v>
      </c>
      <c r="AC290" s="109" t="e">
        <f t="shared" si="257"/>
        <v>#REF!</v>
      </c>
      <c r="AD290" s="109">
        <f>'LPLPO PROGRAM'!H119</f>
        <v>0</v>
      </c>
      <c r="AE290" s="111" t="e">
        <f t="shared" si="258"/>
        <v>#REF!</v>
      </c>
      <c r="AF290" s="212"/>
      <c r="AG290" s="212"/>
      <c r="AI290" s="14">
        <f t="shared" si="260"/>
        <v>0</v>
      </c>
      <c r="AJ290" s="209" t="e">
        <f t="shared" si="261"/>
        <v>#REF!</v>
      </c>
      <c r="AL290" s="14">
        <f t="shared" si="214"/>
        <v>0</v>
      </c>
      <c r="AM290" s="14">
        <f>DISTRIBUSI!D288</f>
        <v>0</v>
      </c>
      <c r="AN290" s="14">
        <f>'PEMAKAIAN UNIT'!D287</f>
        <v>0</v>
      </c>
      <c r="AO290" s="14">
        <f t="shared" si="215"/>
        <v>0</v>
      </c>
      <c r="AP290" s="15">
        <f t="shared" si="216"/>
        <v>0</v>
      </c>
      <c r="AQ290" s="14">
        <f t="shared" si="217"/>
        <v>0</v>
      </c>
      <c r="AR290" s="14">
        <f>DISTRIBUSI!E288</f>
        <v>0</v>
      </c>
      <c r="AS290" s="14">
        <f>'PEMAKAIAN UNIT'!E287</f>
        <v>0</v>
      </c>
      <c r="AT290" s="14">
        <f t="shared" si="218"/>
        <v>0</v>
      </c>
      <c r="AU290" s="15">
        <f t="shared" si="219"/>
        <v>0</v>
      </c>
      <c r="AV290" s="14">
        <f t="shared" si="220"/>
        <v>0</v>
      </c>
      <c r="AW290" s="14">
        <f>DISTRIBUSI!F288</f>
        <v>0</v>
      </c>
      <c r="AX290" s="14">
        <f>'PEMAKAIAN UNIT'!F287</f>
        <v>0</v>
      </c>
      <c r="AY290" s="14">
        <f t="shared" si="221"/>
        <v>0</v>
      </c>
      <c r="AZ290" s="15">
        <f t="shared" si="222"/>
        <v>0</v>
      </c>
      <c r="BA290" s="14">
        <f t="shared" si="223"/>
        <v>0</v>
      </c>
      <c r="BB290" s="14">
        <f>DISTRIBUSI!G288</f>
        <v>0</v>
      </c>
      <c r="BC290" s="14">
        <f>'PEMAKAIAN UNIT'!G287</f>
        <v>0</v>
      </c>
      <c r="BD290" s="14">
        <f t="shared" si="224"/>
        <v>0</v>
      </c>
      <c r="BE290" s="15">
        <f t="shared" si="225"/>
        <v>0</v>
      </c>
      <c r="BF290" s="14">
        <f t="shared" si="226"/>
        <v>0</v>
      </c>
      <c r="BG290" s="14">
        <f>DISTRIBUSI!H288</f>
        <v>0</v>
      </c>
      <c r="BH290" s="14">
        <f>'PEMAKAIAN UNIT'!H287</f>
        <v>0</v>
      </c>
      <c r="BI290" s="14">
        <f t="shared" si="227"/>
        <v>0</v>
      </c>
      <c r="BJ290" s="15">
        <f t="shared" si="228"/>
        <v>0</v>
      </c>
      <c r="BK290" s="14">
        <f t="shared" si="229"/>
        <v>0</v>
      </c>
      <c r="BL290" s="14">
        <f>DISTRIBUSI!I288</f>
        <v>0</v>
      </c>
      <c r="BM290" s="14">
        <f>'PEMAKAIAN UNIT'!I287</f>
        <v>0</v>
      </c>
      <c r="BN290" s="14">
        <f t="shared" si="230"/>
        <v>0</v>
      </c>
      <c r="BO290" s="15">
        <f t="shared" si="231"/>
        <v>0</v>
      </c>
      <c r="BP290" s="14">
        <f t="shared" si="232"/>
        <v>0</v>
      </c>
      <c r="BQ290" s="14">
        <f>DISTRIBUSI!J288</f>
        <v>0</v>
      </c>
      <c r="BR290" s="14">
        <f>'PEMAKAIAN UNIT'!J287</f>
        <v>0</v>
      </c>
      <c r="BS290" s="14">
        <f t="shared" si="233"/>
        <v>0</v>
      </c>
      <c r="BT290" s="15">
        <f t="shared" si="234"/>
        <v>0</v>
      </c>
      <c r="BU290" s="14">
        <f t="shared" si="235"/>
        <v>0</v>
      </c>
      <c r="BV290" s="14">
        <f>DISTRIBUSI!K288</f>
        <v>0</v>
      </c>
      <c r="BW290" s="14">
        <f>'PEMAKAIAN UNIT'!K287</f>
        <v>0</v>
      </c>
      <c r="BX290" s="14">
        <f t="shared" si="236"/>
        <v>0</v>
      </c>
      <c r="BY290" s="15">
        <f t="shared" si="237"/>
        <v>0</v>
      </c>
      <c r="BZ290" s="14">
        <f t="shared" si="238"/>
        <v>0</v>
      </c>
      <c r="CA290" s="14">
        <f>DISTRIBUSI!L288</f>
        <v>0</v>
      </c>
      <c r="CB290" s="14">
        <f>'PEMAKAIAN UNIT'!L287</f>
        <v>0</v>
      </c>
      <c r="CC290" s="14">
        <f t="shared" si="239"/>
        <v>0</v>
      </c>
      <c r="CD290" s="15">
        <f t="shared" si="240"/>
        <v>0</v>
      </c>
      <c r="CE290" s="14">
        <f t="shared" si="241"/>
        <v>0</v>
      </c>
      <c r="CF290" s="14">
        <f>DISTRIBUSI!M288</f>
        <v>0</v>
      </c>
      <c r="CG290" s="14">
        <f>'PEMAKAIAN UNIT'!M287</f>
        <v>0</v>
      </c>
      <c r="CH290" s="14">
        <f t="shared" si="242"/>
        <v>0</v>
      </c>
      <c r="CI290" s="15">
        <f t="shared" si="243"/>
        <v>0</v>
      </c>
      <c r="CJ290" s="14">
        <f t="shared" si="244"/>
        <v>0</v>
      </c>
      <c r="CK290" s="14" t="e">
        <f>DISTRIBUSI!#REF!</f>
        <v>#REF!</v>
      </c>
      <c r="CL290" s="14">
        <f>'PEMAKAIAN UNIT'!N287</f>
        <v>0</v>
      </c>
      <c r="CM290" s="14" t="e">
        <f t="shared" si="245"/>
        <v>#REF!</v>
      </c>
      <c r="CN290" s="15" t="e">
        <f t="shared" si="246"/>
        <v>#REF!</v>
      </c>
      <c r="CO290" s="14" t="e">
        <f>DL290+DISTRIBUSI!#REF!-'PEMAKAIAN UNIT'!O287</f>
        <v>#REF!</v>
      </c>
      <c r="CP290" s="15" t="e">
        <f t="shared" si="247"/>
        <v>#REF!</v>
      </c>
      <c r="CQ290" s="226">
        <f t="shared" si="248"/>
        <v>0</v>
      </c>
      <c r="CR290" s="226">
        <f>DISTRIBUSI!R288</f>
        <v>0</v>
      </c>
      <c r="CS290" s="226">
        <f>'PEMAKAIAN UNIT'!P287</f>
        <v>0</v>
      </c>
      <c r="CT290" s="14">
        <f t="shared" si="249"/>
        <v>0</v>
      </c>
      <c r="CU290" s="15">
        <f t="shared" si="250"/>
        <v>0</v>
      </c>
      <c r="CV290" s="14" t="e">
        <f>DN290+DISTRIBUSI!#REF!-'PEMAKAIAN UNIT'!Q287</f>
        <v>#REF!</v>
      </c>
      <c r="CW290" s="15" t="e">
        <f t="shared" si="251"/>
        <v>#REF!</v>
      </c>
      <c r="CX290" s="14">
        <f>DO290+'LPLPO PROGRAM'!E119-'LPLPO PROGRAM'!G119</f>
        <v>0</v>
      </c>
      <c r="CY290" s="15">
        <f t="shared" si="252"/>
        <v>0</v>
      </c>
      <c r="DA290" s="14">
        <v>0</v>
      </c>
      <c r="DB290" s="14">
        <v>0</v>
      </c>
      <c r="DC290" s="14">
        <v>0</v>
      </c>
      <c r="DD290" s="14">
        <v>0</v>
      </c>
      <c r="DE290" s="14">
        <v>0</v>
      </c>
      <c r="DF290" s="14">
        <v>0</v>
      </c>
      <c r="DG290" s="14">
        <v>0</v>
      </c>
      <c r="DH290" s="14">
        <v>0</v>
      </c>
      <c r="DI290" s="14">
        <v>0</v>
      </c>
      <c r="DJ290" s="14">
        <v>0</v>
      </c>
      <c r="DK290" s="14">
        <v>0</v>
      </c>
      <c r="DL290" s="14">
        <v>0</v>
      </c>
      <c r="DM290" s="14">
        <v>0</v>
      </c>
      <c r="DN290" s="14">
        <v>0</v>
      </c>
      <c r="DO290" s="14">
        <v>0</v>
      </c>
      <c r="DP290" s="13">
        <f t="shared" si="211"/>
        <v>0</v>
      </c>
      <c r="DR290"/>
      <c r="DU290" s="20" t="e">
        <f t="shared" si="259"/>
        <v>#REF!</v>
      </c>
    </row>
    <row r="291" spans="1:125" ht="15.5" x14ac:dyDescent="0.35">
      <c r="A291" s="205">
        <v>107</v>
      </c>
      <c r="B291" s="184" t="s">
        <v>398</v>
      </c>
      <c r="C291" s="144" t="s">
        <v>48</v>
      </c>
      <c r="D291" s="14">
        <v>0</v>
      </c>
      <c r="E291" s="254">
        <f>'LPLPO PROGRAM'!E120</f>
        <v>0</v>
      </c>
      <c r="F291" s="254">
        <f t="shared" si="253"/>
        <v>0</v>
      </c>
      <c r="G291" s="254">
        <f>'PEMAKAIAN UNIT'!R288</f>
        <v>0</v>
      </c>
      <c r="H291" s="14">
        <v>0</v>
      </c>
      <c r="I291" s="14">
        <v>0</v>
      </c>
      <c r="J291" s="14">
        <v>0</v>
      </c>
      <c r="K291" s="14"/>
      <c r="L291" s="14"/>
      <c r="M291" s="14"/>
      <c r="N291" s="14"/>
      <c r="O291" s="14"/>
      <c r="P291" s="14"/>
      <c r="Q291" s="14"/>
      <c r="R291" s="14"/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09">
        <f t="shared" si="254"/>
        <v>0</v>
      </c>
      <c r="Z291" s="109" t="e">
        <f t="shared" si="255"/>
        <v>#REF!</v>
      </c>
      <c r="AA291" s="109" t="e">
        <f t="shared" si="256"/>
        <v>#REF!</v>
      </c>
      <c r="AB291" s="14">
        <v>0</v>
      </c>
      <c r="AC291" s="109" t="e">
        <f t="shared" si="257"/>
        <v>#REF!</v>
      </c>
      <c r="AD291" s="109">
        <f>'LPLPO PROGRAM'!H120</f>
        <v>0</v>
      </c>
      <c r="AE291" s="111" t="e">
        <f t="shared" si="258"/>
        <v>#REF!</v>
      </c>
      <c r="AF291" s="212"/>
      <c r="AG291" s="212"/>
      <c r="AI291" s="14">
        <f t="shared" si="260"/>
        <v>0</v>
      </c>
      <c r="AJ291" s="209" t="e">
        <f t="shared" si="261"/>
        <v>#REF!</v>
      </c>
      <c r="AL291" s="14">
        <f t="shared" si="214"/>
        <v>0</v>
      </c>
      <c r="AM291" s="14">
        <f>DISTRIBUSI!D289</f>
        <v>0</v>
      </c>
      <c r="AN291" s="14">
        <f>'PEMAKAIAN UNIT'!D288</f>
        <v>0</v>
      </c>
      <c r="AO291" s="14">
        <f t="shared" si="215"/>
        <v>0</v>
      </c>
      <c r="AP291" s="15">
        <f t="shared" si="216"/>
        <v>0</v>
      </c>
      <c r="AQ291" s="14">
        <f t="shared" si="217"/>
        <v>0</v>
      </c>
      <c r="AR291" s="14">
        <f>DISTRIBUSI!E289</f>
        <v>0</v>
      </c>
      <c r="AS291" s="14">
        <f>'PEMAKAIAN UNIT'!E288</f>
        <v>0</v>
      </c>
      <c r="AT291" s="14">
        <f t="shared" si="218"/>
        <v>0</v>
      </c>
      <c r="AU291" s="15">
        <f t="shared" si="219"/>
        <v>0</v>
      </c>
      <c r="AV291" s="14">
        <f t="shared" si="220"/>
        <v>0</v>
      </c>
      <c r="AW291" s="14">
        <f>DISTRIBUSI!F289</f>
        <v>0</v>
      </c>
      <c r="AX291" s="14">
        <f>'PEMAKAIAN UNIT'!F288</f>
        <v>0</v>
      </c>
      <c r="AY291" s="14">
        <f t="shared" si="221"/>
        <v>0</v>
      </c>
      <c r="AZ291" s="15">
        <f t="shared" si="222"/>
        <v>0</v>
      </c>
      <c r="BA291" s="14">
        <f t="shared" si="223"/>
        <v>0</v>
      </c>
      <c r="BB291" s="14">
        <f>DISTRIBUSI!G289</f>
        <v>0</v>
      </c>
      <c r="BC291" s="14">
        <f>'PEMAKAIAN UNIT'!G288</f>
        <v>0</v>
      </c>
      <c r="BD291" s="14">
        <f t="shared" si="224"/>
        <v>0</v>
      </c>
      <c r="BE291" s="15">
        <f t="shared" si="225"/>
        <v>0</v>
      </c>
      <c r="BF291" s="14">
        <f t="shared" si="226"/>
        <v>0</v>
      </c>
      <c r="BG291" s="14">
        <f>DISTRIBUSI!H289</f>
        <v>0</v>
      </c>
      <c r="BH291" s="14">
        <f>'PEMAKAIAN UNIT'!H288</f>
        <v>0</v>
      </c>
      <c r="BI291" s="14">
        <f t="shared" si="227"/>
        <v>0</v>
      </c>
      <c r="BJ291" s="15">
        <f t="shared" si="228"/>
        <v>0</v>
      </c>
      <c r="BK291" s="14">
        <f t="shared" si="229"/>
        <v>0</v>
      </c>
      <c r="BL291" s="14">
        <f>DISTRIBUSI!I289</f>
        <v>0</v>
      </c>
      <c r="BM291" s="14">
        <f>'PEMAKAIAN UNIT'!I288</f>
        <v>0</v>
      </c>
      <c r="BN291" s="14">
        <f t="shared" si="230"/>
        <v>0</v>
      </c>
      <c r="BO291" s="15">
        <f t="shared" si="231"/>
        <v>0</v>
      </c>
      <c r="BP291" s="14">
        <f t="shared" si="232"/>
        <v>0</v>
      </c>
      <c r="BQ291" s="14">
        <f>DISTRIBUSI!J289</f>
        <v>0</v>
      </c>
      <c r="BR291" s="14">
        <f>'PEMAKAIAN UNIT'!J288</f>
        <v>0</v>
      </c>
      <c r="BS291" s="14">
        <f t="shared" si="233"/>
        <v>0</v>
      </c>
      <c r="BT291" s="15">
        <f t="shared" si="234"/>
        <v>0</v>
      </c>
      <c r="BU291" s="14">
        <f t="shared" si="235"/>
        <v>0</v>
      </c>
      <c r="BV291" s="14">
        <f>DISTRIBUSI!K289</f>
        <v>0</v>
      </c>
      <c r="BW291" s="14">
        <f>'PEMAKAIAN UNIT'!K288</f>
        <v>0</v>
      </c>
      <c r="BX291" s="14">
        <f t="shared" si="236"/>
        <v>0</v>
      </c>
      <c r="BY291" s="15">
        <f t="shared" si="237"/>
        <v>0</v>
      </c>
      <c r="BZ291" s="14">
        <f t="shared" si="238"/>
        <v>0</v>
      </c>
      <c r="CA291" s="14">
        <f>DISTRIBUSI!L289</f>
        <v>0</v>
      </c>
      <c r="CB291" s="14">
        <f>'PEMAKAIAN UNIT'!L288</f>
        <v>0</v>
      </c>
      <c r="CC291" s="14">
        <f t="shared" si="239"/>
        <v>0</v>
      </c>
      <c r="CD291" s="15">
        <f t="shared" si="240"/>
        <v>0</v>
      </c>
      <c r="CE291" s="14">
        <f t="shared" si="241"/>
        <v>0</v>
      </c>
      <c r="CF291" s="14">
        <f>DISTRIBUSI!M289</f>
        <v>0</v>
      </c>
      <c r="CG291" s="14">
        <f>'PEMAKAIAN UNIT'!M288</f>
        <v>0</v>
      </c>
      <c r="CH291" s="14">
        <f t="shared" si="242"/>
        <v>0</v>
      </c>
      <c r="CI291" s="15">
        <f t="shared" si="243"/>
        <v>0</v>
      </c>
      <c r="CJ291" s="14">
        <f t="shared" si="244"/>
        <v>0</v>
      </c>
      <c r="CK291" s="14" t="e">
        <f>DISTRIBUSI!#REF!</f>
        <v>#REF!</v>
      </c>
      <c r="CL291" s="14">
        <f>'PEMAKAIAN UNIT'!N288</f>
        <v>0</v>
      </c>
      <c r="CM291" s="14" t="e">
        <f t="shared" si="245"/>
        <v>#REF!</v>
      </c>
      <c r="CN291" s="15" t="e">
        <f t="shared" si="246"/>
        <v>#REF!</v>
      </c>
      <c r="CO291" s="14" t="e">
        <f>DL291+DISTRIBUSI!#REF!-'PEMAKAIAN UNIT'!O288</f>
        <v>#REF!</v>
      </c>
      <c r="CP291" s="15" t="e">
        <f t="shared" si="247"/>
        <v>#REF!</v>
      </c>
      <c r="CQ291" s="226">
        <f t="shared" si="248"/>
        <v>0</v>
      </c>
      <c r="CR291" s="226">
        <f>DISTRIBUSI!R289</f>
        <v>0</v>
      </c>
      <c r="CS291" s="226">
        <f>'PEMAKAIAN UNIT'!P288</f>
        <v>0</v>
      </c>
      <c r="CT291" s="14">
        <f t="shared" si="249"/>
        <v>0</v>
      </c>
      <c r="CU291" s="15">
        <f t="shared" si="250"/>
        <v>0</v>
      </c>
      <c r="CV291" s="14" t="e">
        <f>DN291+DISTRIBUSI!#REF!-'PEMAKAIAN UNIT'!Q288</f>
        <v>#REF!</v>
      </c>
      <c r="CW291" s="15" t="e">
        <f t="shared" si="251"/>
        <v>#REF!</v>
      </c>
      <c r="CX291" s="14">
        <f>DO291+'LPLPO PROGRAM'!E120-'LPLPO PROGRAM'!G120</f>
        <v>0</v>
      </c>
      <c r="CY291" s="15">
        <f t="shared" si="252"/>
        <v>0</v>
      </c>
      <c r="DA291" s="14">
        <v>0</v>
      </c>
      <c r="DB291" s="14">
        <v>0</v>
      </c>
      <c r="DC291" s="14">
        <v>0</v>
      </c>
      <c r="DD291" s="14">
        <v>0</v>
      </c>
      <c r="DE291" s="14">
        <v>0</v>
      </c>
      <c r="DF291" s="14">
        <v>0</v>
      </c>
      <c r="DG291" s="14">
        <v>0</v>
      </c>
      <c r="DH291" s="14">
        <v>0</v>
      </c>
      <c r="DI291" s="14">
        <v>0</v>
      </c>
      <c r="DJ291" s="14">
        <v>0</v>
      </c>
      <c r="DK291" s="14">
        <v>0</v>
      </c>
      <c r="DL291" s="14">
        <v>0</v>
      </c>
      <c r="DM291" s="14">
        <v>0</v>
      </c>
      <c r="DN291" s="14">
        <v>0</v>
      </c>
      <c r="DO291" s="14">
        <v>0</v>
      </c>
      <c r="DP291" s="13">
        <f t="shared" si="211"/>
        <v>0</v>
      </c>
      <c r="DR291"/>
      <c r="DU291" s="20" t="e">
        <f t="shared" si="259"/>
        <v>#REF!</v>
      </c>
    </row>
    <row r="292" spans="1:125" ht="15.5" x14ac:dyDescent="0.35">
      <c r="A292" s="205">
        <v>108</v>
      </c>
      <c r="B292" s="184" t="s">
        <v>295</v>
      </c>
      <c r="C292" s="144" t="s">
        <v>201</v>
      </c>
      <c r="D292" s="14">
        <v>0</v>
      </c>
      <c r="E292" s="254">
        <f>'LPLPO PROGRAM'!E121</f>
        <v>0</v>
      </c>
      <c r="F292" s="254">
        <f t="shared" si="253"/>
        <v>0</v>
      </c>
      <c r="G292" s="254">
        <f>'PEMAKAIAN UNIT'!R289</f>
        <v>0</v>
      </c>
      <c r="H292" s="14">
        <v>0</v>
      </c>
      <c r="I292" s="14">
        <v>0</v>
      </c>
      <c r="J292" s="14">
        <v>0</v>
      </c>
      <c r="K292" s="14"/>
      <c r="L292" s="14"/>
      <c r="M292" s="14"/>
      <c r="N292" s="14"/>
      <c r="O292" s="14"/>
      <c r="P292" s="14"/>
      <c r="Q292" s="14"/>
      <c r="R292" s="14"/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09">
        <f t="shared" si="254"/>
        <v>0</v>
      </c>
      <c r="Z292" s="109" t="e">
        <f t="shared" si="255"/>
        <v>#REF!</v>
      </c>
      <c r="AA292" s="109" t="e">
        <f t="shared" si="256"/>
        <v>#REF!</v>
      </c>
      <c r="AB292" s="14">
        <v>0</v>
      </c>
      <c r="AC292" s="109" t="e">
        <f t="shared" si="257"/>
        <v>#REF!</v>
      </c>
      <c r="AD292" s="109">
        <f>'LPLPO PROGRAM'!H121</f>
        <v>0</v>
      </c>
      <c r="AE292" s="111" t="e">
        <f t="shared" si="258"/>
        <v>#REF!</v>
      </c>
      <c r="AF292" s="212"/>
      <c r="AG292" s="212"/>
      <c r="AI292" s="14">
        <f t="shared" si="260"/>
        <v>0</v>
      </c>
      <c r="AJ292" s="209" t="e">
        <f t="shared" si="261"/>
        <v>#REF!</v>
      </c>
      <c r="AL292" s="14">
        <f t="shared" si="214"/>
        <v>0</v>
      </c>
      <c r="AM292" s="14">
        <f>DISTRIBUSI!D290</f>
        <v>0</v>
      </c>
      <c r="AN292" s="14">
        <f>'PEMAKAIAN UNIT'!D289</f>
        <v>0</v>
      </c>
      <c r="AO292" s="14">
        <f t="shared" si="215"/>
        <v>0</v>
      </c>
      <c r="AP292" s="15">
        <f t="shared" si="216"/>
        <v>0</v>
      </c>
      <c r="AQ292" s="14">
        <f t="shared" si="217"/>
        <v>0</v>
      </c>
      <c r="AR292" s="14">
        <f>DISTRIBUSI!E290</f>
        <v>0</v>
      </c>
      <c r="AS292" s="14">
        <f>'PEMAKAIAN UNIT'!E289</f>
        <v>0</v>
      </c>
      <c r="AT292" s="14">
        <f t="shared" si="218"/>
        <v>0</v>
      </c>
      <c r="AU292" s="15">
        <f t="shared" si="219"/>
        <v>0</v>
      </c>
      <c r="AV292" s="14">
        <f t="shared" si="220"/>
        <v>0</v>
      </c>
      <c r="AW292" s="14">
        <f>DISTRIBUSI!F290</f>
        <v>0</v>
      </c>
      <c r="AX292" s="14">
        <f>'PEMAKAIAN UNIT'!F289</f>
        <v>0</v>
      </c>
      <c r="AY292" s="14">
        <f t="shared" si="221"/>
        <v>0</v>
      </c>
      <c r="AZ292" s="15">
        <f t="shared" si="222"/>
        <v>0</v>
      </c>
      <c r="BA292" s="14">
        <f t="shared" si="223"/>
        <v>0</v>
      </c>
      <c r="BB292" s="14">
        <f>DISTRIBUSI!G290</f>
        <v>0</v>
      </c>
      <c r="BC292" s="14">
        <f>'PEMAKAIAN UNIT'!G289</f>
        <v>0</v>
      </c>
      <c r="BD292" s="14">
        <f t="shared" si="224"/>
        <v>0</v>
      </c>
      <c r="BE292" s="15">
        <f t="shared" si="225"/>
        <v>0</v>
      </c>
      <c r="BF292" s="14">
        <f t="shared" si="226"/>
        <v>0</v>
      </c>
      <c r="BG292" s="14">
        <f>DISTRIBUSI!H290</f>
        <v>0</v>
      </c>
      <c r="BH292" s="14">
        <f>'PEMAKAIAN UNIT'!H289</f>
        <v>0</v>
      </c>
      <c r="BI292" s="14">
        <f t="shared" si="227"/>
        <v>0</v>
      </c>
      <c r="BJ292" s="15">
        <f t="shared" si="228"/>
        <v>0</v>
      </c>
      <c r="BK292" s="14">
        <f t="shared" si="229"/>
        <v>0</v>
      </c>
      <c r="BL292" s="14">
        <f>DISTRIBUSI!I290</f>
        <v>0</v>
      </c>
      <c r="BM292" s="14">
        <f>'PEMAKAIAN UNIT'!I289</f>
        <v>0</v>
      </c>
      <c r="BN292" s="14">
        <f t="shared" si="230"/>
        <v>0</v>
      </c>
      <c r="BO292" s="15">
        <f t="shared" si="231"/>
        <v>0</v>
      </c>
      <c r="BP292" s="14">
        <f t="shared" si="232"/>
        <v>0</v>
      </c>
      <c r="BQ292" s="14">
        <f>DISTRIBUSI!J290</f>
        <v>0</v>
      </c>
      <c r="BR292" s="14">
        <f>'PEMAKAIAN UNIT'!J289</f>
        <v>0</v>
      </c>
      <c r="BS292" s="14">
        <f t="shared" si="233"/>
        <v>0</v>
      </c>
      <c r="BT292" s="15">
        <f t="shared" si="234"/>
        <v>0</v>
      </c>
      <c r="BU292" s="14">
        <f t="shared" si="235"/>
        <v>0</v>
      </c>
      <c r="BV292" s="14">
        <f>DISTRIBUSI!K290</f>
        <v>0</v>
      </c>
      <c r="BW292" s="14">
        <f>'PEMAKAIAN UNIT'!K289</f>
        <v>0</v>
      </c>
      <c r="BX292" s="14">
        <f t="shared" si="236"/>
        <v>0</v>
      </c>
      <c r="BY292" s="15">
        <f t="shared" si="237"/>
        <v>0</v>
      </c>
      <c r="BZ292" s="14">
        <f t="shared" si="238"/>
        <v>0</v>
      </c>
      <c r="CA292" s="14">
        <f>DISTRIBUSI!L290</f>
        <v>0</v>
      </c>
      <c r="CB292" s="14">
        <f>'PEMAKAIAN UNIT'!L289</f>
        <v>0</v>
      </c>
      <c r="CC292" s="14">
        <f t="shared" si="239"/>
        <v>0</v>
      </c>
      <c r="CD292" s="15">
        <f t="shared" si="240"/>
        <v>0</v>
      </c>
      <c r="CE292" s="14">
        <f t="shared" si="241"/>
        <v>0</v>
      </c>
      <c r="CF292" s="14">
        <f>DISTRIBUSI!M290</f>
        <v>0</v>
      </c>
      <c r="CG292" s="14">
        <f>'PEMAKAIAN UNIT'!M289</f>
        <v>0</v>
      </c>
      <c r="CH292" s="14">
        <f t="shared" si="242"/>
        <v>0</v>
      </c>
      <c r="CI292" s="15">
        <f t="shared" si="243"/>
        <v>0</v>
      </c>
      <c r="CJ292" s="14">
        <f t="shared" si="244"/>
        <v>0</v>
      </c>
      <c r="CK292" s="14" t="e">
        <f>DISTRIBUSI!#REF!</f>
        <v>#REF!</v>
      </c>
      <c r="CL292" s="14">
        <f>'PEMAKAIAN UNIT'!N289</f>
        <v>0</v>
      </c>
      <c r="CM292" s="14" t="e">
        <f t="shared" si="245"/>
        <v>#REF!</v>
      </c>
      <c r="CN292" s="15" t="e">
        <f t="shared" si="246"/>
        <v>#REF!</v>
      </c>
      <c r="CO292" s="14" t="e">
        <f>DL292+DISTRIBUSI!#REF!-'PEMAKAIAN UNIT'!O289</f>
        <v>#REF!</v>
      </c>
      <c r="CP292" s="15" t="e">
        <f t="shared" si="247"/>
        <v>#REF!</v>
      </c>
      <c r="CQ292" s="226">
        <f t="shared" si="248"/>
        <v>0</v>
      </c>
      <c r="CR292" s="226">
        <f>DISTRIBUSI!R290</f>
        <v>0</v>
      </c>
      <c r="CS292" s="226">
        <f>'PEMAKAIAN UNIT'!P289</f>
        <v>0</v>
      </c>
      <c r="CT292" s="14">
        <f t="shared" si="249"/>
        <v>0</v>
      </c>
      <c r="CU292" s="15">
        <f t="shared" si="250"/>
        <v>0</v>
      </c>
      <c r="CV292" s="14" t="e">
        <f>DN292+DISTRIBUSI!#REF!-'PEMAKAIAN UNIT'!Q289</f>
        <v>#REF!</v>
      </c>
      <c r="CW292" s="15" t="e">
        <f t="shared" si="251"/>
        <v>#REF!</v>
      </c>
      <c r="CX292" s="14">
        <f>DO292+'LPLPO PROGRAM'!E121-'LPLPO PROGRAM'!G121</f>
        <v>0</v>
      </c>
      <c r="CY292" s="15">
        <f t="shared" si="252"/>
        <v>0</v>
      </c>
      <c r="DA292" s="14">
        <v>0</v>
      </c>
      <c r="DB292" s="14">
        <v>0</v>
      </c>
      <c r="DC292" s="14">
        <v>0</v>
      </c>
      <c r="DD292" s="14">
        <v>0</v>
      </c>
      <c r="DE292" s="14">
        <v>0</v>
      </c>
      <c r="DF292" s="14">
        <v>0</v>
      </c>
      <c r="DG292" s="14">
        <v>0</v>
      </c>
      <c r="DH292" s="14">
        <v>0</v>
      </c>
      <c r="DI292" s="14">
        <v>0</v>
      </c>
      <c r="DJ292" s="14">
        <v>0</v>
      </c>
      <c r="DK292" s="14">
        <v>0</v>
      </c>
      <c r="DL292" s="14">
        <v>0</v>
      </c>
      <c r="DM292" s="14">
        <v>0</v>
      </c>
      <c r="DN292" s="14">
        <v>0</v>
      </c>
      <c r="DO292" s="14">
        <v>0</v>
      </c>
      <c r="DP292" s="13">
        <f t="shared" si="211"/>
        <v>0</v>
      </c>
      <c r="DU292" s="20" t="e">
        <f t="shared" si="259"/>
        <v>#REF!</v>
      </c>
    </row>
    <row r="293" spans="1:125" ht="15.5" x14ac:dyDescent="0.35">
      <c r="A293" s="205">
        <v>109</v>
      </c>
      <c r="B293" s="184" t="s">
        <v>296</v>
      </c>
      <c r="C293" s="144" t="s">
        <v>201</v>
      </c>
      <c r="D293" s="14">
        <v>0</v>
      </c>
      <c r="E293" s="254">
        <f>'LPLPO PROGRAM'!E122</f>
        <v>0</v>
      </c>
      <c r="F293" s="254">
        <f t="shared" si="253"/>
        <v>0</v>
      </c>
      <c r="G293" s="254">
        <f>'PEMAKAIAN UNIT'!R290</f>
        <v>0</v>
      </c>
      <c r="H293" s="14">
        <v>0</v>
      </c>
      <c r="I293" s="14">
        <v>0</v>
      </c>
      <c r="J293" s="14">
        <v>0</v>
      </c>
      <c r="K293" s="14"/>
      <c r="L293" s="14"/>
      <c r="M293" s="14"/>
      <c r="N293" s="14"/>
      <c r="O293" s="14"/>
      <c r="P293" s="14"/>
      <c r="Q293" s="14"/>
      <c r="R293" s="14"/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09">
        <f t="shared" si="254"/>
        <v>0</v>
      </c>
      <c r="Z293" s="109" t="e">
        <f t="shared" si="255"/>
        <v>#REF!</v>
      </c>
      <c r="AA293" s="109" t="e">
        <f t="shared" si="256"/>
        <v>#REF!</v>
      </c>
      <c r="AB293" s="14">
        <v>0</v>
      </c>
      <c r="AC293" s="109" t="e">
        <f t="shared" si="257"/>
        <v>#REF!</v>
      </c>
      <c r="AD293" s="109">
        <f>'LPLPO PROGRAM'!H122</f>
        <v>0</v>
      </c>
      <c r="AE293" s="111" t="e">
        <f t="shared" si="258"/>
        <v>#REF!</v>
      </c>
      <c r="AF293" s="212"/>
      <c r="AG293" s="212"/>
      <c r="AI293" s="14">
        <f t="shared" si="260"/>
        <v>0</v>
      </c>
      <c r="AJ293" s="209" t="e">
        <f t="shared" si="261"/>
        <v>#REF!</v>
      </c>
      <c r="AL293" s="14">
        <f t="shared" si="214"/>
        <v>0</v>
      </c>
      <c r="AM293" s="14">
        <f>DISTRIBUSI!D291</f>
        <v>0</v>
      </c>
      <c r="AN293" s="14">
        <f>'PEMAKAIAN UNIT'!D290</f>
        <v>0</v>
      </c>
      <c r="AO293" s="14">
        <f t="shared" si="215"/>
        <v>0</v>
      </c>
      <c r="AP293" s="15">
        <f t="shared" si="216"/>
        <v>0</v>
      </c>
      <c r="AQ293" s="14">
        <f t="shared" si="217"/>
        <v>0</v>
      </c>
      <c r="AR293" s="14">
        <f>DISTRIBUSI!E291</f>
        <v>0</v>
      </c>
      <c r="AS293" s="14">
        <f>'PEMAKAIAN UNIT'!E290</f>
        <v>0</v>
      </c>
      <c r="AT293" s="14">
        <f t="shared" si="218"/>
        <v>0</v>
      </c>
      <c r="AU293" s="15">
        <f t="shared" si="219"/>
        <v>0</v>
      </c>
      <c r="AV293" s="14">
        <f t="shared" si="220"/>
        <v>0</v>
      </c>
      <c r="AW293" s="14">
        <f>DISTRIBUSI!F291</f>
        <v>0</v>
      </c>
      <c r="AX293" s="14">
        <f>'PEMAKAIAN UNIT'!F290</f>
        <v>0</v>
      </c>
      <c r="AY293" s="14">
        <f t="shared" si="221"/>
        <v>0</v>
      </c>
      <c r="AZ293" s="15">
        <f t="shared" si="222"/>
        <v>0</v>
      </c>
      <c r="BA293" s="14">
        <f t="shared" si="223"/>
        <v>0</v>
      </c>
      <c r="BB293" s="14">
        <f>DISTRIBUSI!G291</f>
        <v>0</v>
      </c>
      <c r="BC293" s="14">
        <f>'PEMAKAIAN UNIT'!G290</f>
        <v>0</v>
      </c>
      <c r="BD293" s="14">
        <f t="shared" si="224"/>
        <v>0</v>
      </c>
      <c r="BE293" s="15">
        <f t="shared" si="225"/>
        <v>0</v>
      </c>
      <c r="BF293" s="14">
        <f t="shared" si="226"/>
        <v>0</v>
      </c>
      <c r="BG293" s="14">
        <f>DISTRIBUSI!H291</f>
        <v>0</v>
      </c>
      <c r="BH293" s="14">
        <f>'PEMAKAIAN UNIT'!H290</f>
        <v>0</v>
      </c>
      <c r="BI293" s="14">
        <f t="shared" si="227"/>
        <v>0</v>
      </c>
      <c r="BJ293" s="15">
        <f t="shared" si="228"/>
        <v>0</v>
      </c>
      <c r="BK293" s="14">
        <f t="shared" si="229"/>
        <v>0</v>
      </c>
      <c r="BL293" s="14">
        <f>DISTRIBUSI!I291</f>
        <v>0</v>
      </c>
      <c r="BM293" s="14">
        <f>'PEMAKAIAN UNIT'!I290</f>
        <v>0</v>
      </c>
      <c r="BN293" s="14">
        <f t="shared" si="230"/>
        <v>0</v>
      </c>
      <c r="BO293" s="15">
        <f t="shared" si="231"/>
        <v>0</v>
      </c>
      <c r="BP293" s="14">
        <f t="shared" si="232"/>
        <v>0</v>
      </c>
      <c r="BQ293" s="14">
        <f>DISTRIBUSI!J291</f>
        <v>0</v>
      </c>
      <c r="BR293" s="14">
        <f>'PEMAKAIAN UNIT'!J290</f>
        <v>0</v>
      </c>
      <c r="BS293" s="14">
        <f t="shared" si="233"/>
        <v>0</v>
      </c>
      <c r="BT293" s="15">
        <f t="shared" si="234"/>
        <v>0</v>
      </c>
      <c r="BU293" s="14">
        <f t="shared" si="235"/>
        <v>0</v>
      </c>
      <c r="BV293" s="14">
        <f>DISTRIBUSI!K291</f>
        <v>0</v>
      </c>
      <c r="BW293" s="14">
        <f>'PEMAKAIAN UNIT'!K290</f>
        <v>0</v>
      </c>
      <c r="BX293" s="14">
        <f t="shared" si="236"/>
        <v>0</v>
      </c>
      <c r="BY293" s="15">
        <f t="shared" si="237"/>
        <v>0</v>
      </c>
      <c r="BZ293" s="14">
        <f t="shared" si="238"/>
        <v>0</v>
      </c>
      <c r="CA293" s="14">
        <f>DISTRIBUSI!L291</f>
        <v>0</v>
      </c>
      <c r="CB293" s="14">
        <f>'PEMAKAIAN UNIT'!L290</f>
        <v>0</v>
      </c>
      <c r="CC293" s="14">
        <f t="shared" si="239"/>
        <v>0</v>
      </c>
      <c r="CD293" s="15">
        <f t="shared" si="240"/>
        <v>0</v>
      </c>
      <c r="CE293" s="14">
        <f t="shared" si="241"/>
        <v>0</v>
      </c>
      <c r="CF293" s="14">
        <f>DISTRIBUSI!M291</f>
        <v>0</v>
      </c>
      <c r="CG293" s="14">
        <f>'PEMAKAIAN UNIT'!M290</f>
        <v>0</v>
      </c>
      <c r="CH293" s="14">
        <f t="shared" si="242"/>
        <v>0</v>
      </c>
      <c r="CI293" s="15">
        <f t="shared" si="243"/>
        <v>0</v>
      </c>
      <c r="CJ293" s="14">
        <f t="shared" si="244"/>
        <v>0</v>
      </c>
      <c r="CK293" s="14" t="e">
        <f>DISTRIBUSI!#REF!</f>
        <v>#REF!</v>
      </c>
      <c r="CL293" s="14">
        <f>'PEMAKAIAN UNIT'!N290</f>
        <v>0</v>
      </c>
      <c r="CM293" s="14" t="e">
        <f t="shared" si="245"/>
        <v>#REF!</v>
      </c>
      <c r="CN293" s="15" t="e">
        <f t="shared" si="246"/>
        <v>#REF!</v>
      </c>
      <c r="CO293" s="14" t="e">
        <f>DL293+DISTRIBUSI!#REF!-'PEMAKAIAN UNIT'!O290</f>
        <v>#REF!</v>
      </c>
      <c r="CP293" s="15" t="e">
        <f t="shared" si="247"/>
        <v>#REF!</v>
      </c>
      <c r="CQ293" s="226">
        <f t="shared" si="248"/>
        <v>0</v>
      </c>
      <c r="CR293" s="226">
        <f>DISTRIBUSI!R291</f>
        <v>0</v>
      </c>
      <c r="CS293" s="226">
        <f>'PEMAKAIAN UNIT'!P290</f>
        <v>0</v>
      </c>
      <c r="CT293" s="14">
        <f t="shared" si="249"/>
        <v>0</v>
      </c>
      <c r="CU293" s="15">
        <f t="shared" si="250"/>
        <v>0</v>
      </c>
      <c r="CV293" s="14" t="e">
        <f>DN293+DISTRIBUSI!#REF!-'PEMAKAIAN UNIT'!Q290</f>
        <v>#REF!</v>
      </c>
      <c r="CW293" s="15" t="e">
        <f t="shared" si="251"/>
        <v>#REF!</v>
      </c>
      <c r="CX293" s="14">
        <f>DO293+'LPLPO PROGRAM'!E122-'LPLPO PROGRAM'!G122</f>
        <v>1</v>
      </c>
      <c r="CY293" s="15">
        <f t="shared" si="252"/>
        <v>1</v>
      </c>
      <c r="DA293" s="14">
        <v>0</v>
      </c>
      <c r="DB293" s="14">
        <v>0</v>
      </c>
      <c r="DC293" s="14">
        <v>0</v>
      </c>
      <c r="DD293" s="14">
        <v>0</v>
      </c>
      <c r="DE293" s="14">
        <v>0</v>
      </c>
      <c r="DF293" s="14">
        <v>0</v>
      </c>
      <c r="DG293" s="14">
        <v>0</v>
      </c>
      <c r="DH293" s="14">
        <v>0</v>
      </c>
      <c r="DI293" s="14">
        <v>0</v>
      </c>
      <c r="DJ293" s="14">
        <v>0</v>
      </c>
      <c r="DK293" s="14">
        <v>0</v>
      </c>
      <c r="DL293" s="14">
        <v>0</v>
      </c>
      <c r="DM293" s="14">
        <v>0</v>
      </c>
      <c r="DN293" s="14">
        <v>0</v>
      </c>
      <c r="DO293" s="14">
        <v>1</v>
      </c>
      <c r="DP293" s="13">
        <f t="shared" si="211"/>
        <v>1</v>
      </c>
      <c r="DU293" s="20" t="e">
        <f t="shared" si="259"/>
        <v>#REF!</v>
      </c>
    </row>
    <row r="294" spans="1:125" ht="15.5" x14ac:dyDescent="0.35">
      <c r="A294" s="205">
        <v>110</v>
      </c>
      <c r="B294" s="184" t="s">
        <v>374</v>
      </c>
      <c r="C294" s="144" t="s">
        <v>6</v>
      </c>
      <c r="D294" s="14">
        <v>0</v>
      </c>
      <c r="E294" s="254">
        <f>'LPLPO PROGRAM'!E123</f>
        <v>0</v>
      </c>
      <c r="F294" s="254">
        <f t="shared" si="253"/>
        <v>0</v>
      </c>
      <c r="G294" s="254">
        <f>'PEMAKAIAN UNIT'!R291</f>
        <v>0</v>
      </c>
      <c r="H294" s="14">
        <v>0</v>
      </c>
      <c r="I294" s="14">
        <v>0</v>
      </c>
      <c r="J294" s="14">
        <v>0</v>
      </c>
      <c r="K294" s="14"/>
      <c r="L294" s="14"/>
      <c r="M294" s="14"/>
      <c r="N294" s="14"/>
      <c r="O294" s="14"/>
      <c r="P294" s="14"/>
      <c r="Q294" s="14"/>
      <c r="R294" s="14"/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09">
        <f t="shared" si="254"/>
        <v>0</v>
      </c>
      <c r="Z294" s="109" t="e">
        <f t="shared" si="255"/>
        <v>#REF!</v>
      </c>
      <c r="AA294" s="109" t="e">
        <f t="shared" si="256"/>
        <v>#REF!</v>
      </c>
      <c r="AB294" s="14">
        <v>0</v>
      </c>
      <c r="AC294" s="109" t="e">
        <f t="shared" si="257"/>
        <v>#REF!</v>
      </c>
      <c r="AD294" s="109">
        <f>'LPLPO PROGRAM'!H123</f>
        <v>0</v>
      </c>
      <c r="AE294" s="111" t="e">
        <f t="shared" si="258"/>
        <v>#REF!</v>
      </c>
      <c r="AF294" s="212"/>
      <c r="AG294" s="212"/>
      <c r="AI294" s="14">
        <f t="shared" si="260"/>
        <v>0</v>
      </c>
      <c r="AJ294" s="209" t="e">
        <f t="shared" si="261"/>
        <v>#REF!</v>
      </c>
      <c r="AL294" s="14">
        <f t="shared" si="214"/>
        <v>0</v>
      </c>
      <c r="AM294" s="14">
        <f>DISTRIBUSI!D292</f>
        <v>0</v>
      </c>
      <c r="AN294" s="14">
        <f>'PEMAKAIAN UNIT'!D291</f>
        <v>0</v>
      </c>
      <c r="AO294" s="14">
        <f t="shared" si="215"/>
        <v>0</v>
      </c>
      <c r="AP294" s="15">
        <f t="shared" si="216"/>
        <v>0</v>
      </c>
      <c r="AQ294" s="14">
        <f t="shared" si="217"/>
        <v>0</v>
      </c>
      <c r="AR294" s="14">
        <f>DISTRIBUSI!E292</f>
        <v>0</v>
      </c>
      <c r="AS294" s="14">
        <f>'PEMAKAIAN UNIT'!E291</f>
        <v>0</v>
      </c>
      <c r="AT294" s="14">
        <f t="shared" si="218"/>
        <v>0</v>
      </c>
      <c r="AU294" s="15">
        <f t="shared" si="219"/>
        <v>0</v>
      </c>
      <c r="AV294" s="14">
        <f t="shared" si="220"/>
        <v>0</v>
      </c>
      <c r="AW294" s="14">
        <f>DISTRIBUSI!F292</f>
        <v>0</v>
      </c>
      <c r="AX294" s="14">
        <f>'PEMAKAIAN UNIT'!F291</f>
        <v>0</v>
      </c>
      <c r="AY294" s="14">
        <f t="shared" si="221"/>
        <v>0</v>
      </c>
      <c r="AZ294" s="15">
        <f t="shared" si="222"/>
        <v>0</v>
      </c>
      <c r="BA294" s="14">
        <f t="shared" si="223"/>
        <v>0</v>
      </c>
      <c r="BB294" s="14">
        <f>DISTRIBUSI!G292</f>
        <v>0</v>
      </c>
      <c r="BC294" s="14">
        <f>'PEMAKAIAN UNIT'!G291</f>
        <v>0</v>
      </c>
      <c r="BD294" s="14">
        <f t="shared" si="224"/>
        <v>0</v>
      </c>
      <c r="BE294" s="15">
        <f t="shared" si="225"/>
        <v>0</v>
      </c>
      <c r="BF294" s="14">
        <f t="shared" si="226"/>
        <v>0</v>
      </c>
      <c r="BG294" s="14">
        <f>DISTRIBUSI!H292</f>
        <v>0</v>
      </c>
      <c r="BH294" s="14">
        <f>'PEMAKAIAN UNIT'!H291</f>
        <v>0</v>
      </c>
      <c r="BI294" s="14">
        <f t="shared" si="227"/>
        <v>0</v>
      </c>
      <c r="BJ294" s="15">
        <f t="shared" si="228"/>
        <v>0</v>
      </c>
      <c r="BK294" s="14">
        <f t="shared" si="229"/>
        <v>0</v>
      </c>
      <c r="BL294" s="14">
        <f>DISTRIBUSI!I292</f>
        <v>0</v>
      </c>
      <c r="BM294" s="14">
        <f>'PEMAKAIAN UNIT'!I291</f>
        <v>0</v>
      </c>
      <c r="BN294" s="14">
        <f t="shared" si="230"/>
        <v>0</v>
      </c>
      <c r="BO294" s="15">
        <f t="shared" si="231"/>
        <v>0</v>
      </c>
      <c r="BP294" s="14">
        <f t="shared" si="232"/>
        <v>0</v>
      </c>
      <c r="BQ294" s="14">
        <f>DISTRIBUSI!J292</f>
        <v>0</v>
      </c>
      <c r="BR294" s="14">
        <f>'PEMAKAIAN UNIT'!J291</f>
        <v>0</v>
      </c>
      <c r="BS294" s="14">
        <f t="shared" si="233"/>
        <v>0</v>
      </c>
      <c r="BT294" s="15">
        <f t="shared" si="234"/>
        <v>0</v>
      </c>
      <c r="BU294" s="14">
        <f t="shared" si="235"/>
        <v>0</v>
      </c>
      <c r="BV294" s="14">
        <f>DISTRIBUSI!K292</f>
        <v>0</v>
      </c>
      <c r="BW294" s="14">
        <f>'PEMAKAIAN UNIT'!K291</f>
        <v>0</v>
      </c>
      <c r="BX294" s="14">
        <f t="shared" si="236"/>
        <v>0</v>
      </c>
      <c r="BY294" s="15">
        <f t="shared" si="237"/>
        <v>0</v>
      </c>
      <c r="BZ294" s="14">
        <f t="shared" si="238"/>
        <v>0</v>
      </c>
      <c r="CA294" s="14">
        <f>DISTRIBUSI!L292</f>
        <v>0</v>
      </c>
      <c r="CB294" s="14">
        <f>'PEMAKAIAN UNIT'!L291</f>
        <v>0</v>
      </c>
      <c r="CC294" s="14">
        <f t="shared" si="239"/>
        <v>0</v>
      </c>
      <c r="CD294" s="15">
        <f t="shared" si="240"/>
        <v>0</v>
      </c>
      <c r="CE294" s="14">
        <f t="shared" si="241"/>
        <v>0</v>
      </c>
      <c r="CF294" s="14">
        <f>DISTRIBUSI!M292</f>
        <v>0</v>
      </c>
      <c r="CG294" s="14">
        <f>'PEMAKAIAN UNIT'!M291</f>
        <v>0</v>
      </c>
      <c r="CH294" s="14">
        <f t="shared" si="242"/>
        <v>0</v>
      </c>
      <c r="CI294" s="15">
        <f t="shared" si="243"/>
        <v>0</v>
      </c>
      <c r="CJ294" s="14">
        <f t="shared" si="244"/>
        <v>0</v>
      </c>
      <c r="CK294" s="14" t="e">
        <f>DISTRIBUSI!#REF!</f>
        <v>#REF!</v>
      </c>
      <c r="CL294" s="14">
        <f>'PEMAKAIAN UNIT'!N291</f>
        <v>0</v>
      </c>
      <c r="CM294" s="14" t="e">
        <f t="shared" si="245"/>
        <v>#REF!</v>
      </c>
      <c r="CN294" s="15" t="e">
        <f t="shared" si="246"/>
        <v>#REF!</v>
      </c>
      <c r="CO294" s="14" t="e">
        <f>DL294+DISTRIBUSI!#REF!-'PEMAKAIAN UNIT'!O291</f>
        <v>#REF!</v>
      </c>
      <c r="CP294" s="15" t="e">
        <f t="shared" si="247"/>
        <v>#REF!</v>
      </c>
      <c r="CQ294" s="226">
        <f t="shared" si="248"/>
        <v>0</v>
      </c>
      <c r="CR294" s="226">
        <f>DISTRIBUSI!R292</f>
        <v>0</v>
      </c>
      <c r="CS294" s="226">
        <f>'PEMAKAIAN UNIT'!P291</f>
        <v>0</v>
      </c>
      <c r="CT294" s="14">
        <f t="shared" si="249"/>
        <v>0</v>
      </c>
      <c r="CU294" s="15">
        <f t="shared" si="250"/>
        <v>0</v>
      </c>
      <c r="CV294" s="14" t="e">
        <f>DN294+DISTRIBUSI!#REF!-'PEMAKAIAN UNIT'!Q291</f>
        <v>#REF!</v>
      </c>
      <c r="CW294" s="15" t="e">
        <f t="shared" si="251"/>
        <v>#REF!</v>
      </c>
      <c r="CX294" s="14">
        <f>DO294+'LPLPO PROGRAM'!E123-'LPLPO PROGRAM'!G123</f>
        <v>0</v>
      </c>
      <c r="CY294" s="15">
        <f t="shared" si="252"/>
        <v>0</v>
      </c>
      <c r="DA294" s="14">
        <v>0</v>
      </c>
      <c r="DB294" s="14">
        <v>0</v>
      </c>
      <c r="DC294" s="14">
        <v>0</v>
      </c>
      <c r="DD294" s="14">
        <v>0</v>
      </c>
      <c r="DE294" s="14">
        <v>0</v>
      </c>
      <c r="DF294" s="14">
        <v>0</v>
      </c>
      <c r="DG294" s="14">
        <v>0</v>
      </c>
      <c r="DH294" s="14">
        <v>0</v>
      </c>
      <c r="DI294" s="14">
        <v>0</v>
      </c>
      <c r="DJ294" s="14">
        <v>0</v>
      </c>
      <c r="DK294" s="14">
        <v>0</v>
      </c>
      <c r="DL294" s="14">
        <v>0</v>
      </c>
      <c r="DM294" s="14">
        <v>0</v>
      </c>
      <c r="DN294" s="14">
        <v>0</v>
      </c>
      <c r="DO294" s="14">
        <v>0</v>
      </c>
      <c r="DP294" s="13">
        <f t="shared" ref="DP294:DP336" si="262">SUM(CZ294:DO294)</f>
        <v>0</v>
      </c>
      <c r="DU294" s="20" t="e">
        <f t="shared" si="259"/>
        <v>#REF!</v>
      </c>
    </row>
    <row r="295" spans="1:125" ht="15.5" x14ac:dyDescent="0.35">
      <c r="A295" s="205">
        <v>111</v>
      </c>
      <c r="B295" s="184" t="s">
        <v>399</v>
      </c>
      <c r="C295" s="144" t="s">
        <v>289</v>
      </c>
      <c r="D295" s="14">
        <v>0</v>
      </c>
      <c r="E295" s="254">
        <f>'LPLPO PROGRAM'!E124</f>
        <v>0</v>
      </c>
      <c r="F295" s="254">
        <f t="shared" si="253"/>
        <v>0</v>
      </c>
      <c r="G295" s="254">
        <f>'PEMAKAIAN UNIT'!R292</f>
        <v>0</v>
      </c>
      <c r="H295" s="14">
        <v>0</v>
      </c>
      <c r="I295" s="14">
        <v>0</v>
      </c>
      <c r="J295" s="14">
        <v>0</v>
      </c>
      <c r="K295" s="14"/>
      <c r="L295" s="14"/>
      <c r="M295" s="14"/>
      <c r="N295" s="14"/>
      <c r="O295" s="14"/>
      <c r="P295" s="14"/>
      <c r="Q295" s="14"/>
      <c r="R295" s="14"/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09">
        <f t="shared" si="254"/>
        <v>0</v>
      </c>
      <c r="Z295" s="109" t="e">
        <f t="shared" si="255"/>
        <v>#REF!</v>
      </c>
      <c r="AA295" s="109" t="e">
        <f t="shared" si="256"/>
        <v>#REF!</v>
      </c>
      <c r="AB295" s="14">
        <v>0</v>
      </c>
      <c r="AC295" s="109" t="e">
        <f t="shared" si="257"/>
        <v>#REF!</v>
      </c>
      <c r="AD295" s="109">
        <f>'LPLPO PROGRAM'!H124</f>
        <v>0</v>
      </c>
      <c r="AE295" s="111" t="e">
        <f t="shared" si="258"/>
        <v>#REF!</v>
      </c>
      <c r="AF295" s="212"/>
      <c r="AG295" s="212"/>
      <c r="AI295" s="14">
        <f t="shared" si="260"/>
        <v>0</v>
      </c>
      <c r="AJ295" s="209" t="e">
        <f t="shared" si="261"/>
        <v>#REF!</v>
      </c>
      <c r="AL295" s="14">
        <f t="shared" si="214"/>
        <v>0</v>
      </c>
      <c r="AM295" s="14">
        <f>DISTRIBUSI!D293</f>
        <v>0</v>
      </c>
      <c r="AN295" s="14">
        <f>'PEMAKAIAN UNIT'!D292</f>
        <v>0</v>
      </c>
      <c r="AO295" s="14">
        <f t="shared" si="215"/>
        <v>0</v>
      </c>
      <c r="AP295" s="15">
        <f t="shared" si="216"/>
        <v>0</v>
      </c>
      <c r="AQ295" s="14">
        <f t="shared" si="217"/>
        <v>0</v>
      </c>
      <c r="AR295" s="14">
        <f>DISTRIBUSI!E293</f>
        <v>0</v>
      </c>
      <c r="AS295" s="14">
        <f>'PEMAKAIAN UNIT'!E292</f>
        <v>0</v>
      </c>
      <c r="AT295" s="14">
        <f t="shared" si="218"/>
        <v>0</v>
      </c>
      <c r="AU295" s="15">
        <f t="shared" si="219"/>
        <v>0</v>
      </c>
      <c r="AV295" s="14">
        <f t="shared" si="220"/>
        <v>0</v>
      </c>
      <c r="AW295" s="14">
        <f>DISTRIBUSI!F293</f>
        <v>0</v>
      </c>
      <c r="AX295" s="14">
        <f>'PEMAKAIAN UNIT'!F292</f>
        <v>0</v>
      </c>
      <c r="AY295" s="14">
        <f t="shared" si="221"/>
        <v>0</v>
      </c>
      <c r="AZ295" s="15">
        <f t="shared" si="222"/>
        <v>0</v>
      </c>
      <c r="BA295" s="14">
        <f t="shared" si="223"/>
        <v>0</v>
      </c>
      <c r="BB295" s="14">
        <f>DISTRIBUSI!G293</f>
        <v>0</v>
      </c>
      <c r="BC295" s="14">
        <f>'PEMAKAIAN UNIT'!G292</f>
        <v>0</v>
      </c>
      <c r="BD295" s="14">
        <f t="shared" si="224"/>
        <v>0</v>
      </c>
      <c r="BE295" s="15">
        <f t="shared" si="225"/>
        <v>0</v>
      </c>
      <c r="BF295" s="14">
        <f t="shared" si="226"/>
        <v>0</v>
      </c>
      <c r="BG295" s="14">
        <f>DISTRIBUSI!H293</f>
        <v>0</v>
      </c>
      <c r="BH295" s="14">
        <f>'PEMAKAIAN UNIT'!H292</f>
        <v>0</v>
      </c>
      <c r="BI295" s="14">
        <f t="shared" si="227"/>
        <v>0</v>
      </c>
      <c r="BJ295" s="15">
        <f t="shared" si="228"/>
        <v>0</v>
      </c>
      <c r="BK295" s="14">
        <f t="shared" si="229"/>
        <v>0</v>
      </c>
      <c r="BL295" s="14">
        <f>DISTRIBUSI!I293</f>
        <v>0</v>
      </c>
      <c r="BM295" s="14">
        <f>'PEMAKAIAN UNIT'!I292</f>
        <v>0</v>
      </c>
      <c r="BN295" s="14">
        <f t="shared" si="230"/>
        <v>0</v>
      </c>
      <c r="BO295" s="15">
        <f t="shared" si="231"/>
        <v>0</v>
      </c>
      <c r="BP295" s="14">
        <f t="shared" si="232"/>
        <v>0</v>
      </c>
      <c r="BQ295" s="14">
        <f>DISTRIBUSI!J293</f>
        <v>0</v>
      </c>
      <c r="BR295" s="14">
        <f>'PEMAKAIAN UNIT'!J292</f>
        <v>0</v>
      </c>
      <c r="BS295" s="14">
        <f t="shared" si="233"/>
        <v>0</v>
      </c>
      <c r="BT295" s="15">
        <f t="shared" si="234"/>
        <v>0</v>
      </c>
      <c r="BU295" s="14">
        <f t="shared" si="235"/>
        <v>0</v>
      </c>
      <c r="BV295" s="14">
        <f>DISTRIBUSI!K293</f>
        <v>0</v>
      </c>
      <c r="BW295" s="14">
        <f>'PEMAKAIAN UNIT'!K292</f>
        <v>0</v>
      </c>
      <c r="BX295" s="14">
        <f t="shared" si="236"/>
        <v>0</v>
      </c>
      <c r="BY295" s="15">
        <f t="shared" si="237"/>
        <v>0</v>
      </c>
      <c r="BZ295" s="14">
        <f t="shared" si="238"/>
        <v>0</v>
      </c>
      <c r="CA295" s="14">
        <f>DISTRIBUSI!L293</f>
        <v>0</v>
      </c>
      <c r="CB295" s="14">
        <f>'PEMAKAIAN UNIT'!L292</f>
        <v>0</v>
      </c>
      <c r="CC295" s="14">
        <f t="shared" si="239"/>
        <v>0</v>
      </c>
      <c r="CD295" s="15">
        <f t="shared" si="240"/>
        <v>0</v>
      </c>
      <c r="CE295" s="14">
        <f t="shared" si="241"/>
        <v>0</v>
      </c>
      <c r="CF295" s="14">
        <f>DISTRIBUSI!M293</f>
        <v>0</v>
      </c>
      <c r="CG295" s="14">
        <f>'PEMAKAIAN UNIT'!M292</f>
        <v>0</v>
      </c>
      <c r="CH295" s="14">
        <f t="shared" si="242"/>
        <v>0</v>
      </c>
      <c r="CI295" s="15">
        <f t="shared" si="243"/>
        <v>0</v>
      </c>
      <c r="CJ295" s="14">
        <f t="shared" si="244"/>
        <v>0</v>
      </c>
      <c r="CK295" s="14" t="e">
        <f>DISTRIBUSI!#REF!</f>
        <v>#REF!</v>
      </c>
      <c r="CL295" s="14">
        <f>'PEMAKAIAN UNIT'!N292</f>
        <v>0</v>
      </c>
      <c r="CM295" s="14" t="e">
        <f t="shared" si="245"/>
        <v>#REF!</v>
      </c>
      <c r="CN295" s="15" t="e">
        <f t="shared" si="246"/>
        <v>#REF!</v>
      </c>
      <c r="CO295" s="14" t="e">
        <f>DL295+DISTRIBUSI!#REF!-'PEMAKAIAN UNIT'!O292</f>
        <v>#REF!</v>
      </c>
      <c r="CP295" s="15" t="e">
        <f t="shared" si="247"/>
        <v>#REF!</v>
      </c>
      <c r="CQ295" s="226">
        <f t="shared" si="248"/>
        <v>0</v>
      </c>
      <c r="CR295" s="226">
        <f>DISTRIBUSI!R293</f>
        <v>0</v>
      </c>
      <c r="CS295" s="226">
        <f>'PEMAKAIAN UNIT'!P292</f>
        <v>0</v>
      </c>
      <c r="CT295" s="14">
        <f t="shared" si="249"/>
        <v>0</v>
      </c>
      <c r="CU295" s="15">
        <f t="shared" si="250"/>
        <v>0</v>
      </c>
      <c r="CV295" s="14" t="e">
        <f>DN295+DISTRIBUSI!#REF!-'PEMAKAIAN UNIT'!Q292</f>
        <v>#REF!</v>
      </c>
      <c r="CW295" s="15" t="e">
        <f t="shared" si="251"/>
        <v>#REF!</v>
      </c>
      <c r="CX295" s="14">
        <f>DO295+'LPLPO PROGRAM'!E124-'LPLPO PROGRAM'!G124</f>
        <v>0</v>
      </c>
      <c r="CY295" s="15">
        <f t="shared" si="252"/>
        <v>0</v>
      </c>
      <c r="DA295" s="14">
        <v>0</v>
      </c>
      <c r="DB295" s="14">
        <v>0</v>
      </c>
      <c r="DC295" s="14">
        <v>0</v>
      </c>
      <c r="DD295" s="14">
        <v>0</v>
      </c>
      <c r="DE295" s="14">
        <v>0</v>
      </c>
      <c r="DF295" s="14">
        <v>0</v>
      </c>
      <c r="DG295" s="14">
        <v>0</v>
      </c>
      <c r="DH295" s="14">
        <v>0</v>
      </c>
      <c r="DI295" s="14">
        <v>0</v>
      </c>
      <c r="DJ295" s="14">
        <v>0</v>
      </c>
      <c r="DK295" s="14">
        <v>0</v>
      </c>
      <c r="DL295" s="14">
        <v>0</v>
      </c>
      <c r="DM295" s="14">
        <v>0</v>
      </c>
      <c r="DN295" s="14">
        <v>0</v>
      </c>
      <c r="DO295" s="14">
        <v>0</v>
      </c>
      <c r="DP295" s="13">
        <f t="shared" si="262"/>
        <v>0</v>
      </c>
      <c r="DU295" s="20" t="e">
        <f t="shared" si="259"/>
        <v>#REF!</v>
      </c>
    </row>
    <row r="296" spans="1:125" ht="15.5" x14ac:dyDescent="0.35">
      <c r="A296" s="205">
        <v>112</v>
      </c>
      <c r="B296" s="184" t="s">
        <v>400</v>
      </c>
      <c r="C296" s="144" t="s">
        <v>273</v>
      </c>
      <c r="D296" s="14">
        <v>0</v>
      </c>
      <c r="E296" s="254">
        <f>'LPLPO PROGRAM'!E125</f>
        <v>0</v>
      </c>
      <c r="F296" s="254">
        <f t="shared" si="253"/>
        <v>0</v>
      </c>
      <c r="G296" s="254">
        <f>'PEMAKAIAN UNIT'!R293</f>
        <v>0</v>
      </c>
      <c r="H296" s="14">
        <v>0</v>
      </c>
      <c r="I296" s="14">
        <v>0</v>
      </c>
      <c r="J296" s="14">
        <v>0</v>
      </c>
      <c r="K296" s="14"/>
      <c r="L296" s="14"/>
      <c r="M296" s="14"/>
      <c r="N296" s="14"/>
      <c r="O296" s="14"/>
      <c r="P296" s="14"/>
      <c r="Q296" s="14"/>
      <c r="R296" s="14"/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09">
        <f t="shared" si="254"/>
        <v>0</v>
      </c>
      <c r="Z296" s="109" t="e">
        <f t="shared" si="255"/>
        <v>#REF!</v>
      </c>
      <c r="AA296" s="109" t="e">
        <f t="shared" si="256"/>
        <v>#REF!</v>
      </c>
      <c r="AB296" s="14">
        <v>0</v>
      </c>
      <c r="AC296" s="109" t="e">
        <f t="shared" si="257"/>
        <v>#REF!</v>
      </c>
      <c r="AD296" s="109">
        <f>'LPLPO PROGRAM'!H125</f>
        <v>0</v>
      </c>
      <c r="AE296" s="111" t="e">
        <f t="shared" si="258"/>
        <v>#REF!</v>
      </c>
      <c r="AF296" s="212"/>
      <c r="AG296" s="212"/>
      <c r="AI296" s="14">
        <f t="shared" si="260"/>
        <v>0</v>
      </c>
      <c r="AJ296" s="209" t="e">
        <f t="shared" si="261"/>
        <v>#REF!</v>
      </c>
      <c r="AL296" s="14">
        <f t="shared" si="214"/>
        <v>0</v>
      </c>
      <c r="AM296" s="14">
        <f>DISTRIBUSI!D294</f>
        <v>0</v>
      </c>
      <c r="AN296" s="14">
        <f>'PEMAKAIAN UNIT'!D293</f>
        <v>0</v>
      </c>
      <c r="AO296" s="14">
        <f t="shared" si="215"/>
        <v>0</v>
      </c>
      <c r="AP296" s="15">
        <f t="shared" si="216"/>
        <v>0</v>
      </c>
      <c r="AQ296" s="14">
        <f t="shared" si="217"/>
        <v>0</v>
      </c>
      <c r="AR296" s="14">
        <f>DISTRIBUSI!E294</f>
        <v>0</v>
      </c>
      <c r="AS296" s="14">
        <f>'PEMAKAIAN UNIT'!E293</f>
        <v>0</v>
      </c>
      <c r="AT296" s="14">
        <f t="shared" si="218"/>
        <v>0</v>
      </c>
      <c r="AU296" s="15">
        <f t="shared" si="219"/>
        <v>0</v>
      </c>
      <c r="AV296" s="14">
        <f t="shared" si="220"/>
        <v>0</v>
      </c>
      <c r="AW296" s="14">
        <f>DISTRIBUSI!F294</f>
        <v>0</v>
      </c>
      <c r="AX296" s="14">
        <f>'PEMAKAIAN UNIT'!F293</f>
        <v>0</v>
      </c>
      <c r="AY296" s="14">
        <f t="shared" si="221"/>
        <v>0</v>
      </c>
      <c r="AZ296" s="15">
        <f t="shared" si="222"/>
        <v>0</v>
      </c>
      <c r="BA296" s="14">
        <f t="shared" si="223"/>
        <v>0</v>
      </c>
      <c r="BB296" s="14">
        <f>DISTRIBUSI!G294</f>
        <v>0</v>
      </c>
      <c r="BC296" s="14">
        <f>'PEMAKAIAN UNIT'!G293</f>
        <v>0</v>
      </c>
      <c r="BD296" s="14">
        <f t="shared" si="224"/>
        <v>0</v>
      </c>
      <c r="BE296" s="15">
        <f t="shared" si="225"/>
        <v>0</v>
      </c>
      <c r="BF296" s="14">
        <f t="shared" si="226"/>
        <v>0</v>
      </c>
      <c r="BG296" s="14">
        <f>DISTRIBUSI!H294</f>
        <v>0</v>
      </c>
      <c r="BH296" s="14">
        <f>'PEMAKAIAN UNIT'!H293</f>
        <v>0</v>
      </c>
      <c r="BI296" s="14">
        <f t="shared" si="227"/>
        <v>0</v>
      </c>
      <c r="BJ296" s="15">
        <f t="shared" si="228"/>
        <v>0</v>
      </c>
      <c r="BK296" s="14">
        <f t="shared" si="229"/>
        <v>0</v>
      </c>
      <c r="BL296" s="14">
        <f>DISTRIBUSI!I294</f>
        <v>0</v>
      </c>
      <c r="BM296" s="14">
        <f>'PEMAKAIAN UNIT'!I293</f>
        <v>0</v>
      </c>
      <c r="BN296" s="14">
        <f t="shared" si="230"/>
        <v>0</v>
      </c>
      <c r="BO296" s="15">
        <f t="shared" si="231"/>
        <v>0</v>
      </c>
      <c r="BP296" s="14">
        <f t="shared" si="232"/>
        <v>0</v>
      </c>
      <c r="BQ296" s="14">
        <f>DISTRIBUSI!J294</f>
        <v>0</v>
      </c>
      <c r="BR296" s="14">
        <f>'PEMAKAIAN UNIT'!J293</f>
        <v>0</v>
      </c>
      <c r="BS296" s="14">
        <f t="shared" si="233"/>
        <v>0</v>
      </c>
      <c r="BT296" s="15">
        <f t="shared" si="234"/>
        <v>0</v>
      </c>
      <c r="BU296" s="14">
        <f t="shared" si="235"/>
        <v>0</v>
      </c>
      <c r="BV296" s="14">
        <f>DISTRIBUSI!K294</f>
        <v>0</v>
      </c>
      <c r="BW296" s="14">
        <f>'PEMAKAIAN UNIT'!K293</f>
        <v>0</v>
      </c>
      <c r="BX296" s="14">
        <f t="shared" si="236"/>
        <v>0</v>
      </c>
      <c r="BY296" s="15">
        <f t="shared" si="237"/>
        <v>0</v>
      </c>
      <c r="BZ296" s="14">
        <f t="shared" si="238"/>
        <v>0</v>
      </c>
      <c r="CA296" s="14">
        <f>DISTRIBUSI!L294</f>
        <v>0</v>
      </c>
      <c r="CB296" s="14">
        <f>'PEMAKAIAN UNIT'!L293</f>
        <v>0</v>
      </c>
      <c r="CC296" s="14">
        <f t="shared" si="239"/>
        <v>0</v>
      </c>
      <c r="CD296" s="15">
        <f t="shared" si="240"/>
        <v>0</v>
      </c>
      <c r="CE296" s="14">
        <f t="shared" si="241"/>
        <v>0</v>
      </c>
      <c r="CF296" s="14">
        <f>DISTRIBUSI!M294</f>
        <v>0</v>
      </c>
      <c r="CG296" s="14">
        <f>'PEMAKAIAN UNIT'!M293</f>
        <v>0</v>
      </c>
      <c r="CH296" s="14">
        <f t="shared" si="242"/>
        <v>0</v>
      </c>
      <c r="CI296" s="15">
        <f t="shared" si="243"/>
        <v>0</v>
      </c>
      <c r="CJ296" s="14">
        <f t="shared" si="244"/>
        <v>0</v>
      </c>
      <c r="CK296" s="14" t="e">
        <f>DISTRIBUSI!#REF!</f>
        <v>#REF!</v>
      </c>
      <c r="CL296" s="14">
        <f>'PEMAKAIAN UNIT'!N293</f>
        <v>0</v>
      </c>
      <c r="CM296" s="14" t="e">
        <f t="shared" si="245"/>
        <v>#REF!</v>
      </c>
      <c r="CN296" s="15" t="e">
        <f t="shared" si="246"/>
        <v>#REF!</v>
      </c>
      <c r="CO296" s="14" t="e">
        <f>DL296+DISTRIBUSI!#REF!-'PEMAKAIAN UNIT'!O293</f>
        <v>#REF!</v>
      </c>
      <c r="CP296" s="15" t="e">
        <f t="shared" si="247"/>
        <v>#REF!</v>
      </c>
      <c r="CQ296" s="226">
        <f t="shared" si="248"/>
        <v>0</v>
      </c>
      <c r="CR296" s="226">
        <f>DISTRIBUSI!R294</f>
        <v>0</v>
      </c>
      <c r="CS296" s="226">
        <f>'PEMAKAIAN UNIT'!P293</f>
        <v>0</v>
      </c>
      <c r="CT296" s="14">
        <f t="shared" si="249"/>
        <v>0</v>
      </c>
      <c r="CU296" s="15">
        <f t="shared" si="250"/>
        <v>0</v>
      </c>
      <c r="CV296" s="14" t="e">
        <f>DN296+DISTRIBUSI!#REF!-'PEMAKAIAN UNIT'!Q293</f>
        <v>#REF!</v>
      </c>
      <c r="CW296" s="15" t="e">
        <f t="shared" si="251"/>
        <v>#REF!</v>
      </c>
      <c r="CX296" s="14">
        <f>DO296+'LPLPO PROGRAM'!E125-'LPLPO PROGRAM'!G125</f>
        <v>0</v>
      </c>
      <c r="CY296" s="15">
        <f t="shared" si="252"/>
        <v>0</v>
      </c>
      <c r="DA296" s="14">
        <v>0</v>
      </c>
      <c r="DB296" s="14">
        <v>0</v>
      </c>
      <c r="DC296" s="14">
        <v>0</v>
      </c>
      <c r="DD296" s="14">
        <v>0</v>
      </c>
      <c r="DE296" s="14">
        <v>0</v>
      </c>
      <c r="DF296" s="14">
        <v>0</v>
      </c>
      <c r="DG296" s="14">
        <v>0</v>
      </c>
      <c r="DH296" s="14">
        <v>0</v>
      </c>
      <c r="DI296" s="14">
        <v>0</v>
      </c>
      <c r="DJ296" s="14">
        <v>0</v>
      </c>
      <c r="DK296" s="14">
        <v>0</v>
      </c>
      <c r="DL296" s="14">
        <v>0</v>
      </c>
      <c r="DM296" s="14">
        <v>0</v>
      </c>
      <c r="DN296" s="14">
        <v>0</v>
      </c>
      <c r="DO296" s="14">
        <v>0</v>
      </c>
      <c r="DP296" s="13">
        <f t="shared" si="262"/>
        <v>0</v>
      </c>
      <c r="DU296" s="20" t="e">
        <f t="shared" si="259"/>
        <v>#REF!</v>
      </c>
    </row>
    <row r="297" spans="1:125" ht="15.5" x14ac:dyDescent="0.35">
      <c r="A297" s="205">
        <v>113</v>
      </c>
      <c r="B297" s="184" t="s">
        <v>373</v>
      </c>
      <c r="C297" s="144" t="s">
        <v>6</v>
      </c>
      <c r="D297" s="14">
        <v>0</v>
      </c>
      <c r="E297" s="254">
        <f>'LPLPO PROGRAM'!E126</f>
        <v>0</v>
      </c>
      <c r="F297" s="254">
        <f t="shared" si="253"/>
        <v>0</v>
      </c>
      <c r="G297" s="254">
        <f>'PEMAKAIAN UNIT'!R294</f>
        <v>0</v>
      </c>
      <c r="H297" s="14">
        <v>0</v>
      </c>
      <c r="I297" s="14">
        <v>0</v>
      </c>
      <c r="J297" s="14">
        <v>0</v>
      </c>
      <c r="K297" s="14"/>
      <c r="L297" s="14"/>
      <c r="M297" s="14"/>
      <c r="N297" s="14"/>
      <c r="O297" s="14"/>
      <c r="P297" s="14"/>
      <c r="Q297" s="14"/>
      <c r="R297" s="14"/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09">
        <f t="shared" si="254"/>
        <v>0</v>
      </c>
      <c r="Z297" s="109" t="e">
        <f t="shared" si="255"/>
        <v>#REF!</v>
      </c>
      <c r="AA297" s="109" t="e">
        <f t="shared" si="256"/>
        <v>#REF!</v>
      </c>
      <c r="AB297" s="14">
        <v>0</v>
      </c>
      <c r="AC297" s="109" t="e">
        <f t="shared" si="257"/>
        <v>#REF!</v>
      </c>
      <c r="AD297" s="109">
        <f>'LPLPO PROGRAM'!H126</f>
        <v>0</v>
      </c>
      <c r="AE297" s="111" t="e">
        <f t="shared" si="258"/>
        <v>#REF!</v>
      </c>
      <c r="AF297" s="212"/>
      <c r="AG297" s="212"/>
      <c r="AI297" s="14">
        <f t="shared" si="260"/>
        <v>0</v>
      </c>
      <c r="AJ297" s="209" t="e">
        <f t="shared" si="261"/>
        <v>#REF!</v>
      </c>
      <c r="AL297" s="14">
        <f t="shared" si="214"/>
        <v>0</v>
      </c>
      <c r="AM297" s="14">
        <f>DISTRIBUSI!D295</f>
        <v>0</v>
      </c>
      <c r="AN297" s="14">
        <f>'PEMAKAIAN UNIT'!D294</f>
        <v>0</v>
      </c>
      <c r="AO297" s="14">
        <f t="shared" si="215"/>
        <v>0</v>
      </c>
      <c r="AP297" s="15">
        <f t="shared" si="216"/>
        <v>0</v>
      </c>
      <c r="AQ297" s="14">
        <f t="shared" si="217"/>
        <v>0</v>
      </c>
      <c r="AR297" s="14">
        <f>DISTRIBUSI!E295</f>
        <v>0</v>
      </c>
      <c r="AS297" s="14">
        <f>'PEMAKAIAN UNIT'!E294</f>
        <v>0</v>
      </c>
      <c r="AT297" s="14">
        <f t="shared" si="218"/>
        <v>0</v>
      </c>
      <c r="AU297" s="15">
        <f t="shared" si="219"/>
        <v>0</v>
      </c>
      <c r="AV297" s="14">
        <f t="shared" si="220"/>
        <v>0</v>
      </c>
      <c r="AW297" s="14">
        <f>DISTRIBUSI!F295</f>
        <v>0</v>
      </c>
      <c r="AX297" s="14">
        <f>'PEMAKAIAN UNIT'!F294</f>
        <v>0</v>
      </c>
      <c r="AY297" s="14">
        <f t="shared" si="221"/>
        <v>0</v>
      </c>
      <c r="AZ297" s="15">
        <f t="shared" si="222"/>
        <v>0</v>
      </c>
      <c r="BA297" s="14">
        <f t="shared" si="223"/>
        <v>0</v>
      </c>
      <c r="BB297" s="14">
        <f>DISTRIBUSI!G295</f>
        <v>0</v>
      </c>
      <c r="BC297" s="14">
        <f>'PEMAKAIAN UNIT'!G294</f>
        <v>0</v>
      </c>
      <c r="BD297" s="14">
        <f t="shared" si="224"/>
        <v>0</v>
      </c>
      <c r="BE297" s="15">
        <f t="shared" si="225"/>
        <v>0</v>
      </c>
      <c r="BF297" s="14">
        <f t="shared" si="226"/>
        <v>0</v>
      </c>
      <c r="BG297" s="14">
        <f>DISTRIBUSI!H295</f>
        <v>0</v>
      </c>
      <c r="BH297" s="14">
        <f>'PEMAKAIAN UNIT'!H294</f>
        <v>0</v>
      </c>
      <c r="BI297" s="14">
        <f t="shared" si="227"/>
        <v>0</v>
      </c>
      <c r="BJ297" s="15">
        <f t="shared" si="228"/>
        <v>0</v>
      </c>
      <c r="BK297" s="14">
        <f t="shared" si="229"/>
        <v>0</v>
      </c>
      <c r="BL297" s="14">
        <f>DISTRIBUSI!I295</f>
        <v>0</v>
      </c>
      <c r="BM297" s="14">
        <f>'PEMAKAIAN UNIT'!I294</f>
        <v>0</v>
      </c>
      <c r="BN297" s="14">
        <f t="shared" si="230"/>
        <v>0</v>
      </c>
      <c r="BO297" s="15">
        <f t="shared" si="231"/>
        <v>0</v>
      </c>
      <c r="BP297" s="14">
        <f t="shared" si="232"/>
        <v>0</v>
      </c>
      <c r="BQ297" s="14">
        <f>DISTRIBUSI!J295</f>
        <v>0</v>
      </c>
      <c r="BR297" s="14">
        <f>'PEMAKAIAN UNIT'!J294</f>
        <v>0</v>
      </c>
      <c r="BS297" s="14">
        <f t="shared" si="233"/>
        <v>0</v>
      </c>
      <c r="BT297" s="15">
        <f t="shared" si="234"/>
        <v>0</v>
      </c>
      <c r="BU297" s="14">
        <f t="shared" si="235"/>
        <v>0</v>
      </c>
      <c r="BV297" s="14">
        <f>DISTRIBUSI!K295</f>
        <v>0</v>
      </c>
      <c r="BW297" s="14">
        <f>'PEMAKAIAN UNIT'!K294</f>
        <v>0</v>
      </c>
      <c r="BX297" s="14">
        <f t="shared" si="236"/>
        <v>0</v>
      </c>
      <c r="BY297" s="15">
        <f t="shared" si="237"/>
        <v>0</v>
      </c>
      <c r="BZ297" s="14">
        <f t="shared" si="238"/>
        <v>0</v>
      </c>
      <c r="CA297" s="14">
        <f>DISTRIBUSI!L295</f>
        <v>0</v>
      </c>
      <c r="CB297" s="14">
        <f>'PEMAKAIAN UNIT'!L294</f>
        <v>0</v>
      </c>
      <c r="CC297" s="14">
        <f t="shared" si="239"/>
        <v>0</v>
      </c>
      <c r="CD297" s="15">
        <f t="shared" si="240"/>
        <v>0</v>
      </c>
      <c r="CE297" s="14">
        <f t="shared" si="241"/>
        <v>0</v>
      </c>
      <c r="CF297" s="14">
        <f>DISTRIBUSI!M295</f>
        <v>0</v>
      </c>
      <c r="CG297" s="14">
        <f>'PEMAKAIAN UNIT'!M294</f>
        <v>0</v>
      </c>
      <c r="CH297" s="14">
        <f t="shared" si="242"/>
        <v>0</v>
      </c>
      <c r="CI297" s="15">
        <f t="shared" si="243"/>
        <v>0</v>
      </c>
      <c r="CJ297" s="14">
        <f t="shared" si="244"/>
        <v>0</v>
      </c>
      <c r="CK297" s="14" t="e">
        <f>DISTRIBUSI!#REF!</f>
        <v>#REF!</v>
      </c>
      <c r="CL297" s="14">
        <f>'PEMAKAIAN UNIT'!N294</f>
        <v>0</v>
      </c>
      <c r="CM297" s="14" t="e">
        <f t="shared" si="245"/>
        <v>#REF!</v>
      </c>
      <c r="CN297" s="15" t="e">
        <f t="shared" si="246"/>
        <v>#REF!</v>
      </c>
      <c r="CO297" s="14" t="e">
        <f>DL297+DISTRIBUSI!#REF!-'PEMAKAIAN UNIT'!O294</f>
        <v>#REF!</v>
      </c>
      <c r="CP297" s="15" t="e">
        <f t="shared" si="247"/>
        <v>#REF!</v>
      </c>
      <c r="CQ297" s="226">
        <f t="shared" si="248"/>
        <v>0</v>
      </c>
      <c r="CR297" s="226">
        <f>DISTRIBUSI!R295</f>
        <v>0</v>
      </c>
      <c r="CS297" s="226">
        <f>'PEMAKAIAN UNIT'!P294</f>
        <v>0</v>
      </c>
      <c r="CT297" s="14">
        <f t="shared" si="249"/>
        <v>0</v>
      </c>
      <c r="CU297" s="15">
        <f t="shared" si="250"/>
        <v>0</v>
      </c>
      <c r="CV297" s="14" t="e">
        <f>DN297+DISTRIBUSI!#REF!-'PEMAKAIAN UNIT'!Q294</f>
        <v>#REF!</v>
      </c>
      <c r="CW297" s="15" t="e">
        <f t="shared" si="251"/>
        <v>#REF!</v>
      </c>
      <c r="CX297" s="14">
        <f>DO297+'LPLPO PROGRAM'!E126-'LPLPO PROGRAM'!G126</f>
        <v>0</v>
      </c>
      <c r="CY297" s="15">
        <f t="shared" si="252"/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4">
        <v>0</v>
      </c>
      <c r="DG297" s="14">
        <v>0</v>
      </c>
      <c r="DH297" s="14">
        <v>0</v>
      </c>
      <c r="DI297" s="14">
        <v>0</v>
      </c>
      <c r="DJ297" s="14">
        <v>0</v>
      </c>
      <c r="DK297" s="14">
        <v>0</v>
      </c>
      <c r="DL297" s="14">
        <v>0</v>
      </c>
      <c r="DM297" s="14">
        <v>0</v>
      </c>
      <c r="DN297" s="14">
        <v>0</v>
      </c>
      <c r="DO297" s="14">
        <v>0</v>
      </c>
      <c r="DP297" s="13">
        <f t="shared" si="262"/>
        <v>0</v>
      </c>
      <c r="DU297" s="20" t="e">
        <f t="shared" si="259"/>
        <v>#REF!</v>
      </c>
    </row>
    <row r="298" spans="1:125" ht="15.5" x14ac:dyDescent="0.35">
      <c r="A298" s="205">
        <v>114</v>
      </c>
      <c r="B298" s="184" t="s">
        <v>378</v>
      </c>
      <c r="C298" s="144" t="s">
        <v>4</v>
      </c>
      <c r="D298" s="14">
        <v>0</v>
      </c>
      <c r="E298" s="254">
        <f>'LPLPO PROGRAM'!E127</f>
        <v>0</v>
      </c>
      <c r="F298" s="254">
        <f t="shared" si="253"/>
        <v>0</v>
      </c>
      <c r="G298" s="254">
        <f>'PEMAKAIAN UNIT'!R295</f>
        <v>0</v>
      </c>
      <c r="H298" s="14">
        <v>0</v>
      </c>
      <c r="I298" s="14">
        <v>0</v>
      </c>
      <c r="J298" s="14">
        <v>0</v>
      </c>
      <c r="K298" s="14"/>
      <c r="L298" s="14"/>
      <c r="M298" s="14"/>
      <c r="N298" s="14"/>
      <c r="O298" s="14"/>
      <c r="P298" s="14"/>
      <c r="Q298" s="14"/>
      <c r="R298" s="14"/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09">
        <f t="shared" si="254"/>
        <v>0</v>
      </c>
      <c r="Z298" s="109" t="e">
        <f t="shared" si="255"/>
        <v>#REF!</v>
      </c>
      <c r="AA298" s="109" t="e">
        <f t="shared" si="256"/>
        <v>#REF!</v>
      </c>
      <c r="AB298" s="14">
        <v>0</v>
      </c>
      <c r="AC298" s="109" t="e">
        <f t="shared" si="257"/>
        <v>#REF!</v>
      </c>
      <c r="AD298" s="109">
        <f>'LPLPO PROGRAM'!H127</f>
        <v>0</v>
      </c>
      <c r="AE298" s="111" t="e">
        <f t="shared" si="258"/>
        <v>#REF!</v>
      </c>
      <c r="AF298" s="212"/>
      <c r="AG298" s="212"/>
      <c r="AI298" s="14">
        <f t="shared" si="260"/>
        <v>0</v>
      </c>
      <c r="AJ298" s="209" t="e">
        <f t="shared" si="261"/>
        <v>#REF!</v>
      </c>
      <c r="AL298" s="14">
        <f t="shared" si="214"/>
        <v>0</v>
      </c>
      <c r="AM298" s="14">
        <f>DISTRIBUSI!D296</f>
        <v>0</v>
      </c>
      <c r="AN298" s="14">
        <f>'PEMAKAIAN UNIT'!D295</f>
        <v>0</v>
      </c>
      <c r="AO298" s="14">
        <f t="shared" si="215"/>
        <v>0</v>
      </c>
      <c r="AP298" s="15">
        <f t="shared" si="216"/>
        <v>0</v>
      </c>
      <c r="AQ298" s="14">
        <f t="shared" si="217"/>
        <v>0</v>
      </c>
      <c r="AR298" s="14">
        <f>DISTRIBUSI!E296</f>
        <v>0</v>
      </c>
      <c r="AS298" s="14">
        <f>'PEMAKAIAN UNIT'!E295</f>
        <v>0</v>
      </c>
      <c r="AT298" s="14">
        <f t="shared" si="218"/>
        <v>0</v>
      </c>
      <c r="AU298" s="15">
        <f t="shared" si="219"/>
        <v>0</v>
      </c>
      <c r="AV298" s="14">
        <f t="shared" si="220"/>
        <v>0</v>
      </c>
      <c r="AW298" s="14">
        <f>DISTRIBUSI!F296</f>
        <v>0</v>
      </c>
      <c r="AX298" s="14">
        <f>'PEMAKAIAN UNIT'!F295</f>
        <v>0</v>
      </c>
      <c r="AY298" s="14">
        <f t="shared" si="221"/>
        <v>0</v>
      </c>
      <c r="AZ298" s="15">
        <f t="shared" si="222"/>
        <v>0</v>
      </c>
      <c r="BA298" s="14">
        <f t="shared" si="223"/>
        <v>0</v>
      </c>
      <c r="BB298" s="14">
        <f>DISTRIBUSI!G296</f>
        <v>0</v>
      </c>
      <c r="BC298" s="14">
        <f>'PEMAKAIAN UNIT'!G295</f>
        <v>0</v>
      </c>
      <c r="BD298" s="14">
        <f t="shared" si="224"/>
        <v>0</v>
      </c>
      <c r="BE298" s="15">
        <f t="shared" si="225"/>
        <v>0</v>
      </c>
      <c r="BF298" s="14">
        <f t="shared" si="226"/>
        <v>0</v>
      </c>
      <c r="BG298" s="14">
        <f>DISTRIBUSI!H296</f>
        <v>0</v>
      </c>
      <c r="BH298" s="14">
        <f>'PEMAKAIAN UNIT'!H295</f>
        <v>0</v>
      </c>
      <c r="BI298" s="14">
        <f t="shared" si="227"/>
        <v>0</v>
      </c>
      <c r="BJ298" s="15">
        <f t="shared" si="228"/>
        <v>0</v>
      </c>
      <c r="BK298" s="14">
        <f t="shared" si="229"/>
        <v>0</v>
      </c>
      <c r="BL298" s="14">
        <f>DISTRIBUSI!I296</f>
        <v>0</v>
      </c>
      <c r="BM298" s="14">
        <f>'PEMAKAIAN UNIT'!I295</f>
        <v>0</v>
      </c>
      <c r="BN298" s="14">
        <f t="shared" si="230"/>
        <v>0</v>
      </c>
      <c r="BO298" s="15">
        <f t="shared" si="231"/>
        <v>0</v>
      </c>
      <c r="BP298" s="14">
        <f t="shared" si="232"/>
        <v>0</v>
      </c>
      <c r="BQ298" s="14">
        <f>DISTRIBUSI!J296</f>
        <v>0</v>
      </c>
      <c r="BR298" s="14">
        <f>'PEMAKAIAN UNIT'!J295</f>
        <v>0</v>
      </c>
      <c r="BS298" s="14">
        <f t="shared" si="233"/>
        <v>0</v>
      </c>
      <c r="BT298" s="15">
        <f t="shared" si="234"/>
        <v>0</v>
      </c>
      <c r="BU298" s="14">
        <f t="shared" si="235"/>
        <v>0</v>
      </c>
      <c r="BV298" s="14">
        <f>DISTRIBUSI!K296</f>
        <v>0</v>
      </c>
      <c r="BW298" s="14">
        <f>'PEMAKAIAN UNIT'!K295</f>
        <v>0</v>
      </c>
      <c r="BX298" s="14">
        <f t="shared" si="236"/>
        <v>0</v>
      </c>
      <c r="BY298" s="15">
        <f t="shared" si="237"/>
        <v>0</v>
      </c>
      <c r="BZ298" s="14">
        <f t="shared" si="238"/>
        <v>0</v>
      </c>
      <c r="CA298" s="14">
        <f>DISTRIBUSI!L296</f>
        <v>0</v>
      </c>
      <c r="CB298" s="14">
        <f>'PEMAKAIAN UNIT'!L295</f>
        <v>0</v>
      </c>
      <c r="CC298" s="14">
        <f t="shared" si="239"/>
        <v>0</v>
      </c>
      <c r="CD298" s="15">
        <f t="shared" si="240"/>
        <v>0</v>
      </c>
      <c r="CE298" s="14">
        <f t="shared" si="241"/>
        <v>0</v>
      </c>
      <c r="CF298" s="14">
        <f>DISTRIBUSI!M296</f>
        <v>0</v>
      </c>
      <c r="CG298" s="14">
        <f>'PEMAKAIAN UNIT'!M295</f>
        <v>0</v>
      </c>
      <c r="CH298" s="14">
        <f t="shared" si="242"/>
        <v>0</v>
      </c>
      <c r="CI298" s="15">
        <f t="shared" si="243"/>
        <v>0</v>
      </c>
      <c r="CJ298" s="14">
        <f t="shared" si="244"/>
        <v>0</v>
      </c>
      <c r="CK298" s="14" t="e">
        <f>DISTRIBUSI!#REF!</f>
        <v>#REF!</v>
      </c>
      <c r="CL298" s="14">
        <f>'PEMAKAIAN UNIT'!N295</f>
        <v>0</v>
      </c>
      <c r="CM298" s="14" t="e">
        <f t="shared" si="245"/>
        <v>#REF!</v>
      </c>
      <c r="CN298" s="15" t="e">
        <f t="shared" si="246"/>
        <v>#REF!</v>
      </c>
      <c r="CO298" s="14" t="e">
        <f>DL298+DISTRIBUSI!#REF!-'PEMAKAIAN UNIT'!O295</f>
        <v>#REF!</v>
      </c>
      <c r="CP298" s="15" t="e">
        <f t="shared" si="247"/>
        <v>#REF!</v>
      </c>
      <c r="CQ298" s="226">
        <f t="shared" si="248"/>
        <v>0</v>
      </c>
      <c r="CR298" s="226">
        <f>DISTRIBUSI!R296</f>
        <v>0</v>
      </c>
      <c r="CS298" s="226">
        <f>'PEMAKAIAN UNIT'!P295</f>
        <v>0</v>
      </c>
      <c r="CT298" s="14">
        <f t="shared" si="249"/>
        <v>0</v>
      </c>
      <c r="CU298" s="15">
        <f t="shared" si="250"/>
        <v>0</v>
      </c>
      <c r="CV298" s="14" t="e">
        <f>DN298+DISTRIBUSI!#REF!-'PEMAKAIAN UNIT'!Q295</f>
        <v>#REF!</v>
      </c>
      <c r="CW298" s="15" t="e">
        <f t="shared" si="251"/>
        <v>#REF!</v>
      </c>
      <c r="CX298" s="14">
        <f>DO298+'LPLPO PROGRAM'!E127-'LPLPO PROGRAM'!G127</f>
        <v>0</v>
      </c>
      <c r="CY298" s="15">
        <f t="shared" si="252"/>
        <v>0</v>
      </c>
      <c r="DA298" s="14">
        <v>0</v>
      </c>
      <c r="DB298" s="14">
        <v>0</v>
      </c>
      <c r="DC298" s="14">
        <v>0</v>
      </c>
      <c r="DD298" s="14">
        <v>0</v>
      </c>
      <c r="DE298" s="14">
        <v>0</v>
      </c>
      <c r="DF298" s="14">
        <v>0</v>
      </c>
      <c r="DG298" s="14">
        <v>0</v>
      </c>
      <c r="DH298" s="14">
        <v>0</v>
      </c>
      <c r="DI298" s="14">
        <v>0</v>
      </c>
      <c r="DJ298" s="14">
        <v>0</v>
      </c>
      <c r="DK298" s="14">
        <v>0</v>
      </c>
      <c r="DL298" s="14">
        <v>0</v>
      </c>
      <c r="DM298" s="14">
        <v>0</v>
      </c>
      <c r="DN298" s="14">
        <v>0</v>
      </c>
      <c r="DO298" s="14">
        <v>0</v>
      </c>
      <c r="DP298" s="13">
        <f t="shared" si="262"/>
        <v>0</v>
      </c>
      <c r="DU298" s="20" t="e">
        <f t="shared" si="259"/>
        <v>#REF!</v>
      </c>
    </row>
    <row r="299" spans="1:125" ht="15.5" x14ac:dyDescent="0.35">
      <c r="A299" s="205">
        <v>115</v>
      </c>
      <c r="B299" s="184" t="s">
        <v>301</v>
      </c>
      <c r="C299" s="144" t="s">
        <v>6</v>
      </c>
      <c r="D299" s="14">
        <v>0</v>
      </c>
      <c r="E299" s="254">
        <f>'LPLPO PROGRAM'!E128</f>
        <v>0</v>
      </c>
      <c r="F299" s="254">
        <f t="shared" si="253"/>
        <v>0</v>
      </c>
      <c r="G299" s="254">
        <f>'PEMAKAIAN UNIT'!R296</f>
        <v>0</v>
      </c>
      <c r="H299" s="14">
        <v>0</v>
      </c>
      <c r="I299" s="14">
        <v>0</v>
      </c>
      <c r="J299" s="14">
        <v>0</v>
      </c>
      <c r="K299" s="14"/>
      <c r="L299" s="14"/>
      <c r="M299" s="14"/>
      <c r="N299" s="14"/>
      <c r="O299" s="14"/>
      <c r="P299" s="14"/>
      <c r="Q299" s="14"/>
      <c r="R299" s="14"/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09">
        <f t="shared" si="254"/>
        <v>0</v>
      </c>
      <c r="Z299" s="109" t="e">
        <f t="shared" si="255"/>
        <v>#REF!</v>
      </c>
      <c r="AA299" s="109" t="e">
        <f t="shared" si="256"/>
        <v>#REF!</v>
      </c>
      <c r="AB299" s="14">
        <v>0</v>
      </c>
      <c r="AC299" s="109" t="e">
        <f t="shared" si="257"/>
        <v>#REF!</v>
      </c>
      <c r="AD299" s="109">
        <f>'LPLPO PROGRAM'!H128</f>
        <v>0</v>
      </c>
      <c r="AE299" s="111" t="e">
        <f t="shared" si="258"/>
        <v>#REF!</v>
      </c>
      <c r="AF299" s="212"/>
      <c r="AG299" s="212"/>
      <c r="AI299" s="14">
        <f t="shared" si="260"/>
        <v>0</v>
      </c>
      <c r="AJ299" s="209" t="e">
        <f t="shared" si="261"/>
        <v>#REF!</v>
      </c>
      <c r="AL299" s="14">
        <f t="shared" si="214"/>
        <v>0</v>
      </c>
      <c r="AM299" s="14">
        <f>DISTRIBUSI!D297</f>
        <v>0</v>
      </c>
      <c r="AN299" s="14">
        <f>'PEMAKAIAN UNIT'!D296</f>
        <v>0</v>
      </c>
      <c r="AO299" s="14">
        <f t="shared" si="215"/>
        <v>0</v>
      </c>
      <c r="AP299" s="15">
        <f t="shared" si="216"/>
        <v>0</v>
      </c>
      <c r="AQ299" s="14">
        <f t="shared" si="217"/>
        <v>0</v>
      </c>
      <c r="AR299" s="14">
        <f>DISTRIBUSI!E297</f>
        <v>0</v>
      </c>
      <c r="AS299" s="14">
        <f>'PEMAKAIAN UNIT'!E296</f>
        <v>0</v>
      </c>
      <c r="AT299" s="14">
        <f t="shared" si="218"/>
        <v>0</v>
      </c>
      <c r="AU299" s="15">
        <f t="shared" si="219"/>
        <v>0</v>
      </c>
      <c r="AV299" s="14">
        <f t="shared" si="220"/>
        <v>0</v>
      </c>
      <c r="AW299" s="14">
        <f>DISTRIBUSI!F297</f>
        <v>0</v>
      </c>
      <c r="AX299" s="14">
        <f>'PEMAKAIAN UNIT'!F296</f>
        <v>0</v>
      </c>
      <c r="AY299" s="14">
        <f t="shared" si="221"/>
        <v>0</v>
      </c>
      <c r="AZ299" s="15">
        <f t="shared" si="222"/>
        <v>0</v>
      </c>
      <c r="BA299" s="14">
        <f t="shared" si="223"/>
        <v>0</v>
      </c>
      <c r="BB299" s="14">
        <f>DISTRIBUSI!G297</f>
        <v>0</v>
      </c>
      <c r="BC299" s="14">
        <f>'PEMAKAIAN UNIT'!G296</f>
        <v>0</v>
      </c>
      <c r="BD299" s="14">
        <f t="shared" si="224"/>
        <v>0</v>
      </c>
      <c r="BE299" s="15">
        <f t="shared" si="225"/>
        <v>0</v>
      </c>
      <c r="BF299" s="14">
        <f t="shared" si="226"/>
        <v>0</v>
      </c>
      <c r="BG299" s="14">
        <f>DISTRIBUSI!H297</f>
        <v>0</v>
      </c>
      <c r="BH299" s="14">
        <f>'PEMAKAIAN UNIT'!H296</f>
        <v>0</v>
      </c>
      <c r="BI299" s="14">
        <f t="shared" si="227"/>
        <v>0</v>
      </c>
      <c r="BJ299" s="15">
        <f t="shared" si="228"/>
        <v>0</v>
      </c>
      <c r="BK299" s="14">
        <f t="shared" si="229"/>
        <v>0</v>
      </c>
      <c r="BL299" s="14">
        <f>DISTRIBUSI!I297</f>
        <v>0</v>
      </c>
      <c r="BM299" s="14">
        <f>'PEMAKAIAN UNIT'!I296</f>
        <v>0</v>
      </c>
      <c r="BN299" s="14">
        <f t="shared" si="230"/>
        <v>0</v>
      </c>
      <c r="BO299" s="15">
        <f t="shared" si="231"/>
        <v>0</v>
      </c>
      <c r="BP299" s="14">
        <f t="shared" si="232"/>
        <v>0</v>
      </c>
      <c r="BQ299" s="14">
        <f>DISTRIBUSI!J297</f>
        <v>0</v>
      </c>
      <c r="BR299" s="14">
        <f>'PEMAKAIAN UNIT'!J296</f>
        <v>0</v>
      </c>
      <c r="BS299" s="14">
        <f t="shared" si="233"/>
        <v>0</v>
      </c>
      <c r="BT299" s="15">
        <f t="shared" si="234"/>
        <v>0</v>
      </c>
      <c r="BU299" s="14">
        <f t="shared" si="235"/>
        <v>0</v>
      </c>
      <c r="BV299" s="14">
        <f>DISTRIBUSI!K297</f>
        <v>0</v>
      </c>
      <c r="BW299" s="14">
        <f>'PEMAKAIAN UNIT'!K296</f>
        <v>0</v>
      </c>
      <c r="BX299" s="14">
        <f t="shared" si="236"/>
        <v>0</v>
      </c>
      <c r="BY299" s="15">
        <f t="shared" si="237"/>
        <v>0</v>
      </c>
      <c r="BZ299" s="14">
        <f t="shared" si="238"/>
        <v>0</v>
      </c>
      <c r="CA299" s="14">
        <f>DISTRIBUSI!L297</f>
        <v>0</v>
      </c>
      <c r="CB299" s="14">
        <f>'PEMAKAIAN UNIT'!L296</f>
        <v>0</v>
      </c>
      <c r="CC299" s="14">
        <f t="shared" si="239"/>
        <v>0</v>
      </c>
      <c r="CD299" s="15">
        <f t="shared" si="240"/>
        <v>0</v>
      </c>
      <c r="CE299" s="14">
        <f t="shared" si="241"/>
        <v>0</v>
      </c>
      <c r="CF299" s="14">
        <f>DISTRIBUSI!M297</f>
        <v>0</v>
      </c>
      <c r="CG299" s="14">
        <f>'PEMAKAIAN UNIT'!M296</f>
        <v>0</v>
      </c>
      <c r="CH299" s="14">
        <f t="shared" si="242"/>
        <v>0</v>
      </c>
      <c r="CI299" s="15">
        <f t="shared" si="243"/>
        <v>0</v>
      </c>
      <c r="CJ299" s="14">
        <f t="shared" si="244"/>
        <v>0</v>
      </c>
      <c r="CK299" s="14" t="e">
        <f>DISTRIBUSI!#REF!</f>
        <v>#REF!</v>
      </c>
      <c r="CL299" s="14">
        <f>'PEMAKAIAN UNIT'!N296</f>
        <v>0</v>
      </c>
      <c r="CM299" s="14" t="e">
        <f t="shared" si="245"/>
        <v>#REF!</v>
      </c>
      <c r="CN299" s="15" t="e">
        <f t="shared" si="246"/>
        <v>#REF!</v>
      </c>
      <c r="CO299" s="14" t="e">
        <f>DL299+DISTRIBUSI!#REF!-'PEMAKAIAN UNIT'!O296</f>
        <v>#REF!</v>
      </c>
      <c r="CP299" s="15" t="e">
        <f t="shared" si="247"/>
        <v>#REF!</v>
      </c>
      <c r="CQ299" s="226">
        <f t="shared" si="248"/>
        <v>0</v>
      </c>
      <c r="CR299" s="226">
        <f>DISTRIBUSI!R297</f>
        <v>0</v>
      </c>
      <c r="CS299" s="226">
        <f>'PEMAKAIAN UNIT'!P296</f>
        <v>0</v>
      </c>
      <c r="CT299" s="14">
        <f t="shared" si="249"/>
        <v>0</v>
      </c>
      <c r="CU299" s="15">
        <f t="shared" si="250"/>
        <v>0</v>
      </c>
      <c r="CV299" s="14" t="e">
        <f>DN299+DISTRIBUSI!#REF!-'PEMAKAIAN UNIT'!Q296</f>
        <v>#REF!</v>
      </c>
      <c r="CW299" s="15" t="e">
        <f t="shared" si="251"/>
        <v>#REF!</v>
      </c>
      <c r="CX299" s="14">
        <f>DO299+'LPLPO PROGRAM'!E128-'LPLPO PROGRAM'!G128</f>
        <v>0</v>
      </c>
      <c r="CY299" s="15">
        <f t="shared" si="252"/>
        <v>0</v>
      </c>
      <c r="DA299" s="14">
        <v>0</v>
      </c>
      <c r="DB299" s="14">
        <v>0</v>
      </c>
      <c r="DC299" s="14">
        <v>0</v>
      </c>
      <c r="DD299" s="14">
        <v>0</v>
      </c>
      <c r="DE299" s="14">
        <v>0</v>
      </c>
      <c r="DF299" s="14">
        <v>0</v>
      </c>
      <c r="DG299" s="14">
        <v>0</v>
      </c>
      <c r="DH299" s="14">
        <v>0</v>
      </c>
      <c r="DI299" s="14">
        <v>0</v>
      </c>
      <c r="DJ299" s="14">
        <v>0</v>
      </c>
      <c r="DK299" s="14">
        <v>0</v>
      </c>
      <c r="DL299" s="14">
        <v>0</v>
      </c>
      <c r="DM299" s="14">
        <v>0</v>
      </c>
      <c r="DN299" s="14">
        <v>0</v>
      </c>
      <c r="DO299" s="14">
        <v>0</v>
      </c>
      <c r="DP299" s="13">
        <f t="shared" si="262"/>
        <v>0</v>
      </c>
      <c r="DU299" s="20" t="e">
        <f t="shared" si="259"/>
        <v>#REF!</v>
      </c>
    </row>
    <row r="300" spans="1:125" ht="15.5" x14ac:dyDescent="0.35">
      <c r="A300" s="205">
        <v>116</v>
      </c>
      <c r="B300" s="184" t="s">
        <v>375</v>
      </c>
      <c r="C300" s="144" t="s">
        <v>212</v>
      </c>
      <c r="D300" s="14">
        <v>0</v>
      </c>
      <c r="E300" s="254">
        <f>'LPLPO PROGRAM'!E129</f>
        <v>0</v>
      </c>
      <c r="F300" s="254">
        <f t="shared" si="253"/>
        <v>0</v>
      </c>
      <c r="G300" s="254">
        <f>'PEMAKAIAN UNIT'!R297</f>
        <v>0</v>
      </c>
      <c r="H300" s="14">
        <v>0</v>
      </c>
      <c r="I300" s="14">
        <v>0</v>
      </c>
      <c r="J300" s="14">
        <v>0</v>
      </c>
      <c r="K300" s="14"/>
      <c r="L300" s="14"/>
      <c r="M300" s="14"/>
      <c r="N300" s="14"/>
      <c r="O300" s="14"/>
      <c r="P300" s="14"/>
      <c r="Q300" s="14"/>
      <c r="R300" s="14"/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09">
        <f t="shared" si="254"/>
        <v>0</v>
      </c>
      <c r="Z300" s="109" t="e">
        <f t="shared" si="255"/>
        <v>#REF!</v>
      </c>
      <c r="AA300" s="109" t="e">
        <f t="shared" si="256"/>
        <v>#REF!</v>
      </c>
      <c r="AB300" s="14">
        <v>0</v>
      </c>
      <c r="AC300" s="109" t="e">
        <f t="shared" si="257"/>
        <v>#REF!</v>
      </c>
      <c r="AD300" s="109">
        <f>'LPLPO PROGRAM'!H129</f>
        <v>0</v>
      </c>
      <c r="AE300" s="111" t="e">
        <f t="shared" si="258"/>
        <v>#REF!</v>
      </c>
      <c r="AF300" s="212"/>
      <c r="AG300" s="212"/>
      <c r="AI300" s="14">
        <f t="shared" si="260"/>
        <v>0</v>
      </c>
      <c r="AJ300" s="209" t="e">
        <f t="shared" si="261"/>
        <v>#REF!</v>
      </c>
      <c r="AL300" s="14">
        <f t="shared" si="214"/>
        <v>0</v>
      </c>
      <c r="AM300" s="14">
        <f>DISTRIBUSI!D298</f>
        <v>0</v>
      </c>
      <c r="AN300" s="14">
        <f>'PEMAKAIAN UNIT'!D297</f>
        <v>0</v>
      </c>
      <c r="AO300" s="14">
        <f t="shared" si="215"/>
        <v>0</v>
      </c>
      <c r="AP300" s="15">
        <f t="shared" si="216"/>
        <v>0</v>
      </c>
      <c r="AQ300" s="14">
        <f t="shared" si="217"/>
        <v>0</v>
      </c>
      <c r="AR300" s="14">
        <f>DISTRIBUSI!E298</f>
        <v>0</v>
      </c>
      <c r="AS300" s="14">
        <f>'PEMAKAIAN UNIT'!E297</f>
        <v>0</v>
      </c>
      <c r="AT300" s="14">
        <f t="shared" si="218"/>
        <v>0</v>
      </c>
      <c r="AU300" s="15">
        <f t="shared" si="219"/>
        <v>0</v>
      </c>
      <c r="AV300" s="14">
        <f t="shared" si="220"/>
        <v>0</v>
      </c>
      <c r="AW300" s="14">
        <f>DISTRIBUSI!F298</f>
        <v>0</v>
      </c>
      <c r="AX300" s="14">
        <f>'PEMAKAIAN UNIT'!F297</f>
        <v>0</v>
      </c>
      <c r="AY300" s="14">
        <f t="shared" si="221"/>
        <v>0</v>
      </c>
      <c r="AZ300" s="15">
        <f t="shared" si="222"/>
        <v>0</v>
      </c>
      <c r="BA300" s="14">
        <f t="shared" si="223"/>
        <v>0</v>
      </c>
      <c r="BB300" s="14">
        <f>DISTRIBUSI!G298</f>
        <v>0</v>
      </c>
      <c r="BC300" s="14">
        <f>'PEMAKAIAN UNIT'!G297</f>
        <v>0</v>
      </c>
      <c r="BD300" s="14">
        <f t="shared" si="224"/>
        <v>0</v>
      </c>
      <c r="BE300" s="15">
        <f t="shared" si="225"/>
        <v>0</v>
      </c>
      <c r="BF300" s="14">
        <f t="shared" si="226"/>
        <v>0</v>
      </c>
      <c r="BG300" s="14">
        <f>DISTRIBUSI!H298</f>
        <v>0</v>
      </c>
      <c r="BH300" s="14">
        <f>'PEMAKAIAN UNIT'!H297</f>
        <v>0</v>
      </c>
      <c r="BI300" s="14">
        <f t="shared" si="227"/>
        <v>0</v>
      </c>
      <c r="BJ300" s="15">
        <f t="shared" si="228"/>
        <v>0</v>
      </c>
      <c r="BK300" s="14">
        <f t="shared" si="229"/>
        <v>0</v>
      </c>
      <c r="BL300" s="14">
        <f>DISTRIBUSI!I298</f>
        <v>0</v>
      </c>
      <c r="BM300" s="14">
        <f>'PEMAKAIAN UNIT'!I297</f>
        <v>0</v>
      </c>
      <c r="BN300" s="14">
        <f t="shared" si="230"/>
        <v>0</v>
      </c>
      <c r="BO300" s="15">
        <f t="shared" si="231"/>
        <v>0</v>
      </c>
      <c r="BP300" s="14">
        <f t="shared" si="232"/>
        <v>0</v>
      </c>
      <c r="BQ300" s="14">
        <f>DISTRIBUSI!J298</f>
        <v>0</v>
      </c>
      <c r="BR300" s="14">
        <f>'PEMAKAIAN UNIT'!J297</f>
        <v>0</v>
      </c>
      <c r="BS300" s="14">
        <f t="shared" si="233"/>
        <v>0</v>
      </c>
      <c r="BT300" s="15">
        <f t="shared" si="234"/>
        <v>0</v>
      </c>
      <c r="BU300" s="14">
        <f t="shared" si="235"/>
        <v>0</v>
      </c>
      <c r="BV300" s="14">
        <f>DISTRIBUSI!K298</f>
        <v>0</v>
      </c>
      <c r="BW300" s="14">
        <f>'PEMAKAIAN UNIT'!K297</f>
        <v>0</v>
      </c>
      <c r="BX300" s="14">
        <f t="shared" si="236"/>
        <v>0</v>
      </c>
      <c r="BY300" s="15">
        <f t="shared" si="237"/>
        <v>0</v>
      </c>
      <c r="BZ300" s="14">
        <f t="shared" si="238"/>
        <v>0</v>
      </c>
      <c r="CA300" s="14">
        <f>DISTRIBUSI!L298</f>
        <v>0</v>
      </c>
      <c r="CB300" s="14">
        <f>'PEMAKAIAN UNIT'!L297</f>
        <v>0</v>
      </c>
      <c r="CC300" s="14">
        <f t="shared" si="239"/>
        <v>0</v>
      </c>
      <c r="CD300" s="15">
        <f t="shared" si="240"/>
        <v>0</v>
      </c>
      <c r="CE300" s="14">
        <f t="shared" si="241"/>
        <v>0</v>
      </c>
      <c r="CF300" s="14">
        <f>DISTRIBUSI!M298</f>
        <v>0</v>
      </c>
      <c r="CG300" s="14">
        <f>'PEMAKAIAN UNIT'!M297</f>
        <v>0</v>
      </c>
      <c r="CH300" s="14">
        <f t="shared" si="242"/>
        <v>0</v>
      </c>
      <c r="CI300" s="15">
        <f t="shared" si="243"/>
        <v>0</v>
      </c>
      <c r="CJ300" s="14">
        <f t="shared" si="244"/>
        <v>0</v>
      </c>
      <c r="CK300" s="14" t="e">
        <f>DISTRIBUSI!#REF!</f>
        <v>#REF!</v>
      </c>
      <c r="CL300" s="14">
        <f>'PEMAKAIAN UNIT'!N297</f>
        <v>0</v>
      </c>
      <c r="CM300" s="14" t="e">
        <f t="shared" si="245"/>
        <v>#REF!</v>
      </c>
      <c r="CN300" s="15" t="e">
        <f t="shared" si="246"/>
        <v>#REF!</v>
      </c>
      <c r="CO300" s="14" t="e">
        <f>DL300+DISTRIBUSI!#REF!-'PEMAKAIAN UNIT'!O297</f>
        <v>#REF!</v>
      </c>
      <c r="CP300" s="15" t="e">
        <f t="shared" si="247"/>
        <v>#REF!</v>
      </c>
      <c r="CQ300" s="226">
        <f t="shared" si="248"/>
        <v>0</v>
      </c>
      <c r="CR300" s="226">
        <f>DISTRIBUSI!R298</f>
        <v>0</v>
      </c>
      <c r="CS300" s="226">
        <f>'PEMAKAIAN UNIT'!P297</f>
        <v>0</v>
      </c>
      <c r="CT300" s="14">
        <f t="shared" si="249"/>
        <v>0</v>
      </c>
      <c r="CU300" s="15">
        <f t="shared" si="250"/>
        <v>0</v>
      </c>
      <c r="CV300" s="14" t="e">
        <f>DN300+DISTRIBUSI!#REF!-'PEMAKAIAN UNIT'!Q297</f>
        <v>#REF!</v>
      </c>
      <c r="CW300" s="15" t="e">
        <f t="shared" si="251"/>
        <v>#REF!</v>
      </c>
      <c r="CX300" s="14">
        <f>DO300+'LPLPO PROGRAM'!E129-'LPLPO PROGRAM'!G129</f>
        <v>0</v>
      </c>
      <c r="CY300" s="15">
        <f t="shared" si="252"/>
        <v>0</v>
      </c>
      <c r="DA300" s="14">
        <v>0</v>
      </c>
      <c r="DB300" s="14">
        <v>0</v>
      </c>
      <c r="DC300" s="14">
        <v>0</v>
      </c>
      <c r="DD300" s="14">
        <v>0</v>
      </c>
      <c r="DE300" s="14">
        <v>0</v>
      </c>
      <c r="DF300" s="14">
        <v>0</v>
      </c>
      <c r="DG300" s="14">
        <v>0</v>
      </c>
      <c r="DH300" s="14">
        <v>0</v>
      </c>
      <c r="DI300" s="14">
        <v>0</v>
      </c>
      <c r="DJ300" s="14">
        <v>0</v>
      </c>
      <c r="DK300" s="14">
        <v>0</v>
      </c>
      <c r="DL300" s="14">
        <v>0</v>
      </c>
      <c r="DM300" s="14">
        <v>0</v>
      </c>
      <c r="DN300" s="14">
        <v>0</v>
      </c>
      <c r="DO300" s="14">
        <v>0</v>
      </c>
      <c r="DP300" s="13">
        <f t="shared" si="262"/>
        <v>0</v>
      </c>
      <c r="DU300" s="20" t="e">
        <f t="shared" si="259"/>
        <v>#REF!</v>
      </c>
    </row>
    <row r="301" spans="1:125" ht="15.5" x14ac:dyDescent="0.35">
      <c r="A301" s="205">
        <v>117</v>
      </c>
      <c r="B301" s="180" t="s">
        <v>297</v>
      </c>
      <c r="C301" s="144" t="s">
        <v>6</v>
      </c>
      <c r="D301" s="14">
        <v>0</v>
      </c>
      <c r="E301" s="254">
        <f>'LPLPO PROGRAM'!E130</f>
        <v>0</v>
      </c>
      <c r="F301" s="254">
        <f t="shared" si="253"/>
        <v>0</v>
      </c>
      <c r="G301" s="254">
        <f>'PEMAKAIAN UNIT'!R298</f>
        <v>0</v>
      </c>
      <c r="H301" s="14">
        <v>0</v>
      </c>
      <c r="I301" s="14">
        <v>0</v>
      </c>
      <c r="J301" s="14">
        <v>0</v>
      </c>
      <c r="K301" s="14"/>
      <c r="L301" s="14"/>
      <c r="M301" s="14"/>
      <c r="N301" s="14"/>
      <c r="O301" s="14"/>
      <c r="P301" s="14"/>
      <c r="Q301" s="14"/>
      <c r="R301" s="14"/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09">
        <f t="shared" si="254"/>
        <v>0</v>
      </c>
      <c r="Z301" s="109" t="e">
        <f t="shared" si="255"/>
        <v>#REF!</v>
      </c>
      <c r="AA301" s="109" t="e">
        <f t="shared" si="256"/>
        <v>#REF!</v>
      </c>
      <c r="AB301" s="14">
        <v>0</v>
      </c>
      <c r="AC301" s="109" t="e">
        <f t="shared" si="257"/>
        <v>#REF!</v>
      </c>
      <c r="AD301" s="109">
        <f>'LPLPO PROGRAM'!H130</f>
        <v>0</v>
      </c>
      <c r="AE301" s="111" t="e">
        <f t="shared" si="258"/>
        <v>#REF!</v>
      </c>
      <c r="AF301" s="212"/>
      <c r="AG301" s="212"/>
      <c r="AI301" s="14">
        <f t="shared" si="260"/>
        <v>0</v>
      </c>
      <c r="AJ301" s="209" t="e">
        <f t="shared" si="261"/>
        <v>#REF!</v>
      </c>
      <c r="AL301" s="14">
        <f t="shared" si="214"/>
        <v>0</v>
      </c>
      <c r="AM301" s="14">
        <f>DISTRIBUSI!D299</f>
        <v>0</v>
      </c>
      <c r="AN301" s="14">
        <f>'PEMAKAIAN UNIT'!D298</f>
        <v>0</v>
      </c>
      <c r="AO301" s="14">
        <f t="shared" si="215"/>
        <v>0</v>
      </c>
      <c r="AP301" s="15">
        <f t="shared" si="216"/>
        <v>0</v>
      </c>
      <c r="AQ301" s="14">
        <f t="shared" si="217"/>
        <v>0</v>
      </c>
      <c r="AR301" s="14">
        <f>DISTRIBUSI!E299</f>
        <v>0</v>
      </c>
      <c r="AS301" s="14">
        <f>'PEMAKAIAN UNIT'!E298</f>
        <v>0</v>
      </c>
      <c r="AT301" s="14">
        <f t="shared" si="218"/>
        <v>0</v>
      </c>
      <c r="AU301" s="15">
        <f t="shared" si="219"/>
        <v>0</v>
      </c>
      <c r="AV301" s="14">
        <f t="shared" si="220"/>
        <v>0</v>
      </c>
      <c r="AW301" s="14">
        <f>DISTRIBUSI!F299</f>
        <v>0</v>
      </c>
      <c r="AX301" s="14">
        <f>'PEMAKAIAN UNIT'!F298</f>
        <v>0</v>
      </c>
      <c r="AY301" s="14">
        <f t="shared" si="221"/>
        <v>0</v>
      </c>
      <c r="AZ301" s="15">
        <f t="shared" si="222"/>
        <v>0</v>
      </c>
      <c r="BA301" s="14">
        <f t="shared" si="223"/>
        <v>0</v>
      </c>
      <c r="BB301" s="14">
        <f>DISTRIBUSI!G299</f>
        <v>0</v>
      </c>
      <c r="BC301" s="14">
        <f>'PEMAKAIAN UNIT'!G298</f>
        <v>0</v>
      </c>
      <c r="BD301" s="14">
        <f t="shared" si="224"/>
        <v>0</v>
      </c>
      <c r="BE301" s="15">
        <f t="shared" si="225"/>
        <v>0</v>
      </c>
      <c r="BF301" s="14">
        <f t="shared" si="226"/>
        <v>0</v>
      </c>
      <c r="BG301" s="14">
        <f>DISTRIBUSI!H299</f>
        <v>0</v>
      </c>
      <c r="BH301" s="14">
        <f>'PEMAKAIAN UNIT'!H298</f>
        <v>0</v>
      </c>
      <c r="BI301" s="14">
        <f t="shared" si="227"/>
        <v>0</v>
      </c>
      <c r="BJ301" s="15">
        <f t="shared" si="228"/>
        <v>0</v>
      </c>
      <c r="BK301" s="14">
        <f t="shared" si="229"/>
        <v>0</v>
      </c>
      <c r="BL301" s="14">
        <f>DISTRIBUSI!I299</f>
        <v>0</v>
      </c>
      <c r="BM301" s="14">
        <f>'PEMAKAIAN UNIT'!I298</f>
        <v>0</v>
      </c>
      <c r="BN301" s="14">
        <f t="shared" si="230"/>
        <v>0</v>
      </c>
      <c r="BO301" s="15">
        <f t="shared" si="231"/>
        <v>0</v>
      </c>
      <c r="BP301" s="14">
        <f t="shared" si="232"/>
        <v>0</v>
      </c>
      <c r="BQ301" s="14">
        <f>DISTRIBUSI!J299</f>
        <v>0</v>
      </c>
      <c r="BR301" s="14">
        <f>'PEMAKAIAN UNIT'!J298</f>
        <v>0</v>
      </c>
      <c r="BS301" s="14">
        <f t="shared" si="233"/>
        <v>0</v>
      </c>
      <c r="BT301" s="15">
        <f t="shared" si="234"/>
        <v>0</v>
      </c>
      <c r="BU301" s="14">
        <f t="shared" si="235"/>
        <v>0</v>
      </c>
      <c r="BV301" s="14">
        <f>DISTRIBUSI!K299</f>
        <v>0</v>
      </c>
      <c r="BW301" s="14">
        <f>'PEMAKAIAN UNIT'!K298</f>
        <v>0</v>
      </c>
      <c r="BX301" s="14">
        <f t="shared" si="236"/>
        <v>0</v>
      </c>
      <c r="BY301" s="15">
        <f t="shared" si="237"/>
        <v>0</v>
      </c>
      <c r="BZ301" s="14">
        <f t="shared" si="238"/>
        <v>0</v>
      </c>
      <c r="CA301" s="14">
        <f>DISTRIBUSI!L299</f>
        <v>0</v>
      </c>
      <c r="CB301" s="14">
        <f>'PEMAKAIAN UNIT'!L298</f>
        <v>0</v>
      </c>
      <c r="CC301" s="14">
        <f t="shared" si="239"/>
        <v>0</v>
      </c>
      <c r="CD301" s="15">
        <f t="shared" si="240"/>
        <v>0</v>
      </c>
      <c r="CE301" s="14">
        <f t="shared" si="241"/>
        <v>0</v>
      </c>
      <c r="CF301" s="14">
        <f>DISTRIBUSI!M299</f>
        <v>0</v>
      </c>
      <c r="CG301" s="14">
        <f>'PEMAKAIAN UNIT'!M298</f>
        <v>0</v>
      </c>
      <c r="CH301" s="14">
        <f t="shared" si="242"/>
        <v>0</v>
      </c>
      <c r="CI301" s="15">
        <f t="shared" si="243"/>
        <v>0</v>
      </c>
      <c r="CJ301" s="14">
        <f t="shared" si="244"/>
        <v>0</v>
      </c>
      <c r="CK301" s="14" t="e">
        <f>DISTRIBUSI!#REF!</f>
        <v>#REF!</v>
      </c>
      <c r="CL301" s="14">
        <f>'PEMAKAIAN UNIT'!N298</f>
        <v>0</v>
      </c>
      <c r="CM301" s="14" t="e">
        <f t="shared" si="245"/>
        <v>#REF!</v>
      </c>
      <c r="CN301" s="15" t="e">
        <f t="shared" si="246"/>
        <v>#REF!</v>
      </c>
      <c r="CO301" s="14" t="e">
        <f>DL301+DISTRIBUSI!#REF!-'PEMAKAIAN UNIT'!O298</f>
        <v>#REF!</v>
      </c>
      <c r="CP301" s="15" t="e">
        <f t="shared" si="247"/>
        <v>#REF!</v>
      </c>
      <c r="CQ301" s="226">
        <f t="shared" si="248"/>
        <v>0</v>
      </c>
      <c r="CR301" s="226">
        <f>DISTRIBUSI!R299</f>
        <v>0</v>
      </c>
      <c r="CS301" s="226">
        <f>'PEMAKAIAN UNIT'!P298</f>
        <v>0</v>
      </c>
      <c r="CT301" s="14">
        <f t="shared" si="249"/>
        <v>0</v>
      </c>
      <c r="CU301" s="15">
        <f t="shared" si="250"/>
        <v>0</v>
      </c>
      <c r="CV301" s="14" t="e">
        <f>DN301+DISTRIBUSI!#REF!-'PEMAKAIAN UNIT'!Q298</f>
        <v>#REF!</v>
      </c>
      <c r="CW301" s="15" t="e">
        <f t="shared" si="251"/>
        <v>#REF!</v>
      </c>
      <c r="CX301" s="14">
        <f>DO301+'LPLPO PROGRAM'!E130-'LPLPO PROGRAM'!G130</f>
        <v>0</v>
      </c>
      <c r="CY301" s="15">
        <f t="shared" si="252"/>
        <v>0</v>
      </c>
      <c r="DA301" s="14">
        <v>0</v>
      </c>
      <c r="DB301" s="14">
        <v>0</v>
      </c>
      <c r="DC301" s="14">
        <v>0</v>
      </c>
      <c r="DD301" s="14">
        <v>0</v>
      </c>
      <c r="DE301" s="14">
        <v>0</v>
      </c>
      <c r="DF301" s="14">
        <v>0</v>
      </c>
      <c r="DG301" s="14">
        <v>0</v>
      </c>
      <c r="DH301" s="14">
        <v>0</v>
      </c>
      <c r="DI301" s="14">
        <v>0</v>
      </c>
      <c r="DJ301" s="14">
        <v>0</v>
      </c>
      <c r="DK301" s="14">
        <v>0</v>
      </c>
      <c r="DL301" s="14">
        <v>0</v>
      </c>
      <c r="DM301" s="14">
        <v>0</v>
      </c>
      <c r="DN301" s="14">
        <v>0</v>
      </c>
      <c r="DO301" s="14">
        <v>0</v>
      </c>
      <c r="DP301" s="13">
        <f t="shared" si="262"/>
        <v>0</v>
      </c>
      <c r="DU301" s="20" t="e">
        <f t="shared" si="259"/>
        <v>#REF!</v>
      </c>
    </row>
    <row r="302" spans="1:125" ht="15.5" x14ac:dyDescent="0.35">
      <c r="A302" s="205">
        <v>118</v>
      </c>
      <c r="B302" s="178" t="s">
        <v>290</v>
      </c>
      <c r="C302" s="144" t="s">
        <v>274</v>
      </c>
      <c r="D302" s="14">
        <v>0</v>
      </c>
      <c r="E302" s="254">
        <f>'LPLPO PROGRAM'!E131</f>
        <v>0</v>
      </c>
      <c r="F302" s="254">
        <f t="shared" si="253"/>
        <v>0</v>
      </c>
      <c r="G302" s="254">
        <f>'PEMAKAIAN UNIT'!R299</f>
        <v>0</v>
      </c>
      <c r="H302" s="14">
        <v>0</v>
      </c>
      <c r="I302" s="14">
        <v>0</v>
      </c>
      <c r="J302" s="14">
        <v>0</v>
      </c>
      <c r="K302" s="14"/>
      <c r="L302" s="14"/>
      <c r="M302" s="14"/>
      <c r="N302" s="14"/>
      <c r="O302" s="14"/>
      <c r="P302" s="14"/>
      <c r="Q302" s="14"/>
      <c r="R302" s="14"/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09">
        <f t="shared" si="254"/>
        <v>0</v>
      </c>
      <c r="Z302" s="109" t="e">
        <f t="shared" si="255"/>
        <v>#REF!</v>
      </c>
      <c r="AA302" s="109" t="e">
        <f t="shared" si="256"/>
        <v>#REF!</v>
      </c>
      <c r="AB302" s="14">
        <v>0</v>
      </c>
      <c r="AC302" s="109" t="e">
        <f t="shared" si="257"/>
        <v>#REF!</v>
      </c>
      <c r="AD302" s="109">
        <f>'LPLPO PROGRAM'!H131</f>
        <v>0</v>
      </c>
      <c r="AE302" s="111" t="e">
        <f t="shared" si="258"/>
        <v>#REF!</v>
      </c>
      <c r="AF302" s="212"/>
      <c r="AG302" s="212"/>
      <c r="AI302" s="14">
        <f t="shared" si="260"/>
        <v>0</v>
      </c>
      <c r="AJ302" s="209" t="e">
        <f t="shared" si="261"/>
        <v>#REF!</v>
      </c>
      <c r="AL302" s="14">
        <f t="shared" si="214"/>
        <v>0</v>
      </c>
      <c r="AM302" s="14">
        <f>DISTRIBUSI!D300</f>
        <v>0</v>
      </c>
      <c r="AN302" s="14">
        <f>'PEMAKAIAN UNIT'!D299</f>
        <v>0</v>
      </c>
      <c r="AO302" s="14">
        <f t="shared" si="215"/>
        <v>0</v>
      </c>
      <c r="AP302" s="15">
        <f t="shared" si="216"/>
        <v>0</v>
      </c>
      <c r="AQ302" s="14">
        <f t="shared" si="217"/>
        <v>0</v>
      </c>
      <c r="AR302" s="14">
        <f>DISTRIBUSI!E300</f>
        <v>0</v>
      </c>
      <c r="AS302" s="14">
        <f>'PEMAKAIAN UNIT'!E299</f>
        <v>0</v>
      </c>
      <c r="AT302" s="14">
        <f t="shared" si="218"/>
        <v>0</v>
      </c>
      <c r="AU302" s="15">
        <f t="shared" si="219"/>
        <v>0</v>
      </c>
      <c r="AV302" s="14">
        <f t="shared" si="220"/>
        <v>0</v>
      </c>
      <c r="AW302" s="14">
        <f>DISTRIBUSI!F300</f>
        <v>0</v>
      </c>
      <c r="AX302" s="14">
        <f>'PEMAKAIAN UNIT'!F299</f>
        <v>0</v>
      </c>
      <c r="AY302" s="14">
        <f t="shared" si="221"/>
        <v>0</v>
      </c>
      <c r="AZ302" s="15">
        <f t="shared" si="222"/>
        <v>0</v>
      </c>
      <c r="BA302" s="14">
        <f t="shared" si="223"/>
        <v>0</v>
      </c>
      <c r="BB302" s="14">
        <f>DISTRIBUSI!G300</f>
        <v>0</v>
      </c>
      <c r="BC302" s="14">
        <f>'PEMAKAIAN UNIT'!G299</f>
        <v>0</v>
      </c>
      <c r="BD302" s="14">
        <f t="shared" si="224"/>
        <v>0</v>
      </c>
      <c r="BE302" s="15">
        <f t="shared" si="225"/>
        <v>0</v>
      </c>
      <c r="BF302" s="14">
        <f t="shared" si="226"/>
        <v>0</v>
      </c>
      <c r="BG302" s="14">
        <f>DISTRIBUSI!H300</f>
        <v>0</v>
      </c>
      <c r="BH302" s="14">
        <f>'PEMAKAIAN UNIT'!H299</f>
        <v>0</v>
      </c>
      <c r="BI302" s="14">
        <f t="shared" si="227"/>
        <v>0</v>
      </c>
      <c r="BJ302" s="15">
        <f t="shared" si="228"/>
        <v>0</v>
      </c>
      <c r="BK302" s="14">
        <f t="shared" si="229"/>
        <v>0</v>
      </c>
      <c r="BL302" s="14">
        <f>DISTRIBUSI!I300</f>
        <v>0</v>
      </c>
      <c r="BM302" s="14">
        <f>'PEMAKAIAN UNIT'!I299</f>
        <v>0</v>
      </c>
      <c r="BN302" s="14">
        <f t="shared" si="230"/>
        <v>0</v>
      </c>
      <c r="BO302" s="15">
        <f t="shared" si="231"/>
        <v>0</v>
      </c>
      <c r="BP302" s="14">
        <f t="shared" si="232"/>
        <v>0</v>
      </c>
      <c r="BQ302" s="14">
        <f>DISTRIBUSI!J300</f>
        <v>0</v>
      </c>
      <c r="BR302" s="14">
        <f>'PEMAKAIAN UNIT'!J299</f>
        <v>0</v>
      </c>
      <c r="BS302" s="14">
        <f t="shared" si="233"/>
        <v>0</v>
      </c>
      <c r="BT302" s="15">
        <f t="shared" si="234"/>
        <v>0</v>
      </c>
      <c r="BU302" s="14">
        <f t="shared" si="235"/>
        <v>0</v>
      </c>
      <c r="BV302" s="14">
        <f>DISTRIBUSI!K300</f>
        <v>0</v>
      </c>
      <c r="BW302" s="14">
        <f>'PEMAKAIAN UNIT'!K299</f>
        <v>0</v>
      </c>
      <c r="BX302" s="14">
        <f t="shared" si="236"/>
        <v>0</v>
      </c>
      <c r="BY302" s="15">
        <f t="shared" si="237"/>
        <v>0</v>
      </c>
      <c r="BZ302" s="14">
        <f t="shared" si="238"/>
        <v>0</v>
      </c>
      <c r="CA302" s="14">
        <f>DISTRIBUSI!L300</f>
        <v>0</v>
      </c>
      <c r="CB302" s="14">
        <f>'PEMAKAIAN UNIT'!L299</f>
        <v>0</v>
      </c>
      <c r="CC302" s="14">
        <f t="shared" si="239"/>
        <v>0</v>
      </c>
      <c r="CD302" s="15">
        <f t="shared" si="240"/>
        <v>0</v>
      </c>
      <c r="CE302" s="14">
        <f t="shared" si="241"/>
        <v>0</v>
      </c>
      <c r="CF302" s="14">
        <f>DISTRIBUSI!M300</f>
        <v>0</v>
      </c>
      <c r="CG302" s="14">
        <f>'PEMAKAIAN UNIT'!M299</f>
        <v>0</v>
      </c>
      <c r="CH302" s="14">
        <f t="shared" si="242"/>
        <v>0</v>
      </c>
      <c r="CI302" s="15">
        <f t="shared" si="243"/>
        <v>0</v>
      </c>
      <c r="CJ302" s="14">
        <f t="shared" si="244"/>
        <v>0</v>
      </c>
      <c r="CK302" s="14" t="e">
        <f>DISTRIBUSI!#REF!</f>
        <v>#REF!</v>
      </c>
      <c r="CL302" s="14">
        <f>'PEMAKAIAN UNIT'!N299</f>
        <v>0</v>
      </c>
      <c r="CM302" s="14" t="e">
        <f t="shared" si="245"/>
        <v>#REF!</v>
      </c>
      <c r="CN302" s="15" t="e">
        <f t="shared" si="246"/>
        <v>#REF!</v>
      </c>
      <c r="CO302" s="14" t="e">
        <f>DL302+DISTRIBUSI!#REF!-'PEMAKAIAN UNIT'!O299</f>
        <v>#REF!</v>
      </c>
      <c r="CP302" s="15" t="e">
        <f t="shared" si="247"/>
        <v>#REF!</v>
      </c>
      <c r="CQ302" s="226">
        <f t="shared" si="248"/>
        <v>0</v>
      </c>
      <c r="CR302" s="226">
        <f>DISTRIBUSI!R300</f>
        <v>0</v>
      </c>
      <c r="CS302" s="226">
        <f>'PEMAKAIAN UNIT'!P299</f>
        <v>0</v>
      </c>
      <c r="CT302" s="14">
        <f t="shared" si="249"/>
        <v>0</v>
      </c>
      <c r="CU302" s="15">
        <f t="shared" si="250"/>
        <v>0</v>
      </c>
      <c r="CV302" s="14" t="e">
        <f>DN302+DISTRIBUSI!#REF!-'PEMAKAIAN UNIT'!Q299</f>
        <v>#REF!</v>
      </c>
      <c r="CW302" s="15" t="e">
        <f t="shared" si="251"/>
        <v>#REF!</v>
      </c>
      <c r="CX302" s="14">
        <f>DO302+'LPLPO PROGRAM'!E131-'LPLPO PROGRAM'!G131</f>
        <v>0</v>
      </c>
      <c r="CY302" s="15">
        <f t="shared" si="252"/>
        <v>0</v>
      </c>
      <c r="DA302" s="14">
        <v>0</v>
      </c>
      <c r="DB302" s="14">
        <v>0</v>
      </c>
      <c r="DC302" s="14">
        <v>0</v>
      </c>
      <c r="DD302" s="14">
        <v>0</v>
      </c>
      <c r="DE302" s="14">
        <v>0</v>
      </c>
      <c r="DF302" s="14">
        <v>0</v>
      </c>
      <c r="DG302" s="14">
        <v>0</v>
      </c>
      <c r="DH302" s="14">
        <v>0</v>
      </c>
      <c r="DI302" s="14">
        <v>0</v>
      </c>
      <c r="DJ302" s="14">
        <v>0</v>
      </c>
      <c r="DK302" s="14">
        <v>0</v>
      </c>
      <c r="DL302" s="14">
        <v>0</v>
      </c>
      <c r="DM302" s="14">
        <v>0</v>
      </c>
      <c r="DN302" s="14">
        <v>0</v>
      </c>
      <c r="DO302" s="14">
        <v>0</v>
      </c>
      <c r="DP302" s="13">
        <f t="shared" si="262"/>
        <v>0</v>
      </c>
      <c r="DU302" s="20" t="e">
        <f t="shared" si="259"/>
        <v>#REF!</v>
      </c>
    </row>
    <row r="303" spans="1:125" ht="15.5" x14ac:dyDescent="0.35">
      <c r="A303" s="205">
        <v>119</v>
      </c>
      <c r="B303" s="184" t="s">
        <v>292</v>
      </c>
      <c r="C303" s="144" t="s">
        <v>293</v>
      </c>
      <c r="D303" s="14">
        <v>0</v>
      </c>
      <c r="E303" s="254">
        <f>'LPLPO PROGRAM'!E132</f>
        <v>0</v>
      </c>
      <c r="F303" s="254">
        <f t="shared" si="253"/>
        <v>0</v>
      </c>
      <c r="G303" s="254">
        <f>'PEMAKAIAN UNIT'!R300</f>
        <v>0</v>
      </c>
      <c r="H303" s="14">
        <v>0</v>
      </c>
      <c r="I303" s="14">
        <v>0</v>
      </c>
      <c r="J303" s="14">
        <v>0</v>
      </c>
      <c r="K303" s="14"/>
      <c r="L303" s="14"/>
      <c r="M303" s="14"/>
      <c r="N303" s="14"/>
      <c r="O303" s="14"/>
      <c r="P303" s="14"/>
      <c r="Q303" s="14"/>
      <c r="R303" s="14"/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09">
        <f t="shared" si="254"/>
        <v>0</v>
      </c>
      <c r="Z303" s="109" t="e">
        <f t="shared" si="255"/>
        <v>#REF!</v>
      </c>
      <c r="AA303" s="109" t="e">
        <f t="shared" si="256"/>
        <v>#REF!</v>
      </c>
      <c r="AB303" s="14">
        <v>0</v>
      </c>
      <c r="AC303" s="109" t="e">
        <f t="shared" si="257"/>
        <v>#REF!</v>
      </c>
      <c r="AD303" s="109">
        <f>'LPLPO PROGRAM'!H132</f>
        <v>0</v>
      </c>
      <c r="AE303" s="111" t="e">
        <f t="shared" si="258"/>
        <v>#REF!</v>
      </c>
      <c r="AF303" s="212"/>
      <c r="AG303" s="212"/>
      <c r="AI303" s="14">
        <f t="shared" si="260"/>
        <v>0</v>
      </c>
      <c r="AJ303" s="209" t="e">
        <f t="shared" si="261"/>
        <v>#REF!</v>
      </c>
      <c r="AL303" s="14">
        <f t="shared" si="214"/>
        <v>0</v>
      </c>
      <c r="AM303" s="14">
        <f>DISTRIBUSI!D301</f>
        <v>0</v>
      </c>
      <c r="AN303" s="14">
        <f>'PEMAKAIAN UNIT'!D300</f>
        <v>0</v>
      </c>
      <c r="AO303" s="14">
        <f t="shared" si="215"/>
        <v>0</v>
      </c>
      <c r="AP303" s="15">
        <f t="shared" si="216"/>
        <v>0</v>
      </c>
      <c r="AQ303" s="14">
        <f t="shared" si="217"/>
        <v>0</v>
      </c>
      <c r="AR303" s="14">
        <f>DISTRIBUSI!E301</f>
        <v>0</v>
      </c>
      <c r="AS303" s="14">
        <f>'PEMAKAIAN UNIT'!E300</f>
        <v>0</v>
      </c>
      <c r="AT303" s="14">
        <f t="shared" si="218"/>
        <v>0</v>
      </c>
      <c r="AU303" s="15">
        <f t="shared" si="219"/>
        <v>0</v>
      </c>
      <c r="AV303" s="14">
        <f t="shared" si="220"/>
        <v>0</v>
      </c>
      <c r="AW303" s="14">
        <f>DISTRIBUSI!F301</f>
        <v>0</v>
      </c>
      <c r="AX303" s="14">
        <f>'PEMAKAIAN UNIT'!F300</f>
        <v>0</v>
      </c>
      <c r="AY303" s="14">
        <f t="shared" si="221"/>
        <v>0</v>
      </c>
      <c r="AZ303" s="15">
        <f t="shared" si="222"/>
        <v>0</v>
      </c>
      <c r="BA303" s="14">
        <f t="shared" si="223"/>
        <v>0</v>
      </c>
      <c r="BB303" s="14">
        <f>DISTRIBUSI!G301</f>
        <v>0</v>
      </c>
      <c r="BC303" s="14">
        <f>'PEMAKAIAN UNIT'!G300</f>
        <v>0</v>
      </c>
      <c r="BD303" s="14">
        <f t="shared" si="224"/>
        <v>0</v>
      </c>
      <c r="BE303" s="15">
        <f t="shared" si="225"/>
        <v>0</v>
      </c>
      <c r="BF303" s="14">
        <f t="shared" si="226"/>
        <v>0</v>
      </c>
      <c r="BG303" s="14">
        <f>DISTRIBUSI!H301</f>
        <v>0</v>
      </c>
      <c r="BH303" s="14">
        <f>'PEMAKAIAN UNIT'!H300</f>
        <v>0</v>
      </c>
      <c r="BI303" s="14">
        <f t="shared" si="227"/>
        <v>0</v>
      </c>
      <c r="BJ303" s="15">
        <f t="shared" si="228"/>
        <v>0</v>
      </c>
      <c r="BK303" s="14">
        <f t="shared" si="229"/>
        <v>0</v>
      </c>
      <c r="BL303" s="14">
        <f>DISTRIBUSI!I301</f>
        <v>0</v>
      </c>
      <c r="BM303" s="14">
        <f>'PEMAKAIAN UNIT'!I300</f>
        <v>0</v>
      </c>
      <c r="BN303" s="14">
        <f t="shared" si="230"/>
        <v>0</v>
      </c>
      <c r="BO303" s="15">
        <f t="shared" si="231"/>
        <v>0</v>
      </c>
      <c r="BP303" s="14">
        <f t="shared" si="232"/>
        <v>0</v>
      </c>
      <c r="BQ303" s="14">
        <f>DISTRIBUSI!J301</f>
        <v>0</v>
      </c>
      <c r="BR303" s="14">
        <f>'PEMAKAIAN UNIT'!J300</f>
        <v>0</v>
      </c>
      <c r="BS303" s="14">
        <f t="shared" si="233"/>
        <v>0</v>
      </c>
      <c r="BT303" s="15">
        <f t="shared" si="234"/>
        <v>0</v>
      </c>
      <c r="BU303" s="14">
        <f t="shared" si="235"/>
        <v>0</v>
      </c>
      <c r="BV303" s="14">
        <f>DISTRIBUSI!K301</f>
        <v>0</v>
      </c>
      <c r="BW303" s="14">
        <f>'PEMAKAIAN UNIT'!K300</f>
        <v>0</v>
      </c>
      <c r="BX303" s="14">
        <f t="shared" si="236"/>
        <v>0</v>
      </c>
      <c r="BY303" s="15">
        <f t="shared" si="237"/>
        <v>0</v>
      </c>
      <c r="BZ303" s="14">
        <f t="shared" si="238"/>
        <v>0</v>
      </c>
      <c r="CA303" s="14">
        <f>DISTRIBUSI!L301</f>
        <v>0</v>
      </c>
      <c r="CB303" s="14">
        <f>'PEMAKAIAN UNIT'!L300</f>
        <v>0</v>
      </c>
      <c r="CC303" s="14">
        <f t="shared" si="239"/>
        <v>0</v>
      </c>
      <c r="CD303" s="15">
        <f t="shared" si="240"/>
        <v>0</v>
      </c>
      <c r="CE303" s="14">
        <f t="shared" si="241"/>
        <v>0</v>
      </c>
      <c r="CF303" s="14">
        <f>DISTRIBUSI!M301</f>
        <v>0</v>
      </c>
      <c r="CG303" s="14">
        <f>'PEMAKAIAN UNIT'!M300</f>
        <v>0</v>
      </c>
      <c r="CH303" s="14">
        <f t="shared" si="242"/>
        <v>0</v>
      </c>
      <c r="CI303" s="15">
        <f t="shared" si="243"/>
        <v>0</v>
      </c>
      <c r="CJ303" s="14">
        <f t="shared" si="244"/>
        <v>0</v>
      </c>
      <c r="CK303" s="14" t="e">
        <f>DISTRIBUSI!#REF!</f>
        <v>#REF!</v>
      </c>
      <c r="CL303" s="14">
        <f>'PEMAKAIAN UNIT'!N300</f>
        <v>0</v>
      </c>
      <c r="CM303" s="14" t="e">
        <f t="shared" si="245"/>
        <v>#REF!</v>
      </c>
      <c r="CN303" s="15" t="e">
        <f t="shared" si="246"/>
        <v>#REF!</v>
      </c>
      <c r="CO303" s="14" t="e">
        <f>DL303+DISTRIBUSI!#REF!-'PEMAKAIAN UNIT'!O300</f>
        <v>#REF!</v>
      </c>
      <c r="CP303" s="15" t="e">
        <f t="shared" si="247"/>
        <v>#REF!</v>
      </c>
      <c r="CQ303" s="226">
        <f t="shared" si="248"/>
        <v>0</v>
      </c>
      <c r="CR303" s="226">
        <f>DISTRIBUSI!R301</f>
        <v>0</v>
      </c>
      <c r="CS303" s="226">
        <f>'PEMAKAIAN UNIT'!P300</f>
        <v>0</v>
      </c>
      <c r="CT303" s="14">
        <f t="shared" si="249"/>
        <v>0</v>
      </c>
      <c r="CU303" s="15">
        <f t="shared" si="250"/>
        <v>0</v>
      </c>
      <c r="CV303" s="14" t="e">
        <f>DN303+DISTRIBUSI!#REF!-'PEMAKAIAN UNIT'!Q300</f>
        <v>#REF!</v>
      </c>
      <c r="CW303" s="15" t="e">
        <f t="shared" si="251"/>
        <v>#REF!</v>
      </c>
      <c r="CX303" s="14">
        <f>DO303+'LPLPO PROGRAM'!E132-'LPLPO PROGRAM'!G132</f>
        <v>0</v>
      </c>
      <c r="CY303" s="15">
        <f t="shared" si="252"/>
        <v>0</v>
      </c>
      <c r="DA303" s="14">
        <v>0</v>
      </c>
      <c r="DB303" s="14">
        <v>0</v>
      </c>
      <c r="DC303" s="14">
        <v>0</v>
      </c>
      <c r="DD303" s="14">
        <v>0</v>
      </c>
      <c r="DE303" s="14">
        <v>0</v>
      </c>
      <c r="DF303" s="14">
        <v>0</v>
      </c>
      <c r="DG303" s="14">
        <v>0</v>
      </c>
      <c r="DH303" s="14">
        <v>0</v>
      </c>
      <c r="DI303" s="14">
        <v>0</v>
      </c>
      <c r="DJ303" s="14">
        <v>0</v>
      </c>
      <c r="DK303" s="14">
        <v>0</v>
      </c>
      <c r="DL303" s="14">
        <v>0</v>
      </c>
      <c r="DM303" s="14">
        <v>0</v>
      </c>
      <c r="DN303" s="14">
        <v>0</v>
      </c>
      <c r="DO303" s="14">
        <v>0</v>
      </c>
      <c r="DP303" s="13">
        <f t="shared" si="262"/>
        <v>0</v>
      </c>
      <c r="DU303" s="20" t="e">
        <f t="shared" si="259"/>
        <v>#REF!</v>
      </c>
    </row>
    <row r="304" spans="1:125" ht="15.5" x14ac:dyDescent="0.35">
      <c r="A304" s="205">
        <v>120</v>
      </c>
      <c r="B304" s="184" t="s">
        <v>376</v>
      </c>
      <c r="C304" s="144" t="s">
        <v>108</v>
      </c>
      <c r="D304" s="14">
        <v>0</v>
      </c>
      <c r="E304" s="254">
        <f>'LPLPO PROGRAM'!E133</f>
        <v>0</v>
      </c>
      <c r="F304" s="254">
        <f t="shared" si="253"/>
        <v>0</v>
      </c>
      <c r="G304" s="254">
        <f>'PEMAKAIAN UNIT'!R301</f>
        <v>0</v>
      </c>
      <c r="H304" s="14">
        <v>0</v>
      </c>
      <c r="I304" s="14">
        <v>0</v>
      </c>
      <c r="J304" s="14">
        <v>0</v>
      </c>
      <c r="K304" s="14"/>
      <c r="L304" s="14"/>
      <c r="M304" s="14"/>
      <c r="N304" s="14"/>
      <c r="O304" s="14"/>
      <c r="P304" s="14"/>
      <c r="Q304" s="14"/>
      <c r="R304" s="14"/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09">
        <f t="shared" si="254"/>
        <v>0</v>
      </c>
      <c r="Z304" s="109" t="e">
        <f t="shared" si="255"/>
        <v>#REF!</v>
      </c>
      <c r="AA304" s="109" t="e">
        <f t="shared" si="256"/>
        <v>#REF!</v>
      </c>
      <c r="AB304" s="14">
        <v>0</v>
      </c>
      <c r="AC304" s="109" t="e">
        <f t="shared" si="257"/>
        <v>#REF!</v>
      </c>
      <c r="AD304" s="109">
        <f>'LPLPO PROGRAM'!H133</f>
        <v>0</v>
      </c>
      <c r="AE304" s="111" t="e">
        <f t="shared" si="258"/>
        <v>#REF!</v>
      </c>
      <c r="AF304" s="212"/>
      <c r="AG304" s="212"/>
      <c r="AI304" s="14">
        <f t="shared" si="260"/>
        <v>0</v>
      </c>
      <c r="AJ304" s="209" t="e">
        <f t="shared" si="261"/>
        <v>#REF!</v>
      </c>
      <c r="AL304" s="14">
        <f t="shared" si="214"/>
        <v>0</v>
      </c>
      <c r="AM304" s="14">
        <f>DISTRIBUSI!D302</f>
        <v>0</v>
      </c>
      <c r="AN304" s="14">
        <f>'PEMAKAIAN UNIT'!D301</f>
        <v>0</v>
      </c>
      <c r="AO304" s="14">
        <f t="shared" si="215"/>
        <v>0</v>
      </c>
      <c r="AP304" s="15">
        <f t="shared" si="216"/>
        <v>0</v>
      </c>
      <c r="AQ304" s="14">
        <f t="shared" si="217"/>
        <v>0</v>
      </c>
      <c r="AR304" s="14">
        <f>DISTRIBUSI!E302</f>
        <v>0</v>
      </c>
      <c r="AS304" s="14">
        <f>'PEMAKAIAN UNIT'!E301</f>
        <v>0</v>
      </c>
      <c r="AT304" s="14">
        <f t="shared" si="218"/>
        <v>0</v>
      </c>
      <c r="AU304" s="15">
        <f t="shared" si="219"/>
        <v>0</v>
      </c>
      <c r="AV304" s="14">
        <f t="shared" si="220"/>
        <v>0</v>
      </c>
      <c r="AW304" s="14">
        <f>DISTRIBUSI!F302</f>
        <v>0</v>
      </c>
      <c r="AX304" s="14">
        <f>'PEMAKAIAN UNIT'!F301</f>
        <v>0</v>
      </c>
      <c r="AY304" s="14">
        <f t="shared" si="221"/>
        <v>0</v>
      </c>
      <c r="AZ304" s="15">
        <f t="shared" si="222"/>
        <v>0</v>
      </c>
      <c r="BA304" s="14">
        <f t="shared" si="223"/>
        <v>0</v>
      </c>
      <c r="BB304" s="14">
        <f>DISTRIBUSI!G302</f>
        <v>0</v>
      </c>
      <c r="BC304" s="14">
        <f>'PEMAKAIAN UNIT'!G301</f>
        <v>0</v>
      </c>
      <c r="BD304" s="14">
        <f t="shared" si="224"/>
        <v>0</v>
      </c>
      <c r="BE304" s="15">
        <f t="shared" si="225"/>
        <v>0</v>
      </c>
      <c r="BF304" s="14">
        <f t="shared" si="226"/>
        <v>0</v>
      </c>
      <c r="BG304" s="14">
        <f>DISTRIBUSI!H302</f>
        <v>0</v>
      </c>
      <c r="BH304" s="14">
        <f>'PEMAKAIAN UNIT'!H301</f>
        <v>0</v>
      </c>
      <c r="BI304" s="14">
        <f t="shared" si="227"/>
        <v>0</v>
      </c>
      <c r="BJ304" s="15">
        <f t="shared" si="228"/>
        <v>0</v>
      </c>
      <c r="BK304" s="14">
        <f t="shared" si="229"/>
        <v>0</v>
      </c>
      <c r="BL304" s="14">
        <f>DISTRIBUSI!I302</f>
        <v>0</v>
      </c>
      <c r="BM304" s="14">
        <f>'PEMAKAIAN UNIT'!I301</f>
        <v>0</v>
      </c>
      <c r="BN304" s="14">
        <f t="shared" si="230"/>
        <v>0</v>
      </c>
      <c r="BO304" s="15">
        <f t="shared" si="231"/>
        <v>0</v>
      </c>
      <c r="BP304" s="14">
        <f t="shared" si="232"/>
        <v>0</v>
      </c>
      <c r="BQ304" s="14">
        <f>DISTRIBUSI!J302</f>
        <v>0</v>
      </c>
      <c r="BR304" s="14">
        <f>'PEMAKAIAN UNIT'!J301</f>
        <v>0</v>
      </c>
      <c r="BS304" s="14">
        <f t="shared" si="233"/>
        <v>0</v>
      </c>
      <c r="BT304" s="15">
        <f t="shared" si="234"/>
        <v>0</v>
      </c>
      <c r="BU304" s="14">
        <f t="shared" si="235"/>
        <v>0</v>
      </c>
      <c r="BV304" s="14">
        <f>DISTRIBUSI!K302</f>
        <v>0</v>
      </c>
      <c r="BW304" s="14">
        <f>'PEMAKAIAN UNIT'!K301</f>
        <v>0</v>
      </c>
      <c r="BX304" s="14">
        <f t="shared" si="236"/>
        <v>0</v>
      </c>
      <c r="BY304" s="15">
        <f t="shared" si="237"/>
        <v>0</v>
      </c>
      <c r="BZ304" s="14">
        <f t="shared" si="238"/>
        <v>0</v>
      </c>
      <c r="CA304" s="14">
        <f>DISTRIBUSI!L302</f>
        <v>0</v>
      </c>
      <c r="CB304" s="14">
        <f>'PEMAKAIAN UNIT'!L301</f>
        <v>0</v>
      </c>
      <c r="CC304" s="14">
        <f t="shared" si="239"/>
        <v>0</v>
      </c>
      <c r="CD304" s="15">
        <f t="shared" si="240"/>
        <v>0</v>
      </c>
      <c r="CE304" s="14">
        <f t="shared" si="241"/>
        <v>0</v>
      </c>
      <c r="CF304" s="14">
        <f>DISTRIBUSI!M302</f>
        <v>0</v>
      </c>
      <c r="CG304" s="14">
        <f>'PEMAKAIAN UNIT'!M301</f>
        <v>0</v>
      </c>
      <c r="CH304" s="14">
        <f t="shared" si="242"/>
        <v>0</v>
      </c>
      <c r="CI304" s="15">
        <f t="shared" si="243"/>
        <v>0</v>
      </c>
      <c r="CJ304" s="14">
        <f t="shared" si="244"/>
        <v>0</v>
      </c>
      <c r="CK304" s="14" t="e">
        <f>DISTRIBUSI!#REF!</f>
        <v>#REF!</v>
      </c>
      <c r="CL304" s="14">
        <f>'PEMAKAIAN UNIT'!N301</f>
        <v>0</v>
      </c>
      <c r="CM304" s="14" t="e">
        <f t="shared" si="245"/>
        <v>#REF!</v>
      </c>
      <c r="CN304" s="15" t="e">
        <f t="shared" si="246"/>
        <v>#REF!</v>
      </c>
      <c r="CO304" s="14" t="e">
        <f>DL304+DISTRIBUSI!#REF!-'PEMAKAIAN UNIT'!O301</f>
        <v>#REF!</v>
      </c>
      <c r="CP304" s="15" t="e">
        <f t="shared" si="247"/>
        <v>#REF!</v>
      </c>
      <c r="CQ304" s="226">
        <f t="shared" si="248"/>
        <v>0</v>
      </c>
      <c r="CR304" s="226">
        <f>DISTRIBUSI!R302</f>
        <v>0</v>
      </c>
      <c r="CS304" s="226">
        <f>'PEMAKAIAN UNIT'!P301</f>
        <v>0</v>
      </c>
      <c r="CT304" s="14">
        <f t="shared" si="249"/>
        <v>0</v>
      </c>
      <c r="CU304" s="15">
        <f t="shared" si="250"/>
        <v>0</v>
      </c>
      <c r="CV304" s="14" t="e">
        <f>DN304+DISTRIBUSI!#REF!-'PEMAKAIAN UNIT'!Q301</f>
        <v>#REF!</v>
      </c>
      <c r="CW304" s="15" t="e">
        <f t="shared" si="251"/>
        <v>#REF!</v>
      </c>
      <c r="CX304" s="14">
        <f>DO304+'LPLPO PROGRAM'!E133-'LPLPO PROGRAM'!G133</f>
        <v>0</v>
      </c>
      <c r="CY304" s="15">
        <f t="shared" si="252"/>
        <v>0</v>
      </c>
      <c r="DA304" s="14">
        <v>0</v>
      </c>
      <c r="DB304" s="14">
        <v>0</v>
      </c>
      <c r="DC304" s="14">
        <v>0</v>
      </c>
      <c r="DD304" s="14">
        <v>0</v>
      </c>
      <c r="DE304" s="14">
        <v>0</v>
      </c>
      <c r="DF304" s="14">
        <v>0</v>
      </c>
      <c r="DG304" s="14">
        <v>0</v>
      </c>
      <c r="DH304" s="14">
        <v>0</v>
      </c>
      <c r="DI304" s="14">
        <v>0</v>
      </c>
      <c r="DJ304" s="14">
        <v>0</v>
      </c>
      <c r="DK304" s="14">
        <v>0</v>
      </c>
      <c r="DL304" s="14">
        <v>0</v>
      </c>
      <c r="DM304" s="14">
        <v>0</v>
      </c>
      <c r="DN304" s="14">
        <v>0</v>
      </c>
      <c r="DO304" s="14">
        <v>0</v>
      </c>
      <c r="DP304" s="13">
        <f t="shared" si="262"/>
        <v>0</v>
      </c>
      <c r="DU304" s="20" t="e">
        <f t="shared" si="259"/>
        <v>#REF!</v>
      </c>
    </row>
    <row r="305" spans="1:125" ht="15.5" x14ac:dyDescent="0.35">
      <c r="A305" s="205">
        <v>121</v>
      </c>
      <c r="B305" s="184" t="s">
        <v>298</v>
      </c>
      <c r="C305" s="144" t="s">
        <v>299</v>
      </c>
      <c r="D305" s="14">
        <v>0</v>
      </c>
      <c r="E305" s="254">
        <f>'LPLPO PROGRAM'!E134</f>
        <v>0</v>
      </c>
      <c r="F305" s="254">
        <f t="shared" si="253"/>
        <v>0</v>
      </c>
      <c r="G305" s="254">
        <f>'PEMAKAIAN UNIT'!R302</f>
        <v>0</v>
      </c>
      <c r="H305" s="14">
        <v>0</v>
      </c>
      <c r="I305" s="14">
        <v>0</v>
      </c>
      <c r="J305" s="14">
        <v>0</v>
      </c>
      <c r="K305" s="14"/>
      <c r="L305" s="14"/>
      <c r="M305" s="14"/>
      <c r="N305" s="14"/>
      <c r="O305" s="14"/>
      <c r="P305" s="14"/>
      <c r="Q305" s="14"/>
      <c r="R305" s="14"/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09">
        <f t="shared" si="254"/>
        <v>0</v>
      </c>
      <c r="Z305" s="109" t="e">
        <f t="shared" si="255"/>
        <v>#REF!</v>
      </c>
      <c r="AA305" s="109" t="e">
        <f t="shared" si="256"/>
        <v>#REF!</v>
      </c>
      <c r="AB305" s="14">
        <v>0</v>
      </c>
      <c r="AC305" s="109" t="e">
        <f t="shared" si="257"/>
        <v>#REF!</v>
      </c>
      <c r="AD305" s="109">
        <f>'LPLPO PROGRAM'!H134</f>
        <v>0</v>
      </c>
      <c r="AE305" s="111" t="e">
        <f t="shared" si="258"/>
        <v>#REF!</v>
      </c>
      <c r="AF305" s="212"/>
      <c r="AG305" s="212"/>
      <c r="AI305" s="14">
        <f t="shared" si="260"/>
        <v>0</v>
      </c>
      <c r="AJ305" s="209" t="e">
        <f t="shared" si="261"/>
        <v>#REF!</v>
      </c>
      <c r="AL305" s="14">
        <f t="shared" si="214"/>
        <v>0</v>
      </c>
      <c r="AM305" s="14">
        <f>DISTRIBUSI!D303</f>
        <v>0</v>
      </c>
      <c r="AN305" s="14">
        <f>'PEMAKAIAN UNIT'!D302</f>
        <v>0</v>
      </c>
      <c r="AO305" s="14">
        <f t="shared" si="215"/>
        <v>0</v>
      </c>
      <c r="AP305" s="15">
        <f t="shared" si="216"/>
        <v>0</v>
      </c>
      <c r="AQ305" s="14">
        <f t="shared" si="217"/>
        <v>0</v>
      </c>
      <c r="AR305" s="14">
        <f>DISTRIBUSI!E303</f>
        <v>0</v>
      </c>
      <c r="AS305" s="14">
        <f>'PEMAKAIAN UNIT'!E302</f>
        <v>0</v>
      </c>
      <c r="AT305" s="14">
        <f t="shared" si="218"/>
        <v>0</v>
      </c>
      <c r="AU305" s="15">
        <f t="shared" si="219"/>
        <v>0</v>
      </c>
      <c r="AV305" s="14">
        <f t="shared" si="220"/>
        <v>0</v>
      </c>
      <c r="AW305" s="14">
        <f>DISTRIBUSI!F303</f>
        <v>0</v>
      </c>
      <c r="AX305" s="14">
        <f>'PEMAKAIAN UNIT'!F302</f>
        <v>0</v>
      </c>
      <c r="AY305" s="14">
        <f t="shared" si="221"/>
        <v>0</v>
      </c>
      <c r="AZ305" s="15">
        <f t="shared" si="222"/>
        <v>0</v>
      </c>
      <c r="BA305" s="14">
        <f t="shared" si="223"/>
        <v>0</v>
      </c>
      <c r="BB305" s="14">
        <f>DISTRIBUSI!G303</f>
        <v>0</v>
      </c>
      <c r="BC305" s="14">
        <f>'PEMAKAIAN UNIT'!G302</f>
        <v>0</v>
      </c>
      <c r="BD305" s="14">
        <f t="shared" si="224"/>
        <v>0</v>
      </c>
      <c r="BE305" s="15">
        <f t="shared" si="225"/>
        <v>0</v>
      </c>
      <c r="BF305" s="14">
        <f t="shared" si="226"/>
        <v>0</v>
      </c>
      <c r="BG305" s="14">
        <f>DISTRIBUSI!H303</f>
        <v>0</v>
      </c>
      <c r="BH305" s="14">
        <f>'PEMAKAIAN UNIT'!H302</f>
        <v>0</v>
      </c>
      <c r="BI305" s="14">
        <f t="shared" si="227"/>
        <v>0</v>
      </c>
      <c r="BJ305" s="15">
        <f t="shared" si="228"/>
        <v>0</v>
      </c>
      <c r="BK305" s="14">
        <f t="shared" si="229"/>
        <v>0</v>
      </c>
      <c r="BL305" s="14">
        <f>DISTRIBUSI!I303</f>
        <v>0</v>
      </c>
      <c r="BM305" s="14">
        <f>'PEMAKAIAN UNIT'!I302</f>
        <v>0</v>
      </c>
      <c r="BN305" s="14">
        <f t="shared" si="230"/>
        <v>0</v>
      </c>
      <c r="BO305" s="15">
        <f t="shared" si="231"/>
        <v>0</v>
      </c>
      <c r="BP305" s="14">
        <f t="shared" si="232"/>
        <v>0</v>
      </c>
      <c r="BQ305" s="14">
        <f>DISTRIBUSI!J303</f>
        <v>0</v>
      </c>
      <c r="BR305" s="14">
        <f>'PEMAKAIAN UNIT'!J302</f>
        <v>0</v>
      </c>
      <c r="BS305" s="14">
        <f t="shared" si="233"/>
        <v>0</v>
      </c>
      <c r="BT305" s="15">
        <f t="shared" si="234"/>
        <v>0</v>
      </c>
      <c r="BU305" s="14">
        <f t="shared" si="235"/>
        <v>0</v>
      </c>
      <c r="BV305" s="14">
        <f>DISTRIBUSI!K303</f>
        <v>0</v>
      </c>
      <c r="BW305" s="14">
        <f>'PEMAKAIAN UNIT'!K302</f>
        <v>0</v>
      </c>
      <c r="BX305" s="14">
        <f t="shared" si="236"/>
        <v>0</v>
      </c>
      <c r="BY305" s="15">
        <f t="shared" si="237"/>
        <v>0</v>
      </c>
      <c r="BZ305" s="14">
        <f t="shared" si="238"/>
        <v>0</v>
      </c>
      <c r="CA305" s="14">
        <f>DISTRIBUSI!L303</f>
        <v>0</v>
      </c>
      <c r="CB305" s="14">
        <f>'PEMAKAIAN UNIT'!L302</f>
        <v>0</v>
      </c>
      <c r="CC305" s="14">
        <f t="shared" si="239"/>
        <v>0</v>
      </c>
      <c r="CD305" s="15">
        <f t="shared" si="240"/>
        <v>0</v>
      </c>
      <c r="CE305" s="14">
        <f t="shared" si="241"/>
        <v>0</v>
      </c>
      <c r="CF305" s="14">
        <f>DISTRIBUSI!M303</f>
        <v>0</v>
      </c>
      <c r="CG305" s="14">
        <f>'PEMAKAIAN UNIT'!M302</f>
        <v>0</v>
      </c>
      <c r="CH305" s="14">
        <f t="shared" si="242"/>
        <v>0</v>
      </c>
      <c r="CI305" s="15">
        <f t="shared" si="243"/>
        <v>0</v>
      </c>
      <c r="CJ305" s="14">
        <f t="shared" si="244"/>
        <v>0</v>
      </c>
      <c r="CK305" s="14" t="e">
        <f>DISTRIBUSI!#REF!</f>
        <v>#REF!</v>
      </c>
      <c r="CL305" s="14">
        <f>'PEMAKAIAN UNIT'!N302</f>
        <v>0</v>
      </c>
      <c r="CM305" s="14" t="e">
        <f t="shared" si="245"/>
        <v>#REF!</v>
      </c>
      <c r="CN305" s="15" t="e">
        <f t="shared" si="246"/>
        <v>#REF!</v>
      </c>
      <c r="CO305" s="14" t="e">
        <f>DL305+DISTRIBUSI!#REF!-'PEMAKAIAN UNIT'!O302</f>
        <v>#REF!</v>
      </c>
      <c r="CP305" s="15" t="e">
        <f t="shared" si="247"/>
        <v>#REF!</v>
      </c>
      <c r="CQ305" s="226">
        <f t="shared" si="248"/>
        <v>0</v>
      </c>
      <c r="CR305" s="226">
        <f>DISTRIBUSI!R303</f>
        <v>0</v>
      </c>
      <c r="CS305" s="226">
        <f>'PEMAKAIAN UNIT'!P302</f>
        <v>0</v>
      </c>
      <c r="CT305" s="14">
        <f t="shared" si="249"/>
        <v>0</v>
      </c>
      <c r="CU305" s="15">
        <f t="shared" si="250"/>
        <v>0</v>
      </c>
      <c r="CV305" s="14" t="e">
        <f>DN305+DISTRIBUSI!#REF!-'PEMAKAIAN UNIT'!Q302</f>
        <v>#REF!</v>
      </c>
      <c r="CW305" s="15" t="e">
        <f t="shared" si="251"/>
        <v>#REF!</v>
      </c>
      <c r="CX305" s="14">
        <f>DO305+'LPLPO PROGRAM'!E134-'LPLPO PROGRAM'!G134</f>
        <v>0</v>
      </c>
      <c r="CY305" s="15">
        <f t="shared" si="252"/>
        <v>0</v>
      </c>
      <c r="DA305" s="14">
        <v>0</v>
      </c>
      <c r="DB305" s="14">
        <v>0</v>
      </c>
      <c r="DC305" s="14">
        <v>0</v>
      </c>
      <c r="DD305" s="14">
        <v>0</v>
      </c>
      <c r="DE305" s="14">
        <v>0</v>
      </c>
      <c r="DF305" s="14">
        <v>0</v>
      </c>
      <c r="DG305" s="14">
        <v>0</v>
      </c>
      <c r="DH305" s="14">
        <v>0</v>
      </c>
      <c r="DI305" s="14">
        <v>0</v>
      </c>
      <c r="DJ305" s="14">
        <v>0</v>
      </c>
      <c r="DK305" s="14">
        <v>0</v>
      </c>
      <c r="DL305" s="14">
        <v>0</v>
      </c>
      <c r="DM305" s="14">
        <v>0</v>
      </c>
      <c r="DN305" s="14">
        <v>0</v>
      </c>
      <c r="DO305" s="14">
        <v>0</v>
      </c>
      <c r="DP305" s="13">
        <f t="shared" si="262"/>
        <v>0</v>
      </c>
      <c r="DU305" s="20" t="e">
        <f t="shared" si="259"/>
        <v>#REF!</v>
      </c>
    </row>
    <row r="306" spans="1:125" ht="15.5" x14ac:dyDescent="0.35">
      <c r="A306" s="205">
        <v>122</v>
      </c>
      <c r="B306" s="184" t="s">
        <v>401</v>
      </c>
      <c r="C306" s="179" t="s">
        <v>274</v>
      </c>
      <c r="D306" s="14">
        <v>0</v>
      </c>
      <c r="E306" s="254">
        <f>'LPLPO PROGRAM'!E135</f>
        <v>1</v>
      </c>
      <c r="F306" s="254">
        <f t="shared" si="253"/>
        <v>1</v>
      </c>
      <c r="G306" s="254">
        <f>'PEMAKAIAN UNIT'!R303</f>
        <v>0</v>
      </c>
      <c r="H306" s="14">
        <v>0</v>
      </c>
      <c r="I306" s="14">
        <v>0</v>
      </c>
      <c r="J306" s="14">
        <v>0</v>
      </c>
      <c r="K306" s="14"/>
      <c r="L306" s="14"/>
      <c r="M306" s="14"/>
      <c r="N306" s="14"/>
      <c r="O306" s="14"/>
      <c r="P306" s="14"/>
      <c r="Q306" s="14"/>
      <c r="R306" s="14"/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09">
        <f t="shared" si="254"/>
        <v>0</v>
      </c>
      <c r="Z306" s="109" t="e">
        <f t="shared" si="255"/>
        <v>#REF!</v>
      </c>
      <c r="AA306" s="109" t="e">
        <f t="shared" si="256"/>
        <v>#REF!</v>
      </c>
      <c r="AB306" s="14">
        <v>0</v>
      </c>
      <c r="AC306" s="109" t="e">
        <f t="shared" si="257"/>
        <v>#REF!</v>
      </c>
      <c r="AD306" s="109">
        <f>'LPLPO PROGRAM'!H135</f>
        <v>0</v>
      </c>
      <c r="AE306" s="111" t="e">
        <f t="shared" si="258"/>
        <v>#REF!</v>
      </c>
      <c r="AF306" s="212"/>
      <c r="AG306" s="212"/>
      <c r="AI306" s="14">
        <f t="shared" si="260"/>
        <v>1</v>
      </c>
      <c r="AJ306" s="209" t="e">
        <f t="shared" si="261"/>
        <v>#REF!</v>
      </c>
      <c r="AL306" s="14">
        <f t="shared" si="214"/>
        <v>0</v>
      </c>
      <c r="AM306" s="14">
        <f>DISTRIBUSI!D304</f>
        <v>0</v>
      </c>
      <c r="AN306" s="14">
        <f>'PEMAKAIAN UNIT'!D303</f>
        <v>0</v>
      </c>
      <c r="AO306" s="14">
        <f t="shared" si="215"/>
        <v>0</v>
      </c>
      <c r="AP306" s="15">
        <f t="shared" si="216"/>
        <v>0</v>
      </c>
      <c r="AQ306" s="14">
        <f t="shared" si="217"/>
        <v>0</v>
      </c>
      <c r="AR306" s="14">
        <f>DISTRIBUSI!E304</f>
        <v>0</v>
      </c>
      <c r="AS306" s="14">
        <f>'PEMAKAIAN UNIT'!E303</f>
        <v>0</v>
      </c>
      <c r="AT306" s="14">
        <f t="shared" si="218"/>
        <v>0</v>
      </c>
      <c r="AU306" s="15">
        <f t="shared" si="219"/>
        <v>0</v>
      </c>
      <c r="AV306" s="14">
        <f t="shared" si="220"/>
        <v>0</v>
      </c>
      <c r="AW306" s="14">
        <f>DISTRIBUSI!F304</f>
        <v>0</v>
      </c>
      <c r="AX306" s="14">
        <f>'PEMAKAIAN UNIT'!F303</f>
        <v>0</v>
      </c>
      <c r="AY306" s="14">
        <f t="shared" si="221"/>
        <v>0</v>
      </c>
      <c r="AZ306" s="15">
        <f t="shared" si="222"/>
        <v>0</v>
      </c>
      <c r="BA306" s="14">
        <f t="shared" si="223"/>
        <v>0</v>
      </c>
      <c r="BB306" s="14">
        <f>DISTRIBUSI!G304</f>
        <v>0</v>
      </c>
      <c r="BC306" s="14">
        <f>'PEMAKAIAN UNIT'!G303</f>
        <v>0</v>
      </c>
      <c r="BD306" s="14">
        <f t="shared" si="224"/>
        <v>0</v>
      </c>
      <c r="BE306" s="15">
        <f t="shared" si="225"/>
        <v>0</v>
      </c>
      <c r="BF306" s="14">
        <f t="shared" si="226"/>
        <v>0</v>
      </c>
      <c r="BG306" s="14">
        <f>DISTRIBUSI!H304</f>
        <v>0</v>
      </c>
      <c r="BH306" s="14">
        <f>'PEMAKAIAN UNIT'!H303</f>
        <v>0</v>
      </c>
      <c r="BI306" s="14">
        <f t="shared" si="227"/>
        <v>0</v>
      </c>
      <c r="BJ306" s="15">
        <f t="shared" si="228"/>
        <v>0</v>
      </c>
      <c r="BK306" s="14">
        <f t="shared" si="229"/>
        <v>0</v>
      </c>
      <c r="BL306" s="14">
        <f>DISTRIBUSI!I304</f>
        <v>0</v>
      </c>
      <c r="BM306" s="14">
        <f>'PEMAKAIAN UNIT'!I303</f>
        <v>0</v>
      </c>
      <c r="BN306" s="14">
        <f t="shared" si="230"/>
        <v>0</v>
      </c>
      <c r="BO306" s="15">
        <f t="shared" si="231"/>
        <v>0</v>
      </c>
      <c r="BP306" s="14">
        <f t="shared" si="232"/>
        <v>0</v>
      </c>
      <c r="BQ306" s="14">
        <f>DISTRIBUSI!J304</f>
        <v>0</v>
      </c>
      <c r="BR306" s="14">
        <f>'PEMAKAIAN UNIT'!J303</f>
        <v>0</v>
      </c>
      <c r="BS306" s="14">
        <f t="shared" si="233"/>
        <v>0</v>
      </c>
      <c r="BT306" s="15">
        <f t="shared" si="234"/>
        <v>0</v>
      </c>
      <c r="BU306" s="14">
        <f t="shared" si="235"/>
        <v>0</v>
      </c>
      <c r="BV306" s="14">
        <f>DISTRIBUSI!K304</f>
        <v>0</v>
      </c>
      <c r="BW306" s="14">
        <f>'PEMAKAIAN UNIT'!K303</f>
        <v>0</v>
      </c>
      <c r="BX306" s="14">
        <f t="shared" si="236"/>
        <v>0</v>
      </c>
      <c r="BY306" s="15">
        <f t="shared" si="237"/>
        <v>0</v>
      </c>
      <c r="BZ306" s="14">
        <f t="shared" si="238"/>
        <v>0</v>
      </c>
      <c r="CA306" s="14">
        <f>DISTRIBUSI!L304</f>
        <v>0</v>
      </c>
      <c r="CB306" s="14">
        <f>'PEMAKAIAN UNIT'!L303</f>
        <v>0</v>
      </c>
      <c r="CC306" s="14">
        <f t="shared" si="239"/>
        <v>0</v>
      </c>
      <c r="CD306" s="15">
        <f t="shared" si="240"/>
        <v>0</v>
      </c>
      <c r="CE306" s="14">
        <f t="shared" si="241"/>
        <v>0</v>
      </c>
      <c r="CF306" s="14">
        <f>DISTRIBUSI!M304</f>
        <v>0</v>
      </c>
      <c r="CG306" s="14">
        <f>'PEMAKAIAN UNIT'!M303</f>
        <v>0</v>
      </c>
      <c r="CH306" s="14">
        <f t="shared" si="242"/>
        <v>0</v>
      </c>
      <c r="CI306" s="15">
        <f t="shared" si="243"/>
        <v>0</v>
      </c>
      <c r="CJ306" s="14">
        <f t="shared" si="244"/>
        <v>0</v>
      </c>
      <c r="CK306" s="14" t="e">
        <f>DISTRIBUSI!#REF!</f>
        <v>#REF!</v>
      </c>
      <c r="CL306" s="14">
        <f>'PEMAKAIAN UNIT'!N303</f>
        <v>0</v>
      </c>
      <c r="CM306" s="14" t="e">
        <f t="shared" si="245"/>
        <v>#REF!</v>
      </c>
      <c r="CN306" s="15" t="e">
        <f t="shared" si="246"/>
        <v>#REF!</v>
      </c>
      <c r="CO306" s="14" t="e">
        <f>DL306+DISTRIBUSI!#REF!-'PEMAKAIAN UNIT'!O303</f>
        <v>#REF!</v>
      </c>
      <c r="CP306" s="15" t="e">
        <f t="shared" si="247"/>
        <v>#REF!</v>
      </c>
      <c r="CQ306" s="226">
        <f t="shared" si="248"/>
        <v>0</v>
      </c>
      <c r="CR306" s="226">
        <f>DISTRIBUSI!R304</f>
        <v>1</v>
      </c>
      <c r="CS306" s="226">
        <f>'PEMAKAIAN UNIT'!P303</f>
        <v>0</v>
      </c>
      <c r="CT306" s="14">
        <f t="shared" si="249"/>
        <v>1</v>
      </c>
      <c r="CU306" s="15">
        <f t="shared" si="250"/>
        <v>1</v>
      </c>
      <c r="CV306" s="14" t="e">
        <f>DN306+DISTRIBUSI!#REF!-'PEMAKAIAN UNIT'!Q303</f>
        <v>#REF!</v>
      </c>
      <c r="CW306" s="15" t="e">
        <f t="shared" si="251"/>
        <v>#REF!</v>
      </c>
      <c r="CX306" s="14">
        <f>DO306+'LPLPO PROGRAM'!E135-'LPLPO PROGRAM'!G135</f>
        <v>0</v>
      </c>
      <c r="CY306" s="15">
        <f t="shared" si="252"/>
        <v>0</v>
      </c>
      <c r="DA306" s="14">
        <v>0</v>
      </c>
      <c r="DB306" s="14">
        <v>0</v>
      </c>
      <c r="DC306" s="14">
        <v>0</v>
      </c>
      <c r="DD306" s="14">
        <v>0</v>
      </c>
      <c r="DE306" s="14">
        <v>0</v>
      </c>
      <c r="DF306" s="14">
        <v>0</v>
      </c>
      <c r="DG306" s="14">
        <v>0</v>
      </c>
      <c r="DH306" s="14">
        <v>0</v>
      </c>
      <c r="DI306" s="14">
        <v>0</v>
      </c>
      <c r="DJ306" s="14">
        <v>0</v>
      </c>
      <c r="DK306" s="14">
        <v>0</v>
      </c>
      <c r="DL306" s="14">
        <v>0</v>
      </c>
      <c r="DM306" s="14">
        <v>0</v>
      </c>
      <c r="DN306" s="14">
        <v>0</v>
      </c>
      <c r="DO306" s="14">
        <v>0</v>
      </c>
      <c r="DP306" s="13">
        <f t="shared" si="262"/>
        <v>0</v>
      </c>
      <c r="DU306" s="20" t="e">
        <f t="shared" si="259"/>
        <v>#REF!</v>
      </c>
    </row>
    <row r="307" spans="1:125" ht="15.5" x14ac:dyDescent="0.35">
      <c r="A307" s="205">
        <v>123</v>
      </c>
      <c r="B307" s="184" t="s">
        <v>300</v>
      </c>
      <c r="C307" s="179" t="s">
        <v>6</v>
      </c>
      <c r="D307" s="14">
        <v>0</v>
      </c>
      <c r="E307" s="254">
        <f>'LPLPO PROGRAM'!E136</f>
        <v>0</v>
      </c>
      <c r="F307" s="254">
        <f t="shared" si="253"/>
        <v>0</v>
      </c>
      <c r="G307" s="254">
        <f>'PEMAKAIAN UNIT'!R304</f>
        <v>0</v>
      </c>
      <c r="H307" s="14">
        <v>0</v>
      </c>
      <c r="I307" s="14">
        <v>0</v>
      </c>
      <c r="J307" s="14">
        <v>0</v>
      </c>
      <c r="K307" s="14"/>
      <c r="L307" s="14"/>
      <c r="M307" s="14"/>
      <c r="N307" s="14"/>
      <c r="O307" s="14"/>
      <c r="P307" s="14"/>
      <c r="Q307" s="14"/>
      <c r="R307" s="14"/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09">
        <f t="shared" si="254"/>
        <v>0</v>
      </c>
      <c r="Z307" s="109" t="e">
        <f t="shared" si="255"/>
        <v>#REF!</v>
      </c>
      <c r="AA307" s="109" t="e">
        <f t="shared" si="256"/>
        <v>#REF!</v>
      </c>
      <c r="AB307" s="14">
        <v>0</v>
      </c>
      <c r="AC307" s="109" t="e">
        <f t="shared" si="257"/>
        <v>#REF!</v>
      </c>
      <c r="AD307" s="109">
        <f>'LPLPO PROGRAM'!H136</f>
        <v>0</v>
      </c>
      <c r="AE307" s="111" t="e">
        <f t="shared" si="258"/>
        <v>#REF!</v>
      </c>
      <c r="AF307" s="212"/>
      <c r="AG307" s="212"/>
      <c r="AI307" s="14">
        <f t="shared" si="260"/>
        <v>0</v>
      </c>
      <c r="AJ307" s="209" t="e">
        <f t="shared" si="261"/>
        <v>#REF!</v>
      </c>
      <c r="AL307" s="14">
        <f t="shared" si="214"/>
        <v>0</v>
      </c>
      <c r="AM307" s="14">
        <f>DISTRIBUSI!D305</f>
        <v>0</v>
      </c>
      <c r="AN307" s="14">
        <f>'PEMAKAIAN UNIT'!D304</f>
        <v>0</v>
      </c>
      <c r="AO307" s="14">
        <f t="shared" si="215"/>
        <v>0</v>
      </c>
      <c r="AP307" s="15">
        <f t="shared" si="216"/>
        <v>0</v>
      </c>
      <c r="AQ307" s="14">
        <f t="shared" si="217"/>
        <v>0</v>
      </c>
      <c r="AR307" s="14">
        <f>DISTRIBUSI!E305</f>
        <v>0</v>
      </c>
      <c r="AS307" s="14">
        <f>'PEMAKAIAN UNIT'!E304</f>
        <v>0</v>
      </c>
      <c r="AT307" s="14">
        <f t="shared" si="218"/>
        <v>0</v>
      </c>
      <c r="AU307" s="15">
        <f t="shared" si="219"/>
        <v>0</v>
      </c>
      <c r="AV307" s="14">
        <f t="shared" si="220"/>
        <v>0</v>
      </c>
      <c r="AW307" s="14">
        <f>DISTRIBUSI!F305</f>
        <v>0</v>
      </c>
      <c r="AX307" s="14">
        <f>'PEMAKAIAN UNIT'!F304</f>
        <v>0</v>
      </c>
      <c r="AY307" s="14">
        <f t="shared" si="221"/>
        <v>0</v>
      </c>
      <c r="AZ307" s="15">
        <f t="shared" si="222"/>
        <v>0</v>
      </c>
      <c r="BA307" s="14">
        <f t="shared" si="223"/>
        <v>0</v>
      </c>
      <c r="BB307" s="14">
        <f>DISTRIBUSI!G305</f>
        <v>0</v>
      </c>
      <c r="BC307" s="14">
        <f>'PEMAKAIAN UNIT'!G304</f>
        <v>0</v>
      </c>
      <c r="BD307" s="14">
        <f t="shared" si="224"/>
        <v>0</v>
      </c>
      <c r="BE307" s="15">
        <f t="shared" si="225"/>
        <v>0</v>
      </c>
      <c r="BF307" s="14">
        <f t="shared" si="226"/>
        <v>0</v>
      </c>
      <c r="BG307" s="14">
        <f>DISTRIBUSI!H305</f>
        <v>0</v>
      </c>
      <c r="BH307" s="14">
        <f>'PEMAKAIAN UNIT'!H304</f>
        <v>0</v>
      </c>
      <c r="BI307" s="14">
        <f t="shared" si="227"/>
        <v>0</v>
      </c>
      <c r="BJ307" s="15">
        <f t="shared" si="228"/>
        <v>0</v>
      </c>
      <c r="BK307" s="14">
        <f t="shared" si="229"/>
        <v>0</v>
      </c>
      <c r="BL307" s="14">
        <f>DISTRIBUSI!I305</f>
        <v>0</v>
      </c>
      <c r="BM307" s="14">
        <f>'PEMAKAIAN UNIT'!I304</f>
        <v>0</v>
      </c>
      <c r="BN307" s="14">
        <f t="shared" si="230"/>
        <v>0</v>
      </c>
      <c r="BO307" s="15">
        <f t="shared" si="231"/>
        <v>0</v>
      </c>
      <c r="BP307" s="14">
        <f t="shared" si="232"/>
        <v>0</v>
      </c>
      <c r="BQ307" s="14">
        <f>DISTRIBUSI!J305</f>
        <v>0</v>
      </c>
      <c r="BR307" s="14">
        <f>'PEMAKAIAN UNIT'!J304</f>
        <v>0</v>
      </c>
      <c r="BS307" s="14">
        <f t="shared" si="233"/>
        <v>0</v>
      </c>
      <c r="BT307" s="15">
        <f t="shared" si="234"/>
        <v>0</v>
      </c>
      <c r="BU307" s="14">
        <f t="shared" si="235"/>
        <v>0</v>
      </c>
      <c r="BV307" s="14">
        <f>DISTRIBUSI!K305</f>
        <v>0</v>
      </c>
      <c r="BW307" s="14">
        <f>'PEMAKAIAN UNIT'!K304</f>
        <v>0</v>
      </c>
      <c r="BX307" s="14">
        <f t="shared" si="236"/>
        <v>0</v>
      </c>
      <c r="BY307" s="15">
        <f t="shared" si="237"/>
        <v>0</v>
      </c>
      <c r="BZ307" s="14">
        <f t="shared" si="238"/>
        <v>0</v>
      </c>
      <c r="CA307" s="14">
        <f>DISTRIBUSI!L305</f>
        <v>0</v>
      </c>
      <c r="CB307" s="14">
        <f>'PEMAKAIAN UNIT'!L304</f>
        <v>0</v>
      </c>
      <c r="CC307" s="14">
        <f t="shared" si="239"/>
        <v>0</v>
      </c>
      <c r="CD307" s="15">
        <f t="shared" si="240"/>
        <v>0</v>
      </c>
      <c r="CE307" s="14">
        <f t="shared" si="241"/>
        <v>0</v>
      </c>
      <c r="CF307" s="14">
        <f>DISTRIBUSI!M305</f>
        <v>0</v>
      </c>
      <c r="CG307" s="14">
        <f>'PEMAKAIAN UNIT'!M304</f>
        <v>0</v>
      </c>
      <c r="CH307" s="14">
        <f t="shared" si="242"/>
        <v>0</v>
      </c>
      <c r="CI307" s="15">
        <f t="shared" si="243"/>
        <v>0</v>
      </c>
      <c r="CJ307" s="14">
        <f t="shared" si="244"/>
        <v>0</v>
      </c>
      <c r="CK307" s="14" t="e">
        <f>DISTRIBUSI!#REF!</f>
        <v>#REF!</v>
      </c>
      <c r="CL307" s="14">
        <f>'PEMAKAIAN UNIT'!N304</f>
        <v>0</v>
      </c>
      <c r="CM307" s="14" t="e">
        <f t="shared" si="245"/>
        <v>#REF!</v>
      </c>
      <c r="CN307" s="15" t="e">
        <f t="shared" si="246"/>
        <v>#REF!</v>
      </c>
      <c r="CO307" s="14" t="e">
        <f>DL307+DISTRIBUSI!#REF!-'PEMAKAIAN UNIT'!O304</f>
        <v>#REF!</v>
      </c>
      <c r="CP307" s="15" t="e">
        <f t="shared" si="247"/>
        <v>#REF!</v>
      </c>
      <c r="CQ307" s="226">
        <f t="shared" si="248"/>
        <v>0</v>
      </c>
      <c r="CR307" s="226">
        <f>DISTRIBUSI!R305</f>
        <v>0</v>
      </c>
      <c r="CS307" s="226">
        <f>'PEMAKAIAN UNIT'!P304</f>
        <v>0</v>
      </c>
      <c r="CT307" s="14">
        <f t="shared" si="249"/>
        <v>0</v>
      </c>
      <c r="CU307" s="15">
        <f t="shared" si="250"/>
        <v>0</v>
      </c>
      <c r="CV307" s="14" t="e">
        <f>DN307+DISTRIBUSI!#REF!-'PEMAKAIAN UNIT'!Q304</f>
        <v>#REF!</v>
      </c>
      <c r="CW307" s="15" t="e">
        <f t="shared" si="251"/>
        <v>#REF!</v>
      </c>
      <c r="CX307" s="14">
        <f>DO307+'LPLPO PROGRAM'!E136-'LPLPO PROGRAM'!G136</f>
        <v>0</v>
      </c>
      <c r="CY307" s="15">
        <f t="shared" si="252"/>
        <v>0</v>
      </c>
      <c r="DA307" s="14">
        <v>0</v>
      </c>
      <c r="DB307" s="14">
        <v>0</v>
      </c>
      <c r="DC307" s="14">
        <v>0</v>
      </c>
      <c r="DD307" s="14">
        <v>0</v>
      </c>
      <c r="DE307" s="14">
        <v>0</v>
      </c>
      <c r="DF307" s="14">
        <v>0</v>
      </c>
      <c r="DG307" s="14">
        <v>0</v>
      </c>
      <c r="DH307" s="14">
        <v>0</v>
      </c>
      <c r="DI307" s="14">
        <v>0</v>
      </c>
      <c r="DJ307" s="14">
        <v>0</v>
      </c>
      <c r="DK307" s="14">
        <v>0</v>
      </c>
      <c r="DL307" s="14">
        <v>0</v>
      </c>
      <c r="DM307" s="14">
        <v>0</v>
      </c>
      <c r="DN307" s="14">
        <v>0</v>
      </c>
      <c r="DO307" s="14">
        <v>0</v>
      </c>
      <c r="DP307" s="13">
        <f t="shared" si="262"/>
        <v>0</v>
      </c>
      <c r="DU307" s="20" t="e">
        <f t="shared" si="259"/>
        <v>#REF!</v>
      </c>
    </row>
    <row r="308" spans="1:125" ht="15.5" x14ac:dyDescent="0.35">
      <c r="A308" s="205">
        <v>124</v>
      </c>
      <c r="B308" s="184" t="s">
        <v>402</v>
      </c>
      <c r="C308" s="179" t="s">
        <v>203</v>
      </c>
      <c r="D308" s="14">
        <v>0</v>
      </c>
      <c r="E308" s="254">
        <f>'LPLPO PROGRAM'!E137</f>
        <v>0</v>
      </c>
      <c r="F308" s="254">
        <f t="shared" si="253"/>
        <v>0</v>
      </c>
      <c r="G308" s="254">
        <f>'PEMAKAIAN UNIT'!R305</f>
        <v>0</v>
      </c>
      <c r="H308" s="14">
        <v>0</v>
      </c>
      <c r="I308" s="14">
        <v>0</v>
      </c>
      <c r="J308" s="14">
        <v>0</v>
      </c>
      <c r="K308" s="14"/>
      <c r="L308" s="14"/>
      <c r="M308" s="14"/>
      <c r="N308" s="14"/>
      <c r="O308" s="14"/>
      <c r="P308" s="14"/>
      <c r="Q308" s="14"/>
      <c r="R308" s="14"/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09">
        <f t="shared" si="254"/>
        <v>0</v>
      </c>
      <c r="Z308" s="109" t="e">
        <f t="shared" si="255"/>
        <v>#REF!</v>
      </c>
      <c r="AA308" s="109" t="e">
        <f t="shared" si="256"/>
        <v>#REF!</v>
      </c>
      <c r="AB308" s="14">
        <v>0</v>
      </c>
      <c r="AC308" s="109" t="e">
        <f t="shared" si="257"/>
        <v>#REF!</v>
      </c>
      <c r="AD308" s="109">
        <f>'LPLPO PROGRAM'!H137</f>
        <v>0</v>
      </c>
      <c r="AE308" s="111" t="e">
        <f t="shared" si="258"/>
        <v>#REF!</v>
      </c>
      <c r="AF308" s="212"/>
      <c r="AG308" s="212"/>
      <c r="AI308" s="14">
        <f t="shared" si="260"/>
        <v>0</v>
      </c>
      <c r="AJ308" s="209" t="e">
        <f t="shared" si="261"/>
        <v>#REF!</v>
      </c>
      <c r="AL308" s="14">
        <f t="shared" si="214"/>
        <v>0</v>
      </c>
      <c r="AM308" s="14">
        <f>DISTRIBUSI!D306</f>
        <v>0</v>
      </c>
      <c r="AN308" s="14">
        <f>'PEMAKAIAN UNIT'!D305</f>
        <v>0</v>
      </c>
      <c r="AO308" s="14">
        <f t="shared" si="215"/>
        <v>0</v>
      </c>
      <c r="AP308" s="15">
        <f t="shared" si="216"/>
        <v>0</v>
      </c>
      <c r="AQ308" s="14">
        <f t="shared" si="217"/>
        <v>0</v>
      </c>
      <c r="AR308" s="14">
        <f>DISTRIBUSI!E306</f>
        <v>0</v>
      </c>
      <c r="AS308" s="14">
        <f>'PEMAKAIAN UNIT'!E305</f>
        <v>0</v>
      </c>
      <c r="AT308" s="14">
        <f t="shared" si="218"/>
        <v>0</v>
      </c>
      <c r="AU308" s="15">
        <f t="shared" si="219"/>
        <v>0</v>
      </c>
      <c r="AV308" s="14">
        <f t="shared" si="220"/>
        <v>0</v>
      </c>
      <c r="AW308" s="14">
        <f>DISTRIBUSI!F306</f>
        <v>0</v>
      </c>
      <c r="AX308" s="14">
        <f>'PEMAKAIAN UNIT'!F305</f>
        <v>0</v>
      </c>
      <c r="AY308" s="14">
        <f t="shared" si="221"/>
        <v>0</v>
      </c>
      <c r="AZ308" s="15">
        <f t="shared" si="222"/>
        <v>0</v>
      </c>
      <c r="BA308" s="14">
        <f t="shared" si="223"/>
        <v>0</v>
      </c>
      <c r="BB308" s="14">
        <f>DISTRIBUSI!G306</f>
        <v>0</v>
      </c>
      <c r="BC308" s="14">
        <f>'PEMAKAIAN UNIT'!G305</f>
        <v>0</v>
      </c>
      <c r="BD308" s="14">
        <f t="shared" si="224"/>
        <v>0</v>
      </c>
      <c r="BE308" s="15">
        <f t="shared" si="225"/>
        <v>0</v>
      </c>
      <c r="BF308" s="14">
        <f t="shared" si="226"/>
        <v>0</v>
      </c>
      <c r="BG308" s="14">
        <f>DISTRIBUSI!H306</f>
        <v>0</v>
      </c>
      <c r="BH308" s="14">
        <f>'PEMAKAIAN UNIT'!H305</f>
        <v>0</v>
      </c>
      <c r="BI308" s="14">
        <f t="shared" si="227"/>
        <v>0</v>
      </c>
      <c r="BJ308" s="15">
        <f t="shared" si="228"/>
        <v>0</v>
      </c>
      <c r="BK308" s="14">
        <f t="shared" si="229"/>
        <v>0</v>
      </c>
      <c r="BL308" s="14">
        <f>DISTRIBUSI!I306</f>
        <v>0</v>
      </c>
      <c r="BM308" s="14">
        <f>'PEMAKAIAN UNIT'!I305</f>
        <v>0</v>
      </c>
      <c r="BN308" s="14">
        <f t="shared" si="230"/>
        <v>0</v>
      </c>
      <c r="BO308" s="15">
        <f t="shared" si="231"/>
        <v>0</v>
      </c>
      <c r="BP308" s="14">
        <f t="shared" si="232"/>
        <v>0</v>
      </c>
      <c r="BQ308" s="14">
        <f>DISTRIBUSI!J306</f>
        <v>0</v>
      </c>
      <c r="BR308" s="14">
        <f>'PEMAKAIAN UNIT'!J305</f>
        <v>0</v>
      </c>
      <c r="BS308" s="14">
        <f t="shared" si="233"/>
        <v>0</v>
      </c>
      <c r="BT308" s="15">
        <f t="shared" si="234"/>
        <v>0</v>
      </c>
      <c r="BU308" s="14">
        <f t="shared" si="235"/>
        <v>0</v>
      </c>
      <c r="BV308" s="14">
        <f>DISTRIBUSI!K306</f>
        <v>0</v>
      </c>
      <c r="BW308" s="14">
        <f>'PEMAKAIAN UNIT'!K305</f>
        <v>0</v>
      </c>
      <c r="BX308" s="14">
        <f t="shared" si="236"/>
        <v>0</v>
      </c>
      <c r="BY308" s="15">
        <f t="shared" si="237"/>
        <v>0</v>
      </c>
      <c r="BZ308" s="14">
        <f t="shared" si="238"/>
        <v>0</v>
      </c>
      <c r="CA308" s="14">
        <f>DISTRIBUSI!L306</f>
        <v>0</v>
      </c>
      <c r="CB308" s="14">
        <f>'PEMAKAIAN UNIT'!L305</f>
        <v>0</v>
      </c>
      <c r="CC308" s="14">
        <f t="shared" si="239"/>
        <v>0</v>
      </c>
      <c r="CD308" s="15">
        <f t="shared" si="240"/>
        <v>0</v>
      </c>
      <c r="CE308" s="14">
        <f t="shared" si="241"/>
        <v>0</v>
      </c>
      <c r="CF308" s="14">
        <f>DISTRIBUSI!M306</f>
        <v>0</v>
      </c>
      <c r="CG308" s="14">
        <f>'PEMAKAIAN UNIT'!M305</f>
        <v>0</v>
      </c>
      <c r="CH308" s="14">
        <f t="shared" si="242"/>
        <v>0</v>
      </c>
      <c r="CI308" s="15">
        <f t="shared" si="243"/>
        <v>0</v>
      </c>
      <c r="CJ308" s="14">
        <f t="shared" si="244"/>
        <v>0</v>
      </c>
      <c r="CK308" s="14" t="e">
        <f>DISTRIBUSI!#REF!</f>
        <v>#REF!</v>
      </c>
      <c r="CL308" s="14">
        <f>'PEMAKAIAN UNIT'!N305</f>
        <v>0</v>
      </c>
      <c r="CM308" s="14" t="e">
        <f t="shared" si="245"/>
        <v>#REF!</v>
      </c>
      <c r="CN308" s="15" t="e">
        <f t="shared" si="246"/>
        <v>#REF!</v>
      </c>
      <c r="CO308" s="14" t="e">
        <f>DL308+DISTRIBUSI!#REF!-'PEMAKAIAN UNIT'!O305</f>
        <v>#REF!</v>
      </c>
      <c r="CP308" s="15" t="e">
        <f t="shared" si="247"/>
        <v>#REF!</v>
      </c>
      <c r="CQ308" s="226">
        <f t="shared" si="248"/>
        <v>0</v>
      </c>
      <c r="CR308" s="226">
        <f>DISTRIBUSI!R306</f>
        <v>0</v>
      </c>
      <c r="CS308" s="226">
        <f>'PEMAKAIAN UNIT'!P305</f>
        <v>0</v>
      </c>
      <c r="CT308" s="14">
        <f t="shared" si="249"/>
        <v>0</v>
      </c>
      <c r="CU308" s="15">
        <f t="shared" si="250"/>
        <v>0</v>
      </c>
      <c r="CV308" s="14" t="e">
        <f>DN308+DISTRIBUSI!#REF!-'PEMAKAIAN UNIT'!Q305</f>
        <v>#REF!</v>
      </c>
      <c r="CW308" s="15" t="e">
        <f t="shared" si="251"/>
        <v>#REF!</v>
      </c>
      <c r="CX308" s="14">
        <f>DO308+'LPLPO PROGRAM'!E137-'LPLPO PROGRAM'!G137</f>
        <v>0</v>
      </c>
      <c r="CY308" s="15">
        <f t="shared" si="252"/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4">
        <v>0</v>
      </c>
      <c r="DG308" s="14">
        <v>0</v>
      </c>
      <c r="DH308" s="14">
        <v>0</v>
      </c>
      <c r="DI308" s="14">
        <v>0</v>
      </c>
      <c r="DJ308" s="14">
        <v>0</v>
      </c>
      <c r="DK308" s="14">
        <v>0</v>
      </c>
      <c r="DL308" s="14">
        <v>0</v>
      </c>
      <c r="DM308" s="14">
        <v>0</v>
      </c>
      <c r="DN308" s="14">
        <v>0</v>
      </c>
      <c r="DO308" s="14">
        <v>0</v>
      </c>
      <c r="DP308" s="13">
        <f t="shared" si="262"/>
        <v>0</v>
      </c>
      <c r="DU308" s="20" t="e">
        <f t="shared" si="259"/>
        <v>#REF!</v>
      </c>
    </row>
    <row r="309" spans="1:125" ht="15.5" x14ac:dyDescent="0.35">
      <c r="A309" s="205">
        <v>125</v>
      </c>
      <c r="B309" s="184" t="s">
        <v>403</v>
      </c>
      <c r="C309" s="179" t="s">
        <v>203</v>
      </c>
      <c r="D309" s="14">
        <v>0</v>
      </c>
      <c r="E309" s="254">
        <f>'LPLPO PROGRAM'!E138</f>
        <v>0</v>
      </c>
      <c r="F309" s="254">
        <f t="shared" si="253"/>
        <v>0</v>
      </c>
      <c r="G309" s="254">
        <f>'PEMAKAIAN UNIT'!R306</f>
        <v>0</v>
      </c>
      <c r="H309" s="14">
        <v>0</v>
      </c>
      <c r="I309" s="14">
        <v>0</v>
      </c>
      <c r="J309" s="14">
        <v>0</v>
      </c>
      <c r="K309" s="14"/>
      <c r="L309" s="14"/>
      <c r="M309" s="14"/>
      <c r="N309" s="14"/>
      <c r="O309" s="14"/>
      <c r="P309" s="14"/>
      <c r="Q309" s="14"/>
      <c r="R309" s="14"/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09">
        <f t="shared" si="254"/>
        <v>0</v>
      </c>
      <c r="Z309" s="109" t="e">
        <f t="shared" si="255"/>
        <v>#REF!</v>
      </c>
      <c r="AA309" s="109" t="e">
        <f t="shared" si="256"/>
        <v>#REF!</v>
      </c>
      <c r="AB309" s="14">
        <v>0</v>
      </c>
      <c r="AC309" s="109" t="e">
        <f t="shared" si="257"/>
        <v>#REF!</v>
      </c>
      <c r="AD309" s="109">
        <f>'LPLPO PROGRAM'!H138</f>
        <v>0</v>
      </c>
      <c r="AE309" s="111" t="e">
        <f t="shared" si="258"/>
        <v>#REF!</v>
      </c>
      <c r="AF309" s="212"/>
      <c r="AG309" s="212"/>
      <c r="AI309" s="14">
        <f t="shared" si="260"/>
        <v>0</v>
      </c>
      <c r="AJ309" s="209" t="e">
        <f t="shared" si="261"/>
        <v>#REF!</v>
      </c>
      <c r="AL309" s="14">
        <f t="shared" si="214"/>
        <v>0</v>
      </c>
      <c r="AM309" s="14">
        <f>DISTRIBUSI!D307</f>
        <v>0</v>
      </c>
      <c r="AN309" s="14">
        <f>'PEMAKAIAN UNIT'!D306</f>
        <v>0</v>
      </c>
      <c r="AO309" s="14">
        <f t="shared" si="215"/>
        <v>0</v>
      </c>
      <c r="AP309" s="15">
        <f t="shared" si="216"/>
        <v>0</v>
      </c>
      <c r="AQ309" s="14">
        <f t="shared" si="217"/>
        <v>0</v>
      </c>
      <c r="AR309" s="14">
        <f>DISTRIBUSI!E307</f>
        <v>0</v>
      </c>
      <c r="AS309" s="14">
        <f>'PEMAKAIAN UNIT'!E306</f>
        <v>0</v>
      </c>
      <c r="AT309" s="14">
        <f t="shared" si="218"/>
        <v>0</v>
      </c>
      <c r="AU309" s="15">
        <f t="shared" si="219"/>
        <v>0</v>
      </c>
      <c r="AV309" s="14">
        <f t="shared" si="220"/>
        <v>0</v>
      </c>
      <c r="AW309" s="14">
        <f>DISTRIBUSI!F307</f>
        <v>0</v>
      </c>
      <c r="AX309" s="14">
        <f>'PEMAKAIAN UNIT'!F306</f>
        <v>0</v>
      </c>
      <c r="AY309" s="14">
        <f t="shared" si="221"/>
        <v>0</v>
      </c>
      <c r="AZ309" s="15">
        <f t="shared" si="222"/>
        <v>0</v>
      </c>
      <c r="BA309" s="14">
        <f t="shared" si="223"/>
        <v>0</v>
      </c>
      <c r="BB309" s="14">
        <f>DISTRIBUSI!G307</f>
        <v>0</v>
      </c>
      <c r="BC309" s="14">
        <f>'PEMAKAIAN UNIT'!G306</f>
        <v>0</v>
      </c>
      <c r="BD309" s="14">
        <f t="shared" si="224"/>
        <v>0</v>
      </c>
      <c r="BE309" s="15">
        <f t="shared" si="225"/>
        <v>0</v>
      </c>
      <c r="BF309" s="14">
        <f t="shared" si="226"/>
        <v>0</v>
      </c>
      <c r="BG309" s="14">
        <f>DISTRIBUSI!H307</f>
        <v>0</v>
      </c>
      <c r="BH309" s="14">
        <f>'PEMAKAIAN UNIT'!H306</f>
        <v>0</v>
      </c>
      <c r="BI309" s="14">
        <f t="shared" si="227"/>
        <v>0</v>
      </c>
      <c r="BJ309" s="15">
        <f t="shared" si="228"/>
        <v>0</v>
      </c>
      <c r="BK309" s="14">
        <f t="shared" si="229"/>
        <v>0</v>
      </c>
      <c r="BL309" s="14">
        <f>DISTRIBUSI!I307</f>
        <v>0</v>
      </c>
      <c r="BM309" s="14">
        <f>'PEMAKAIAN UNIT'!I306</f>
        <v>0</v>
      </c>
      <c r="BN309" s="14">
        <f t="shared" si="230"/>
        <v>0</v>
      </c>
      <c r="BO309" s="15">
        <f t="shared" si="231"/>
        <v>0</v>
      </c>
      <c r="BP309" s="14">
        <f t="shared" si="232"/>
        <v>0</v>
      </c>
      <c r="BQ309" s="14">
        <f>DISTRIBUSI!J307</f>
        <v>0</v>
      </c>
      <c r="BR309" s="14">
        <f>'PEMAKAIAN UNIT'!J306</f>
        <v>0</v>
      </c>
      <c r="BS309" s="14">
        <f t="shared" si="233"/>
        <v>0</v>
      </c>
      <c r="BT309" s="15">
        <f t="shared" si="234"/>
        <v>0</v>
      </c>
      <c r="BU309" s="14">
        <f t="shared" si="235"/>
        <v>0</v>
      </c>
      <c r="BV309" s="14">
        <f>DISTRIBUSI!K307</f>
        <v>0</v>
      </c>
      <c r="BW309" s="14">
        <f>'PEMAKAIAN UNIT'!K306</f>
        <v>0</v>
      </c>
      <c r="BX309" s="14">
        <f t="shared" si="236"/>
        <v>0</v>
      </c>
      <c r="BY309" s="15">
        <f t="shared" si="237"/>
        <v>0</v>
      </c>
      <c r="BZ309" s="14">
        <f t="shared" si="238"/>
        <v>0</v>
      </c>
      <c r="CA309" s="14">
        <f>DISTRIBUSI!L307</f>
        <v>0</v>
      </c>
      <c r="CB309" s="14">
        <f>'PEMAKAIAN UNIT'!L306</f>
        <v>0</v>
      </c>
      <c r="CC309" s="14">
        <f t="shared" si="239"/>
        <v>0</v>
      </c>
      <c r="CD309" s="15">
        <f t="shared" si="240"/>
        <v>0</v>
      </c>
      <c r="CE309" s="14">
        <f t="shared" si="241"/>
        <v>0</v>
      </c>
      <c r="CF309" s="14">
        <f>DISTRIBUSI!M307</f>
        <v>0</v>
      </c>
      <c r="CG309" s="14">
        <f>'PEMAKAIAN UNIT'!M306</f>
        <v>0</v>
      </c>
      <c r="CH309" s="14">
        <f t="shared" si="242"/>
        <v>0</v>
      </c>
      <c r="CI309" s="15">
        <f t="shared" si="243"/>
        <v>0</v>
      </c>
      <c r="CJ309" s="14">
        <f t="shared" si="244"/>
        <v>0</v>
      </c>
      <c r="CK309" s="14" t="e">
        <f>DISTRIBUSI!#REF!</f>
        <v>#REF!</v>
      </c>
      <c r="CL309" s="14">
        <f>'PEMAKAIAN UNIT'!N306</f>
        <v>0</v>
      </c>
      <c r="CM309" s="14" t="e">
        <f t="shared" si="245"/>
        <v>#REF!</v>
      </c>
      <c r="CN309" s="15" t="e">
        <f t="shared" si="246"/>
        <v>#REF!</v>
      </c>
      <c r="CO309" s="14" t="e">
        <f>DL309+DISTRIBUSI!#REF!-'PEMAKAIAN UNIT'!O306</f>
        <v>#REF!</v>
      </c>
      <c r="CP309" s="15" t="e">
        <f t="shared" si="247"/>
        <v>#REF!</v>
      </c>
      <c r="CQ309" s="226">
        <f t="shared" si="248"/>
        <v>0</v>
      </c>
      <c r="CR309" s="226">
        <f>DISTRIBUSI!R307</f>
        <v>0</v>
      </c>
      <c r="CS309" s="226">
        <f>'PEMAKAIAN UNIT'!P306</f>
        <v>0</v>
      </c>
      <c r="CT309" s="14">
        <f t="shared" si="249"/>
        <v>0</v>
      </c>
      <c r="CU309" s="15">
        <f t="shared" si="250"/>
        <v>0</v>
      </c>
      <c r="CV309" s="14" t="e">
        <f>DN309+DISTRIBUSI!#REF!-'PEMAKAIAN UNIT'!Q306</f>
        <v>#REF!</v>
      </c>
      <c r="CW309" s="15" t="e">
        <f t="shared" si="251"/>
        <v>#REF!</v>
      </c>
      <c r="CX309" s="14">
        <f>DO309+'LPLPO PROGRAM'!E138-'LPLPO PROGRAM'!G138</f>
        <v>25</v>
      </c>
      <c r="CY309" s="15">
        <f t="shared" si="252"/>
        <v>25</v>
      </c>
      <c r="DA309" s="14">
        <v>0</v>
      </c>
      <c r="DB309" s="14">
        <v>0</v>
      </c>
      <c r="DC309" s="14">
        <v>0</v>
      </c>
      <c r="DD309" s="14">
        <v>0</v>
      </c>
      <c r="DE309" s="14">
        <v>0</v>
      </c>
      <c r="DF309" s="14">
        <v>0</v>
      </c>
      <c r="DG309" s="14">
        <v>0</v>
      </c>
      <c r="DH309" s="14">
        <v>0</v>
      </c>
      <c r="DI309" s="14">
        <v>0</v>
      </c>
      <c r="DJ309" s="14">
        <v>0</v>
      </c>
      <c r="DK309" s="14">
        <v>0</v>
      </c>
      <c r="DL309" s="14">
        <v>0</v>
      </c>
      <c r="DM309" s="14">
        <v>0</v>
      </c>
      <c r="DN309" s="14">
        <v>0</v>
      </c>
      <c r="DO309" s="109">
        <v>25</v>
      </c>
      <c r="DP309" s="13">
        <f t="shared" si="262"/>
        <v>25</v>
      </c>
      <c r="DU309" s="20" t="e">
        <f t="shared" si="259"/>
        <v>#REF!</v>
      </c>
    </row>
    <row r="310" spans="1:125" ht="15.5" x14ac:dyDescent="0.35">
      <c r="A310" s="205">
        <v>126</v>
      </c>
      <c r="B310" s="184" t="s">
        <v>404</v>
      </c>
      <c r="C310" s="179" t="s">
        <v>294</v>
      </c>
      <c r="D310" s="14">
        <v>0</v>
      </c>
      <c r="E310" s="254">
        <f>'LPLPO PROGRAM'!E139</f>
        <v>0</v>
      </c>
      <c r="F310" s="254">
        <f t="shared" si="253"/>
        <v>0</v>
      </c>
      <c r="G310" s="254">
        <f>'PEMAKAIAN UNIT'!R307</f>
        <v>0</v>
      </c>
      <c r="H310" s="14">
        <v>0</v>
      </c>
      <c r="I310" s="14">
        <v>0</v>
      </c>
      <c r="J310" s="14">
        <v>0</v>
      </c>
      <c r="K310" s="14"/>
      <c r="L310" s="14"/>
      <c r="M310" s="14"/>
      <c r="N310" s="14"/>
      <c r="O310" s="14"/>
      <c r="P310" s="14"/>
      <c r="Q310" s="14"/>
      <c r="R310" s="14"/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09">
        <f t="shared" si="254"/>
        <v>0</v>
      </c>
      <c r="Z310" s="109" t="e">
        <f t="shared" si="255"/>
        <v>#REF!</v>
      </c>
      <c r="AA310" s="109" t="e">
        <f t="shared" si="256"/>
        <v>#REF!</v>
      </c>
      <c r="AB310" s="14">
        <v>0</v>
      </c>
      <c r="AC310" s="109" t="e">
        <f t="shared" si="257"/>
        <v>#REF!</v>
      </c>
      <c r="AD310" s="109">
        <f>'LPLPO PROGRAM'!H139</f>
        <v>0</v>
      </c>
      <c r="AE310" s="111" t="e">
        <f t="shared" si="258"/>
        <v>#REF!</v>
      </c>
      <c r="AF310" s="212"/>
      <c r="AG310" s="212"/>
      <c r="AI310" s="14">
        <f t="shared" si="260"/>
        <v>0</v>
      </c>
      <c r="AJ310" s="209" t="e">
        <f t="shared" si="261"/>
        <v>#REF!</v>
      </c>
      <c r="AL310" s="14">
        <f t="shared" si="214"/>
        <v>0</v>
      </c>
      <c r="AM310" s="14">
        <f>DISTRIBUSI!D308</f>
        <v>0</v>
      </c>
      <c r="AN310" s="14">
        <f>'PEMAKAIAN UNIT'!D307</f>
        <v>0</v>
      </c>
      <c r="AO310" s="14">
        <f t="shared" si="215"/>
        <v>0</v>
      </c>
      <c r="AP310" s="15">
        <f t="shared" si="216"/>
        <v>0</v>
      </c>
      <c r="AQ310" s="14">
        <f t="shared" si="217"/>
        <v>0</v>
      </c>
      <c r="AR310" s="14">
        <f>DISTRIBUSI!E308</f>
        <v>0</v>
      </c>
      <c r="AS310" s="14">
        <f>'PEMAKAIAN UNIT'!E307</f>
        <v>0</v>
      </c>
      <c r="AT310" s="14">
        <f t="shared" si="218"/>
        <v>0</v>
      </c>
      <c r="AU310" s="15">
        <f t="shared" si="219"/>
        <v>0</v>
      </c>
      <c r="AV310" s="14">
        <f t="shared" si="220"/>
        <v>0</v>
      </c>
      <c r="AW310" s="14">
        <f>DISTRIBUSI!F308</f>
        <v>0</v>
      </c>
      <c r="AX310" s="14">
        <f>'PEMAKAIAN UNIT'!F307</f>
        <v>0</v>
      </c>
      <c r="AY310" s="14">
        <f t="shared" si="221"/>
        <v>0</v>
      </c>
      <c r="AZ310" s="15">
        <f t="shared" si="222"/>
        <v>0</v>
      </c>
      <c r="BA310" s="14">
        <f t="shared" si="223"/>
        <v>0</v>
      </c>
      <c r="BB310" s="14">
        <f>DISTRIBUSI!G308</f>
        <v>0</v>
      </c>
      <c r="BC310" s="14">
        <f>'PEMAKAIAN UNIT'!G307</f>
        <v>0</v>
      </c>
      <c r="BD310" s="14">
        <f t="shared" si="224"/>
        <v>0</v>
      </c>
      <c r="BE310" s="15">
        <f t="shared" si="225"/>
        <v>0</v>
      </c>
      <c r="BF310" s="14">
        <f t="shared" si="226"/>
        <v>0</v>
      </c>
      <c r="BG310" s="14">
        <f>DISTRIBUSI!H308</f>
        <v>0</v>
      </c>
      <c r="BH310" s="14">
        <f>'PEMAKAIAN UNIT'!H307</f>
        <v>0</v>
      </c>
      <c r="BI310" s="14">
        <f t="shared" si="227"/>
        <v>0</v>
      </c>
      <c r="BJ310" s="15">
        <f t="shared" si="228"/>
        <v>0</v>
      </c>
      <c r="BK310" s="14">
        <f t="shared" si="229"/>
        <v>0</v>
      </c>
      <c r="BL310" s="14">
        <f>DISTRIBUSI!I308</f>
        <v>0</v>
      </c>
      <c r="BM310" s="14">
        <f>'PEMAKAIAN UNIT'!I307</f>
        <v>0</v>
      </c>
      <c r="BN310" s="14">
        <f t="shared" si="230"/>
        <v>0</v>
      </c>
      <c r="BO310" s="15">
        <f t="shared" si="231"/>
        <v>0</v>
      </c>
      <c r="BP310" s="14">
        <f t="shared" si="232"/>
        <v>0</v>
      </c>
      <c r="BQ310" s="14">
        <f>DISTRIBUSI!J308</f>
        <v>0</v>
      </c>
      <c r="BR310" s="14">
        <f>'PEMAKAIAN UNIT'!J307</f>
        <v>0</v>
      </c>
      <c r="BS310" s="14">
        <f t="shared" si="233"/>
        <v>0</v>
      </c>
      <c r="BT310" s="15">
        <f t="shared" si="234"/>
        <v>0</v>
      </c>
      <c r="BU310" s="14">
        <f t="shared" si="235"/>
        <v>0</v>
      </c>
      <c r="BV310" s="14">
        <f>DISTRIBUSI!K308</f>
        <v>0</v>
      </c>
      <c r="BW310" s="14">
        <f>'PEMAKAIAN UNIT'!K307</f>
        <v>0</v>
      </c>
      <c r="BX310" s="14">
        <f t="shared" si="236"/>
        <v>0</v>
      </c>
      <c r="BY310" s="15">
        <f t="shared" si="237"/>
        <v>0</v>
      </c>
      <c r="BZ310" s="14">
        <f t="shared" si="238"/>
        <v>0</v>
      </c>
      <c r="CA310" s="14">
        <f>DISTRIBUSI!L308</f>
        <v>0</v>
      </c>
      <c r="CB310" s="14">
        <f>'PEMAKAIAN UNIT'!L307</f>
        <v>0</v>
      </c>
      <c r="CC310" s="14">
        <f t="shared" si="239"/>
        <v>0</v>
      </c>
      <c r="CD310" s="15">
        <f t="shared" si="240"/>
        <v>0</v>
      </c>
      <c r="CE310" s="14">
        <f t="shared" si="241"/>
        <v>0</v>
      </c>
      <c r="CF310" s="14">
        <f>DISTRIBUSI!M308</f>
        <v>0</v>
      </c>
      <c r="CG310" s="14">
        <f>'PEMAKAIAN UNIT'!M307</f>
        <v>0</v>
      </c>
      <c r="CH310" s="14">
        <f t="shared" si="242"/>
        <v>0</v>
      </c>
      <c r="CI310" s="15">
        <f t="shared" si="243"/>
        <v>0</v>
      </c>
      <c r="CJ310" s="14">
        <f t="shared" si="244"/>
        <v>0</v>
      </c>
      <c r="CK310" s="14" t="e">
        <f>DISTRIBUSI!#REF!</f>
        <v>#REF!</v>
      </c>
      <c r="CL310" s="14">
        <f>'PEMAKAIAN UNIT'!N307</f>
        <v>0</v>
      </c>
      <c r="CM310" s="14" t="e">
        <f t="shared" si="245"/>
        <v>#REF!</v>
      </c>
      <c r="CN310" s="15" t="e">
        <f t="shared" si="246"/>
        <v>#REF!</v>
      </c>
      <c r="CO310" s="14" t="e">
        <f>DL310+DISTRIBUSI!#REF!-'PEMAKAIAN UNIT'!O307</f>
        <v>#REF!</v>
      </c>
      <c r="CP310" s="15" t="e">
        <f t="shared" si="247"/>
        <v>#REF!</v>
      </c>
      <c r="CQ310" s="226">
        <f t="shared" si="248"/>
        <v>0</v>
      </c>
      <c r="CR310" s="226">
        <f>DISTRIBUSI!R308</f>
        <v>0</v>
      </c>
      <c r="CS310" s="226">
        <f>'PEMAKAIAN UNIT'!P307</f>
        <v>0</v>
      </c>
      <c r="CT310" s="14">
        <f t="shared" si="249"/>
        <v>0</v>
      </c>
      <c r="CU310" s="15">
        <f t="shared" si="250"/>
        <v>0</v>
      </c>
      <c r="CV310" s="14" t="e">
        <f>DN310+DISTRIBUSI!#REF!-'PEMAKAIAN UNIT'!Q307</f>
        <v>#REF!</v>
      </c>
      <c r="CW310" s="15" t="e">
        <f t="shared" si="251"/>
        <v>#REF!</v>
      </c>
      <c r="CX310" s="14">
        <f>DO310+'LPLPO PROGRAM'!E139-'LPLPO PROGRAM'!G139</f>
        <v>25</v>
      </c>
      <c r="CY310" s="15">
        <f t="shared" si="252"/>
        <v>25</v>
      </c>
      <c r="DA310" s="14">
        <v>0</v>
      </c>
      <c r="DB310" s="14">
        <v>0</v>
      </c>
      <c r="DC310" s="14">
        <v>0</v>
      </c>
      <c r="DD310" s="14">
        <v>0</v>
      </c>
      <c r="DE310" s="14">
        <v>0</v>
      </c>
      <c r="DF310" s="14">
        <v>0</v>
      </c>
      <c r="DG310" s="14">
        <v>0</v>
      </c>
      <c r="DH310" s="14">
        <v>0</v>
      </c>
      <c r="DI310" s="14">
        <v>0</v>
      </c>
      <c r="DJ310" s="14">
        <v>0</v>
      </c>
      <c r="DK310" s="14">
        <v>0</v>
      </c>
      <c r="DL310" s="14">
        <v>0</v>
      </c>
      <c r="DM310" s="14">
        <v>0</v>
      </c>
      <c r="DN310" s="14">
        <v>0</v>
      </c>
      <c r="DO310" s="109">
        <v>25</v>
      </c>
      <c r="DP310" s="13">
        <f t="shared" si="262"/>
        <v>25</v>
      </c>
      <c r="DU310" s="20" t="e">
        <f t="shared" si="259"/>
        <v>#REF!</v>
      </c>
    </row>
    <row r="311" spans="1:125" ht="15.5" x14ac:dyDescent="0.35">
      <c r="A311" s="205">
        <v>127</v>
      </c>
      <c r="B311" s="184" t="s">
        <v>372</v>
      </c>
      <c r="C311" s="179" t="s">
        <v>371</v>
      </c>
      <c r="D311" s="14">
        <v>0</v>
      </c>
      <c r="E311" s="254">
        <f>'LPLPO PROGRAM'!E140</f>
        <v>0</v>
      </c>
      <c r="F311" s="254">
        <f t="shared" si="253"/>
        <v>0</v>
      </c>
      <c r="G311" s="254">
        <f>'PEMAKAIAN UNIT'!R308</f>
        <v>0</v>
      </c>
      <c r="H311" s="14">
        <v>0</v>
      </c>
      <c r="I311" s="14">
        <v>0</v>
      </c>
      <c r="J311" s="14">
        <v>0</v>
      </c>
      <c r="K311" s="14"/>
      <c r="L311" s="14"/>
      <c r="M311" s="14"/>
      <c r="N311" s="14"/>
      <c r="O311" s="14"/>
      <c r="P311" s="14"/>
      <c r="Q311" s="14"/>
      <c r="R311" s="14"/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09">
        <f t="shared" si="254"/>
        <v>0</v>
      </c>
      <c r="Z311" s="109" t="e">
        <f t="shared" si="255"/>
        <v>#REF!</v>
      </c>
      <c r="AA311" s="109" t="e">
        <f t="shared" si="256"/>
        <v>#REF!</v>
      </c>
      <c r="AB311" s="14">
        <v>0</v>
      </c>
      <c r="AC311" s="109" t="e">
        <f t="shared" si="257"/>
        <v>#REF!</v>
      </c>
      <c r="AD311" s="109">
        <f>'LPLPO PROGRAM'!H140</f>
        <v>0</v>
      </c>
      <c r="AE311" s="111" t="e">
        <f t="shared" si="258"/>
        <v>#REF!</v>
      </c>
      <c r="AF311" s="212"/>
      <c r="AG311" s="212"/>
      <c r="AI311" s="14">
        <f t="shared" si="260"/>
        <v>0</v>
      </c>
      <c r="AJ311" s="209" t="e">
        <f t="shared" si="261"/>
        <v>#REF!</v>
      </c>
      <c r="AL311" s="14">
        <f t="shared" si="214"/>
        <v>0</v>
      </c>
      <c r="AM311" s="14">
        <f>DISTRIBUSI!D309</f>
        <v>0</v>
      </c>
      <c r="AN311" s="14">
        <f>'PEMAKAIAN UNIT'!D308</f>
        <v>0</v>
      </c>
      <c r="AO311" s="14">
        <f t="shared" si="215"/>
        <v>0</v>
      </c>
      <c r="AP311" s="15">
        <f t="shared" si="216"/>
        <v>0</v>
      </c>
      <c r="AQ311" s="14">
        <f t="shared" si="217"/>
        <v>0</v>
      </c>
      <c r="AR311" s="14">
        <f>DISTRIBUSI!E309</f>
        <v>0</v>
      </c>
      <c r="AS311" s="14">
        <f>'PEMAKAIAN UNIT'!E308</f>
        <v>0</v>
      </c>
      <c r="AT311" s="14">
        <f t="shared" si="218"/>
        <v>0</v>
      </c>
      <c r="AU311" s="15">
        <f t="shared" si="219"/>
        <v>0</v>
      </c>
      <c r="AV311" s="14">
        <f t="shared" si="220"/>
        <v>0</v>
      </c>
      <c r="AW311" s="14">
        <f>DISTRIBUSI!F309</f>
        <v>0</v>
      </c>
      <c r="AX311" s="14">
        <f>'PEMAKAIAN UNIT'!F308</f>
        <v>0</v>
      </c>
      <c r="AY311" s="14">
        <f t="shared" si="221"/>
        <v>0</v>
      </c>
      <c r="AZ311" s="15">
        <f t="shared" si="222"/>
        <v>0</v>
      </c>
      <c r="BA311" s="14">
        <f t="shared" si="223"/>
        <v>0</v>
      </c>
      <c r="BB311" s="14">
        <f>DISTRIBUSI!G309</f>
        <v>0</v>
      </c>
      <c r="BC311" s="14">
        <f>'PEMAKAIAN UNIT'!G308</f>
        <v>0</v>
      </c>
      <c r="BD311" s="14">
        <f t="shared" si="224"/>
        <v>0</v>
      </c>
      <c r="BE311" s="15">
        <f t="shared" si="225"/>
        <v>0</v>
      </c>
      <c r="BF311" s="14">
        <f t="shared" si="226"/>
        <v>0</v>
      </c>
      <c r="BG311" s="14">
        <f>DISTRIBUSI!H309</f>
        <v>0</v>
      </c>
      <c r="BH311" s="14">
        <f>'PEMAKAIAN UNIT'!H308</f>
        <v>0</v>
      </c>
      <c r="BI311" s="14">
        <f t="shared" si="227"/>
        <v>0</v>
      </c>
      <c r="BJ311" s="15">
        <f t="shared" si="228"/>
        <v>0</v>
      </c>
      <c r="BK311" s="14">
        <f t="shared" si="229"/>
        <v>0</v>
      </c>
      <c r="BL311" s="14">
        <f>DISTRIBUSI!I309</f>
        <v>0</v>
      </c>
      <c r="BM311" s="14">
        <f>'PEMAKAIAN UNIT'!I308</f>
        <v>0</v>
      </c>
      <c r="BN311" s="14">
        <f t="shared" si="230"/>
        <v>0</v>
      </c>
      <c r="BO311" s="15">
        <f t="shared" si="231"/>
        <v>0</v>
      </c>
      <c r="BP311" s="14">
        <f t="shared" si="232"/>
        <v>0</v>
      </c>
      <c r="BQ311" s="14">
        <f>DISTRIBUSI!J309</f>
        <v>0</v>
      </c>
      <c r="BR311" s="14">
        <f>'PEMAKAIAN UNIT'!J308</f>
        <v>0</v>
      </c>
      <c r="BS311" s="14">
        <f t="shared" si="233"/>
        <v>0</v>
      </c>
      <c r="BT311" s="15">
        <f t="shared" si="234"/>
        <v>0</v>
      </c>
      <c r="BU311" s="14">
        <f t="shared" si="235"/>
        <v>0</v>
      </c>
      <c r="BV311" s="14">
        <f>DISTRIBUSI!K309</f>
        <v>0</v>
      </c>
      <c r="BW311" s="14">
        <f>'PEMAKAIAN UNIT'!K308</f>
        <v>0</v>
      </c>
      <c r="BX311" s="14">
        <f t="shared" si="236"/>
        <v>0</v>
      </c>
      <c r="BY311" s="15">
        <f t="shared" si="237"/>
        <v>0</v>
      </c>
      <c r="BZ311" s="14">
        <f t="shared" si="238"/>
        <v>0</v>
      </c>
      <c r="CA311" s="14">
        <f>DISTRIBUSI!L309</f>
        <v>0</v>
      </c>
      <c r="CB311" s="14">
        <f>'PEMAKAIAN UNIT'!L308</f>
        <v>0</v>
      </c>
      <c r="CC311" s="14">
        <f t="shared" si="239"/>
        <v>0</v>
      </c>
      <c r="CD311" s="15">
        <f t="shared" si="240"/>
        <v>0</v>
      </c>
      <c r="CE311" s="14">
        <f t="shared" si="241"/>
        <v>0</v>
      </c>
      <c r="CF311" s="14">
        <f>DISTRIBUSI!M309</f>
        <v>0</v>
      </c>
      <c r="CG311" s="14">
        <f>'PEMAKAIAN UNIT'!M308</f>
        <v>0</v>
      </c>
      <c r="CH311" s="14">
        <f t="shared" si="242"/>
        <v>0</v>
      </c>
      <c r="CI311" s="15">
        <f t="shared" si="243"/>
        <v>0</v>
      </c>
      <c r="CJ311" s="14">
        <f t="shared" si="244"/>
        <v>0</v>
      </c>
      <c r="CK311" s="14" t="e">
        <f>DISTRIBUSI!#REF!</f>
        <v>#REF!</v>
      </c>
      <c r="CL311" s="14">
        <f>'PEMAKAIAN UNIT'!N308</f>
        <v>0</v>
      </c>
      <c r="CM311" s="14" t="e">
        <f t="shared" si="245"/>
        <v>#REF!</v>
      </c>
      <c r="CN311" s="15" t="e">
        <f t="shared" si="246"/>
        <v>#REF!</v>
      </c>
      <c r="CO311" s="14" t="e">
        <f>DL311+DISTRIBUSI!#REF!-'PEMAKAIAN UNIT'!O308</f>
        <v>#REF!</v>
      </c>
      <c r="CP311" s="15" t="e">
        <f t="shared" si="247"/>
        <v>#REF!</v>
      </c>
      <c r="CQ311" s="226">
        <f t="shared" si="248"/>
        <v>0</v>
      </c>
      <c r="CR311" s="226">
        <f>DISTRIBUSI!R309</f>
        <v>0</v>
      </c>
      <c r="CS311" s="226">
        <f>'PEMAKAIAN UNIT'!P308</f>
        <v>0</v>
      </c>
      <c r="CT311" s="14">
        <f t="shared" si="249"/>
        <v>0</v>
      </c>
      <c r="CU311" s="15">
        <f t="shared" si="250"/>
        <v>0</v>
      </c>
      <c r="CV311" s="14" t="e">
        <f>DN311+DISTRIBUSI!#REF!-'PEMAKAIAN UNIT'!Q308</f>
        <v>#REF!</v>
      </c>
      <c r="CW311" s="15" t="e">
        <f t="shared" si="251"/>
        <v>#REF!</v>
      </c>
      <c r="CX311" s="14">
        <f>DO311+'LPLPO PROGRAM'!E140-'LPLPO PROGRAM'!G140</f>
        <v>7</v>
      </c>
      <c r="CY311" s="15">
        <f t="shared" si="252"/>
        <v>7</v>
      </c>
      <c r="DA311" s="14">
        <v>0</v>
      </c>
      <c r="DB311" s="14">
        <v>0</v>
      </c>
      <c r="DC311" s="14">
        <v>0</v>
      </c>
      <c r="DD311" s="14">
        <v>0</v>
      </c>
      <c r="DE311" s="14">
        <v>0</v>
      </c>
      <c r="DF311" s="14">
        <v>0</v>
      </c>
      <c r="DG311" s="14">
        <v>0</v>
      </c>
      <c r="DH311" s="14">
        <v>0</v>
      </c>
      <c r="DI311" s="14">
        <v>0</v>
      </c>
      <c r="DJ311" s="14">
        <v>0</v>
      </c>
      <c r="DK311" s="14">
        <v>0</v>
      </c>
      <c r="DL311" s="14">
        <v>0</v>
      </c>
      <c r="DM311" s="14">
        <v>0</v>
      </c>
      <c r="DN311" s="14">
        <v>0</v>
      </c>
      <c r="DO311" s="109">
        <v>7</v>
      </c>
      <c r="DP311" s="13">
        <f t="shared" si="262"/>
        <v>7</v>
      </c>
      <c r="DU311" s="20" t="e">
        <f t="shared" si="259"/>
        <v>#REF!</v>
      </c>
    </row>
    <row r="312" spans="1:125" ht="15.5" x14ac:dyDescent="0.35">
      <c r="A312" s="205">
        <v>128</v>
      </c>
      <c r="B312" s="184" t="s">
        <v>377</v>
      </c>
      <c r="C312" s="179" t="s">
        <v>212</v>
      </c>
      <c r="D312" s="14">
        <v>0</v>
      </c>
      <c r="E312" s="254">
        <f>'LPLPO PROGRAM'!E141</f>
        <v>0</v>
      </c>
      <c r="F312" s="254">
        <f t="shared" si="253"/>
        <v>0</v>
      </c>
      <c r="G312" s="254">
        <f>'PEMAKAIAN UNIT'!R309</f>
        <v>0</v>
      </c>
      <c r="H312" s="14">
        <v>0</v>
      </c>
      <c r="I312" s="14">
        <v>0</v>
      </c>
      <c r="J312" s="14">
        <v>0</v>
      </c>
      <c r="K312" s="14"/>
      <c r="L312" s="14"/>
      <c r="M312" s="14"/>
      <c r="N312" s="14"/>
      <c r="O312" s="14"/>
      <c r="P312" s="14"/>
      <c r="Q312" s="14"/>
      <c r="R312" s="14"/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09">
        <f t="shared" si="254"/>
        <v>0</v>
      </c>
      <c r="Z312" s="109" t="e">
        <f t="shared" si="255"/>
        <v>#REF!</v>
      </c>
      <c r="AA312" s="109" t="e">
        <f t="shared" si="256"/>
        <v>#REF!</v>
      </c>
      <c r="AB312" s="14">
        <v>0</v>
      </c>
      <c r="AC312" s="109" t="e">
        <f t="shared" si="257"/>
        <v>#REF!</v>
      </c>
      <c r="AD312" s="109">
        <f>'LPLPO PROGRAM'!H141</f>
        <v>0</v>
      </c>
      <c r="AE312" s="111" t="e">
        <f t="shared" si="258"/>
        <v>#REF!</v>
      </c>
      <c r="AF312" s="212"/>
      <c r="AG312" s="212"/>
      <c r="AI312" s="14">
        <f t="shared" si="260"/>
        <v>0</v>
      </c>
      <c r="AJ312" s="209" t="e">
        <f t="shared" si="261"/>
        <v>#REF!</v>
      </c>
      <c r="AL312" s="14">
        <f t="shared" ref="AL312:AL343" si="263">DA312</f>
        <v>0</v>
      </c>
      <c r="AM312" s="14">
        <f>DISTRIBUSI!D310</f>
        <v>0</v>
      </c>
      <c r="AN312" s="14">
        <f>'PEMAKAIAN UNIT'!D309</f>
        <v>0</v>
      </c>
      <c r="AO312" s="14">
        <f t="shared" ref="AO312:AO343" si="264">AL312+AM312-AN312</f>
        <v>0</v>
      </c>
      <c r="AP312" s="15">
        <f t="shared" ref="AP312:AP343" si="265">AO312-H312</f>
        <v>0</v>
      </c>
      <c r="AQ312" s="14">
        <f t="shared" ref="AQ312:AQ343" si="266">DB312</f>
        <v>0</v>
      </c>
      <c r="AR312" s="14">
        <f>DISTRIBUSI!E310</f>
        <v>0</v>
      </c>
      <c r="AS312" s="14">
        <f>'PEMAKAIAN UNIT'!E309</f>
        <v>0</v>
      </c>
      <c r="AT312" s="14">
        <f t="shared" ref="AT312:AT343" si="267">AQ312+AR312-AS312</f>
        <v>0</v>
      </c>
      <c r="AU312" s="15">
        <f t="shared" ref="AU312:AU343" si="268">AT312-I312</f>
        <v>0</v>
      </c>
      <c r="AV312" s="14">
        <f t="shared" ref="AV312:AV343" si="269">DC312</f>
        <v>0</v>
      </c>
      <c r="AW312" s="14">
        <f>DISTRIBUSI!F310</f>
        <v>0</v>
      </c>
      <c r="AX312" s="14">
        <f>'PEMAKAIAN UNIT'!F309</f>
        <v>0</v>
      </c>
      <c r="AY312" s="14">
        <f t="shared" ref="AY312:AY343" si="270">AV312+AW312-AX312</f>
        <v>0</v>
      </c>
      <c r="AZ312" s="15">
        <f t="shared" ref="AZ312:AZ343" si="271">AY312-J312</f>
        <v>0</v>
      </c>
      <c r="BA312" s="14">
        <f t="shared" ref="BA312:BA343" si="272">DD312</f>
        <v>0</v>
      </c>
      <c r="BB312" s="14">
        <f>DISTRIBUSI!G310</f>
        <v>0</v>
      </c>
      <c r="BC312" s="14">
        <f>'PEMAKAIAN UNIT'!G309</f>
        <v>0</v>
      </c>
      <c r="BD312" s="14">
        <f t="shared" ref="BD312:BD343" si="273">BA312+BB312-BC312</f>
        <v>0</v>
      </c>
      <c r="BE312" s="15">
        <f t="shared" ref="BE312:BE343" si="274">BD312-S312</f>
        <v>0</v>
      </c>
      <c r="BF312" s="14">
        <f t="shared" ref="BF312:BF343" si="275">DE312</f>
        <v>0</v>
      </c>
      <c r="BG312" s="14">
        <f>DISTRIBUSI!H310</f>
        <v>0</v>
      </c>
      <c r="BH312" s="14">
        <f>'PEMAKAIAN UNIT'!H309</f>
        <v>0</v>
      </c>
      <c r="BI312" s="14">
        <f t="shared" ref="BI312:BI343" si="276">BF312+BG312-BH312</f>
        <v>0</v>
      </c>
      <c r="BJ312" s="15">
        <f t="shared" ref="BJ312:BJ343" si="277">BI312-T312</f>
        <v>0</v>
      </c>
      <c r="BK312" s="14">
        <f t="shared" ref="BK312:BK343" si="278">DF312</f>
        <v>0</v>
      </c>
      <c r="BL312" s="14">
        <f>DISTRIBUSI!I310</f>
        <v>0</v>
      </c>
      <c r="BM312" s="14">
        <f>'PEMAKAIAN UNIT'!I309</f>
        <v>0</v>
      </c>
      <c r="BN312" s="14">
        <f t="shared" ref="BN312:BN343" si="279">BK312+BL312-BM312</f>
        <v>0</v>
      </c>
      <c r="BO312" s="15">
        <f t="shared" ref="BO312:BO343" si="280">BN312-U312</f>
        <v>0</v>
      </c>
      <c r="BP312" s="14">
        <f t="shared" ref="BP312:BP343" si="281">DG312</f>
        <v>0</v>
      </c>
      <c r="BQ312" s="14">
        <f>DISTRIBUSI!J310</f>
        <v>0</v>
      </c>
      <c r="BR312" s="14">
        <f>'PEMAKAIAN UNIT'!J309</f>
        <v>0</v>
      </c>
      <c r="BS312" s="14">
        <f t="shared" ref="BS312:BS343" si="282">BP312+BQ312-BR312</f>
        <v>0</v>
      </c>
      <c r="BT312" s="15">
        <f t="shared" ref="BT312:BT343" si="283">BS312-V312</f>
        <v>0</v>
      </c>
      <c r="BU312" s="14">
        <f t="shared" ref="BU312:BU343" si="284">DH312</f>
        <v>0</v>
      </c>
      <c r="BV312" s="14">
        <f>DISTRIBUSI!K310</f>
        <v>0</v>
      </c>
      <c r="BW312" s="14">
        <f>'PEMAKAIAN UNIT'!K309</f>
        <v>0</v>
      </c>
      <c r="BX312" s="14">
        <f t="shared" ref="BX312:BX343" si="285">BU312+BV312-BW312</f>
        <v>0</v>
      </c>
      <c r="BY312" s="15">
        <f t="shared" ref="BY312:BY343" si="286">BX312-W312</f>
        <v>0</v>
      </c>
      <c r="BZ312" s="14">
        <f t="shared" ref="BZ312:BZ343" si="287">DI312</f>
        <v>0</v>
      </c>
      <c r="CA312" s="14">
        <f>DISTRIBUSI!L310</f>
        <v>0</v>
      </c>
      <c r="CB312" s="14">
        <f>'PEMAKAIAN UNIT'!L309</f>
        <v>0</v>
      </c>
      <c r="CC312" s="14">
        <f t="shared" ref="CC312:CC343" si="288">BZ312+CA312-CB312</f>
        <v>0</v>
      </c>
      <c r="CD312" s="15">
        <f t="shared" ref="CD312:CD343" si="289">CC312-X312</f>
        <v>0</v>
      </c>
      <c r="CE312" s="14">
        <f t="shared" ref="CE312:CE343" si="290">DJ312</f>
        <v>0</v>
      </c>
      <c r="CF312" s="14">
        <f>DISTRIBUSI!M310</f>
        <v>0</v>
      </c>
      <c r="CG312" s="14">
        <f>'PEMAKAIAN UNIT'!M309</f>
        <v>0</v>
      </c>
      <c r="CH312" s="14">
        <f t="shared" ref="CH312:CH343" si="291">CE312+CF312-CG312</f>
        <v>0</v>
      </c>
      <c r="CI312" s="15">
        <f t="shared" ref="CI312:CI343" si="292">CH312-Y312</f>
        <v>0</v>
      </c>
      <c r="CJ312" s="14">
        <f t="shared" ref="CJ312:CJ343" si="293">DK312</f>
        <v>0</v>
      </c>
      <c r="CK312" s="14" t="e">
        <f>DISTRIBUSI!#REF!</f>
        <v>#REF!</v>
      </c>
      <c r="CL312" s="14">
        <f>'PEMAKAIAN UNIT'!N309</f>
        <v>0</v>
      </c>
      <c r="CM312" s="14" t="e">
        <f t="shared" ref="CM312:CM343" si="294">CJ312+CK312-CL312</f>
        <v>#REF!</v>
      </c>
      <c r="CN312" s="15" t="e">
        <f t="shared" ref="CN312:CN343" si="295">CM312-Z312</f>
        <v>#REF!</v>
      </c>
      <c r="CO312" s="14" t="e">
        <f>DL312+DISTRIBUSI!#REF!-'PEMAKAIAN UNIT'!O309</f>
        <v>#REF!</v>
      </c>
      <c r="CP312" s="15" t="e">
        <f t="shared" ref="CP312:CP343" si="296">CO312-AA312</f>
        <v>#REF!</v>
      </c>
      <c r="CQ312" s="226">
        <f t="shared" ref="CQ312:CQ343" si="297">DM312</f>
        <v>0</v>
      </c>
      <c r="CR312" s="226">
        <f>DISTRIBUSI!R310</f>
        <v>0</v>
      </c>
      <c r="CS312" s="226">
        <f>'PEMAKAIAN UNIT'!P309</f>
        <v>0</v>
      </c>
      <c r="CT312" s="14">
        <f t="shared" ref="CT312:CT343" si="298">CQ312+CR312-CS312</f>
        <v>0</v>
      </c>
      <c r="CU312" s="15">
        <f t="shared" ref="CU312:CU343" si="299">CT312-AB312</f>
        <v>0</v>
      </c>
      <c r="CV312" s="14" t="e">
        <f>DN312+DISTRIBUSI!#REF!-'PEMAKAIAN UNIT'!Q309</f>
        <v>#REF!</v>
      </c>
      <c r="CW312" s="15" t="e">
        <f t="shared" ref="CW312:CW343" si="300">CV312-AC312</f>
        <v>#REF!</v>
      </c>
      <c r="CX312" s="14">
        <f>DO312+'LPLPO PROGRAM'!E141-'LPLPO PROGRAM'!G141</f>
        <v>0</v>
      </c>
      <c r="CY312" s="15">
        <f t="shared" ref="CY312:CY343" si="301">CX312-AD312</f>
        <v>0</v>
      </c>
      <c r="DA312" s="14">
        <v>0</v>
      </c>
      <c r="DB312" s="14">
        <v>0</v>
      </c>
      <c r="DC312" s="14">
        <v>0</v>
      </c>
      <c r="DD312" s="14">
        <v>0</v>
      </c>
      <c r="DE312" s="14">
        <v>0</v>
      </c>
      <c r="DF312" s="14">
        <v>0</v>
      </c>
      <c r="DG312" s="14">
        <v>0</v>
      </c>
      <c r="DH312" s="14">
        <v>0</v>
      </c>
      <c r="DI312" s="14">
        <v>0</v>
      </c>
      <c r="DJ312" s="14">
        <v>0</v>
      </c>
      <c r="DK312" s="14">
        <v>0</v>
      </c>
      <c r="DL312" s="14">
        <v>0</v>
      </c>
      <c r="DM312" s="14">
        <v>0</v>
      </c>
      <c r="DN312" s="14">
        <v>0</v>
      </c>
      <c r="DO312" s="14">
        <v>0</v>
      </c>
      <c r="DP312" s="13">
        <f t="shared" si="262"/>
        <v>0</v>
      </c>
      <c r="DU312" s="20" t="e">
        <f t="shared" si="259"/>
        <v>#REF!</v>
      </c>
    </row>
    <row r="313" spans="1:125" ht="30" x14ac:dyDescent="0.35">
      <c r="A313" s="205">
        <v>129</v>
      </c>
      <c r="B313" s="180" t="s">
        <v>288</v>
      </c>
      <c r="C313" s="179" t="s">
        <v>273</v>
      </c>
      <c r="D313" s="14">
        <v>0</v>
      </c>
      <c r="E313" s="254">
        <f>'LPLPO PROGRAM'!E142</f>
        <v>6</v>
      </c>
      <c r="F313" s="254">
        <f t="shared" si="253"/>
        <v>6</v>
      </c>
      <c r="G313" s="254">
        <f>'PEMAKAIAN UNIT'!R310</f>
        <v>0</v>
      </c>
      <c r="H313" s="14">
        <v>0</v>
      </c>
      <c r="I313" s="14">
        <v>0</v>
      </c>
      <c r="J313" s="14">
        <v>0</v>
      </c>
      <c r="K313" s="14"/>
      <c r="L313" s="14"/>
      <c r="M313" s="14"/>
      <c r="N313" s="14"/>
      <c r="O313" s="14"/>
      <c r="P313" s="14"/>
      <c r="Q313" s="14"/>
      <c r="R313" s="14"/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09">
        <f t="shared" si="254"/>
        <v>0</v>
      </c>
      <c r="Z313" s="109" t="e">
        <f t="shared" si="255"/>
        <v>#REF!</v>
      </c>
      <c r="AA313" s="109" t="e">
        <f t="shared" si="256"/>
        <v>#REF!</v>
      </c>
      <c r="AB313" s="14">
        <v>1</v>
      </c>
      <c r="AC313" s="109" t="e">
        <f t="shared" si="257"/>
        <v>#REF!</v>
      </c>
      <c r="AD313" s="109">
        <f>'LPLPO PROGRAM'!H142</f>
        <v>0</v>
      </c>
      <c r="AE313" s="111" t="e">
        <f t="shared" si="258"/>
        <v>#REF!</v>
      </c>
      <c r="AF313" s="212"/>
      <c r="AG313" s="212"/>
      <c r="AI313" s="14">
        <f t="shared" si="260"/>
        <v>6</v>
      </c>
      <c r="AJ313" s="209" t="e">
        <f t="shared" si="261"/>
        <v>#REF!</v>
      </c>
      <c r="AL313" s="14">
        <f t="shared" si="263"/>
        <v>0</v>
      </c>
      <c r="AM313" s="14">
        <f>DISTRIBUSI!D311</f>
        <v>0</v>
      </c>
      <c r="AN313" s="14">
        <f>'PEMAKAIAN UNIT'!D310</f>
        <v>0</v>
      </c>
      <c r="AO313" s="14">
        <f t="shared" si="264"/>
        <v>0</v>
      </c>
      <c r="AP313" s="15">
        <f t="shared" si="265"/>
        <v>0</v>
      </c>
      <c r="AQ313" s="14">
        <f t="shared" si="266"/>
        <v>0</v>
      </c>
      <c r="AR313" s="14">
        <f>DISTRIBUSI!E311</f>
        <v>0</v>
      </c>
      <c r="AS313" s="14">
        <f>'PEMAKAIAN UNIT'!E310</f>
        <v>0</v>
      </c>
      <c r="AT313" s="14">
        <f t="shared" si="267"/>
        <v>0</v>
      </c>
      <c r="AU313" s="15">
        <f t="shared" si="268"/>
        <v>0</v>
      </c>
      <c r="AV313" s="14">
        <f t="shared" si="269"/>
        <v>0</v>
      </c>
      <c r="AW313" s="14">
        <f>DISTRIBUSI!F311</f>
        <v>0</v>
      </c>
      <c r="AX313" s="14">
        <f>'PEMAKAIAN UNIT'!F310</f>
        <v>0</v>
      </c>
      <c r="AY313" s="14">
        <f t="shared" si="270"/>
        <v>0</v>
      </c>
      <c r="AZ313" s="15">
        <f t="shared" si="271"/>
        <v>0</v>
      </c>
      <c r="BA313" s="14">
        <f t="shared" si="272"/>
        <v>0</v>
      </c>
      <c r="BB313" s="14">
        <f>DISTRIBUSI!G311</f>
        <v>0</v>
      </c>
      <c r="BC313" s="14">
        <f>'PEMAKAIAN UNIT'!G310</f>
        <v>0</v>
      </c>
      <c r="BD313" s="14">
        <f t="shared" si="273"/>
        <v>0</v>
      </c>
      <c r="BE313" s="15">
        <f t="shared" si="274"/>
        <v>0</v>
      </c>
      <c r="BF313" s="14">
        <f t="shared" si="275"/>
        <v>0</v>
      </c>
      <c r="BG313" s="14">
        <f>DISTRIBUSI!H311</f>
        <v>0</v>
      </c>
      <c r="BH313" s="14">
        <f>'PEMAKAIAN UNIT'!H310</f>
        <v>0</v>
      </c>
      <c r="BI313" s="14">
        <f t="shared" si="276"/>
        <v>0</v>
      </c>
      <c r="BJ313" s="15">
        <f t="shared" si="277"/>
        <v>0</v>
      </c>
      <c r="BK313" s="14">
        <f t="shared" si="278"/>
        <v>0</v>
      </c>
      <c r="BL313" s="14">
        <f>DISTRIBUSI!I311</f>
        <v>0</v>
      </c>
      <c r="BM313" s="14">
        <f>'PEMAKAIAN UNIT'!I310</f>
        <v>0</v>
      </c>
      <c r="BN313" s="14">
        <f t="shared" si="279"/>
        <v>0</v>
      </c>
      <c r="BO313" s="15">
        <f t="shared" si="280"/>
        <v>0</v>
      </c>
      <c r="BP313" s="14">
        <f t="shared" si="281"/>
        <v>0</v>
      </c>
      <c r="BQ313" s="14">
        <f>DISTRIBUSI!J311</f>
        <v>0</v>
      </c>
      <c r="BR313" s="14">
        <f>'PEMAKAIAN UNIT'!J310</f>
        <v>0</v>
      </c>
      <c r="BS313" s="14">
        <f t="shared" si="282"/>
        <v>0</v>
      </c>
      <c r="BT313" s="15">
        <f t="shared" si="283"/>
        <v>0</v>
      </c>
      <c r="BU313" s="14">
        <f t="shared" si="284"/>
        <v>0</v>
      </c>
      <c r="BV313" s="14">
        <f>DISTRIBUSI!K311</f>
        <v>0</v>
      </c>
      <c r="BW313" s="14">
        <f>'PEMAKAIAN UNIT'!K310</f>
        <v>0</v>
      </c>
      <c r="BX313" s="14">
        <f t="shared" si="285"/>
        <v>0</v>
      </c>
      <c r="BY313" s="15">
        <f t="shared" si="286"/>
        <v>0</v>
      </c>
      <c r="BZ313" s="14">
        <f t="shared" si="287"/>
        <v>0</v>
      </c>
      <c r="CA313" s="14">
        <f>DISTRIBUSI!L311</f>
        <v>0</v>
      </c>
      <c r="CB313" s="14">
        <f>'PEMAKAIAN UNIT'!L310</f>
        <v>0</v>
      </c>
      <c r="CC313" s="14">
        <f t="shared" si="288"/>
        <v>0</v>
      </c>
      <c r="CD313" s="15">
        <f t="shared" si="289"/>
        <v>0</v>
      </c>
      <c r="CE313" s="14">
        <f t="shared" si="290"/>
        <v>0</v>
      </c>
      <c r="CF313" s="14">
        <f>DISTRIBUSI!M311</f>
        <v>0</v>
      </c>
      <c r="CG313" s="14">
        <f>'PEMAKAIAN UNIT'!M310</f>
        <v>0</v>
      </c>
      <c r="CH313" s="14">
        <f t="shared" si="291"/>
        <v>0</v>
      </c>
      <c r="CI313" s="15">
        <f t="shared" si="292"/>
        <v>0</v>
      </c>
      <c r="CJ313" s="14">
        <f t="shared" si="293"/>
        <v>0</v>
      </c>
      <c r="CK313" s="14" t="e">
        <f>DISTRIBUSI!#REF!</f>
        <v>#REF!</v>
      </c>
      <c r="CL313" s="14">
        <f>'PEMAKAIAN UNIT'!N310</f>
        <v>0</v>
      </c>
      <c r="CM313" s="14" t="e">
        <f t="shared" si="294"/>
        <v>#REF!</v>
      </c>
      <c r="CN313" s="15" t="e">
        <f t="shared" si="295"/>
        <v>#REF!</v>
      </c>
      <c r="CO313" s="14" t="e">
        <f>DL313+DISTRIBUSI!#REF!-'PEMAKAIAN UNIT'!O310</f>
        <v>#REF!</v>
      </c>
      <c r="CP313" s="15" t="e">
        <f t="shared" si="296"/>
        <v>#REF!</v>
      </c>
      <c r="CQ313" s="226">
        <f t="shared" si="297"/>
        <v>8</v>
      </c>
      <c r="CR313" s="226">
        <f>DISTRIBUSI!R311</f>
        <v>6</v>
      </c>
      <c r="CS313" s="226">
        <f>'PEMAKAIAN UNIT'!P310</f>
        <v>0</v>
      </c>
      <c r="CT313" s="14">
        <f t="shared" si="298"/>
        <v>14</v>
      </c>
      <c r="CU313" s="15">
        <f t="shared" si="299"/>
        <v>13</v>
      </c>
      <c r="CV313" s="14" t="e">
        <f>DN313+DISTRIBUSI!#REF!-'PEMAKAIAN UNIT'!Q310</f>
        <v>#REF!</v>
      </c>
      <c r="CW313" s="15" t="e">
        <f t="shared" si="300"/>
        <v>#REF!</v>
      </c>
      <c r="CX313" s="14">
        <f>DO313+'LPLPO PROGRAM'!E142-'LPLPO PROGRAM'!G142</f>
        <v>0</v>
      </c>
      <c r="CY313" s="15">
        <f t="shared" si="301"/>
        <v>0</v>
      </c>
      <c r="DA313" s="14">
        <v>0</v>
      </c>
      <c r="DB313" s="14">
        <v>0</v>
      </c>
      <c r="DC313" s="14">
        <v>0</v>
      </c>
      <c r="DD313" s="14">
        <v>0</v>
      </c>
      <c r="DE313" s="14">
        <v>0</v>
      </c>
      <c r="DF313" s="14">
        <v>0</v>
      </c>
      <c r="DG313" s="14">
        <v>0</v>
      </c>
      <c r="DH313" s="14">
        <v>0</v>
      </c>
      <c r="DI313" s="14">
        <v>0</v>
      </c>
      <c r="DJ313" s="14">
        <v>0</v>
      </c>
      <c r="DK313" s="14">
        <v>0</v>
      </c>
      <c r="DL313" s="14">
        <v>0</v>
      </c>
      <c r="DM313" s="14">
        <v>8</v>
      </c>
      <c r="DN313" s="14">
        <v>0</v>
      </c>
      <c r="DO313" s="14">
        <v>0</v>
      </c>
      <c r="DP313" s="13">
        <f t="shared" si="262"/>
        <v>8</v>
      </c>
      <c r="DU313" s="20" t="e">
        <f t="shared" si="259"/>
        <v>#REF!</v>
      </c>
    </row>
    <row r="314" spans="1:125" ht="30" x14ac:dyDescent="0.35">
      <c r="A314" s="205">
        <v>130</v>
      </c>
      <c r="B314" s="180" t="s">
        <v>287</v>
      </c>
      <c r="C314" s="179" t="s">
        <v>274</v>
      </c>
      <c r="D314" s="14">
        <v>0</v>
      </c>
      <c r="E314" s="254">
        <f>'LPLPO PROGRAM'!E143</f>
        <v>5</v>
      </c>
      <c r="F314" s="254">
        <f t="shared" si="253"/>
        <v>5</v>
      </c>
      <c r="G314" s="254">
        <f>'PEMAKAIAN UNIT'!R311</f>
        <v>0</v>
      </c>
      <c r="H314" s="14">
        <v>0</v>
      </c>
      <c r="I314" s="14">
        <v>0</v>
      </c>
      <c r="J314" s="14">
        <v>0</v>
      </c>
      <c r="K314" s="14"/>
      <c r="L314" s="14"/>
      <c r="M314" s="14"/>
      <c r="N314" s="14"/>
      <c r="O314" s="14"/>
      <c r="P314" s="14"/>
      <c r="Q314" s="14"/>
      <c r="R314" s="14"/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09">
        <f t="shared" si="254"/>
        <v>0</v>
      </c>
      <c r="Z314" s="109" t="e">
        <f t="shared" si="255"/>
        <v>#REF!</v>
      </c>
      <c r="AA314" s="109" t="e">
        <f t="shared" si="256"/>
        <v>#REF!</v>
      </c>
      <c r="AB314" s="14">
        <v>0</v>
      </c>
      <c r="AC314" s="109" t="e">
        <f t="shared" si="257"/>
        <v>#REF!</v>
      </c>
      <c r="AD314" s="109">
        <f>'LPLPO PROGRAM'!H143</f>
        <v>0</v>
      </c>
      <c r="AE314" s="111" t="e">
        <f t="shared" si="258"/>
        <v>#REF!</v>
      </c>
      <c r="AF314" s="212"/>
      <c r="AG314" s="212"/>
      <c r="AI314" s="14">
        <f t="shared" si="260"/>
        <v>5</v>
      </c>
      <c r="AJ314" s="209" t="e">
        <f t="shared" si="261"/>
        <v>#REF!</v>
      </c>
      <c r="AL314" s="14">
        <f t="shared" si="263"/>
        <v>0</v>
      </c>
      <c r="AM314" s="14">
        <f>DISTRIBUSI!D312</f>
        <v>0</v>
      </c>
      <c r="AN314" s="14">
        <f>'PEMAKAIAN UNIT'!D311</f>
        <v>0</v>
      </c>
      <c r="AO314" s="14">
        <f t="shared" si="264"/>
        <v>0</v>
      </c>
      <c r="AP314" s="15">
        <f t="shared" si="265"/>
        <v>0</v>
      </c>
      <c r="AQ314" s="14">
        <f t="shared" si="266"/>
        <v>0</v>
      </c>
      <c r="AR314" s="14">
        <f>DISTRIBUSI!E312</f>
        <v>0</v>
      </c>
      <c r="AS314" s="14">
        <f>'PEMAKAIAN UNIT'!E311</f>
        <v>0</v>
      </c>
      <c r="AT314" s="14">
        <f t="shared" si="267"/>
        <v>0</v>
      </c>
      <c r="AU314" s="15">
        <f t="shared" si="268"/>
        <v>0</v>
      </c>
      <c r="AV314" s="14">
        <f t="shared" si="269"/>
        <v>0</v>
      </c>
      <c r="AW314" s="14">
        <f>DISTRIBUSI!F312</f>
        <v>0</v>
      </c>
      <c r="AX314" s="14">
        <f>'PEMAKAIAN UNIT'!F311</f>
        <v>0</v>
      </c>
      <c r="AY314" s="14">
        <f t="shared" si="270"/>
        <v>0</v>
      </c>
      <c r="AZ314" s="15">
        <f t="shared" si="271"/>
        <v>0</v>
      </c>
      <c r="BA314" s="14">
        <f t="shared" si="272"/>
        <v>0</v>
      </c>
      <c r="BB314" s="14">
        <f>DISTRIBUSI!G312</f>
        <v>0</v>
      </c>
      <c r="BC314" s="14">
        <f>'PEMAKAIAN UNIT'!G311</f>
        <v>0</v>
      </c>
      <c r="BD314" s="14">
        <f t="shared" si="273"/>
        <v>0</v>
      </c>
      <c r="BE314" s="15">
        <f t="shared" si="274"/>
        <v>0</v>
      </c>
      <c r="BF314" s="14">
        <f t="shared" si="275"/>
        <v>0</v>
      </c>
      <c r="BG314" s="14">
        <f>DISTRIBUSI!H312</f>
        <v>0</v>
      </c>
      <c r="BH314" s="14">
        <f>'PEMAKAIAN UNIT'!H311</f>
        <v>0</v>
      </c>
      <c r="BI314" s="14">
        <f t="shared" si="276"/>
        <v>0</v>
      </c>
      <c r="BJ314" s="15">
        <f t="shared" si="277"/>
        <v>0</v>
      </c>
      <c r="BK314" s="14">
        <f t="shared" si="278"/>
        <v>0</v>
      </c>
      <c r="BL314" s="14">
        <f>DISTRIBUSI!I312</f>
        <v>0</v>
      </c>
      <c r="BM314" s="14">
        <f>'PEMAKAIAN UNIT'!I311</f>
        <v>0</v>
      </c>
      <c r="BN314" s="14">
        <f t="shared" si="279"/>
        <v>0</v>
      </c>
      <c r="BO314" s="15">
        <f t="shared" si="280"/>
        <v>0</v>
      </c>
      <c r="BP314" s="14">
        <f t="shared" si="281"/>
        <v>0</v>
      </c>
      <c r="BQ314" s="14">
        <f>DISTRIBUSI!J312</f>
        <v>0</v>
      </c>
      <c r="BR314" s="14">
        <f>'PEMAKAIAN UNIT'!J311</f>
        <v>0</v>
      </c>
      <c r="BS314" s="14">
        <f t="shared" si="282"/>
        <v>0</v>
      </c>
      <c r="BT314" s="15">
        <f t="shared" si="283"/>
        <v>0</v>
      </c>
      <c r="BU314" s="14">
        <f t="shared" si="284"/>
        <v>0</v>
      </c>
      <c r="BV314" s="14">
        <f>DISTRIBUSI!K312</f>
        <v>0</v>
      </c>
      <c r="BW314" s="14">
        <f>'PEMAKAIAN UNIT'!K311</f>
        <v>0</v>
      </c>
      <c r="BX314" s="14">
        <f t="shared" si="285"/>
        <v>0</v>
      </c>
      <c r="BY314" s="15">
        <f t="shared" si="286"/>
        <v>0</v>
      </c>
      <c r="BZ314" s="14">
        <f t="shared" si="287"/>
        <v>0</v>
      </c>
      <c r="CA314" s="14">
        <f>DISTRIBUSI!L312</f>
        <v>0</v>
      </c>
      <c r="CB314" s="14">
        <f>'PEMAKAIAN UNIT'!L311</f>
        <v>0</v>
      </c>
      <c r="CC314" s="14">
        <f t="shared" si="288"/>
        <v>0</v>
      </c>
      <c r="CD314" s="15">
        <f t="shared" si="289"/>
        <v>0</v>
      </c>
      <c r="CE314" s="14">
        <f t="shared" si="290"/>
        <v>0</v>
      </c>
      <c r="CF314" s="14">
        <f>DISTRIBUSI!M312</f>
        <v>0</v>
      </c>
      <c r="CG314" s="14">
        <f>'PEMAKAIAN UNIT'!M311</f>
        <v>0</v>
      </c>
      <c r="CH314" s="14">
        <f t="shared" si="291"/>
        <v>0</v>
      </c>
      <c r="CI314" s="15">
        <f t="shared" si="292"/>
        <v>0</v>
      </c>
      <c r="CJ314" s="14">
        <f t="shared" si="293"/>
        <v>0</v>
      </c>
      <c r="CK314" s="14" t="e">
        <f>DISTRIBUSI!#REF!</f>
        <v>#REF!</v>
      </c>
      <c r="CL314" s="14">
        <f>'PEMAKAIAN UNIT'!N311</f>
        <v>0</v>
      </c>
      <c r="CM314" s="14" t="e">
        <f t="shared" si="294"/>
        <v>#REF!</v>
      </c>
      <c r="CN314" s="15" t="e">
        <f t="shared" si="295"/>
        <v>#REF!</v>
      </c>
      <c r="CO314" s="14" t="e">
        <f>DL314+DISTRIBUSI!#REF!-'PEMAKAIAN UNIT'!O311</f>
        <v>#REF!</v>
      </c>
      <c r="CP314" s="15" t="e">
        <f t="shared" si="296"/>
        <v>#REF!</v>
      </c>
      <c r="CQ314" s="226">
        <f t="shared" si="297"/>
        <v>0</v>
      </c>
      <c r="CR314" s="226">
        <f>DISTRIBUSI!R312</f>
        <v>5</v>
      </c>
      <c r="CS314" s="226">
        <f>'PEMAKAIAN UNIT'!P311</f>
        <v>0</v>
      </c>
      <c r="CT314" s="14">
        <f t="shared" si="298"/>
        <v>5</v>
      </c>
      <c r="CU314" s="15">
        <f t="shared" si="299"/>
        <v>5</v>
      </c>
      <c r="CV314" s="14" t="e">
        <f>DN314+DISTRIBUSI!#REF!-'PEMAKAIAN UNIT'!Q311</f>
        <v>#REF!</v>
      </c>
      <c r="CW314" s="15" t="e">
        <f t="shared" si="300"/>
        <v>#REF!</v>
      </c>
      <c r="CX314" s="14">
        <f>DO314+'LPLPO PROGRAM'!E143-'LPLPO PROGRAM'!G143</f>
        <v>0</v>
      </c>
      <c r="CY314" s="15">
        <f t="shared" si="301"/>
        <v>0</v>
      </c>
      <c r="DA314" s="14">
        <v>0</v>
      </c>
      <c r="DB314" s="14">
        <v>0</v>
      </c>
      <c r="DC314" s="14">
        <v>0</v>
      </c>
      <c r="DD314" s="14">
        <v>0</v>
      </c>
      <c r="DE314" s="14">
        <v>0</v>
      </c>
      <c r="DF314" s="14">
        <v>0</v>
      </c>
      <c r="DG314" s="14">
        <v>0</v>
      </c>
      <c r="DH314" s="14">
        <v>0</v>
      </c>
      <c r="DI314" s="14">
        <v>0</v>
      </c>
      <c r="DJ314" s="14">
        <v>0</v>
      </c>
      <c r="DK314" s="14">
        <v>0</v>
      </c>
      <c r="DL314" s="14">
        <v>0</v>
      </c>
      <c r="DM314" s="14">
        <v>0</v>
      </c>
      <c r="DN314" s="14">
        <v>0</v>
      </c>
      <c r="DO314" s="14">
        <v>0</v>
      </c>
      <c r="DP314" s="13">
        <f t="shared" si="262"/>
        <v>0</v>
      </c>
      <c r="DU314" s="20" t="e">
        <f t="shared" si="259"/>
        <v>#REF!</v>
      </c>
    </row>
    <row r="315" spans="1:125" ht="15.5" x14ac:dyDescent="0.35">
      <c r="A315" s="205">
        <v>131</v>
      </c>
      <c r="B315" s="184" t="s">
        <v>291</v>
      </c>
      <c r="C315" s="179" t="s">
        <v>273</v>
      </c>
      <c r="D315" s="14">
        <v>0</v>
      </c>
      <c r="E315" s="254">
        <f>'LPLPO PROGRAM'!E144</f>
        <v>0</v>
      </c>
      <c r="F315" s="254">
        <f t="shared" ref="F315:F342" si="302">SUM(D315:E315)</f>
        <v>0</v>
      </c>
      <c r="G315" s="254">
        <f>'PEMAKAIAN UNIT'!R312</f>
        <v>0</v>
      </c>
      <c r="H315" s="14">
        <v>0</v>
      </c>
      <c r="I315" s="14">
        <v>0</v>
      </c>
      <c r="J315" s="14">
        <v>0</v>
      </c>
      <c r="K315" s="14"/>
      <c r="L315" s="14"/>
      <c r="M315" s="14"/>
      <c r="N315" s="14"/>
      <c r="O315" s="14"/>
      <c r="P315" s="14"/>
      <c r="Q315" s="14"/>
      <c r="R315" s="14"/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09">
        <f t="shared" ref="Y315:Y342" si="303">CH315</f>
        <v>0</v>
      </c>
      <c r="Z315" s="109" t="e">
        <f t="shared" ref="Z315:Z342" si="304">CM315</f>
        <v>#REF!</v>
      </c>
      <c r="AA315" s="109" t="e">
        <f t="shared" ref="AA315:AA342" si="305">CO315</f>
        <v>#REF!</v>
      </c>
      <c r="AB315" s="14">
        <v>0</v>
      </c>
      <c r="AC315" s="109" t="e">
        <f t="shared" ref="AC315:AC342" si="306">CV315</f>
        <v>#REF!</v>
      </c>
      <c r="AD315" s="109">
        <f>'LPLPO PROGRAM'!H144</f>
        <v>0</v>
      </c>
      <c r="AE315" s="111" t="e">
        <f t="shared" ref="AE315:AE342" si="307">SUM(H315:AD315)</f>
        <v>#REF!</v>
      </c>
      <c r="AF315" s="212"/>
      <c r="AG315" s="212"/>
      <c r="AI315" s="14">
        <f t="shared" si="260"/>
        <v>0</v>
      </c>
      <c r="AJ315" s="209" t="e">
        <f t="shared" si="261"/>
        <v>#REF!</v>
      </c>
      <c r="AL315" s="14">
        <f t="shared" si="263"/>
        <v>0</v>
      </c>
      <c r="AM315" s="14">
        <f>DISTRIBUSI!D313</f>
        <v>0</v>
      </c>
      <c r="AN315" s="14">
        <f>'PEMAKAIAN UNIT'!D312</f>
        <v>0</v>
      </c>
      <c r="AO315" s="14">
        <f t="shared" si="264"/>
        <v>0</v>
      </c>
      <c r="AP315" s="15">
        <f t="shared" si="265"/>
        <v>0</v>
      </c>
      <c r="AQ315" s="14">
        <f t="shared" si="266"/>
        <v>0</v>
      </c>
      <c r="AR315" s="14">
        <f>DISTRIBUSI!E313</f>
        <v>0</v>
      </c>
      <c r="AS315" s="14">
        <f>'PEMAKAIAN UNIT'!E312</f>
        <v>0</v>
      </c>
      <c r="AT315" s="14">
        <f t="shared" si="267"/>
        <v>0</v>
      </c>
      <c r="AU315" s="15">
        <f t="shared" si="268"/>
        <v>0</v>
      </c>
      <c r="AV315" s="14">
        <f t="shared" si="269"/>
        <v>0</v>
      </c>
      <c r="AW315" s="14">
        <f>DISTRIBUSI!F313</f>
        <v>0</v>
      </c>
      <c r="AX315" s="14">
        <f>'PEMAKAIAN UNIT'!F312</f>
        <v>0</v>
      </c>
      <c r="AY315" s="14">
        <f t="shared" si="270"/>
        <v>0</v>
      </c>
      <c r="AZ315" s="15">
        <f t="shared" si="271"/>
        <v>0</v>
      </c>
      <c r="BA315" s="14">
        <f t="shared" si="272"/>
        <v>0</v>
      </c>
      <c r="BB315" s="14">
        <f>DISTRIBUSI!G313</f>
        <v>0</v>
      </c>
      <c r="BC315" s="14">
        <f>'PEMAKAIAN UNIT'!G312</f>
        <v>0</v>
      </c>
      <c r="BD315" s="14">
        <f t="shared" si="273"/>
        <v>0</v>
      </c>
      <c r="BE315" s="15">
        <f t="shared" si="274"/>
        <v>0</v>
      </c>
      <c r="BF315" s="14">
        <f t="shared" si="275"/>
        <v>0</v>
      </c>
      <c r="BG315" s="14">
        <f>DISTRIBUSI!H313</f>
        <v>0</v>
      </c>
      <c r="BH315" s="14">
        <f>'PEMAKAIAN UNIT'!H312</f>
        <v>0</v>
      </c>
      <c r="BI315" s="14">
        <f t="shared" si="276"/>
        <v>0</v>
      </c>
      <c r="BJ315" s="15">
        <f t="shared" si="277"/>
        <v>0</v>
      </c>
      <c r="BK315" s="14">
        <f t="shared" si="278"/>
        <v>0</v>
      </c>
      <c r="BL315" s="14">
        <f>DISTRIBUSI!I313</f>
        <v>0</v>
      </c>
      <c r="BM315" s="14">
        <f>'PEMAKAIAN UNIT'!I312</f>
        <v>0</v>
      </c>
      <c r="BN315" s="14">
        <f t="shared" si="279"/>
        <v>0</v>
      </c>
      <c r="BO315" s="15">
        <f t="shared" si="280"/>
        <v>0</v>
      </c>
      <c r="BP315" s="14">
        <f t="shared" si="281"/>
        <v>0</v>
      </c>
      <c r="BQ315" s="14">
        <f>DISTRIBUSI!J313</f>
        <v>0</v>
      </c>
      <c r="BR315" s="14">
        <f>'PEMAKAIAN UNIT'!J312</f>
        <v>0</v>
      </c>
      <c r="BS315" s="14">
        <f t="shared" si="282"/>
        <v>0</v>
      </c>
      <c r="BT315" s="15">
        <f t="shared" si="283"/>
        <v>0</v>
      </c>
      <c r="BU315" s="14">
        <f t="shared" si="284"/>
        <v>0</v>
      </c>
      <c r="BV315" s="14">
        <f>DISTRIBUSI!K313</f>
        <v>0</v>
      </c>
      <c r="BW315" s="14">
        <f>'PEMAKAIAN UNIT'!K312</f>
        <v>0</v>
      </c>
      <c r="BX315" s="14">
        <f t="shared" si="285"/>
        <v>0</v>
      </c>
      <c r="BY315" s="15">
        <f t="shared" si="286"/>
        <v>0</v>
      </c>
      <c r="BZ315" s="14">
        <f t="shared" si="287"/>
        <v>0</v>
      </c>
      <c r="CA315" s="14">
        <f>DISTRIBUSI!L313</f>
        <v>0</v>
      </c>
      <c r="CB315" s="14">
        <f>'PEMAKAIAN UNIT'!L312</f>
        <v>0</v>
      </c>
      <c r="CC315" s="14">
        <f t="shared" si="288"/>
        <v>0</v>
      </c>
      <c r="CD315" s="15">
        <f t="shared" si="289"/>
        <v>0</v>
      </c>
      <c r="CE315" s="14">
        <f t="shared" si="290"/>
        <v>0</v>
      </c>
      <c r="CF315" s="14">
        <f>DISTRIBUSI!M313</f>
        <v>0</v>
      </c>
      <c r="CG315" s="14">
        <f>'PEMAKAIAN UNIT'!M312</f>
        <v>0</v>
      </c>
      <c r="CH315" s="14">
        <f t="shared" si="291"/>
        <v>0</v>
      </c>
      <c r="CI315" s="15">
        <f t="shared" si="292"/>
        <v>0</v>
      </c>
      <c r="CJ315" s="14">
        <f t="shared" si="293"/>
        <v>0</v>
      </c>
      <c r="CK315" s="14" t="e">
        <f>DISTRIBUSI!#REF!</f>
        <v>#REF!</v>
      </c>
      <c r="CL315" s="14">
        <f>'PEMAKAIAN UNIT'!N312</f>
        <v>0</v>
      </c>
      <c r="CM315" s="14" t="e">
        <f t="shared" si="294"/>
        <v>#REF!</v>
      </c>
      <c r="CN315" s="15" t="e">
        <f t="shared" si="295"/>
        <v>#REF!</v>
      </c>
      <c r="CO315" s="14" t="e">
        <f>DL315+DISTRIBUSI!#REF!-'PEMAKAIAN UNIT'!O312</f>
        <v>#REF!</v>
      </c>
      <c r="CP315" s="15" t="e">
        <f t="shared" si="296"/>
        <v>#REF!</v>
      </c>
      <c r="CQ315" s="226">
        <f t="shared" si="297"/>
        <v>0</v>
      </c>
      <c r="CR315" s="226">
        <f>DISTRIBUSI!R313</f>
        <v>0</v>
      </c>
      <c r="CS315" s="226">
        <f>'PEMAKAIAN UNIT'!P312</f>
        <v>0</v>
      </c>
      <c r="CT315" s="14">
        <f t="shared" si="298"/>
        <v>0</v>
      </c>
      <c r="CU315" s="15">
        <f t="shared" si="299"/>
        <v>0</v>
      </c>
      <c r="CV315" s="14" t="e">
        <f>DN315+DISTRIBUSI!#REF!-'PEMAKAIAN UNIT'!Q312</f>
        <v>#REF!</v>
      </c>
      <c r="CW315" s="15" t="e">
        <f t="shared" si="300"/>
        <v>#REF!</v>
      </c>
      <c r="CX315" s="14">
        <f>DO315+'LPLPO PROGRAM'!E144-'LPLPO PROGRAM'!G144</f>
        <v>0</v>
      </c>
      <c r="CY315" s="15">
        <f t="shared" si="301"/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4">
        <v>0</v>
      </c>
      <c r="DG315" s="14">
        <v>0</v>
      </c>
      <c r="DH315" s="14">
        <v>0</v>
      </c>
      <c r="DI315" s="14">
        <v>0</v>
      </c>
      <c r="DJ315" s="14">
        <v>0</v>
      </c>
      <c r="DK315" s="14">
        <v>0</v>
      </c>
      <c r="DL315" s="14">
        <v>0</v>
      </c>
      <c r="DM315" s="14">
        <v>0</v>
      </c>
      <c r="DN315" s="14">
        <v>0</v>
      </c>
      <c r="DO315" s="14">
        <v>0</v>
      </c>
      <c r="DP315" s="13">
        <f t="shared" si="262"/>
        <v>0</v>
      </c>
      <c r="DU315" s="20" t="e">
        <f t="shared" si="259"/>
        <v>#REF!</v>
      </c>
    </row>
    <row r="316" spans="1:125" ht="15.5" x14ac:dyDescent="0.35">
      <c r="A316" s="205">
        <v>132</v>
      </c>
      <c r="B316" s="184" t="s">
        <v>405</v>
      </c>
      <c r="C316" s="179" t="s">
        <v>203</v>
      </c>
      <c r="D316" s="14">
        <v>0</v>
      </c>
      <c r="E316" s="254">
        <f>'LPLPO PROGRAM'!E145</f>
        <v>0</v>
      </c>
      <c r="F316" s="254">
        <f t="shared" si="302"/>
        <v>0</v>
      </c>
      <c r="G316" s="254">
        <f>'PEMAKAIAN UNIT'!R313</f>
        <v>0</v>
      </c>
      <c r="H316" s="14">
        <v>0</v>
      </c>
      <c r="I316" s="14">
        <v>0</v>
      </c>
      <c r="J316" s="14">
        <v>0</v>
      </c>
      <c r="K316" s="14"/>
      <c r="L316" s="14"/>
      <c r="M316" s="14"/>
      <c r="N316" s="14"/>
      <c r="O316" s="14"/>
      <c r="P316" s="14"/>
      <c r="Q316" s="14"/>
      <c r="R316" s="14"/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09">
        <f t="shared" si="303"/>
        <v>0</v>
      </c>
      <c r="Z316" s="109" t="e">
        <f t="shared" si="304"/>
        <v>#REF!</v>
      </c>
      <c r="AA316" s="109" t="e">
        <f t="shared" si="305"/>
        <v>#REF!</v>
      </c>
      <c r="AB316" s="14">
        <v>0</v>
      </c>
      <c r="AC316" s="109" t="e">
        <f t="shared" si="306"/>
        <v>#REF!</v>
      </c>
      <c r="AD316" s="109">
        <f>'LPLPO PROGRAM'!H145</f>
        <v>0</v>
      </c>
      <c r="AE316" s="111" t="e">
        <f t="shared" si="307"/>
        <v>#REF!</v>
      </c>
      <c r="AF316" s="212"/>
      <c r="AG316" s="212"/>
      <c r="AI316" s="14">
        <f t="shared" si="260"/>
        <v>0</v>
      </c>
      <c r="AJ316" s="209" t="e">
        <f t="shared" si="261"/>
        <v>#REF!</v>
      </c>
      <c r="AL316" s="14">
        <f t="shared" si="263"/>
        <v>0</v>
      </c>
      <c r="AM316" s="14">
        <f>DISTRIBUSI!D314</f>
        <v>0</v>
      </c>
      <c r="AN316" s="14">
        <f>'PEMAKAIAN UNIT'!D313</f>
        <v>0</v>
      </c>
      <c r="AO316" s="14">
        <f t="shared" si="264"/>
        <v>0</v>
      </c>
      <c r="AP316" s="15">
        <f t="shared" si="265"/>
        <v>0</v>
      </c>
      <c r="AQ316" s="14">
        <f t="shared" si="266"/>
        <v>0</v>
      </c>
      <c r="AR316" s="14">
        <f>DISTRIBUSI!E314</f>
        <v>0</v>
      </c>
      <c r="AS316" s="14">
        <f>'PEMAKAIAN UNIT'!E313</f>
        <v>0</v>
      </c>
      <c r="AT316" s="14">
        <f t="shared" si="267"/>
        <v>0</v>
      </c>
      <c r="AU316" s="15">
        <f t="shared" si="268"/>
        <v>0</v>
      </c>
      <c r="AV316" s="14">
        <f t="shared" si="269"/>
        <v>0</v>
      </c>
      <c r="AW316" s="14">
        <f>DISTRIBUSI!F314</f>
        <v>0</v>
      </c>
      <c r="AX316" s="14">
        <f>'PEMAKAIAN UNIT'!F313</f>
        <v>0</v>
      </c>
      <c r="AY316" s="14">
        <f t="shared" si="270"/>
        <v>0</v>
      </c>
      <c r="AZ316" s="15">
        <f t="shared" si="271"/>
        <v>0</v>
      </c>
      <c r="BA316" s="14">
        <f t="shared" si="272"/>
        <v>0</v>
      </c>
      <c r="BB316" s="14">
        <f>DISTRIBUSI!G314</f>
        <v>0</v>
      </c>
      <c r="BC316" s="14">
        <f>'PEMAKAIAN UNIT'!G313</f>
        <v>0</v>
      </c>
      <c r="BD316" s="14">
        <f t="shared" si="273"/>
        <v>0</v>
      </c>
      <c r="BE316" s="15">
        <f t="shared" si="274"/>
        <v>0</v>
      </c>
      <c r="BF316" s="14">
        <f t="shared" si="275"/>
        <v>0</v>
      </c>
      <c r="BG316" s="14">
        <f>DISTRIBUSI!H314</f>
        <v>0</v>
      </c>
      <c r="BH316" s="14">
        <f>'PEMAKAIAN UNIT'!H313</f>
        <v>0</v>
      </c>
      <c r="BI316" s="14">
        <f t="shared" si="276"/>
        <v>0</v>
      </c>
      <c r="BJ316" s="15">
        <f t="shared" si="277"/>
        <v>0</v>
      </c>
      <c r="BK316" s="14">
        <f t="shared" si="278"/>
        <v>0</v>
      </c>
      <c r="BL316" s="14">
        <f>DISTRIBUSI!I314</f>
        <v>0</v>
      </c>
      <c r="BM316" s="14">
        <f>'PEMAKAIAN UNIT'!I313</f>
        <v>0</v>
      </c>
      <c r="BN316" s="14">
        <f t="shared" si="279"/>
        <v>0</v>
      </c>
      <c r="BO316" s="15">
        <f t="shared" si="280"/>
        <v>0</v>
      </c>
      <c r="BP316" s="14">
        <f t="shared" si="281"/>
        <v>0</v>
      </c>
      <c r="BQ316" s="14">
        <f>DISTRIBUSI!J314</f>
        <v>0</v>
      </c>
      <c r="BR316" s="14">
        <f>'PEMAKAIAN UNIT'!J313</f>
        <v>0</v>
      </c>
      <c r="BS316" s="14">
        <f t="shared" si="282"/>
        <v>0</v>
      </c>
      <c r="BT316" s="15">
        <f t="shared" si="283"/>
        <v>0</v>
      </c>
      <c r="BU316" s="14">
        <f t="shared" si="284"/>
        <v>0</v>
      </c>
      <c r="BV316" s="14">
        <f>DISTRIBUSI!K314</f>
        <v>0</v>
      </c>
      <c r="BW316" s="14">
        <f>'PEMAKAIAN UNIT'!K313</f>
        <v>0</v>
      </c>
      <c r="BX316" s="14">
        <f t="shared" si="285"/>
        <v>0</v>
      </c>
      <c r="BY316" s="15">
        <f t="shared" si="286"/>
        <v>0</v>
      </c>
      <c r="BZ316" s="14">
        <f t="shared" si="287"/>
        <v>0</v>
      </c>
      <c r="CA316" s="14">
        <f>DISTRIBUSI!L314</f>
        <v>0</v>
      </c>
      <c r="CB316" s="14">
        <f>'PEMAKAIAN UNIT'!L313</f>
        <v>0</v>
      </c>
      <c r="CC316" s="14">
        <f t="shared" si="288"/>
        <v>0</v>
      </c>
      <c r="CD316" s="15">
        <f t="shared" si="289"/>
        <v>0</v>
      </c>
      <c r="CE316" s="14">
        <f t="shared" si="290"/>
        <v>0</v>
      </c>
      <c r="CF316" s="14">
        <f>DISTRIBUSI!M314</f>
        <v>0</v>
      </c>
      <c r="CG316" s="14">
        <f>'PEMAKAIAN UNIT'!M313</f>
        <v>0</v>
      </c>
      <c r="CH316" s="14">
        <f t="shared" si="291"/>
        <v>0</v>
      </c>
      <c r="CI316" s="15">
        <f t="shared" si="292"/>
        <v>0</v>
      </c>
      <c r="CJ316" s="14">
        <f t="shared" si="293"/>
        <v>0</v>
      </c>
      <c r="CK316" s="14" t="e">
        <f>DISTRIBUSI!#REF!</f>
        <v>#REF!</v>
      </c>
      <c r="CL316" s="14">
        <f>'PEMAKAIAN UNIT'!N313</f>
        <v>0</v>
      </c>
      <c r="CM316" s="14" t="e">
        <f t="shared" si="294"/>
        <v>#REF!</v>
      </c>
      <c r="CN316" s="15" t="e">
        <f t="shared" si="295"/>
        <v>#REF!</v>
      </c>
      <c r="CO316" s="14" t="e">
        <f>DL316+DISTRIBUSI!#REF!-'PEMAKAIAN UNIT'!O313</f>
        <v>#REF!</v>
      </c>
      <c r="CP316" s="15" t="e">
        <f t="shared" si="296"/>
        <v>#REF!</v>
      </c>
      <c r="CQ316" s="226">
        <f t="shared" si="297"/>
        <v>0</v>
      </c>
      <c r="CR316" s="226">
        <f>DISTRIBUSI!R314</f>
        <v>0</v>
      </c>
      <c r="CS316" s="226">
        <f>'PEMAKAIAN UNIT'!P313</f>
        <v>0</v>
      </c>
      <c r="CT316" s="14">
        <f t="shared" si="298"/>
        <v>0</v>
      </c>
      <c r="CU316" s="15">
        <f t="shared" si="299"/>
        <v>0</v>
      </c>
      <c r="CV316" s="14" t="e">
        <f>DN316+DISTRIBUSI!#REF!-'PEMAKAIAN UNIT'!Q313</f>
        <v>#REF!</v>
      </c>
      <c r="CW316" s="15" t="e">
        <f t="shared" si="300"/>
        <v>#REF!</v>
      </c>
      <c r="CX316" s="14">
        <f>DO316+'LPLPO PROGRAM'!E145-'LPLPO PROGRAM'!G145</f>
        <v>0</v>
      </c>
      <c r="CY316" s="15">
        <f t="shared" si="301"/>
        <v>0</v>
      </c>
      <c r="DA316" s="14">
        <v>0</v>
      </c>
      <c r="DB316" s="14">
        <v>0</v>
      </c>
      <c r="DC316" s="14">
        <v>0</v>
      </c>
      <c r="DD316" s="14">
        <v>0</v>
      </c>
      <c r="DE316" s="14">
        <v>0</v>
      </c>
      <c r="DF316" s="14">
        <v>0</v>
      </c>
      <c r="DG316" s="14">
        <v>0</v>
      </c>
      <c r="DH316" s="14">
        <v>0</v>
      </c>
      <c r="DI316" s="14">
        <v>0</v>
      </c>
      <c r="DJ316" s="14">
        <v>0</v>
      </c>
      <c r="DK316" s="14">
        <v>0</v>
      </c>
      <c r="DL316" s="14">
        <v>0</v>
      </c>
      <c r="DM316" s="14">
        <v>0</v>
      </c>
      <c r="DN316" s="14">
        <v>0</v>
      </c>
      <c r="DO316" s="14">
        <v>0</v>
      </c>
      <c r="DP316" s="13">
        <f t="shared" si="262"/>
        <v>0</v>
      </c>
      <c r="DU316" s="20" t="e">
        <f t="shared" si="259"/>
        <v>#REF!</v>
      </c>
    </row>
    <row r="317" spans="1:125" ht="15.5" x14ac:dyDescent="0.35">
      <c r="A317" s="205">
        <v>133</v>
      </c>
      <c r="B317" s="184" t="s">
        <v>406</v>
      </c>
      <c r="C317" s="179" t="s">
        <v>201</v>
      </c>
      <c r="D317" s="14">
        <v>0</v>
      </c>
      <c r="E317" s="254">
        <f>'LPLPO PROGRAM'!E146</f>
        <v>0</v>
      </c>
      <c r="F317" s="254">
        <f t="shared" si="302"/>
        <v>0</v>
      </c>
      <c r="G317" s="254">
        <f>'PEMAKAIAN UNIT'!R314</f>
        <v>0</v>
      </c>
      <c r="H317" s="14">
        <v>0</v>
      </c>
      <c r="I317" s="14">
        <v>0</v>
      </c>
      <c r="J317" s="14">
        <v>0</v>
      </c>
      <c r="K317" s="14"/>
      <c r="L317" s="14"/>
      <c r="M317" s="14"/>
      <c r="N317" s="14"/>
      <c r="O317" s="14"/>
      <c r="P317" s="14"/>
      <c r="Q317" s="14"/>
      <c r="R317" s="14"/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09">
        <f t="shared" si="303"/>
        <v>0</v>
      </c>
      <c r="Z317" s="109" t="e">
        <f t="shared" si="304"/>
        <v>#REF!</v>
      </c>
      <c r="AA317" s="109" t="e">
        <f t="shared" si="305"/>
        <v>#REF!</v>
      </c>
      <c r="AB317" s="14">
        <v>0</v>
      </c>
      <c r="AC317" s="109" t="e">
        <f t="shared" si="306"/>
        <v>#REF!</v>
      </c>
      <c r="AD317" s="109">
        <f>'LPLPO PROGRAM'!H146</f>
        <v>0</v>
      </c>
      <c r="AE317" s="111" t="e">
        <f t="shared" si="307"/>
        <v>#REF!</v>
      </c>
      <c r="AF317" s="212"/>
      <c r="AG317" s="212"/>
      <c r="AI317" s="14">
        <f t="shared" si="260"/>
        <v>0</v>
      </c>
      <c r="AJ317" s="209" t="e">
        <f t="shared" si="261"/>
        <v>#REF!</v>
      </c>
      <c r="AL317" s="14">
        <f t="shared" si="263"/>
        <v>0</v>
      </c>
      <c r="AM317" s="14">
        <f>DISTRIBUSI!D315</f>
        <v>0</v>
      </c>
      <c r="AN317" s="14">
        <f>'PEMAKAIAN UNIT'!D314</f>
        <v>0</v>
      </c>
      <c r="AO317" s="14">
        <f t="shared" si="264"/>
        <v>0</v>
      </c>
      <c r="AP317" s="15">
        <f t="shared" si="265"/>
        <v>0</v>
      </c>
      <c r="AQ317" s="14">
        <f t="shared" si="266"/>
        <v>0</v>
      </c>
      <c r="AR317" s="14">
        <f>DISTRIBUSI!E315</f>
        <v>0</v>
      </c>
      <c r="AS317" s="14">
        <f>'PEMAKAIAN UNIT'!E314</f>
        <v>0</v>
      </c>
      <c r="AT317" s="14">
        <f t="shared" si="267"/>
        <v>0</v>
      </c>
      <c r="AU317" s="15">
        <f t="shared" si="268"/>
        <v>0</v>
      </c>
      <c r="AV317" s="14">
        <f t="shared" si="269"/>
        <v>0</v>
      </c>
      <c r="AW317" s="14">
        <f>DISTRIBUSI!F315</f>
        <v>0</v>
      </c>
      <c r="AX317" s="14">
        <f>'PEMAKAIAN UNIT'!F314</f>
        <v>0</v>
      </c>
      <c r="AY317" s="14">
        <f t="shared" si="270"/>
        <v>0</v>
      </c>
      <c r="AZ317" s="15">
        <f t="shared" si="271"/>
        <v>0</v>
      </c>
      <c r="BA317" s="14">
        <f t="shared" si="272"/>
        <v>0</v>
      </c>
      <c r="BB317" s="14">
        <f>DISTRIBUSI!G315</f>
        <v>0</v>
      </c>
      <c r="BC317" s="14">
        <f>'PEMAKAIAN UNIT'!G314</f>
        <v>0</v>
      </c>
      <c r="BD317" s="14">
        <f t="shared" si="273"/>
        <v>0</v>
      </c>
      <c r="BE317" s="15">
        <f t="shared" si="274"/>
        <v>0</v>
      </c>
      <c r="BF317" s="14">
        <f t="shared" si="275"/>
        <v>0</v>
      </c>
      <c r="BG317" s="14">
        <f>DISTRIBUSI!H315</f>
        <v>0</v>
      </c>
      <c r="BH317" s="14">
        <f>'PEMAKAIAN UNIT'!H314</f>
        <v>0</v>
      </c>
      <c r="BI317" s="14">
        <f t="shared" si="276"/>
        <v>0</v>
      </c>
      <c r="BJ317" s="15">
        <f t="shared" si="277"/>
        <v>0</v>
      </c>
      <c r="BK317" s="14">
        <f t="shared" si="278"/>
        <v>0</v>
      </c>
      <c r="BL317" s="14">
        <f>DISTRIBUSI!I315</f>
        <v>0</v>
      </c>
      <c r="BM317" s="14">
        <f>'PEMAKAIAN UNIT'!I314</f>
        <v>0</v>
      </c>
      <c r="BN317" s="14">
        <f t="shared" si="279"/>
        <v>0</v>
      </c>
      <c r="BO317" s="15">
        <f t="shared" si="280"/>
        <v>0</v>
      </c>
      <c r="BP317" s="14">
        <f t="shared" si="281"/>
        <v>0</v>
      </c>
      <c r="BQ317" s="14">
        <f>DISTRIBUSI!J315</f>
        <v>0</v>
      </c>
      <c r="BR317" s="14">
        <f>'PEMAKAIAN UNIT'!J314</f>
        <v>0</v>
      </c>
      <c r="BS317" s="14">
        <f t="shared" si="282"/>
        <v>0</v>
      </c>
      <c r="BT317" s="15">
        <f t="shared" si="283"/>
        <v>0</v>
      </c>
      <c r="BU317" s="14">
        <f t="shared" si="284"/>
        <v>0</v>
      </c>
      <c r="BV317" s="14">
        <f>DISTRIBUSI!K315</f>
        <v>0</v>
      </c>
      <c r="BW317" s="14">
        <f>'PEMAKAIAN UNIT'!K314</f>
        <v>0</v>
      </c>
      <c r="BX317" s="14">
        <f t="shared" si="285"/>
        <v>0</v>
      </c>
      <c r="BY317" s="15">
        <f t="shared" si="286"/>
        <v>0</v>
      </c>
      <c r="BZ317" s="14">
        <f t="shared" si="287"/>
        <v>0</v>
      </c>
      <c r="CA317" s="14">
        <f>DISTRIBUSI!L315</f>
        <v>0</v>
      </c>
      <c r="CB317" s="14">
        <f>'PEMAKAIAN UNIT'!L314</f>
        <v>0</v>
      </c>
      <c r="CC317" s="14">
        <f t="shared" si="288"/>
        <v>0</v>
      </c>
      <c r="CD317" s="15">
        <f t="shared" si="289"/>
        <v>0</v>
      </c>
      <c r="CE317" s="14">
        <f t="shared" si="290"/>
        <v>0</v>
      </c>
      <c r="CF317" s="14">
        <f>DISTRIBUSI!M315</f>
        <v>0</v>
      </c>
      <c r="CG317" s="14">
        <f>'PEMAKAIAN UNIT'!M314</f>
        <v>0</v>
      </c>
      <c r="CH317" s="14">
        <f t="shared" si="291"/>
        <v>0</v>
      </c>
      <c r="CI317" s="15">
        <f t="shared" si="292"/>
        <v>0</v>
      </c>
      <c r="CJ317" s="14">
        <f t="shared" si="293"/>
        <v>0</v>
      </c>
      <c r="CK317" s="14" t="e">
        <f>DISTRIBUSI!#REF!</f>
        <v>#REF!</v>
      </c>
      <c r="CL317" s="14">
        <f>'PEMAKAIAN UNIT'!N314</f>
        <v>0</v>
      </c>
      <c r="CM317" s="14" t="e">
        <f t="shared" si="294"/>
        <v>#REF!</v>
      </c>
      <c r="CN317" s="15" t="e">
        <f t="shared" si="295"/>
        <v>#REF!</v>
      </c>
      <c r="CO317" s="14" t="e">
        <f>DL317+DISTRIBUSI!#REF!-'PEMAKAIAN UNIT'!O314</f>
        <v>#REF!</v>
      </c>
      <c r="CP317" s="15" t="e">
        <f t="shared" si="296"/>
        <v>#REF!</v>
      </c>
      <c r="CQ317" s="226">
        <f t="shared" si="297"/>
        <v>0</v>
      </c>
      <c r="CR317" s="226">
        <f>DISTRIBUSI!R315</f>
        <v>0</v>
      </c>
      <c r="CS317" s="226">
        <f>'PEMAKAIAN UNIT'!P314</f>
        <v>0</v>
      </c>
      <c r="CT317" s="14">
        <f t="shared" si="298"/>
        <v>0</v>
      </c>
      <c r="CU317" s="15">
        <f t="shared" si="299"/>
        <v>0</v>
      </c>
      <c r="CV317" s="14" t="e">
        <f>DN317+DISTRIBUSI!#REF!-'PEMAKAIAN UNIT'!Q314</f>
        <v>#REF!</v>
      </c>
      <c r="CW317" s="15" t="e">
        <f t="shared" si="300"/>
        <v>#REF!</v>
      </c>
      <c r="CX317" s="14">
        <f>DO317+'LPLPO PROGRAM'!E146-'LPLPO PROGRAM'!G146</f>
        <v>0</v>
      </c>
      <c r="CY317" s="15">
        <f t="shared" si="301"/>
        <v>0</v>
      </c>
      <c r="DA317" s="14">
        <v>0</v>
      </c>
      <c r="DB317" s="14">
        <v>0</v>
      </c>
      <c r="DC317" s="14">
        <v>0</v>
      </c>
      <c r="DD317" s="14">
        <v>0</v>
      </c>
      <c r="DE317" s="14">
        <v>0</v>
      </c>
      <c r="DF317" s="14">
        <v>0</v>
      </c>
      <c r="DG317" s="14">
        <v>0</v>
      </c>
      <c r="DH317" s="14">
        <v>0</v>
      </c>
      <c r="DI317" s="14">
        <v>0</v>
      </c>
      <c r="DJ317" s="14">
        <v>0</v>
      </c>
      <c r="DK317" s="14">
        <v>0</v>
      </c>
      <c r="DL317" s="14">
        <v>0</v>
      </c>
      <c r="DM317" s="14">
        <v>0</v>
      </c>
      <c r="DN317" s="14">
        <v>0</v>
      </c>
      <c r="DO317" s="14">
        <v>0</v>
      </c>
      <c r="DP317" s="13">
        <f t="shared" si="262"/>
        <v>0</v>
      </c>
      <c r="DU317" s="20" t="e">
        <f t="shared" si="259"/>
        <v>#REF!</v>
      </c>
    </row>
    <row r="318" spans="1:125" ht="15.5" x14ac:dyDescent="0.35">
      <c r="A318" s="205">
        <v>134</v>
      </c>
      <c r="B318" s="184" t="s">
        <v>407</v>
      </c>
      <c r="C318" s="179" t="s">
        <v>273</v>
      </c>
      <c r="D318" s="14">
        <v>0</v>
      </c>
      <c r="E318" s="254">
        <f>'LPLPO PROGRAM'!E147</f>
        <v>0</v>
      </c>
      <c r="F318" s="254">
        <f t="shared" si="302"/>
        <v>0</v>
      </c>
      <c r="G318" s="254">
        <f>'PEMAKAIAN UNIT'!R315</f>
        <v>0</v>
      </c>
      <c r="H318" s="14">
        <v>0</v>
      </c>
      <c r="I318" s="14">
        <v>0</v>
      </c>
      <c r="J318" s="14">
        <v>0</v>
      </c>
      <c r="K318" s="14"/>
      <c r="L318" s="14"/>
      <c r="M318" s="14"/>
      <c r="N318" s="14"/>
      <c r="O318" s="14"/>
      <c r="P318" s="14"/>
      <c r="Q318" s="14"/>
      <c r="R318" s="14"/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09">
        <f t="shared" si="303"/>
        <v>0</v>
      </c>
      <c r="Z318" s="109" t="e">
        <f t="shared" si="304"/>
        <v>#REF!</v>
      </c>
      <c r="AA318" s="109" t="e">
        <f t="shared" si="305"/>
        <v>#REF!</v>
      </c>
      <c r="AB318" s="14">
        <v>0</v>
      </c>
      <c r="AC318" s="109" t="e">
        <f t="shared" si="306"/>
        <v>#REF!</v>
      </c>
      <c r="AD318" s="109">
        <f>'LPLPO PROGRAM'!H147</f>
        <v>0</v>
      </c>
      <c r="AE318" s="111" t="e">
        <f t="shared" si="307"/>
        <v>#REF!</v>
      </c>
      <c r="AF318" s="212"/>
      <c r="AG318" s="212"/>
      <c r="AI318" s="14">
        <f t="shared" si="260"/>
        <v>0</v>
      </c>
      <c r="AJ318" s="209" t="e">
        <f t="shared" si="261"/>
        <v>#REF!</v>
      </c>
      <c r="AL318" s="14">
        <f t="shared" si="263"/>
        <v>0</v>
      </c>
      <c r="AM318" s="14">
        <f>DISTRIBUSI!D316</f>
        <v>0</v>
      </c>
      <c r="AN318" s="14">
        <f>'PEMAKAIAN UNIT'!D315</f>
        <v>0</v>
      </c>
      <c r="AO318" s="14">
        <f t="shared" si="264"/>
        <v>0</v>
      </c>
      <c r="AP318" s="15">
        <f t="shared" si="265"/>
        <v>0</v>
      </c>
      <c r="AQ318" s="14">
        <f t="shared" si="266"/>
        <v>0</v>
      </c>
      <c r="AR318" s="14">
        <f>DISTRIBUSI!E316</f>
        <v>0</v>
      </c>
      <c r="AS318" s="14">
        <f>'PEMAKAIAN UNIT'!E315</f>
        <v>0</v>
      </c>
      <c r="AT318" s="14">
        <f t="shared" si="267"/>
        <v>0</v>
      </c>
      <c r="AU318" s="15">
        <f t="shared" si="268"/>
        <v>0</v>
      </c>
      <c r="AV318" s="14">
        <f t="shared" si="269"/>
        <v>0</v>
      </c>
      <c r="AW318" s="14">
        <f>DISTRIBUSI!F316</f>
        <v>0</v>
      </c>
      <c r="AX318" s="14">
        <f>'PEMAKAIAN UNIT'!F315</f>
        <v>0</v>
      </c>
      <c r="AY318" s="14">
        <f t="shared" si="270"/>
        <v>0</v>
      </c>
      <c r="AZ318" s="15">
        <f t="shared" si="271"/>
        <v>0</v>
      </c>
      <c r="BA318" s="14">
        <f t="shared" si="272"/>
        <v>0</v>
      </c>
      <c r="BB318" s="14">
        <f>DISTRIBUSI!G316</f>
        <v>0</v>
      </c>
      <c r="BC318" s="14">
        <f>'PEMAKAIAN UNIT'!G315</f>
        <v>0</v>
      </c>
      <c r="BD318" s="14">
        <f t="shared" si="273"/>
        <v>0</v>
      </c>
      <c r="BE318" s="15">
        <f t="shared" si="274"/>
        <v>0</v>
      </c>
      <c r="BF318" s="14">
        <f t="shared" si="275"/>
        <v>0</v>
      </c>
      <c r="BG318" s="14">
        <f>DISTRIBUSI!H316</f>
        <v>0</v>
      </c>
      <c r="BH318" s="14">
        <f>'PEMAKAIAN UNIT'!H315</f>
        <v>0</v>
      </c>
      <c r="BI318" s="14">
        <f t="shared" si="276"/>
        <v>0</v>
      </c>
      <c r="BJ318" s="15">
        <f t="shared" si="277"/>
        <v>0</v>
      </c>
      <c r="BK318" s="14">
        <f t="shared" si="278"/>
        <v>0</v>
      </c>
      <c r="BL318" s="14">
        <f>DISTRIBUSI!I316</f>
        <v>0</v>
      </c>
      <c r="BM318" s="14">
        <f>'PEMAKAIAN UNIT'!I315</f>
        <v>0</v>
      </c>
      <c r="BN318" s="14">
        <f t="shared" si="279"/>
        <v>0</v>
      </c>
      <c r="BO318" s="15">
        <f t="shared" si="280"/>
        <v>0</v>
      </c>
      <c r="BP318" s="14">
        <f t="shared" si="281"/>
        <v>0</v>
      </c>
      <c r="BQ318" s="14">
        <f>DISTRIBUSI!J316</f>
        <v>0</v>
      </c>
      <c r="BR318" s="14">
        <f>'PEMAKAIAN UNIT'!J315</f>
        <v>0</v>
      </c>
      <c r="BS318" s="14">
        <f t="shared" si="282"/>
        <v>0</v>
      </c>
      <c r="BT318" s="15">
        <f t="shared" si="283"/>
        <v>0</v>
      </c>
      <c r="BU318" s="14">
        <f t="shared" si="284"/>
        <v>0</v>
      </c>
      <c r="BV318" s="14">
        <f>DISTRIBUSI!K316</f>
        <v>0</v>
      </c>
      <c r="BW318" s="14">
        <f>'PEMAKAIAN UNIT'!K315</f>
        <v>0</v>
      </c>
      <c r="BX318" s="14">
        <f t="shared" si="285"/>
        <v>0</v>
      </c>
      <c r="BY318" s="15">
        <f t="shared" si="286"/>
        <v>0</v>
      </c>
      <c r="BZ318" s="14">
        <f t="shared" si="287"/>
        <v>0</v>
      </c>
      <c r="CA318" s="14">
        <f>DISTRIBUSI!L316</f>
        <v>0</v>
      </c>
      <c r="CB318" s="14">
        <f>'PEMAKAIAN UNIT'!L315</f>
        <v>0</v>
      </c>
      <c r="CC318" s="14">
        <f t="shared" si="288"/>
        <v>0</v>
      </c>
      <c r="CD318" s="15">
        <f t="shared" si="289"/>
        <v>0</v>
      </c>
      <c r="CE318" s="14">
        <f t="shared" si="290"/>
        <v>0</v>
      </c>
      <c r="CF318" s="14">
        <f>DISTRIBUSI!M316</f>
        <v>0</v>
      </c>
      <c r="CG318" s="14">
        <f>'PEMAKAIAN UNIT'!M315</f>
        <v>0</v>
      </c>
      <c r="CH318" s="14">
        <f t="shared" si="291"/>
        <v>0</v>
      </c>
      <c r="CI318" s="15">
        <f t="shared" si="292"/>
        <v>0</v>
      </c>
      <c r="CJ318" s="14">
        <f t="shared" si="293"/>
        <v>0</v>
      </c>
      <c r="CK318" s="14" t="e">
        <f>DISTRIBUSI!#REF!</f>
        <v>#REF!</v>
      </c>
      <c r="CL318" s="14">
        <f>'PEMAKAIAN UNIT'!N315</f>
        <v>0</v>
      </c>
      <c r="CM318" s="14" t="e">
        <f t="shared" si="294"/>
        <v>#REF!</v>
      </c>
      <c r="CN318" s="15" t="e">
        <f t="shared" si="295"/>
        <v>#REF!</v>
      </c>
      <c r="CO318" s="14" t="e">
        <f>DL318+DISTRIBUSI!#REF!-'PEMAKAIAN UNIT'!O315</f>
        <v>#REF!</v>
      </c>
      <c r="CP318" s="15" t="e">
        <f t="shared" si="296"/>
        <v>#REF!</v>
      </c>
      <c r="CQ318" s="226">
        <f t="shared" si="297"/>
        <v>0</v>
      </c>
      <c r="CR318" s="226">
        <f>DISTRIBUSI!R316</f>
        <v>0</v>
      </c>
      <c r="CS318" s="226">
        <f>'PEMAKAIAN UNIT'!P315</f>
        <v>0</v>
      </c>
      <c r="CT318" s="14">
        <f t="shared" si="298"/>
        <v>0</v>
      </c>
      <c r="CU318" s="15">
        <f t="shared" si="299"/>
        <v>0</v>
      </c>
      <c r="CV318" s="14" t="e">
        <f>DN318+DISTRIBUSI!#REF!-'PEMAKAIAN UNIT'!Q315</f>
        <v>#REF!</v>
      </c>
      <c r="CW318" s="15" t="e">
        <f t="shared" si="300"/>
        <v>#REF!</v>
      </c>
      <c r="CX318" s="14">
        <f>DO318+'LPLPO PROGRAM'!E147-'LPLPO PROGRAM'!G147</f>
        <v>0</v>
      </c>
      <c r="CY318" s="15">
        <f t="shared" si="301"/>
        <v>0</v>
      </c>
      <c r="DA318" s="14">
        <v>0</v>
      </c>
      <c r="DB318" s="14">
        <v>0</v>
      </c>
      <c r="DC318" s="14">
        <v>0</v>
      </c>
      <c r="DD318" s="14">
        <v>0</v>
      </c>
      <c r="DE318" s="14">
        <v>0</v>
      </c>
      <c r="DF318" s="14">
        <v>0</v>
      </c>
      <c r="DG318" s="14">
        <v>0</v>
      </c>
      <c r="DH318" s="14">
        <v>0</v>
      </c>
      <c r="DI318" s="14">
        <v>0</v>
      </c>
      <c r="DJ318" s="14">
        <v>0</v>
      </c>
      <c r="DK318" s="14">
        <v>0</v>
      </c>
      <c r="DL318" s="14">
        <v>0</v>
      </c>
      <c r="DM318" s="14">
        <v>0</v>
      </c>
      <c r="DN318" s="14">
        <v>0</v>
      </c>
      <c r="DO318" s="14">
        <v>0</v>
      </c>
      <c r="DP318" s="13">
        <f t="shared" si="262"/>
        <v>0</v>
      </c>
      <c r="DU318" s="20" t="e">
        <f t="shared" si="259"/>
        <v>#REF!</v>
      </c>
    </row>
    <row r="319" spans="1:125" ht="15.5" x14ac:dyDescent="0.35">
      <c r="A319" s="205">
        <v>135</v>
      </c>
      <c r="B319" s="184" t="s">
        <v>408</v>
      </c>
      <c r="C319" s="179" t="s">
        <v>274</v>
      </c>
      <c r="D319" s="14">
        <v>0</v>
      </c>
      <c r="E319" s="254">
        <f>'LPLPO PROGRAM'!E148</f>
        <v>1</v>
      </c>
      <c r="F319" s="254">
        <f t="shared" si="302"/>
        <v>1</v>
      </c>
      <c r="G319" s="254">
        <f>'PEMAKAIAN UNIT'!R316</f>
        <v>0</v>
      </c>
      <c r="H319" s="14">
        <v>0</v>
      </c>
      <c r="I319" s="14">
        <v>0</v>
      </c>
      <c r="J319" s="14">
        <v>0</v>
      </c>
      <c r="K319" s="14"/>
      <c r="L319" s="14"/>
      <c r="M319" s="14"/>
      <c r="N319" s="14"/>
      <c r="O319" s="14"/>
      <c r="P319" s="14"/>
      <c r="Q319" s="14"/>
      <c r="R319" s="14"/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09">
        <f t="shared" si="303"/>
        <v>0</v>
      </c>
      <c r="Z319" s="109" t="e">
        <f t="shared" si="304"/>
        <v>#REF!</v>
      </c>
      <c r="AA319" s="109" t="e">
        <f t="shared" si="305"/>
        <v>#REF!</v>
      </c>
      <c r="AB319" s="14">
        <v>0</v>
      </c>
      <c r="AC319" s="109" t="e">
        <f t="shared" si="306"/>
        <v>#REF!</v>
      </c>
      <c r="AD319" s="109">
        <f>'LPLPO PROGRAM'!H148</f>
        <v>0</v>
      </c>
      <c r="AE319" s="111" t="e">
        <f t="shared" si="307"/>
        <v>#REF!</v>
      </c>
      <c r="AF319" s="212"/>
      <c r="AG319" s="212"/>
      <c r="AI319" s="14">
        <f t="shared" si="260"/>
        <v>1</v>
      </c>
      <c r="AJ319" s="209" t="e">
        <f t="shared" si="261"/>
        <v>#REF!</v>
      </c>
      <c r="AL319" s="14">
        <f t="shared" si="263"/>
        <v>0</v>
      </c>
      <c r="AM319" s="14">
        <f>DISTRIBUSI!D317</f>
        <v>0</v>
      </c>
      <c r="AN319" s="14">
        <f>'PEMAKAIAN UNIT'!D316</f>
        <v>0</v>
      </c>
      <c r="AO319" s="14">
        <f t="shared" si="264"/>
        <v>0</v>
      </c>
      <c r="AP319" s="15">
        <f t="shared" si="265"/>
        <v>0</v>
      </c>
      <c r="AQ319" s="14">
        <f t="shared" si="266"/>
        <v>0</v>
      </c>
      <c r="AR319" s="14">
        <f>DISTRIBUSI!E317</f>
        <v>0</v>
      </c>
      <c r="AS319" s="14">
        <f>'PEMAKAIAN UNIT'!E316</f>
        <v>0</v>
      </c>
      <c r="AT319" s="14">
        <f t="shared" si="267"/>
        <v>0</v>
      </c>
      <c r="AU319" s="15">
        <f t="shared" si="268"/>
        <v>0</v>
      </c>
      <c r="AV319" s="14">
        <f t="shared" si="269"/>
        <v>0</v>
      </c>
      <c r="AW319" s="14">
        <f>DISTRIBUSI!F317</f>
        <v>0</v>
      </c>
      <c r="AX319" s="14">
        <f>'PEMAKAIAN UNIT'!F316</f>
        <v>0</v>
      </c>
      <c r="AY319" s="14">
        <f t="shared" si="270"/>
        <v>0</v>
      </c>
      <c r="AZ319" s="15">
        <f t="shared" si="271"/>
        <v>0</v>
      </c>
      <c r="BA319" s="14">
        <f t="shared" si="272"/>
        <v>0</v>
      </c>
      <c r="BB319" s="14">
        <f>DISTRIBUSI!G317</f>
        <v>0</v>
      </c>
      <c r="BC319" s="14">
        <f>'PEMAKAIAN UNIT'!G316</f>
        <v>0</v>
      </c>
      <c r="BD319" s="14">
        <f t="shared" si="273"/>
        <v>0</v>
      </c>
      <c r="BE319" s="15">
        <f t="shared" si="274"/>
        <v>0</v>
      </c>
      <c r="BF319" s="14">
        <f t="shared" si="275"/>
        <v>0</v>
      </c>
      <c r="BG319" s="14">
        <f>DISTRIBUSI!H317</f>
        <v>0</v>
      </c>
      <c r="BH319" s="14">
        <f>'PEMAKAIAN UNIT'!H316</f>
        <v>0</v>
      </c>
      <c r="BI319" s="14">
        <f t="shared" si="276"/>
        <v>0</v>
      </c>
      <c r="BJ319" s="15">
        <f t="shared" si="277"/>
        <v>0</v>
      </c>
      <c r="BK319" s="14">
        <f t="shared" si="278"/>
        <v>0</v>
      </c>
      <c r="BL319" s="14">
        <f>DISTRIBUSI!I317</f>
        <v>0</v>
      </c>
      <c r="BM319" s="14">
        <f>'PEMAKAIAN UNIT'!I316</f>
        <v>0</v>
      </c>
      <c r="BN319" s="14">
        <f t="shared" si="279"/>
        <v>0</v>
      </c>
      <c r="BO319" s="15">
        <f t="shared" si="280"/>
        <v>0</v>
      </c>
      <c r="BP319" s="14">
        <f t="shared" si="281"/>
        <v>0</v>
      </c>
      <c r="BQ319" s="14">
        <f>DISTRIBUSI!J317</f>
        <v>0</v>
      </c>
      <c r="BR319" s="14">
        <f>'PEMAKAIAN UNIT'!J316</f>
        <v>0</v>
      </c>
      <c r="BS319" s="14">
        <f t="shared" si="282"/>
        <v>0</v>
      </c>
      <c r="BT319" s="15">
        <f t="shared" si="283"/>
        <v>0</v>
      </c>
      <c r="BU319" s="14">
        <f t="shared" si="284"/>
        <v>0</v>
      </c>
      <c r="BV319" s="14">
        <f>DISTRIBUSI!K317</f>
        <v>0</v>
      </c>
      <c r="BW319" s="14">
        <f>'PEMAKAIAN UNIT'!K316</f>
        <v>0</v>
      </c>
      <c r="BX319" s="14">
        <f t="shared" si="285"/>
        <v>0</v>
      </c>
      <c r="BY319" s="15">
        <f t="shared" si="286"/>
        <v>0</v>
      </c>
      <c r="BZ319" s="14">
        <f t="shared" si="287"/>
        <v>0</v>
      </c>
      <c r="CA319" s="14">
        <f>DISTRIBUSI!L317</f>
        <v>0</v>
      </c>
      <c r="CB319" s="14">
        <f>'PEMAKAIAN UNIT'!L316</f>
        <v>0</v>
      </c>
      <c r="CC319" s="14">
        <f t="shared" si="288"/>
        <v>0</v>
      </c>
      <c r="CD319" s="15">
        <f t="shared" si="289"/>
        <v>0</v>
      </c>
      <c r="CE319" s="14">
        <f t="shared" si="290"/>
        <v>0</v>
      </c>
      <c r="CF319" s="14">
        <f>DISTRIBUSI!M317</f>
        <v>0</v>
      </c>
      <c r="CG319" s="14">
        <f>'PEMAKAIAN UNIT'!M316</f>
        <v>0</v>
      </c>
      <c r="CH319" s="14">
        <f t="shared" si="291"/>
        <v>0</v>
      </c>
      <c r="CI319" s="15">
        <f t="shared" si="292"/>
        <v>0</v>
      </c>
      <c r="CJ319" s="14">
        <f t="shared" si="293"/>
        <v>0</v>
      </c>
      <c r="CK319" s="14" t="e">
        <f>DISTRIBUSI!#REF!</f>
        <v>#REF!</v>
      </c>
      <c r="CL319" s="14">
        <f>'PEMAKAIAN UNIT'!N316</f>
        <v>0</v>
      </c>
      <c r="CM319" s="14" t="e">
        <f t="shared" si="294"/>
        <v>#REF!</v>
      </c>
      <c r="CN319" s="15" t="e">
        <f t="shared" si="295"/>
        <v>#REF!</v>
      </c>
      <c r="CO319" s="14" t="e">
        <f>DL319+DISTRIBUSI!#REF!-'PEMAKAIAN UNIT'!O316</f>
        <v>#REF!</v>
      </c>
      <c r="CP319" s="15" t="e">
        <f t="shared" si="296"/>
        <v>#REF!</v>
      </c>
      <c r="CQ319" s="226">
        <f t="shared" si="297"/>
        <v>0</v>
      </c>
      <c r="CR319" s="226">
        <f>DISTRIBUSI!R317</f>
        <v>1</v>
      </c>
      <c r="CS319" s="226">
        <f>'PEMAKAIAN UNIT'!P316</f>
        <v>0</v>
      </c>
      <c r="CT319" s="14">
        <f t="shared" si="298"/>
        <v>1</v>
      </c>
      <c r="CU319" s="15">
        <f t="shared" si="299"/>
        <v>1</v>
      </c>
      <c r="CV319" s="14" t="e">
        <f>DN319+DISTRIBUSI!#REF!-'PEMAKAIAN UNIT'!Q316</f>
        <v>#REF!</v>
      </c>
      <c r="CW319" s="15" t="e">
        <f t="shared" si="300"/>
        <v>#REF!</v>
      </c>
      <c r="CX319" s="14">
        <f>DO319+'LPLPO PROGRAM'!E148-'LPLPO PROGRAM'!G148</f>
        <v>0</v>
      </c>
      <c r="CY319" s="15">
        <f t="shared" si="301"/>
        <v>0</v>
      </c>
      <c r="DA319" s="14">
        <v>0</v>
      </c>
      <c r="DB319" s="14">
        <v>0</v>
      </c>
      <c r="DC319" s="14">
        <v>0</v>
      </c>
      <c r="DD319" s="14">
        <v>0</v>
      </c>
      <c r="DE319" s="14">
        <v>0</v>
      </c>
      <c r="DF319" s="14">
        <v>0</v>
      </c>
      <c r="DG319" s="14">
        <v>0</v>
      </c>
      <c r="DH319" s="14">
        <v>0</v>
      </c>
      <c r="DI319" s="14">
        <v>0</v>
      </c>
      <c r="DJ319" s="14">
        <v>0</v>
      </c>
      <c r="DK319" s="14">
        <v>0</v>
      </c>
      <c r="DL319" s="14">
        <v>0</v>
      </c>
      <c r="DM319" s="14">
        <v>0</v>
      </c>
      <c r="DN319" s="14">
        <v>0</v>
      </c>
      <c r="DO319" s="14">
        <v>0</v>
      </c>
      <c r="DP319" s="13">
        <f t="shared" si="262"/>
        <v>0</v>
      </c>
      <c r="DU319" s="20" t="e">
        <f t="shared" si="259"/>
        <v>#REF!</v>
      </c>
    </row>
    <row r="320" spans="1:125" ht="15.5" x14ac:dyDescent="0.35">
      <c r="A320" s="205">
        <v>136</v>
      </c>
      <c r="B320" s="184" t="s">
        <v>409</v>
      </c>
      <c r="C320" s="179" t="s">
        <v>48</v>
      </c>
      <c r="D320" s="14">
        <v>0</v>
      </c>
      <c r="E320" s="254">
        <f>'LPLPO PROGRAM'!E149</f>
        <v>0</v>
      </c>
      <c r="F320" s="254">
        <f t="shared" si="302"/>
        <v>0</v>
      </c>
      <c r="G320" s="254">
        <f>'PEMAKAIAN UNIT'!R317</f>
        <v>0</v>
      </c>
      <c r="H320" s="14">
        <v>0</v>
      </c>
      <c r="I320" s="14">
        <v>0</v>
      </c>
      <c r="J320" s="14">
        <v>0</v>
      </c>
      <c r="K320" s="14"/>
      <c r="L320" s="14"/>
      <c r="M320" s="14"/>
      <c r="N320" s="14"/>
      <c r="O320" s="14"/>
      <c r="P320" s="14"/>
      <c r="Q320" s="14"/>
      <c r="R320" s="14"/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09">
        <f t="shared" si="303"/>
        <v>0</v>
      </c>
      <c r="Z320" s="109" t="e">
        <f t="shared" si="304"/>
        <v>#REF!</v>
      </c>
      <c r="AA320" s="109" t="e">
        <f t="shared" si="305"/>
        <v>#REF!</v>
      </c>
      <c r="AB320" s="14">
        <v>0</v>
      </c>
      <c r="AC320" s="109" t="e">
        <f t="shared" si="306"/>
        <v>#REF!</v>
      </c>
      <c r="AD320" s="109">
        <f>'LPLPO PROGRAM'!H149</f>
        <v>0</v>
      </c>
      <c r="AE320" s="111" t="e">
        <f t="shared" si="307"/>
        <v>#REF!</v>
      </c>
      <c r="AF320" s="212"/>
      <c r="AG320" s="212"/>
      <c r="AI320" s="14">
        <f t="shared" si="260"/>
        <v>0</v>
      </c>
      <c r="AJ320" s="209" t="e">
        <f t="shared" si="261"/>
        <v>#REF!</v>
      </c>
      <c r="AL320" s="14">
        <f t="shared" si="263"/>
        <v>0</v>
      </c>
      <c r="AM320" s="14">
        <f>DISTRIBUSI!D318</f>
        <v>0</v>
      </c>
      <c r="AN320" s="14">
        <f>'PEMAKAIAN UNIT'!D317</f>
        <v>0</v>
      </c>
      <c r="AO320" s="14">
        <f t="shared" si="264"/>
        <v>0</v>
      </c>
      <c r="AP320" s="15">
        <f t="shared" si="265"/>
        <v>0</v>
      </c>
      <c r="AQ320" s="14">
        <f t="shared" si="266"/>
        <v>0</v>
      </c>
      <c r="AR320" s="14">
        <f>DISTRIBUSI!E318</f>
        <v>0</v>
      </c>
      <c r="AS320" s="14">
        <f>'PEMAKAIAN UNIT'!E317</f>
        <v>0</v>
      </c>
      <c r="AT320" s="14">
        <f t="shared" si="267"/>
        <v>0</v>
      </c>
      <c r="AU320" s="15">
        <f t="shared" si="268"/>
        <v>0</v>
      </c>
      <c r="AV320" s="14">
        <f t="shared" si="269"/>
        <v>0</v>
      </c>
      <c r="AW320" s="14">
        <f>DISTRIBUSI!F318</f>
        <v>0</v>
      </c>
      <c r="AX320" s="14">
        <f>'PEMAKAIAN UNIT'!F317</f>
        <v>0</v>
      </c>
      <c r="AY320" s="14">
        <f t="shared" si="270"/>
        <v>0</v>
      </c>
      <c r="AZ320" s="15">
        <f t="shared" si="271"/>
        <v>0</v>
      </c>
      <c r="BA320" s="14">
        <f t="shared" si="272"/>
        <v>0</v>
      </c>
      <c r="BB320" s="14">
        <f>DISTRIBUSI!G318</f>
        <v>0</v>
      </c>
      <c r="BC320" s="14">
        <f>'PEMAKAIAN UNIT'!G317</f>
        <v>0</v>
      </c>
      <c r="BD320" s="14">
        <f t="shared" si="273"/>
        <v>0</v>
      </c>
      <c r="BE320" s="15">
        <f t="shared" si="274"/>
        <v>0</v>
      </c>
      <c r="BF320" s="14">
        <f t="shared" si="275"/>
        <v>0</v>
      </c>
      <c r="BG320" s="14">
        <f>DISTRIBUSI!H318</f>
        <v>0</v>
      </c>
      <c r="BH320" s="14">
        <f>'PEMAKAIAN UNIT'!H317</f>
        <v>0</v>
      </c>
      <c r="BI320" s="14">
        <f t="shared" si="276"/>
        <v>0</v>
      </c>
      <c r="BJ320" s="15">
        <f t="shared" si="277"/>
        <v>0</v>
      </c>
      <c r="BK320" s="14">
        <f t="shared" si="278"/>
        <v>0</v>
      </c>
      <c r="BL320" s="14">
        <f>DISTRIBUSI!I318</f>
        <v>0</v>
      </c>
      <c r="BM320" s="14">
        <f>'PEMAKAIAN UNIT'!I317</f>
        <v>0</v>
      </c>
      <c r="BN320" s="14">
        <f t="shared" si="279"/>
        <v>0</v>
      </c>
      <c r="BO320" s="15">
        <f t="shared" si="280"/>
        <v>0</v>
      </c>
      <c r="BP320" s="14">
        <f t="shared" si="281"/>
        <v>0</v>
      </c>
      <c r="BQ320" s="14">
        <f>DISTRIBUSI!J318</f>
        <v>0</v>
      </c>
      <c r="BR320" s="14">
        <f>'PEMAKAIAN UNIT'!J317</f>
        <v>0</v>
      </c>
      <c r="BS320" s="14">
        <f t="shared" si="282"/>
        <v>0</v>
      </c>
      <c r="BT320" s="15">
        <f t="shared" si="283"/>
        <v>0</v>
      </c>
      <c r="BU320" s="14">
        <f t="shared" si="284"/>
        <v>0</v>
      </c>
      <c r="BV320" s="14">
        <f>DISTRIBUSI!K318</f>
        <v>0</v>
      </c>
      <c r="BW320" s="14">
        <f>'PEMAKAIAN UNIT'!K317</f>
        <v>0</v>
      </c>
      <c r="BX320" s="14">
        <f t="shared" si="285"/>
        <v>0</v>
      </c>
      <c r="BY320" s="15">
        <f t="shared" si="286"/>
        <v>0</v>
      </c>
      <c r="BZ320" s="14">
        <f t="shared" si="287"/>
        <v>0</v>
      </c>
      <c r="CA320" s="14">
        <f>DISTRIBUSI!L318</f>
        <v>0</v>
      </c>
      <c r="CB320" s="14">
        <f>'PEMAKAIAN UNIT'!L317</f>
        <v>0</v>
      </c>
      <c r="CC320" s="14">
        <f t="shared" si="288"/>
        <v>0</v>
      </c>
      <c r="CD320" s="15">
        <f t="shared" si="289"/>
        <v>0</v>
      </c>
      <c r="CE320" s="14">
        <f t="shared" si="290"/>
        <v>0</v>
      </c>
      <c r="CF320" s="14">
        <f>DISTRIBUSI!M318</f>
        <v>0</v>
      </c>
      <c r="CG320" s="14">
        <f>'PEMAKAIAN UNIT'!M317</f>
        <v>0</v>
      </c>
      <c r="CH320" s="14">
        <f t="shared" si="291"/>
        <v>0</v>
      </c>
      <c r="CI320" s="15">
        <f t="shared" si="292"/>
        <v>0</v>
      </c>
      <c r="CJ320" s="14">
        <f t="shared" si="293"/>
        <v>0</v>
      </c>
      <c r="CK320" s="14" t="e">
        <f>DISTRIBUSI!#REF!</f>
        <v>#REF!</v>
      </c>
      <c r="CL320" s="14">
        <f>'PEMAKAIAN UNIT'!N317</f>
        <v>0</v>
      </c>
      <c r="CM320" s="14" t="e">
        <f t="shared" si="294"/>
        <v>#REF!</v>
      </c>
      <c r="CN320" s="15" t="e">
        <f t="shared" si="295"/>
        <v>#REF!</v>
      </c>
      <c r="CO320" s="14" t="e">
        <f>DL320+DISTRIBUSI!#REF!-'PEMAKAIAN UNIT'!O317</f>
        <v>#REF!</v>
      </c>
      <c r="CP320" s="15" t="e">
        <f t="shared" si="296"/>
        <v>#REF!</v>
      </c>
      <c r="CQ320" s="226">
        <f t="shared" si="297"/>
        <v>0</v>
      </c>
      <c r="CR320" s="226">
        <f>DISTRIBUSI!R318</f>
        <v>0</v>
      </c>
      <c r="CS320" s="226">
        <f>'PEMAKAIAN UNIT'!P317</f>
        <v>0</v>
      </c>
      <c r="CT320" s="14">
        <f t="shared" si="298"/>
        <v>0</v>
      </c>
      <c r="CU320" s="15">
        <f t="shared" si="299"/>
        <v>0</v>
      </c>
      <c r="CV320" s="14" t="e">
        <f>DN320+DISTRIBUSI!#REF!-'PEMAKAIAN UNIT'!Q317</f>
        <v>#REF!</v>
      </c>
      <c r="CW320" s="15" t="e">
        <f t="shared" si="300"/>
        <v>#REF!</v>
      </c>
      <c r="CX320" s="14">
        <f>DO320+'LPLPO PROGRAM'!E149-'LPLPO PROGRAM'!G149</f>
        <v>0</v>
      </c>
      <c r="CY320" s="15">
        <f t="shared" si="301"/>
        <v>0</v>
      </c>
      <c r="DA320" s="14">
        <v>0</v>
      </c>
      <c r="DB320" s="14">
        <v>0</v>
      </c>
      <c r="DC320" s="14">
        <v>0</v>
      </c>
      <c r="DD320" s="14">
        <v>0</v>
      </c>
      <c r="DE320" s="14">
        <v>0</v>
      </c>
      <c r="DF320" s="14">
        <v>0</v>
      </c>
      <c r="DG320" s="14">
        <v>0</v>
      </c>
      <c r="DH320" s="14">
        <v>0</v>
      </c>
      <c r="DI320" s="14">
        <v>0</v>
      </c>
      <c r="DJ320" s="14">
        <v>0</v>
      </c>
      <c r="DK320" s="14">
        <v>0</v>
      </c>
      <c r="DL320" s="14">
        <v>0</v>
      </c>
      <c r="DM320" s="14">
        <v>0</v>
      </c>
      <c r="DN320" s="14">
        <v>0</v>
      </c>
      <c r="DO320" s="14">
        <v>0</v>
      </c>
      <c r="DP320" s="13">
        <f t="shared" si="262"/>
        <v>0</v>
      </c>
      <c r="DU320" s="20" t="e">
        <f t="shared" si="259"/>
        <v>#REF!</v>
      </c>
    </row>
    <row r="321" spans="1:125" ht="15.5" x14ac:dyDescent="0.35">
      <c r="A321" s="205">
        <v>137</v>
      </c>
      <c r="B321" s="184" t="s">
        <v>434</v>
      </c>
      <c r="C321" s="179" t="s">
        <v>212</v>
      </c>
      <c r="D321" s="14">
        <v>0</v>
      </c>
      <c r="E321" s="254">
        <f>'LPLPO PROGRAM'!E150</f>
        <v>0</v>
      </c>
      <c r="F321" s="254">
        <f t="shared" si="302"/>
        <v>0</v>
      </c>
      <c r="G321" s="254">
        <f>'PEMAKAIAN UNIT'!R318</f>
        <v>0</v>
      </c>
      <c r="H321" s="14">
        <v>0</v>
      </c>
      <c r="I321" s="14">
        <v>0</v>
      </c>
      <c r="J321" s="14">
        <v>0</v>
      </c>
      <c r="K321" s="14"/>
      <c r="L321" s="14"/>
      <c r="M321" s="14"/>
      <c r="N321" s="14"/>
      <c r="O321" s="14"/>
      <c r="P321" s="14"/>
      <c r="Q321" s="14"/>
      <c r="R321" s="14"/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09">
        <f t="shared" si="303"/>
        <v>0</v>
      </c>
      <c r="Z321" s="109" t="e">
        <f t="shared" si="304"/>
        <v>#REF!</v>
      </c>
      <c r="AA321" s="109" t="e">
        <f t="shared" si="305"/>
        <v>#REF!</v>
      </c>
      <c r="AB321" s="14">
        <v>0</v>
      </c>
      <c r="AC321" s="109" t="e">
        <f t="shared" si="306"/>
        <v>#REF!</v>
      </c>
      <c r="AD321" s="109">
        <f>'LPLPO PROGRAM'!H150</f>
        <v>0</v>
      </c>
      <c r="AE321" s="111" t="e">
        <f t="shared" si="307"/>
        <v>#REF!</v>
      </c>
      <c r="AF321" s="212"/>
      <c r="AG321" s="212"/>
      <c r="AI321" s="14">
        <f t="shared" si="260"/>
        <v>0</v>
      </c>
      <c r="AJ321" s="209" t="e">
        <f t="shared" si="261"/>
        <v>#REF!</v>
      </c>
      <c r="AL321" s="14">
        <f t="shared" si="263"/>
        <v>0</v>
      </c>
      <c r="AM321" s="14">
        <f>DISTRIBUSI!D319</f>
        <v>0</v>
      </c>
      <c r="AN321" s="14">
        <f>'PEMAKAIAN UNIT'!D318</f>
        <v>0</v>
      </c>
      <c r="AO321" s="14">
        <f t="shared" si="264"/>
        <v>0</v>
      </c>
      <c r="AP321" s="15">
        <f t="shared" si="265"/>
        <v>0</v>
      </c>
      <c r="AQ321" s="14">
        <f t="shared" si="266"/>
        <v>0</v>
      </c>
      <c r="AR321" s="14">
        <f>DISTRIBUSI!E319</f>
        <v>0</v>
      </c>
      <c r="AS321" s="14">
        <f>'PEMAKAIAN UNIT'!E318</f>
        <v>0</v>
      </c>
      <c r="AT321" s="14">
        <f t="shared" si="267"/>
        <v>0</v>
      </c>
      <c r="AU321" s="15">
        <f t="shared" si="268"/>
        <v>0</v>
      </c>
      <c r="AV321" s="14">
        <f t="shared" si="269"/>
        <v>0</v>
      </c>
      <c r="AW321" s="14">
        <f>DISTRIBUSI!F319</f>
        <v>0</v>
      </c>
      <c r="AX321" s="14">
        <f>'PEMAKAIAN UNIT'!F318</f>
        <v>0</v>
      </c>
      <c r="AY321" s="14">
        <f t="shared" si="270"/>
        <v>0</v>
      </c>
      <c r="AZ321" s="15">
        <f t="shared" si="271"/>
        <v>0</v>
      </c>
      <c r="BA321" s="14">
        <f t="shared" si="272"/>
        <v>0</v>
      </c>
      <c r="BB321" s="14">
        <f>DISTRIBUSI!G319</f>
        <v>0</v>
      </c>
      <c r="BC321" s="14">
        <f>'PEMAKAIAN UNIT'!G318</f>
        <v>0</v>
      </c>
      <c r="BD321" s="14">
        <f t="shared" si="273"/>
        <v>0</v>
      </c>
      <c r="BE321" s="15">
        <f t="shared" si="274"/>
        <v>0</v>
      </c>
      <c r="BF321" s="14">
        <f t="shared" si="275"/>
        <v>0</v>
      </c>
      <c r="BG321" s="14">
        <f>DISTRIBUSI!H319</f>
        <v>0</v>
      </c>
      <c r="BH321" s="14">
        <f>'PEMAKAIAN UNIT'!H318</f>
        <v>0</v>
      </c>
      <c r="BI321" s="14">
        <f t="shared" si="276"/>
        <v>0</v>
      </c>
      <c r="BJ321" s="15">
        <f t="shared" si="277"/>
        <v>0</v>
      </c>
      <c r="BK321" s="14">
        <f t="shared" si="278"/>
        <v>0</v>
      </c>
      <c r="BL321" s="14">
        <f>DISTRIBUSI!I319</f>
        <v>0</v>
      </c>
      <c r="BM321" s="14">
        <f>'PEMAKAIAN UNIT'!I318</f>
        <v>0</v>
      </c>
      <c r="BN321" s="14">
        <f t="shared" si="279"/>
        <v>0</v>
      </c>
      <c r="BO321" s="15">
        <f t="shared" si="280"/>
        <v>0</v>
      </c>
      <c r="BP321" s="14">
        <f t="shared" si="281"/>
        <v>0</v>
      </c>
      <c r="BQ321" s="14">
        <f>DISTRIBUSI!J319</f>
        <v>0</v>
      </c>
      <c r="BR321" s="14">
        <f>'PEMAKAIAN UNIT'!J318</f>
        <v>0</v>
      </c>
      <c r="BS321" s="14">
        <f t="shared" si="282"/>
        <v>0</v>
      </c>
      <c r="BT321" s="15">
        <f t="shared" si="283"/>
        <v>0</v>
      </c>
      <c r="BU321" s="14">
        <f t="shared" si="284"/>
        <v>0</v>
      </c>
      <c r="BV321" s="14">
        <f>DISTRIBUSI!K319</f>
        <v>0</v>
      </c>
      <c r="BW321" s="14">
        <f>'PEMAKAIAN UNIT'!K318</f>
        <v>0</v>
      </c>
      <c r="BX321" s="14">
        <f t="shared" si="285"/>
        <v>0</v>
      </c>
      <c r="BY321" s="15">
        <f t="shared" si="286"/>
        <v>0</v>
      </c>
      <c r="BZ321" s="14">
        <f t="shared" si="287"/>
        <v>0</v>
      </c>
      <c r="CA321" s="14">
        <f>DISTRIBUSI!L319</f>
        <v>0</v>
      </c>
      <c r="CB321" s="14">
        <f>'PEMAKAIAN UNIT'!L318</f>
        <v>0</v>
      </c>
      <c r="CC321" s="14">
        <f t="shared" si="288"/>
        <v>0</v>
      </c>
      <c r="CD321" s="15">
        <f t="shared" si="289"/>
        <v>0</v>
      </c>
      <c r="CE321" s="14">
        <f t="shared" si="290"/>
        <v>0</v>
      </c>
      <c r="CF321" s="14">
        <f>DISTRIBUSI!M319</f>
        <v>0</v>
      </c>
      <c r="CG321" s="14">
        <f>'PEMAKAIAN UNIT'!M318</f>
        <v>0</v>
      </c>
      <c r="CH321" s="14">
        <f t="shared" si="291"/>
        <v>0</v>
      </c>
      <c r="CI321" s="15">
        <f t="shared" si="292"/>
        <v>0</v>
      </c>
      <c r="CJ321" s="14">
        <f t="shared" si="293"/>
        <v>0</v>
      </c>
      <c r="CK321" s="14" t="e">
        <f>DISTRIBUSI!#REF!</f>
        <v>#REF!</v>
      </c>
      <c r="CL321" s="14">
        <f>'PEMAKAIAN UNIT'!N318</f>
        <v>0</v>
      </c>
      <c r="CM321" s="14" t="e">
        <f t="shared" si="294"/>
        <v>#REF!</v>
      </c>
      <c r="CN321" s="15" t="e">
        <f t="shared" si="295"/>
        <v>#REF!</v>
      </c>
      <c r="CO321" s="14" t="e">
        <f>DL321+DISTRIBUSI!#REF!-'PEMAKAIAN UNIT'!O318</f>
        <v>#REF!</v>
      </c>
      <c r="CP321" s="15" t="e">
        <f t="shared" si="296"/>
        <v>#REF!</v>
      </c>
      <c r="CQ321" s="226">
        <f t="shared" si="297"/>
        <v>0</v>
      </c>
      <c r="CR321" s="226">
        <f>DISTRIBUSI!R319</f>
        <v>0</v>
      </c>
      <c r="CS321" s="226">
        <f>'PEMAKAIAN UNIT'!P318</f>
        <v>0</v>
      </c>
      <c r="CT321" s="14">
        <f t="shared" si="298"/>
        <v>0</v>
      </c>
      <c r="CU321" s="15">
        <f t="shared" si="299"/>
        <v>0</v>
      </c>
      <c r="CV321" s="14" t="e">
        <f>DN321+DISTRIBUSI!#REF!-'PEMAKAIAN UNIT'!Q318</f>
        <v>#REF!</v>
      </c>
      <c r="CW321" s="15" t="e">
        <f t="shared" si="300"/>
        <v>#REF!</v>
      </c>
      <c r="CX321" s="14">
        <f>DO321+'LPLPO PROGRAM'!E150-'LPLPO PROGRAM'!G150</f>
        <v>100</v>
      </c>
      <c r="CY321" s="15">
        <f t="shared" si="301"/>
        <v>100</v>
      </c>
      <c r="DA321" s="14">
        <v>0</v>
      </c>
      <c r="DB321" s="14">
        <v>0</v>
      </c>
      <c r="DC321" s="14">
        <v>0</v>
      </c>
      <c r="DD321" s="14">
        <v>0</v>
      </c>
      <c r="DE321" s="14">
        <v>0</v>
      </c>
      <c r="DF321" s="14">
        <v>0</v>
      </c>
      <c r="DG321" s="14">
        <v>0</v>
      </c>
      <c r="DH321" s="14">
        <v>0</v>
      </c>
      <c r="DI321" s="14">
        <v>0</v>
      </c>
      <c r="DJ321" s="14">
        <v>0</v>
      </c>
      <c r="DK321" s="14">
        <v>0</v>
      </c>
      <c r="DL321" s="14">
        <v>0</v>
      </c>
      <c r="DM321" s="14">
        <v>0</v>
      </c>
      <c r="DN321" s="14">
        <v>0</v>
      </c>
      <c r="DO321" s="14">
        <v>100</v>
      </c>
      <c r="DP321" s="13">
        <f t="shared" si="262"/>
        <v>100</v>
      </c>
      <c r="DU321" s="20" t="e">
        <f t="shared" si="259"/>
        <v>#REF!</v>
      </c>
    </row>
    <row r="322" spans="1:125" ht="15.5" x14ac:dyDescent="0.35">
      <c r="A322" s="205">
        <v>138</v>
      </c>
      <c r="B322" s="184"/>
      <c r="C322" s="179"/>
      <c r="D322" s="14">
        <v>0</v>
      </c>
      <c r="E322" s="254">
        <f>'LPLPO PROGRAM'!E151</f>
        <v>0</v>
      </c>
      <c r="F322" s="254">
        <f t="shared" si="302"/>
        <v>0</v>
      </c>
      <c r="G322" s="254">
        <f>'PEMAKAIAN UNIT'!R319</f>
        <v>0</v>
      </c>
      <c r="H322" s="14">
        <v>0</v>
      </c>
      <c r="I322" s="14">
        <v>0</v>
      </c>
      <c r="J322" s="14">
        <v>0</v>
      </c>
      <c r="K322" s="14"/>
      <c r="L322" s="14"/>
      <c r="M322" s="14"/>
      <c r="N322" s="14"/>
      <c r="O322" s="14"/>
      <c r="P322" s="14"/>
      <c r="Q322" s="14"/>
      <c r="R322" s="14"/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09">
        <f t="shared" si="303"/>
        <v>0</v>
      </c>
      <c r="Z322" s="109" t="e">
        <f t="shared" si="304"/>
        <v>#REF!</v>
      </c>
      <c r="AA322" s="109" t="e">
        <f t="shared" si="305"/>
        <v>#REF!</v>
      </c>
      <c r="AB322" s="14">
        <v>0</v>
      </c>
      <c r="AC322" s="109" t="e">
        <f t="shared" si="306"/>
        <v>#REF!</v>
      </c>
      <c r="AD322" s="109">
        <f>'LPLPO PROGRAM'!H151</f>
        <v>0</v>
      </c>
      <c r="AE322" s="111" t="e">
        <f t="shared" si="307"/>
        <v>#REF!</v>
      </c>
      <c r="AF322" s="212"/>
      <c r="AG322" s="212"/>
      <c r="AI322" s="14">
        <f t="shared" si="260"/>
        <v>0</v>
      </c>
      <c r="AJ322" s="209" t="e">
        <f t="shared" si="261"/>
        <v>#REF!</v>
      </c>
      <c r="AL322" s="14">
        <f t="shared" si="263"/>
        <v>0</v>
      </c>
      <c r="AM322" s="14">
        <f>DISTRIBUSI!D320</f>
        <v>0</v>
      </c>
      <c r="AN322" s="14">
        <f>'PEMAKAIAN UNIT'!D319</f>
        <v>0</v>
      </c>
      <c r="AO322" s="14">
        <f t="shared" si="264"/>
        <v>0</v>
      </c>
      <c r="AP322" s="15">
        <f t="shared" si="265"/>
        <v>0</v>
      </c>
      <c r="AQ322" s="14">
        <f t="shared" si="266"/>
        <v>0</v>
      </c>
      <c r="AR322" s="14">
        <f>DISTRIBUSI!E320</f>
        <v>0</v>
      </c>
      <c r="AS322" s="14">
        <f>'PEMAKAIAN UNIT'!E319</f>
        <v>0</v>
      </c>
      <c r="AT322" s="14">
        <f t="shared" si="267"/>
        <v>0</v>
      </c>
      <c r="AU322" s="15">
        <f t="shared" si="268"/>
        <v>0</v>
      </c>
      <c r="AV322" s="14">
        <f t="shared" si="269"/>
        <v>0</v>
      </c>
      <c r="AW322" s="14">
        <f>DISTRIBUSI!F320</f>
        <v>0</v>
      </c>
      <c r="AX322" s="14">
        <f>'PEMAKAIAN UNIT'!F319</f>
        <v>0</v>
      </c>
      <c r="AY322" s="14">
        <f t="shared" si="270"/>
        <v>0</v>
      </c>
      <c r="AZ322" s="15">
        <f t="shared" si="271"/>
        <v>0</v>
      </c>
      <c r="BA322" s="14">
        <f t="shared" si="272"/>
        <v>0</v>
      </c>
      <c r="BB322" s="14">
        <f>DISTRIBUSI!G320</f>
        <v>0</v>
      </c>
      <c r="BC322" s="14">
        <f>'PEMAKAIAN UNIT'!G319</f>
        <v>0</v>
      </c>
      <c r="BD322" s="14">
        <f t="shared" si="273"/>
        <v>0</v>
      </c>
      <c r="BE322" s="15">
        <f t="shared" si="274"/>
        <v>0</v>
      </c>
      <c r="BF322" s="14">
        <f t="shared" si="275"/>
        <v>0</v>
      </c>
      <c r="BG322" s="14">
        <f>DISTRIBUSI!H320</f>
        <v>0</v>
      </c>
      <c r="BH322" s="14">
        <f>'PEMAKAIAN UNIT'!H319</f>
        <v>0</v>
      </c>
      <c r="BI322" s="14">
        <f t="shared" si="276"/>
        <v>0</v>
      </c>
      <c r="BJ322" s="15">
        <f t="shared" si="277"/>
        <v>0</v>
      </c>
      <c r="BK322" s="14">
        <f t="shared" si="278"/>
        <v>0</v>
      </c>
      <c r="BL322" s="14">
        <f>DISTRIBUSI!I320</f>
        <v>0</v>
      </c>
      <c r="BM322" s="14">
        <f>'PEMAKAIAN UNIT'!I319</f>
        <v>0</v>
      </c>
      <c r="BN322" s="14">
        <f t="shared" si="279"/>
        <v>0</v>
      </c>
      <c r="BO322" s="15">
        <f t="shared" si="280"/>
        <v>0</v>
      </c>
      <c r="BP322" s="14">
        <f t="shared" si="281"/>
        <v>0</v>
      </c>
      <c r="BQ322" s="14">
        <f>DISTRIBUSI!J320</f>
        <v>0</v>
      </c>
      <c r="BR322" s="14">
        <f>'PEMAKAIAN UNIT'!J319</f>
        <v>0</v>
      </c>
      <c r="BS322" s="14">
        <f t="shared" si="282"/>
        <v>0</v>
      </c>
      <c r="BT322" s="15">
        <f t="shared" si="283"/>
        <v>0</v>
      </c>
      <c r="BU322" s="14">
        <f t="shared" si="284"/>
        <v>0</v>
      </c>
      <c r="BV322" s="14">
        <f>DISTRIBUSI!K320</f>
        <v>0</v>
      </c>
      <c r="BW322" s="14">
        <f>'PEMAKAIAN UNIT'!K319</f>
        <v>0</v>
      </c>
      <c r="BX322" s="14">
        <f t="shared" si="285"/>
        <v>0</v>
      </c>
      <c r="BY322" s="15">
        <f t="shared" si="286"/>
        <v>0</v>
      </c>
      <c r="BZ322" s="14">
        <f t="shared" si="287"/>
        <v>0</v>
      </c>
      <c r="CA322" s="14">
        <f>DISTRIBUSI!L320</f>
        <v>0</v>
      </c>
      <c r="CB322" s="14">
        <f>'PEMAKAIAN UNIT'!L319</f>
        <v>0</v>
      </c>
      <c r="CC322" s="14">
        <f t="shared" si="288"/>
        <v>0</v>
      </c>
      <c r="CD322" s="15">
        <f t="shared" si="289"/>
        <v>0</v>
      </c>
      <c r="CE322" s="14">
        <f t="shared" si="290"/>
        <v>0</v>
      </c>
      <c r="CF322" s="14">
        <f>DISTRIBUSI!M320</f>
        <v>0</v>
      </c>
      <c r="CG322" s="14">
        <f>'PEMAKAIAN UNIT'!M319</f>
        <v>0</v>
      </c>
      <c r="CH322" s="14">
        <f t="shared" si="291"/>
        <v>0</v>
      </c>
      <c r="CI322" s="15">
        <f t="shared" si="292"/>
        <v>0</v>
      </c>
      <c r="CJ322" s="14">
        <f t="shared" si="293"/>
        <v>0</v>
      </c>
      <c r="CK322" s="14" t="e">
        <f>DISTRIBUSI!#REF!</f>
        <v>#REF!</v>
      </c>
      <c r="CL322" s="14">
        <f>'PEMAKAIAN UNIT'!N319</f>
        <v>0</v>
      </c>
      <c r="CM322" s="14" t="e">
        <f t="shared" si="294"/>
        <v>#REF!</v>
      </c>
      <c r="CN322" s="15" t="e">
        <f t="shared" si="295"/>
        <v>#REF!</v>
      </c>
      <c r="CO322" s="14" t="e">
        <f>DL322+DISTRIBUSI!#REF!-'PEMAKAIAN UNIT'!O319</f>
        <v>#REF!</v>
      </c>
      <c r="CP322" s="15" t="e">
        <f t="shared" si="296"/>
        <v>#REF!</v>
      </c>
      <c r="CQ322" s="226">
        <f t="shared" si="297"/>
        <v>0</v>
      </c>
      <c r="CR322" s="226">
        <f>DISTRIBUSI!R320</f>
        <v>0</v>
      </c>
      <c r="CS322" s="226">
        <f>'PEMAKAIAN UNIT'!P319</f>
        <v>0</v>
      </c>
      <c r="CT322" s="14">
        <f t="shared" si="298"/>
        <v>0</v>
      </c>
      <c r="CU322" s="15">
        <f t="shared" si="299"/>
        <v>0</v>
      </c>
      <c r="CV322" s="14" t="e">
        <f>DN322+DISTRIBUSI!#REF!-'PEMAKAIAN UNIT'!Q319</f>
        <v>#REF!</v>
      </c>
      <c r="CW322" s="15" t="e">
        <f t="shared" si="300"/>
        <v>#REF!</v>
      </c>
      <c r="CX322" s="14">
        <f>DO322+'LPLPO PROGRAM'!E151-'LPLPO PROGRAM'!G151</f>
        <v>0</v>
      </c>
      <c r="CY322" s="15">
        <f t="shared" si="301"/>
        <v>0</v>
      </c>
      <c r="DA322" s="14">
        <v>0</v>
      </c>
      <c r="DB322" s="14">
        <v>0</v>
      </c>
      <c r="DC322" s="14">
        <v>0</v>
      </c>
      <c r="DD322" s="14">
        <v>0</v>
      </c>
      <c r="DE322" s="14">
        <v>0</v>
      </c>
      <c r="DF322" s="14">
        <v>0</v>
      </c>
      <c r="DG322" s="14">
        <v>0</v>
      </c>
      <c r="DH322" s="14">
        <v>0</v>
      </c>
      <c r="DI322" s="14">
        <v>0</v>
      </c>
      <c r="DJ322" s="14">
        <v>0</v>
      </c>
      <c r="DK322" s="14">
        <v>0</v>
      </c>
      <c r="DL322" s="14">
        <v>0</v>
      </c>
      <c r="DM322" s="14">
        <v>0</v>
      </c>
      <c r="DN322" s="14">
        <v>0</v>
      </c>
      <c r="DO322" s="14">
        <v>0</v>
      </c>
      <c r="DP322" s="13">
        <f t="shared" si="262"/>
        <v>0</v>
      </c>
      <c r="DU322" s="20" t="e">
        <f t="shared" si="259"/>
        <v>#REF!</v>
      </c>
    </row>
    <row r="323" spans="1:125" ht="15.5" x14ac:dyDescent="0.35">
      <c r="A323" s="205">
        <v>139</v>
      </c>
      <c r="B323" s="184"/>
      <c r="C323" s="179"/>
      <c r="D323" s="14">
        <v>0</v>
      </c>
      <c r="E323" s="254">
        <f>'LPLPO PROGRAM'!E152</f>
        <v>0</v>
      </c>
      <c r="F323" s="254">
        <f t="shared" si="302"/>
        <v>0</v>
      </c>
      <c r="G323" s="254">
        <f>'PEMAKAIAN UNIT'!R320</f>
        <v>0</v>
      </c>
      <c r="H323" s="14">
        <v>0</v>
      </c>
      <c r="I323" s="14">
        <v>0</v>
      </c>
      <c r="J323" s="14">
        <v>0</v>
      </c>
      <c r="K323" s="14"/>
      <c r="L323" s="14"/>
      <c r="M323" s="14"/>
      <c r="N323" s="14"/>
      <c r="O323" s="14"/>
      <c r="P323" s="14"/>
      <c r="Q323" s="14"/>
      <c r="R323" s="14"/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09">
        <f t="shared" si="303"/>
        <v>0</v>
      </c>
      <c r="Z323" s="109" t="e">
        <f t="shared" si="304"/>
        <v>#REF!</v>
      </c>
      <c r="AA323" s="109" t="e">
        <f t="shared" si="305"/>
        <v>#REF!</v>
      </c>
      <c r="AB323" s="14">
        <v>0</v>
      </c>
      <c r="AC323" s="109" t="e">
        <f t="shared" si="306"/>
        <v>#REF!</v>
      </c>
      <c r="AD323" s="109">
        <f>'LPLPO PROGRAM'!H152</f>
        <v>0</v>
      </c>
      <c r="AE323" s="111" t="e">
        <f t="shared" si="307"/>
        <v>#REF!</v>
      </c>
      <c r="AF323" s="212"/>
      <c r="AG323" s="212"/>
      <c r="AI323" s="14">
        <f t="shared" si="260"/>
        <v>0</v>
      </c>
      <c r="AJ323" s="209" t="e">
        <f t="shared" si="261"/>
        <v>#REF!</v>
      </c>
      <c r="AL323" s="14">
        <f t="shared" si="263"/>
        <v>0</v>
      </c>
      <c r="AM323" s="14">
        <f>DISTRIBUSI!D321</f>
        <v>0</v>
      </c>
      <c r="AN323" s="14">
        <f>'PEMAKAIAN UNIT'!D320</f>
        <v>0</v>
      </c>
      <c r="AO323" s="14">
        <f t="shared" si="264"/>
        <v>0</v>
      </c>
      <c r="AP323" s="15">
        <f t="shared" si="265"/>
        <v>0</v>
      </c>
      <c r="AQ323" s="14">
        <f t="shared" si="266"/>
        <v>0</v>
      </c>
      <c r="AR323" s="14">
        <f>DISTRIBUSI!E321</f>
        <v>0</v>
      </c>
      <c r="AS323" s="14">
        <f>'PEMAKAIAN UNIT'!E320</f>
        <v>0</v>
      </c>
      <c r="AT323" s="14">
        <f t="shared" si="267"/>
        <v>0</v>
      </c>
      <c r="AU323" s="15">
        <f t="shared" si="268"/>
        <v>0</v>
      </c>
      <c r="AV323" s="14">
        <f t="shared" si="269"/>
        <v>0</v>
      </c>
      <c r="AW323" s="14">
        <f>DISTRIBUSI!F321</f>
        <v>0</v>
      </c>
      <c r="AX323" s="14">
        <f>'PEMAKAIAN UNIT'!F320</f>
        <v>0</v>
      </c>
      <c r="AY323" s="14">
        <f t="shared" si="270"/>
        <v>0</v>
      </c>
      <c r="AZ323" s="15">
        <f t="shared" si="271"/>
        <v>0</v>
      </c>
      <c r="BA323" s="14">
        <f t="shared" si="272"/>
        <v>0</v>
      </c>
      <c r="BB323" s="14">
        <f>DISTRIBUSI!G321</f>
        <v>0</v>
      </c>
      <c r="BC323" s="14">
        <f>'PEMAKAIAN UNIT'!G320</f>
        <v>0</v>
      </c>
      <c r="BD323" s="14">
        <f t="shared" si="273"/>
        <v>0</v>
      </c>
      <c r="BE323" s="15">
        <f t="shared" si="274"/>
        <v>0</v>
      </c>
      <c r="BF323" s="14">
        <f t="shared" si="275"/>
        <v>0</v>
      </c>
      <c r="BG323" s="14">
        <f>DISTRIBUSI!H321</f>
        <v>0</v>
      </c>
      <c r="BH323" s="14">
        <f>'PEMAKAIAN UNIT'!H320</f>
        <v>0</v>
      </c>
      <c r="BI323" s="14">
        <f t="shared" si="276"/>
        <v>0</v>
      </c>
      <c r="BJ323" s="15">
        <f t="shared" si="277"/>
        <v>0</v>
      </c>
      <c r="BK323" s="14">
        <f t="shared" si="278"/>
        <v>0</v>
      </c>
      <c r="BL323" s="14">
        <f>DISTRIBUSI!I321</f>
        <v>0</v>
      </c>
      <c r="BM323" s="14">
        <f>'PEMAKAIAN UNIT'!I320</f>
        <v>0</v>
      </c>
      <c r="BN323" s="14">
        <f t="shared" si="279"/>
        <v>0</v>
      </c>
      <c r="BO323" s="15">
        <f t="shared" si="280"/>
        <v>0</v>
      </c>
      <c r="BP323" s="14">
        <f t="shared" si="281"/>
        <v>0</v>
      </c>
      <c r="BQ323" s="14">
        <f>DISTRIBUSI!J321</f>
        <v>0</v>
      </c>
      <c r="BR323" s="14">
        <f>'PEMAKAIAN UNIT'!J320</f>
        <v>0</v>
      </c>
      <c r="BS323" s="14">
        <f t="shared" si="282"/>
        <v>0</v>
      </c>
      <c r="BT323" s="15">
        <f t="shared" si="283"/>
        <v>0</v>
      </c>
      <c r="BU323" s="14">
        <f t="shared" si="284"/>
        <v>0</v>
      </c>
      <c r="BV323" s="14">
        <f>DISTRIBUSI!K321</f>
        <v>0</v>
      </c>
      <c r="BW323" s="14">
        <f>'PEMAKAIAN UNIT'!K320</f>
        <v>0</v>
      </c>
      <c r="BX323" s="14">
        <f t="shared" si="285"/>
        <v>0</v>
      </c>
      <c r="BY323" s="15">
        <f t="shared" si="286"/>
        <v>0</v>
      </c>
      <c r="BZ323" s="14">
        <f t="shared" si="287"/>
        <v>0</v>
      </c>
      <c r="CA323" s="14">
        <f>DISTRIBUSI!L321</f>
        <v>0</v>
      </c>
      <c r="CB323" s="14">
        <f>'PEMAKAIAN UNIT'!L320</f>
        <v>0</v>
      </c>
      <c r="CC323" s="14">
        <f t="shared" si="288"/>
        <v>0</v>
      </c>
      <c r="CD323" s="15">
        <f t="shared" si="289"/>
        <v>0</v>
      </c>
      <c r="CE323" s="14">
        <f t="shared" si="290"/>
        <v>0</v>
      </c>
      <c r="CF323" s="14">
        <f>DISTRIBUSI!M321</f>
        <v>0</v>
      </c>
      <c r="CG323" s="14">
        <f>'PEMAKAIAN UNIT'!M320</f>
        <v>0</v>
      </c>
      <c r="CH323" s="14">
        <f t="shared" si="291"/>
        <v>0</v>
      </c>
      <c r="CI323" s="15">
        <f t="shared" si="292"/>
        <v>0</v>
      </c>
      <c r="CJ323" s="14">
        <f t="shared" si="293"/>
        <v>0</v>
      </c>
      <c r="CK323" s="14" t="e">
        <f>DISTRIBUSI!#REF!</f>
        <v>#REF!</v>
      </c>
      <c r="CL323" s="14">
        <f>'PEMAKAIAN UNIT'!N320</f>
        <v>0</v>
      </c>
      <c r="CM323" s="14" t="e">
        <f t="shared" si="294"/>
        <v>#REF!</v>
      </c>
      <c r="CN323" s="15" t="e">
        <f t="shared" si="295"/>
        <v>#REF!</v>
      </c>
      <c r="CO323" s="14" t="e">
        <f>DL323+DISTRIBUSI!#REF!-'PEMAKAIAN UNIT'!O320</f>
        <v>#REF!</v>
      </c>
      <c r="CP323" s="15" t="e">
        <f t="shared" si="296"/>
        <v>#REF!</v>
      </c>
      <c r="CQ323" s="226">
        <f t="shared" si="297"/>
        <v>0</v>
      </c>
      <c r="CR323" s="226">
        <f>DISTRIBUSI!R321</f>
        <v>0</v>
      </c>
      <c r="CS323" s="226">
        <f>'PEMAKAIAN UNIT'!P320</f>
        <v>0</v>
      </c>
      <c r="CT323" s="14">
        <f t="shared" si="298"/>
        <v>0</v>
      </c>
      <c r="CU323" s="15">
        <f t="shared" si="299"/>
        <v>0</v>
      </c>
      <c r="CV323" s="14" t="e">
        <f>DN323+DISTRIBUSI!#REF!-'PEMAKAIAN UNIT'!Q320</f>
        <v>#REF!</v>
      </c>
      <c r="CW323" s="15" t="e">
        <f t="shared" si="300"/>
        <v>#REF!</v>
      </c>
      <c r="CX323" s="14">
        <f>DO323+'LPLPO PROGRAM'!E152-'LPLPO PROGRAM'!G152</f>
        <v>0</v>
      </c>
      <c r="CY323" s="15">
        <f t="shared" si="301"/>
        <v>0</v>
      </c>
      <c r="DA323" s="14">
        <v>0</v>
      </c>
      <c r="DB323" s="14">
        <v>0</v>
      </c>
      <c r="DC323" s="14">
        <v>0</v>
      </c>
      <c r="DD323" s="14">
        <v>0</v>
      </c>
      <c r="DE323" s="14">
        <v>0</v>
      </c>
      <c r="DF323" s="14">
        <v>0</v>
      </c>
      <c r="DG323" s="14">
        <v>0</v>
      </c>
      <c r="DH323" s="14">
        <v>0</v>
      </c>
      <c r="DI323" s="14">
        <v>0</v>
      </c>
      <c r="DJ323" s="14">
        <v>0</v>
      </c>
      <c r="DK323" s="14">
        <v>0</v>
      </c>
      <c r="DL323" s="14">
        <v>0</v>
      </c>
      <c r="DM323" s="14">
        <v>0</v>
      </c>
      <c r="DN323" s="14">
        <v>0</v>
      </c>
      <c r="DO323" s="14">
        <v>0</v>
      </c>
      <c r="DP323" s="13">
        <f t="shared" si="262"/>
        <v>0</v>
      </c>
      <c r="DU323" s="20" t="e">
        <f t="shared" si="259"/>
        <v>#REF!</v>
      </c>
    </row>
    <row r="324" spans="1:125" ht="15.5" x14ac:dyDescent="0.35">
      <c r="A324" s="205">
        <v>140</v>
      </c>
      <c r="B324" s="184"/>
      <c r="C324" s="179"/>
      <c r="D324" s="14">
        <v>0</v>
      </c>
      <c r="E324" s="254">
        <f>'LPLPO PROGRAM'!E153</f>
        <v>0</v>
      </c>
      <c r="F324" s="254">
        <f t="shared" si="302"/>
        <v>0</v>
      </c>
      <c r="G324" s="254">
        <f>'PEMAKAIAN UNIT'!R321</f>
        <v>0</v>
      </c>
      <c r="H324" s="14">
        <v>0</v>
      </c>
      <c r="I324" s="14">
        <v>0</v>
      </c>
      <c r="J324" s="14">
        <v>0</v>
      </c>
      <c r="K324" s="14"/>
      <c r="L324" s="14"/>
      <c r="M324" s="14"/>
      <c r="N324" s="14"/>
      <c r="O324" s="14"/>
      <c r="P324" s="14"/>
      <c r="Q324" s="14"/>
      <c r="R324" s="14"/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09">
        <f t="shared" si="303"/>
        <v>0</v>
      </c>
      <c r="Z324" s="109" t="e">
        <f t="shared" si="304"/>
        <v>#REF!</v>
      </c>
      <c r="AA324" s="109" t="e">
        <f t="shared" si="305"/>
        <v>#REF!</v>
      </c>
      <c r="AB324" s="14">
        <v>0</v>
      </c>
      <c r="AC324" s="109" t="e">
        <f t="shared" si="306"/>
        <v>#REF!</v>
      </c>
      <c r="AD324" s="109">
        <f>'LPLPO PROGRAM'!H153</f>
        <v>0</v>
      </c>
      <c r="AE324" s="111" t="e">
        <f t="shared" si="307"/>
        <v>#REF!</v>
      </c>
      <c r="AF324" s="212"/>
      <c r="AG324" s="212"/>
      <c r="AI324" s="14">
        <f t="shared" si="260"/>
        <v>0</v>
      </c>
      <c r="AJ324" s="209" t="e">
        <f t="shared" si="261"/>
        <v>#REF!</v>
      </c>
      <c r="AL324" s="14">
        <f t="shared" si="263"/>
        <v>0</v>
      </c>
      <c r="AM324" s="14">
        <f>DISTRIBUSI!D322</f>
        <v>0</v>
      </c>
      <c r="AN324" s="14">
        <f>'PEMAKAIAN UNIT'!D321</f>
        <v>0</v>
      </c>
      <c r="AO324" s="14">
        <f t="shared" si="264"/>
        <v>0</v>
      </c>
      <c r="AP324" s="15">
        <f t="shared" si="265"/>
        <v>0</v>
      </c>
      <c r="AQ324" s="14">
        <f t="shared" si="266"/>
        <v>0</v>
      </c>
      <c r="AR324" s="14">
        <f>DISTRIBUSI!E322</f>
        <v>0</v>
      </c>
      <c r="AS324" s="14">
        <f>'PEMAKAIAN UNIT'!E321</f>
        <v>0</v>
      </c>
      <c r="AT324" s="14">
        <f t="shared" si="267"/>
        <v>0</v>
      </c>
      <c r="AU324" s="15">
        <f t="shared" si="268"/>
        <v>0</v>
      </c>
      <c r="AV324" s="14">
        <f t="shared" si="269"/>
        <v>0</v>
      </c>
      <c r="AW324" s="14">
        <f>DISTRIBUSI!F322</f>
        <v>0</v>
      </c>
      <c r="AX324" s="14">
        <f>'PEMAKAIAN UNIT'!F321</f>
        <v>0</v>
      </c>
      <c r="AY324" s="14">
        <f t="shared" si="270"/>
        <v>0</v>
      </c>
      <c r="AZ324" s="15">
        <f t="shared" si="271"/>
        <v>0</v>
      </c>
      <c r="BA324" s="14">
        <f t="shared" si="272"/>
        <v>0</v>
      </c>
      <c r="BB324" s="14">
        <f>DISTRIBUSI!G322</f>
        <v>0</v>
      </c>
      <c r="BC324" s="14">
        <f>'PEMAKAIAN UNIT'!G321</f>
        <v>0</v>
      </c>
      <c r="BD324" s="14">
        <f t="shared" si="273"/>
        <v>0</v>
      </c>
      <c r="BE324" s="15">
        <f t="shared" si="274"/>
        <v>0</v>
      </c>
      <c r="BF324" s="14">
        <f t="shared" si="275"/>
        <v>0</v>
      </c>
      <c r="BG324" s="14">
        <f>DISTRIBUSI!H322</f>
        <v>0</v>
      </c>
      <c r="BH324" s="14">
        <f>'PEMAKAIAN UNIT'!H321</f>
        <v>0</v>
      </c>
      <c r="BI324" s="14">
        <f t="shared" si="276"/>
        <v>0</v>
      </c>
      <c r="BJ324" s="15">
        <f t="shared" si="277"/>
        <v>0</v>
      </c>
      <c r="BK324" s="14">
        <f t="shared" si="278"/>
        <v>0</v>
      </c>
      <c r="BL324" s="14">
        <f>DISTRIBUSI!I322</f>
        <v>0</v>
      </c>
      <c r="BM324" s="14">
        <f>'PEMAKAIAN UNIT'!I321</f>
        <v>0</v>
      </c>
      <c r="BN324" s="14">
        <f t="shared" si="279"/>
        <v>0</v>
      </c>
      <c r="BO324" s="15">
        <f t="shared" si="280"/>
        <v>0</v>
      </c>
      <c r="BP324" s="14">
        <f t="shared" si="281"/>
        <v>0</v>
      </c>
      <c r="BQ324" s="14">
        <f>DISTRIBUSI!J322</f>
        <v>0</v>
      </c>
      <c r="BR324" s="14">
        <f>'PEMAKAIAN UNIT'!J321</f>
        <v>0</v>
      </c>
      <c r="BS324" s="14">
        <f t="shared" si="282"/>
        <v>0</v>
      </c>
      <c r="BT324" s="15">
        <f t="shared" si="283"/>
        <v>0</v>
      </c>
      <c r="BU324" s="14">
        <f t="shared" si="284"/>
        <v>0</v>
      </c>
      <c r="BV324" s="14">
        <f>DISTRIBUSI!K322</f>
        <v>0</v>
      </c>
      <c r="BW324" s="14">
        <f>'PEMAKAIAN UNIT'!K321</f>
        <v>0</v>
      </c>
      <c r="BX324" s="14">
        <f t="shared" si="285"/>
        <v>0</v>
      </c>
      <c r="BY324" s="15">
        <f t="shared" si="286"/>
        <v>0</v>
      </c>
      <c r="BZ324" s="14">
        <f t="shared" si="287"/>
        <v>0</v>
      </c>
      <c r="CA324" s="14">
        <f>DISTRIBUSI!L322</f>
        <v>0</v>
      </c>
      <c r="CB324" s="14">
        <f>'PEMAKAIAN UNIT'!L321</f>
        <v>0</v>
      </c>
      <c r="CC324" s="14">
        <f t="shared" si="288"/>
        <v>0</v>
      </c>
      <c r="CD324" s="15">
        <f t="shared" si="289"/>
        <v>0</v>
      </c>
      <c r="CE324" s="14">
        <f t="shared" si="290"/>
        <v>0</v>
      </c>
      <c r="CF324" s="14">
        <f>DISTRIBUSI!M322</f>
        <v>0</v>
      </c>
      <c r="CG324" s="14">
        <f>'PEMAKAIAN UNIT'!M321</f>
        <v>0</v>
      </c>
      <c r="CH324" s="14">
        <f t="shared" si="291"/>
        <v>0</v>
      </c>
      <c r="CI324" s="15">
        <f t="shared" si="292"/>
        <v>0</v>
      </c>
      <c r="CJ324" s="14">
        <f t="shared" si="293"/>
        <v>0</v>
      </c>
      <c r="CK324" s="14" t="e">
        <f>DISTRIBUSI!#REF!</f>
        <v>#REF!</v>
      </c>
      <c r="CL324" s="14">
        <f>'PEMAKAIAN UNIT'!N321</f>
        <v>0</v>
      </c>
      <c r="CM324" s="14" t="e">
        <f t="shared" si="294"/>
        <v>#REF!</v>
      </c>
      <c r="CN324" s="15" t="e">
        <f t="shared" si="295"/>
        <v>#REF!</v>
      </c>
      <c r="CO324" s="14" t="e">
        <f>DL324+DISTRIBUSI!#REF!-'PEMAKAIAN UNIT'!O321</f>
        <v>#REF!</v>
      </c>
      <c r="CP324" s="15" t="e">
        <f t="shared" si="296"/>
        <v>#REF!</v>
      </c>
      <c r="CQ324" s="226">
        <f t="shared" si="297"/>
        <v>0</v>
      </c>
      <c r="CR324" s="226">
        <f>DISTRIBUSI!R322</f>
        <v>0</v>
      </c>
      <c r="CS324" s="226">
        <f>'PEMAKAIAN UNIT'!P321</f>
        <v>0</v>
      </c>
      <c r="CT324" s="14">
        <f t="shared" si="298"/>
        <v>0</v>
      </c>
      <c r="CU324" s="15">
        <f t="shared" si="299"/>
        <v>0</v>
      </c>
      <c r="CV324" s="14" t="e">
        <f>DN324+DISTRIBUSI!#REF!-'PEMAKAIAN UNIT'!Q321</f>
        <v>#REF!</v>
      </c>
      <c r="CW324" s="15" t="e">
        <f t="shared" si="300"/>
        <v>#REF!</v>
      </c>
      <c r="CX324" s="14">
        <f>DO324+'LPLPO PROGRAM'!E153-'LPLPO PROGRAM'!G153</f>
        <v>0</v>
      </c>
      <c r="CY324" s="15">
        <f t="shared" si="301"/>
        <v>0</v>
      </c>
      <c r="DA324" s="14">
        <v>0</v>
      </c>
      <c r="DB324" s="14">
        <v>0</v>
      </c>
      <c r="DC324" s="14">
        <v>0</v>
      </c>
      <c r="DD324" s="14">
        <v>0</v>
      </c>
      <c r="DE324" s="14">
        <v>0</v>
      </c>
      <c r="DF324" s="14">
        <v>0</v>
      </c>
      <c r="DG324" s="14">
        <v>0</v>
      </c>
      <c r="DH324" s="14">
        <v>0</v>
      </c>
      <c r="DI324" s="14">
        <v>0</v>
      </c>
      <c r="DJ324" s="14">
        <v>0</v>
      </c>
      <c r="DK324" s="14">
        <v>0</v>
      </c>
      <c r="DL324" s="14">
        <v>0</v>
      </c>
      <c r="DM324" s="14">
        <v>0</v>
      </c>
      <c r="DN324" s="14">
        <v>0</v>
      </c>
      <c r="DO324" s="14">
        <v>0</v>
      </c>
      <c r="DP324" s="13">
        <f t="shared" si="262"/>
        <v>0</v>
      </c>
      <c r="DU324" s="20" t="e">
        <f t="shared" si="259"/>
        <v>#REF!</v>
      </c>
    </row>
    <row r="325" spans="1:125" ht="15.5" x14ac:dyDescent="0.35">
      <c r="A325" s="204">
        <v>141</v>
      </c>
      <c r="B325" s="189" t="s">
        <v>275</v>
      </c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212"/>
      <c r="AG325" s="212"/>
      <c r="AI325" s="14">
        <f t="shared" si="260"/>
        <v>0</v>
      </c>
      <c r="AJ325" s="209">
        <f t="shared" si="261"/>
        <v>0</v>
      </c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  <c r="AW325" s="146"/>
      <c r="AX325" s="146"/>
      <c r="AY325" s="146"/>
      <c r="AZ325" s="146"/>
      <c r="BA325" s="146"/>
      <c r="BB325" s="146"/>
      <c r="BC325" s="146"/>
      <c r="BD325" s="146"/>
      <c r="BE325" s="146"/>
      <c r="BF325" s="146"/>
      <c r="BG325" s="146"/>
      <c r="BH325" s="146"/>
      <c r="BI325" s="146"/>
      <c r="BJ325" s="146"/>
      <c r="BK325" s="146"/>
      <c r="BL325" s="146"/>
      <c r="BM325" s="146"/>
      <c r="BN325" s="146"/>
      <c r="BO325" s="146"/>
      <c r="BP325" s="146"/>
      <c r="BQ325" s="146"/>
      <c r="BR325" s="146"/>
      <c r="BS325" s="146"/>
      <c r="BT325" s="146"/>
      <c r="BU325" s="146"/>
      <c r="BV325" s="146"/>
      <c r="BW325" s="146"/>
      <c r="BX325" s="146"/>
      <c r="BY325" s="146"/>
      <c r="BZ325" s="146"/>
      <c r="CA325" s="146"/>
      <c r="CB325" s="146"/>
      <c r="CC325" s="146"/>
      <c r="CD325" s="146"/>
      <c r="CE325" s="146"/>
      <c r="CF325" s="146"/>
      <c r="CG325" s="146"/>
      <c r="CH325" s="146"/>
      <c r="CI325" s="146"/>
      <c r="CJ325" s="146"/>
      <c r="CK325" s="146"/>
      <c r="CL325" s="146"/>
      <c r="CM325" s="146"/>
      <c r="CN325" s="146"/>
      <c r="CO325" s="146"/>
      <c r="CP325" s="146"/>
      <c r="CQ325" s="146"/>
      <c r="CR325" s="146"/>
      <c r="CS325" s="146"/>
      <c r="CT325" s="146"/>
      <c r="CU325" s="146"/>
      <c r="CV325" s="146"/>
      <c r="CW325" s="146"/>
      <c r="CX325" s="146"/>
      <c r="CY325" s="146"/>
      <c r="DA325" s="14">
        <v>0</v>
      </c>
      <c r="DB325" s="14">
        <v>0</v>
      </c>
      <c r="DC325" s="14">
        <v>0</v>
      </c>
      <c r="DD325" s="14">
        <v>0</v>
      </c>
      <c r="DE325" s="14">
        <v>0</v>
      </c>
      <c r="DF325" s="14">
        <v>0</v>
      </c>
      <c r="DG325" s="14">
        <v>0</v>
      </c>
      <c r="DH325" s="14">
        <v>0</v>
      </c>
      <c r="DI325" s="14">
        <v>0</v>
      </c>
      <c r="DJ325" s="14">
        <v>0</v>
      </c>
      <c r="DK325" s="14">
        <v>0</v>
      </c>
      <c r="DL325" s="14">
        <v>0</v>
      </c>
      <c r="DM325" s="14">
        <v>0</v>
      </c>
      <c r="DN325" s="14">
        <v>0</v>
      </c>
      <c r="DO325" s="14">
        <v>0</v>
      </c>
      <c r="DP325" s="13">
        <f t="shared" si="262"/>
        <v>0</v>
      </c>
      <c r="DU325" s="20">
        <f t="shared" si="259"/>
        <v>0</v>
      </c>
    </row>
    <row r="326" spans="1:125" ht="15.5" x14ac:dyDescent="0.35">
      <c r="A326" s="205">
        <v>142</v>
      </c>
      <c r="B326" s="184" t="s">
        <v>380</v>
      </c>
      <c r="C326" s="179" t="s">
        <v>294</v>
      </c>
      <c r="D326" s="14">
        <v>0</v>
      </c>
      <c r="E326" s="254">
        <f>'LPLPO PROGRAM'!E155</f>
        <v>0</v>
      </c>
      <c r="F326" s="254">
        <f t="shared" si="302"/>
        <v>0</v>
      </c>
      <c r="G326" s="254">
        <f>'PEMAKAIAN UNIT'!R323</f>
        <v>0</v>
      </c>
      <c r="H326" s="14">
        <v>0</v>
      </c>
      <c r="I326" s="14">
        <v>0</v>
      </c>
      <c r="J326" s="14">
        <v>0</v>
      </c>
      <c r="K326" s="14"/>
      <c r="L326" s="14"/>
      <c r="M326" s="14"/>
      <c r="N326" s="14"/>
      <c r="O326" s="14"/>
      <c r="P326" s="14"/>
      <c r="Q326" s="14"/>
      <c r="R326" s="14"/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09">
        <f t="shared" si="303"/>
        <v>0</v>
      </c>
      <c r="Z326" s="109" t="e">
        <f t="shared" si="304"/>
        <v>#REF!</v>
      </c>
      <c r="AA326" s="109" t="e">
        <f t="shared" si="305"/>
        <v>#REF!</v>
      </c>
      <c r="AB326" s="14">
        <v>0</v>
      </c>
      <c r="AC326" s="109" t="e">
        <f t="shared" si="306"/>
        <v>#REF!</v>
      </c>
      <c r="AD326" s="109">
        <f>'LPLPO PROGRAM'!H155</f>
        <v>0</v>
      </c>
      <c r="AE326" s="111" t="e">
        <f t="shared" si="307"/>
        <v>#REF!</v>
      </c>
      <c r="AF326" s="212"/>
      <c r="AG326" s="212"/>
      <c r="AI326" s="14">
        <f t="shared" si="260"/>
        <v>0</v>
      </c>
      <c r="AJ326" s="209" t="e">
        <f t="shared" si="261"/>
        <v>#REF!</v>
      </c>
      <c r="AL326" s="14">
        <f t="shared" si="263"/>
        <v>0</v>
      </c>
      <c r="AM326" s="14">
        <f>DISTRIBUSI!D324</f>
        <v>0</v>
      </c>
      <c r="AN326" s="14">
        <f>'PEMAKAIAN UNIT'!D323</f>
        <v>0</v>
      </c>
      <c r="AO326" s="14">
        <f t="shared" si="264"/>
        <v>0</v>
      </c>
      <c r="AP326" s="15">
        <f t="shared" si="265"/>
        <v>0</v>
      </c>
      <c r="AQ326" s="14">
        <f t="shared" si="266"/>
        <v>0</v>
      </c>
      <c r="AR326" s="14">
        <f>DISTRIBUSI!E324</f>
        <v>0</v>
      </c>
      <c r="AS326" s="14">
        <f>'PEMAKAIAN UNIT'!E323</f>
        <v>0</v>
      </c>
      <c r="AT326" s="14">
        <f t="shared" si="267"/>
        <v>0</v>
      </c>
      <c r="AU326" s="15">
        <f t="shared" si="268"/>
        <v>0</v>
      </c>
      <c r="AV326" s="14">
        <f t="shared" si="269"/>
        <v>0</v>
      </c>
      <c r="AW326" s="14">
        <f>DISTRIBUSI!F324</f>
        <v>0</v>
      </c>
      <c r="AX326" s="14">
        <f>'PEMAKAIAN UNIT'!F323</f>
        <v>0</v>
      </c>
      <c r="AY326" s="14">
        <f t="shared" si="270"/>
        <v>0</v>
      </c>
      <c r="AZ326" s="15">
        <f t="shared" si="271"/>
        <v>0</v>
      </c>
      <c r="BA326" s="14">
        <f t="shared" si="272"/>
        <v>0</v>
      </c>
      <c r="BB326" s="14">
        <f>DISTRIBUSI!G324</f>
        <v>0</v>
      </c>
      <c r="BC326" s="14">
        <f>'PEMAKAIAN UNIT'!G323</f>
        <v>0</v>
      </c>
      <c r="BD326" s="14">
        <f t="shared" si="273"/>
        <v>0</v>
      </c>
      <c r="BE326" s="15">
        <f t="shared" si="274"/>
        <v>0</v>
      </c>
      <c r="BF326" s="14">
        <f t="shared" si="275"/>
        <v>0</v>
      </c>
      <c r="BG326" s="14">
        <f>DISTRIBUSI!H324</f>
        <v>0</v>
      </c>
      <c r="BH326" s="14">
        <f>'PEMAKAIAN UNIT'!H323</f>
        <v>0</v>
      </c>
      <c r="BI326" s="14">
        <f t="shared" si="276"/>
        <v>0</v>
      </c>
      <c r="BJ326" s="15">
        <f t="shared" si="277"/>
        <v>0</v>
      </c>
      <c r="BK326" s="14">
        <f t="shared" si="278"/>
        <v>0</v>
      </c>
      <c r="BL326" s="14">
        <f>DISTRIBUSI!I324</f>
        <v>0</v>
      </c>
      <c r="BM326" s="14">
        <f>'PEMAKAIAN UNIT'!I323</f>
        <v>0</v>
      </c>
      <c r="BN326" s="14">
        <f t="shared" si="279"/>
        <v>0</v>
      </c>
      <c r="BO326" s="15">
        <f t="shared" si="280"/>
        <v>0</v>
      </c>
      <c r="BP326" s="14">
        <f t="shared" si="281"/>
        <v>0</v>
      </c>
      <c r="BQ326" s="14">
        <f>DISTRIBUSI!J324</f>
        <v>0</v>
      </c>
      <c r="BR326" s="14">
        <f>'PEMAKAIAN UNIT'!J323</f>
        <v>0</v>
      </c>
      <c r="BS326" s="14">
        <f t="shared" si="282"/>
        <v>0</v>
      </c>
      <c r="BT326" s="15">
        <f t="shared" si="283"/>
        <v>0</v>
      </c>
      <c r="BU326" s="14">
        <f t="shared" si="284"/>
        <v>0</v>
      </c>
      <c r="BV326" s="14">
        <f>DISTRIBUSI!K324</f>
        <v>0</v>
      </c>
      <c r="BW326" s="14">
        <f>'PEMAKAIAN UNIT'!K323</f>
        <v>0</v>
      </c>
      <c r="BX326" s="14">
        <f t="shared" si="285"/>
        <v>0</v>
      </c>
      <c r="BY326" s="15">
        <f t="shared" si="286"/>
        <v>0</v>
      </c>
      <c r="BZ326" s="14">
        <f t="shared" si="287"/>
        <v>0</v>
      </c>
      <c r="CA326" s="14">
        <f>DISTRIBUSI!L324</f>
        <v>0</v>
      </c>
      <c r="CB326" s="14">
        <f>'PEMAKAIAN UNIT'!L323</f>
        <v>0</v>
      </c>
      <c r="CC326" s="14">
        <f t="shared" si="288"/>
        <v>0</v>
      </c>
      <c r="CD326" s="15">
        <f t="shared" si="289"/>
        <v>0</v>
      </c>
      <c r="CE326" s="14">
        <f t="shared" si="290"/>
        <v>0</v>
      </c>
      <c r="CF326" s="14">
        <f>DISTRIBUSI!M324</f>
        <v>0</v>
      </c>
      <c r="CG326" s="14">
        <f>'PEMAKAIAN UNIT'!M323</f>
        <v>0</v>
      </c>
      <c r="CH326" s="14">
        <f t="shared" si="291"/>
        <v>0</v>
      </c>
      <c r="CI326" s="15">
        <f t="shared" si="292"/>
        <v>0</v>
      </c>
      <c r="CJ326" s="14">
        <f t="shared" si="293"/>
        <v>0</v>
      </c>
      <c r="CK326" s="14" t="e">
        <f>DISTRIBUSI!#REF!</f>
        <v>#REF!</v>
      </c>
      <c r="CL326" s="14">
        <f>'PEMAKAIAN UNIT'!N323</f>
        <v>0</v>
      </c>
      <c r="CM326" s="14" t="e">
        <f t="shared" si="294"/>
        <v>#REF!</v>
      </c>
      <c r="CN326" s="15" t="e">
        <f t="shared" si="295"/>
        <v>#REF!</v>
      </c>
      <c r="CO326" s="14" t="e">
        <f>DL326+DISTRIBUSI!#REF!-'PEMAKAIAN UNIT'!O323</f>
        <v>#REF!</v>
      </c>
      <c r="CP326" s="15" t="e">
        <f t="shared" si="296"/>
        <v>#REF!</v>
      </c>
      <c r="CQ326" s="226">
        <f t="shared" si="297"/>
        <v>0</v>
      </c>
      <c r="CR326" s="226">
        <f>DISTRIBUSI!R324</f>
        <v>0</v>
      </c>
      <c r="CS326" s="226">
        <f>'PEMAKAIAN UNIT'!P323</f>
        <v>0</v>
      </c>
      <c r="CT326" s="14">
        <f t="shared" si="298"/>
        <v>0</v>
      </c>
      <c r="CU326" s="15">
        <f t="shared" si="299"/>
        <v>0</v>
      </c>
      <c r="CV326" s="14" t="e">
        <f>DN326+DISTRIBUSI!#REF!-'PEMAKAIAN UNIT'!Q323</f>
        <v>#REF!</v>
      </c>
      <c r="CW326" s="15" t="e">
        <f t="shared" si="300"/>
        <v>#REF!</v>
      </c>
      <c r="CX326" s="14">
        <f>DO326+'LPLPO PROGRAM'!E155-'LPLPO PROGRAM'!G155</f>
        <v>0</v>
      </c>
      <c r="CY326" s="15">
        <f t="shared" si="301"/>
        <v>0</v>
      </c>
      <c r="DA326" s="14">
        <v>0</v>
      </c>
      <c r="DB326" s="14">
        <v>0</v>
      </c>
      <c r="DC326" s="14">
        <v>0</v>
      </c>
      <c r="DD326" s="14">
        <v>0</v>
      </c>
      <c r="DE326" s="14">
        <v>0</v>
      </c>
      <c r="DF326" s="14">
        <v>0</v>
      </c>
      <c r="DG326" s="14">
        <v>0</v>
      </c>
      <c r="DH326" s="14">
        <v>0</v>
      </c>
      <c r="DI326" s="14">
        <v>0</v>
      </c>
      <c r="DJ326" s="14">
        <v>0</v>
      </c>
      <c r="DK326" s="14">
        <v>0</v>
      </c>
      <c r="DL326" s="14">
        <v>0</v>
      </c>
      <c r="DM326" s="14">
        <v>0</v>
      </c>
      <c r="DN326" s="14">
        <v>0</v>
      </c>
      <c r="DO326" s="14">
        <v>0</v>
      </c>
      <c r="DP326" s="13">
        <f t="shared" si="262"/>
        <v>0</v>
      </c>
      <c r="DU326" s="20" t="e">
        <f t="shared" si="259"/>
        <v>#REF!</v>
      </c>
    </row>
    <row r="327" spans="1:125" ht="15.5" x14ac:dyDescent="0.35">
      <c r="A327" s="205">
        <v>143</v>
      </c>
      <c r="B327" s="184" t="s">
        <v>381</v>
      </c>
      <c r="C327" s="179" t="s">
        <v>382</v>
      </c>
      <c r="D327" s="14">
        <v>0</v>
      </c>
      <c r="E327" s="254">
        <f>'LPLPO PROGRAM'!E156</f>
        <v>0</v>
      </c>
      <c r="F327" s="254">
        <f t="shared" si="302"/>
        <v>0</v>
      </c>
      <c r="G327" s="254">
        <f>'PEMAKAIAN UNIT'!R324</f>
        <v>0</v>
      </c>
      <c r="H327" s="14">
        <v>0</v>
      </c>
      <c r="I327" s="14">
        <v>0</v>
      </c>
      <c r="J327" s="14">
        <v>0</v>
      </c>
      <c r="K327" s="14"/>
      <c r="L327" s="14"/>
      <c r="M327" s="14"/>
      <c r="N327" s="14"/>
      <c r="O327" s="14"/>
      <c r="P327" s="14"/>
      <c r="Q327" s="14"/>
      <c r="R327" s="14"/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09">
        <f t="shared" si="303"/>
        <v>0</v>
      </c>
      <c r="Z327" s="109" t="e">
        <f t="shared" si="304"/>
        <v>#REF!</v>
      </c>
      <c r="AA327" s="109" t="e">
        <f t="shared" si="305"/>
        <v>#REF!</v>
      </c>
      <c r="AB327" s="14">
        <v>0</v>
      </c>
      <c r="AC327" s="109" t="e">
        <f t="shared" si="306"/>
        <v>#REF!</v>
      </c>
      <c r="AD327" s="109">
        <f>'LPLPO PROGRAM'!H156</f>
        <v>0</v>
      </c>
      <c r="AE327" s="111" t="e">
        <f t="shared" si="307"/>
        <v>#REF!</v>
      </c>
      <c r="AF327" s="212"/>
      <c r="AG327" s="212"/>
      <c r="AI327" s="14">
        <f t="shared" si="260"/>
        <v>0</v>
      </c>
      <c r="AJ327" s="209" t="e">
        <f t="shared" si="261"/>
        <v>#REF!</v>
      </c>
      <c r="AL327" s="14">
        <f t="shared" si="263"/>
        <v>0</v>
      </c>
      <c r="AM327" s="14">
        <f>DISTRIBUSI!D325</f>
        <v>0</v>
      </c>
      <c r="AN327" s="14">
        <f>'PEMAKAIAN UNIT'!D324</f>
        <v>0</v>
      </c>
      <c r="AO327" s="14">
        <f t="shared" si="264"/>
        <v>0</v>
      </c>
      <c r="AP327" s="15">
        <f t="shared" si="265"/>
        <v>0</v>
      </c>
      <c r="AQ327" s="14">
        <f t="shared" si="266"/>
        <v>0</v>
      </c>
      <c r="AR327" s="14">
        <f>DISTRIBUSI!E325</f>
        <v>0</v>
      </c>
      <c r="AS327" s="14">
        <f>'PEMAKAIAN UNIT'!E324</f>
        <v>0</v>
      </c>
      <c r="AT327" s="14">
        <f t="shared" si="267"/>
        <v>0</v>
      </c>
      <c r="AU327" s="15">
        <f t="shared" si="268"/>
        <v>0</v>
      </c>
      <c r="AV327" s="14">
        <f t="shared" si="269"/>
        <v>0</v>
      </c>
      <c r="AW327" s="14">
        <f>DISTRIBUSI!F325</f>
        <v>0</v>
      </c>
      <c r="AX327" s="14">
        <f>'PEMAKAIAN UNIT'!F324</f>
        <v>0</v>
      </c>
      <c r="AY327" s="14">
        <f t="shared" si="270"/>
        <v>0</v>
      </c>
      <c r="AZ327" s="15">
        <f t="shared" si="271"/>
        <v>0</v>
      </c>
      <c r="BA327" s="14">
        <f t="shared" si="272"/>
        <v>0</v>
      </c>
      <c r="BB327" s="14">
        <f>DISTRIBUSI!G325</f>
        <v>0</v>
      </c>
      <c r="BC327" s="14">
        <f>'PEMAKAIAN UNIT'!G324</f>
        <v>0</v>
      </c>
      <c r="BD327" s="14">
        <f t="shared" si="273"/>
        <v>0</v>
      </c>
      <c r="BE327" s="15">
        <f t="shared" si="274"/>
        <v>0</v>
      </c>
      <c r="BF327" s="14">
        <f t="shared" si="275"/>
        <v>0</v>
      </c>
      <c r="BG327" s="14">
        <f>DISTRIBUSI!H325</f>
        <v>0</v>
      </c>
      <c r="BH327" s="14">
        <f>'PEMAKAIAN UNIT'!H324</f>
        <v>0</v>
      </c>
      <c r="BI327" s="14">
        <f t="shared" si="276"/>
        <v>0</v>
      </c>
      <c r="BJ327" s="15">
        <f t="shared" si="277"/>
        <v>0</v>
      </c>
      <c r="BK327" s="14">
        <f t="shared" si="278"/>
        <v>0</v>
      </c>
      <c r="BL327" s="14">
        <f>DISTRIBUSI!I325</f>
        <v>0</v>
      </c>
      <c r="BM327" s="14">
        <f>'PEMAKAIAN UNIT'!I324</f>
        <v>0</v>
      </c>
      <c r="BN327" s="14">
        <f t="shared" si="279"/>
        <v>0</v>
      </c>
      <c r="BO327" s="15">
        <f t="shared" si="280"/>
        <v>0</v>
      </c>
      <c r="BP327" s="14">
        <f t="shared" si="281"/>
        <v>0</v>
      </c>
      <c r="BQ327" s="14">
        <f>DISTRIBUSI!J325</f>
        <v>0</v>
      </c>
      <c r="BR327" s="14">
        <f>'PEMAKAIAN UNIT'!J324</f>
        <v>0</v>
      </c>
      <c r="BS327" s="14">
        <f t="shared" si="282"/>
        <v>0</v>
      </c>
      <c r="BT327" s="15">
        <f t="shared" si="283"/>
        <v>0</v>
      </c>
      <c r="BU327" s="14">
        <f t="shared" si="284"/>
        <v>0</v>
      </c>
      <c r="BV327" s="14">
        <f>DISTRIBUSI!K325</f>
        <v>0</v>
      </c>
      <c r="BW327" s="14">
        <f>'PEMAKAIAN UNIT'!K324</f>
        <v>0</v>
      </c>
      <c r="BX327" s="14">
        <f t="shared" si="285"/>
        <v>0</v>
      </c>
      <c r="BY327" s="15">
        <f t="shared" si="286"/>
        <v>0</v>
      </c>
      <c r="BZ327" s="14">
        <f t="shared" si="287"/>
        <v>0</v>
      </c>
      <c r="CA327" s="14">
        <f>DISTRIBUSI!L325</f>
        <v>0</v>
      </c>
      <c r="CB327" s="14">
        <f>'PEMAKAIAN UNIT'!L324</f>
        <v>0</v>
      </c>
      <c r="CC327" s="14">
        <f t="shared" si="288"/>
        <v>0</v>
      </c>
      <c r="CD327" s="15">
        <f t="shared" si="289"/>
        <v>0</v>
      </c>
      <c r="CE327" s="14">
        <f t="shared" si="290"/>
        <v>0</v>
      </c>
      <c r="CF327" s="14">
        <f>DISTRIBUSI!M325</f>
        <v>0</v>
      </c>
      <c r="CG327" s="14">
        <f>'PEMAKAIAN UNIT'!M324</f>
        <v>0</v>
      </c>
      <c r="CH327" s="14">
        <f t="shared" si="291"/>
        <v>0</v>
      </c>
      <c r="CI327" s="15">
        <f t="shared" si="292"/>
        <v>0</v>
      </c>
      <c r="CJ327" s="14">
        <f t="shared" si="293"/>
        <v>0</v>
      </c>
      <c r="CK327" s="14" t="e">
        <f>DISTRIBUSI!#REF!</f>
        <v>#REF!</v>
      </c>
      <c r="CL327" s="14">
        <f>'PEMAKAIAN UNIT'!N324</f>
        <v>0</v>
      </c>
      <c r="CM327" s="14" t="e">
        <f t="shared" si="294"/>
        <v>#REF!</v>
      </c>
      <c r="CN327" s="15" t="e">
        <f t="shared" si="295"/>
        <v>#REF!</v>
      </c>
      <c r="CO327" s="14" t="e">
        <f>DL327+DISTRIBUSI!#REF!-'PEMAKAIAN UNIT'!O324</f>
        <v>#REF!</v>
      </c>
      <c r="CP327" s="15" t="e">
        <f t="shared" si="296"/>
        <v>#REF!</v>
      </c>
      <c r="CQ327" s="226">
        <f t="shared" si="297"/>
        <v>0</v>
      </c>
      <c r="CR327" s="226">
        <f>DISTRIBUSI!R325</f>
        <v>0</v>
      </c>
      <c r="CS327" s="226">
        <f>'PEMAKAIAN UNIT'!P324</f>
        <v>0</v>
      </c>
      <c r="CT327" s="14">
        <f t="shared" si="298"/>
        <v>0</v>
      </c>
      <c r="CU327" s="15">
        <f t="shared" si="299"/>
        <v>0</v>
      </c>
      <c r="CV327" s="14" t="e">
        <f>DN327+DISTRIBUSI!#REF!-'PEMAKAIAN UNIT'!Q324</f>
        <v>#REF!</v>
      </c>
      <c r="CW327" s="15" t="e">
        <f t="shared" si="300"/>
        <v>#REF!</v>
      </c>
      <c r="CX327" s="14">
        <f>DO327+'LPLPO PROGRAM'!E156-'LPLPO PROGRAM'!G156</f>
        <v>0</v>
      </c>
      <c r="CY327" s="15">
        <f t="shared" si="301"/>
        <v>0</v>
      </c>
      <c r="DA327" s="14">
        <v>0</v>
      </c>
      <c r="DB327" s="14">
        <v>0</v>
      </c>
      <c r="DC327" s="14">
        <v>0</v>
      </c>
      <c r="DD327" s="14">
        <v>0</v>
      </c>
      <c r="DE327" s="14">
        <v>0</v>
      </c>
      <c r="DF327" s="14">
        <v>0</v>
      </c>
      <c r="DG327" s="14">
        <v>0</v>
      </c>
      <c r="DH327" s="14">
        <v>0</v>
      </c>
      <c r="DI327" s="14">
        <v>0</v>
      </c>
      <c r="DJ327" s="14">
        <v>0</v>
      </c>
      <c r="DK327" s="14">
        <v>0</v>
      </c>
      <c r="DL327" s="14">
        <v>0</v>
      </c>
      <c r="DM327" s="14">
        <v>0</v>
      </c>
      <c r="DN327" s="14">
        <v>0</v>
      </c>
      <c r="DO327" s="14">
        <v>0</v>
      </c>
      <c r="DP327" s="13">
        <f t="shared" si="262"/>
        <v>0</v>
      </c>
      <c r="DU327" s="20" t="e">
        <f t="shared" si="259"/>
        <v>#REF!</v>
      </c>
    </row>
    <row r="328" spans="1:125" ht="15.5" x14ac:dyDescent="0.35">
      <c r="A328" s="205">
        <v>144</v>
      </c>
      <c r="B328" s="184" t="s">
        <v>276</v>
      </c>
      <c r="C328" s="179" t="s">
        <v>212</v>
      </c>
      <c r="D328" s="14">
        <v>0</v>
      </c>
      <c r="E328" s="254">
        <f>'LPLPO PROGRAM'!E157</f>
        <v>150</v>
      </c>
      <c r="F328" s="254">
        <f t="shared" si="302"/>
        <v>150</v>
      </c>
      <c r="G328" s="254">
        <f>'PEMAKAIAN UNIT'!R325</f>
        <v>0</v>
      </c>
      <c r="H328" s="14">
        <v>0</v>
      </c>
      <c r="I328" s="14">
        <v>0</v>
      </c>
      <c r="J328" s="14">
        <v>0</v>
      </c>
      <c r="K328" s="14"/>
      <c r="L328" s="14"/>
      <c r="M328" s="14"/>
      <c r="N328" s="14"/>
      <c r="O328" s="14"/>
      <c r="P328" s="14"/>
      <c r="Q328" s="14"/>
      <c r="R328" s="14"/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09">
        <f t="shared" si="303"/>
        <v>0</v>
      </c>
      <c r="Z328" s="109" t="e">
        <f t="shared" si="304"/>
        <v>#REF!</v>
      </c>
      <c r="AA328" s="109" t="e">
        <f t="shared" si="305"/>
        <v>#REF!</v>
      </c>
      <c r="AB328" s="14">
        <v>0</v>
      </c>
      <c r="AC328" s="109" t="e">
        <f t="shared" si="306"/>
        <v>#REF!</v>
      </c>
      <c r="AD328" s="109">
        <f>'LPLPO PROGRAM'!H157</f>
        <v>0</v>
      </c>
      <c r="AE328" s="111" t="e">
        <f t="shared" si="307"/>
        <v>#REF!</v>
      </c>
      <c r="AF328" s="212"/>
      <c r="AG328" s="212"/>
      <c r="AI328" s="14">
        <f t="shared" si="260"/>
        <v>150</v>
      </c>
      <c r="AJ328" s="209" t="e">
        <f t="shared" si="261"/>
        <v>#REF!</v>
      </c>
      <c r="AL328" s="14">
        <f t="shared" si="263"/>
        <v>0</v>
      </c>
      <c r="AM328" s="14">
        <f>DISTRIBUSI!D326</f>
        <v>0</v>
      </c>
      <c r="AN328" s="14">
        <f>'PEMAKAIAN UNIT'!D325</f>
        <v>0</v>
      </c>
      <c r="AO328" s="14">
        <f t="shared" si="264"/>
        <v>0</v>
      </c>
      <c r="AP328" s="15">
        <f t="shared" si="265"/>
        <v>0</v>
      </c>
      <c r="AQ328" s="14">
        <f t="shared" si="266"/>
        <v>0</v>
      </c>
      <c r="AR328" s="14">
        <f>DISTRIBUSI!E326</f>
        <v>0</v>
      </c>
      <c r="AS328" s="14">
        <f>'PEMAKAIAN UNIT'!E325</f>
        <v>0</v>
      </c>
      <c r="AT328" s="14">
        <f t="shared" si="267"/>
        <v>0</v>
      </c>
      <c r="AU328" s="15">
        <f t="shared" si="268"/>
        <v>0</v>
      </c>
      <c r="AV328" s="14">
        <f t="shared" si="269"/>
        <v>0</v>
      </c>
      <c r="AW328" s="14">
        <f>DISTRIBUSI!F326</f>
        <v>0</v>
      </c>
      <c r="AX328" s="14">
        <f>'PEMAKAIAN UNIT'!F325</f>
        <v>0</v>
      </c>
      <c r="AY328" s="14">
        <f t="shared" si="270"/>
        <v>0</v>
      </c>
      <c r="AZ328" s="15">
        <f t="shared" si="271"/>
        <v>0</v>
      </c>
      <c r="BA328" s="14">
        <f t="shared" si="272"/>
        <v>0</v>
      </c>
      <c r="BB328" s="14">
        <f>DISTRIBUSI!G326</f>
        <v>0</v>
      </c>
      <c r="BC328" s="14">
        <f>'PEMAKAIAN UNIT'!G325</f>
        <v>0</v>
      </c>
      <c r="BD328" s="14">
        <f t="shared" si="273"/>
        <v>0</v>
      </c>
      <c r="BE328" s="15">
        <f t="shared" si="274"/>
        <v>0</v>
      </c>
      <c r="BF328" s="14">
        <f t="shared" si="275"/>
        <v>0</v>
      </c>
      <c r="BG328" s="14">
        <f>DISTRIBUSI!H326</f>
        <v>0</v>
      </c>
      <c r="BH328" s="14">
        <f>'PEMAKAIAN UNIT'!H325</f>
        <v>0</v>
      </c>
      <c r="BI328" s="14">
        <f t="shared" si="276"/>
        <v>0</v>
      </c>
      <c r="BJ328" s="15">
        <f t="shared" si="277"/>
        <v>0</v>
      </c>
      <c r="BK328" s="14">
        <f t="shared" si="278"/>
        <v>0</v>
      </c>
      <c r="BL328" s="14">
        <f>DISTRIBUSI!I326</f>
        <v>0</v>
      </c>
      <c r="BM328" s="14">
        <f>'PEMAKAIAN UNIT'!I325</f>
        <v>0</v>
      </c>
      <c r="BN328" s="14">
        <f t="shared" si="279"/>
        <v>0</v>
      </c>
      <c r="BO328" s="15">
        <f t="shared" si="280"/>
        <v>0</v>
      </c>
      <c r="BP328" s="14">
        <f t="shared" si="281"/>
        <v>0</v>
      </c>
      <c r="BQ328" s="14">
        <f>DISTRIBUSI!J326</f>
        <v>0</v>
      </c>
      <c r="BR328" s="14">
        <f>'PEMAKAIAN UNIT'!J325</f>
        <v>0</v>
      </c>
      <c r="BS328" s="14">
        <f t="shared" si="282"/>
        <v>0</v>
      </c>
      <c r="BT328" s="15">
        <f t="shared" si="283"/>
        <v>0</v>
      </c>
      <c r="BU328" s="14">
        <f t="shared" si="284"/>
        <v>0</v>
      </c>
      <c r="BV328" s="14">
        <f>DISTRIBUSI!K326</f>
        <v>0</v>
      </c>
      <c r="BW328" s="14">
        <f>'PEMAKAIAN UNIT'!K325</f>
        <v>0</v>
      </c>
      <c r="BX328" s="14">
        <f t="shared" si="285"/>
        <v>0</v>
      </c>
      <c r="BY328" s="15">
        <f t="shared" si="286"/>
        <v>0</v>
      </c>
      <c r="BZ328" s="14">
        <f t="shared" si="287"/>
        <v>0</v>
      </c>
      <c r="CA328" s="14">
        <f>DISTRIBUSI!L326</f>
        <v>0</v>
      </c>
      <c r="CB328" s="14">
        <f>'PEMAKAIAN UNIT'!L325</f>
        <v>0</v>
      </c>
      <c r="CC328" s="14">
        <f t="shared" si="288"/>
        <v>0</v>
      </c>
      <c r="CD328" s="15">
        <f t="shared" si="289"/>
        <v>0</v>
      </c>
      <c r="CE328" s="14">
        <f t="shared" si="290"/>
        <v>0</v>
      </c>
      <c r="CF328" s="14">
        <f>DISTRIBUSI!M326</f>
        <v>0</v>
      </c>
      <c r="CG328" s="14">
        <f>'PEMAKAIAN UNIT'!M325</f>
        <v>0</v>
      </c>
      <c r="CH328" s="14">
        <f t="shared" si="291"/>
        <v>0</v>
      </c>
      <c r="CI328" s="15">
        <f t="shared" si="292"/>
        <v>0</v>
      </c>
      <c r="CJ328" s="14">
        <f t="shared" si="293"/>
        <v>0</v>
      </c>
      <c r="CK328" s="14" t="e">
        <f>DISTRIBUSI!#REF!</f>
        <v>#REF!</v>
      </c>
      <c r="CL328" s="14">
        <f>'PEMAKAIAN UNIT'!N325</f>
        <v>0</v>
      </c>
      <c r="CM328" s="14" t="e">
        <f t="shared" si="294"/>
        <v>#REF!</v>
      </c>
      <c r="CN328" s="15" t="e">
        <f t="shared" si="295"/>
        <v>#REF!</v>
      </c>
      <c r="CO328" s="14" t="e">
        <f>DL328+DISTRIBUSI!#REF!-'PEMAKAIAN UNIT'!O325</f>
        <v>#REF!</v>
      </c>
      <c r="CP328" s="15" t="e">
        <f t="shared" si="296"/>
        <v>#REF!</v>
      </c>
      <c r="CQ328" s="226">
        <f t="shared" si="297"/>
        <v>0</v>
      </c>
      <c r="CR328" s="226">
        <f>DISTRIBUSI!R326</f>
        <v>0</v>
      </c>
      <c r="CS328" s="226">
        <f>'PEMAKAIAN UNIT'!P325</f>
        <v>0</v>
      </c>
      <c r="CT328" s="14">
        <f t="shared" si="298"/>
        <v>0</v>
      </c>
      <c r="CU328" s="15">
        <f t="shared" si="299"/>
        <v>0</v>
      </c>
      <c r="CV328" s="14" t="e">
        <f>DN328+DISTRIBUSI!#REF!-'PEMAKAIAN UNIT'!Q325</f>
        <v>#REF!</v>
      </c>
      <c r="CW328" s="15" t="e">
        <f t="shared" si="300"/>
        <v>#REF!</v>
      </c>
      <c r="CX328" s="14">
        <f>DO328+'LPLPO PROGRAM'!E157-'LPLPO PROGRAM'!G157</f>
        <v>50</v>
      </c>
      <c r="CY328" s="15">
        <f t="shared" si="301"/>
        <v>50</v>
      </c>
      <c r="DA328" s="14">
        <v>0</v>
      </c>
      <c r="DB328" s="14">
        <v>0</v>
      </c>
      <c r="DC328" s="14">
        <v>0</v>
      </c>
      <c r="DD328" s="14">
        <v>0</v>
      </c>
      <c r="DE328" s="14">
        <v>0</v>
      </c>
      <c r="DF328" s="14">
        <v>0</v>
      </c>
      <c r="DG328" s="14">
        <v>0</v>
      </c>
      <c r="DH328" s="14">
        <v>0</v>
      </c>
      <c r="DI328" s="14">
        <v>0</v>
      </c>
      <c r="DJ328" s="14">
        <v>0</v>
      </c>
      <c r="DK328" s="14">
        <v>0</v>
      </c>
      <c r="DL328" s="14">
        <v>0</v>
      </c>
      <c r="DM328" s="14">
        <v>0</v>
      </c>
      <c r="DN328" s="14">
        <v>0</v>
      </c>
      <c r="DO328" s="14">
        <v>50</v>
      </c>
      <c r="DP328" s="13">
        <f t="shared" si="262"/>
        <v>50</v>
      </c>
      <c r="DU328" s="20" t="e">
        <f t="shared" si="259"/>
        <v>#REF!</v>
      </c>
    </row>
    <row r="329" spans="1:125" ht="15.5" x14ac:dyDescent="0.35">
      <c r="A329" s="205">
        <v>145</v>
      </c>
      <c r="B329" s="184" t="s">
        <v>379</v>
      </c>
      <c r="C329" s="179" t="s">
        <v>212</v>
      </c>
      <c r="D329" s="14">
        <v>0</v>
      </c>
      <c r="E329" s="254">
        <f>'LPLPO PROGRAM'!E158</f>
        <v>0</v>
      </c>
      <c r="F329" s="254">
        <f t="shared" si="302"/>
        <v>0</v>
      </c>
      <c r="G329" s="254">
        <f>'PEMAKAIAN UNIT'!R326</f>
        <v>0</v>
      </c>
      <c r="H329" s="14">
        <v>0</v>
      </c>
      <c r="I329" s="14">
        <v>0</v>
      </c>
      <c r="J329" s="14">
        <v>0</v>
      </c>
      <c r="K329" s="14"/>
      <c r="L329" s="14"/>
      <c r="M329" s="14"/>
      <c r="N329" s="14"/>
      <c r="O329" s="14"/>
      <c r="P329" s="14"/>
      <c r="Q329" s="14"/>
      <c r="R329" s="14"/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09">
        <f t="shared" si="303"/>
        <v>0</v>
      </c>
      <c r="Z329" s="109" t="e">
        <f t="shared" si="304"/>
        <v>#REF!</v>
      </c>
      <c r="AA329" s="109" t="e">
        <f t="shared" si="305"/>
        <v>#REF!</v>
      </c>
      <c r="AB329" s="14">
        <v>0</v>
      </c>
      <c r="AC329" s="109" t="e">
        <f t="shared" si="306"/>
        <v>#REF!</v>
      </c>
      <c r="AD329" s="109">
        <f>'LPLPO PROGRAM'!H158</f>
        <v>0</v>
      </c>
      <c r="AE329" s="111" t="e">
        <f t="shared" si="307"/>
        <v>#REF!</v>
      </c>
      <c r="AF329" s="212"/>
      <c r="AG329" s="212"/>
      <c r="AI329" s="14">
        <f t="shared" si="260"/>
        <v>0</v>
      </c>
      <c r="AJ329" s="209" t="e">
        <f t="shared" si="261"/>
        <v>#REF!</v>
      </c>
      <c r="AL329" s="14">
        <f t="shared" si="263"/>
        <v>0</v>
      </c>
      <c r="AM329" s="14">
        <f>DISTRIBUSI!D327</f>
        <v>0</v>
      </c>
      <c r="AN329" s="14">
        <f>'PEMAKAIAN UNIT'!D326</f>
        <v>0</v>
      </c>
      <c r="AO329" s="14">
        <f t="shared" si="264"/>
        <v>0</v>
      </c>
      <c r="AP329" s="15">
        <f t="shared" si="265"/>
        <v>0</v>
      </c>
      <c r="AQ329" s="14">
        <f t="shared" si="266"/>
        <v>0</v>
      </c>
      <c r="AR329" s="14">
        <f>DISTRIBUSI!E327</f>
        <v>0</v>
      </c>
      <c r="AS329" s="14">
        <f>'PEMAKAIAN UNIT'!E326</f>
        <v>0</v>
      </c>
      <c r="AT329" s="14">
        <f t="shared" si="267"/>
        <v>0</v>
      </c>
      <c r="AU329" s="15">
        <f t="shared" si="268"/>
        <v>0</v>
      </c>
      <c r="AV329" s="14">
        <f t="shared" si="269"/>
        <v>0</v>
      </c>
      <c r="AW329" s="14">
        <f>DISTRIBUSI!F327</f>
        <v>0</v>
      </c>
      <c r="AX329" s="14">
        <f>'PEMAKAIAN UNIT'!F326</f>
        <v>0</v>
      </c>
      <c r="AY329" s="14">
        <f t="shared" si="270"/>
        <v>0</v>
      </c>
      <c r="AZ329" s="15">
        <f t="shared" si="271"/>
        <v>0</v>
      </c>
      <c r="BA329" s="14">
        <f t="shared" si="272"/>
        <v>0</v>
      </c>
      <c r="BB329" s="14">
        <f>DISTRIBUSI!G327</f>
        <v>0</v>
      </c>
      <c r="BC329" s="14">
        <f>'PEMAKAIAN UNIT'!G326</f>
        <v>0</v>
      </c>
      <c r="BD329" s="14">
        <f t="shared" si="273"/>
        <v>0</v>
      </c>
      <c r="BE329" s="15">
        <f t="shared" si="274"/>
        <v>0</v>
      </c>
      <c r="BF329" s="14">
        <f t="shared" si="275"/>
        <v>0</v>
      </c>
      <c r="BG329" s="14">
        <f>DISTRIBUSI!H327</f>
        <v>0</v>
      </c>
      <c r="BH329" s="14">
        <f>'PEMAKAIAN UNIT'!H326</f>
        <v>0</v>
      </c>
      <c r="BI329" s="14">
        <f t="shared" si="276"/>
        <v>0</v>
      </c>
      <c r="BJ329" s="15">
        <f t="shared" si="277"/>
        <v>0</v>
      </c>
      <c r="BK329" s="14">
        <f t="shared" si="278"/>
        <v>0</v>
      </c>
      <c r="BL329" s="14">
        <f>DISTRIBUSI!I327</f>
        <v>0</v>
      </c>
      <c r="BM329" s="14">
        <f>'PEMAKAIAN UNIT'!I326</f>
        <v>0</v>
      </c>
      <c r="BN329" s="14">
        <f t="shared" si="279"/>
        <v>0</v>
      </c>
      <c r="BO329" s="15">
        <f t="shared" si="280"/>
        <v>0</v>
      </c>
      <c r="BP329" s="14">
        <f t="shared" si="281"/>
        <v>0</v>
      </c>
      <c r="BQ329" s="14">
        <f>DISTRIBUSI!J327</f>
        <v>0</v>
      </c>
      <c r="BR329" s="14">
        <f>'PEMAKAIAN UNIT'!J326</f>
        <v>0</v>
      </c>
      <c r="BS329" s="14">
        <f t="shared" si="282"/>
        <v>0</v>
      </c>
      <c r="BT329" s="15">
        <f t="shared" si="283"/>
        <v>0</v>
      </c>
      <c r="BU329" s="14">
        <f t="shared" si="284"/>
        <v>0</v>
      </c>
      <c r="BV329" s="14">
        <f>DISTRIBUSI!K327</f>
        <v>0</v>
      </c>
      <c r="BW329" s="14">
        <f>'PEMAKAIAN UNIT'!K326</f>
        <v>0</v>
      </c>
      <c r="BX329" s="14">
        <f t="shared" si="285"/>
        <v>0</v>
      </c>
      <c r="BY329" s="15">
        <f t="shared" si="286"/>
        <v>0</v>
      </c>
      <c r="BZ329" s="14">
        <f t="shared" si="287"/>
        <v>0</v>
      </c>
      <c r="CA329" s="14">
        <f>DISTRIBUSI!L327</f>
        <v>0</v>
      </c>
      <c r="CB329" s="14">
        <f>'PEMAKAIAN UNIT'!L326</f>
        <v>0</v>
      </c>
      <c r="CC329" s="14">
        <f t="shared" si="288"/>
        <v>0</v>
      </c>
      <c r="CD329" s="15">
        <f t="shared" si="289"/>
        <v>0</v>
      </c>
      <c r="CE329" s="14">
        <f t="shared" si="290"/>
        <v>0</v>
      </c>
      <c r="CF329" s="14">
        <f>DISTRIBUSI!M327</f>
        <v>0</v>
      </c>
      <c r="CG329" s="14">
        <f>'PEMAKAIAN UNIT'!M326</f>
        <v>0</v>
      </c>
      <c r="CH329" s="14">
        <f t="shared" si="291"/>
        <v>0</v>
      </c>
      <c r="CI329" s="15">
        <f t="shared" si="292"/>
        <v>0</v>
      </c>
      <c r="CJ329" s="14">
        <f t="shared" si="293"/>
        <v>0</v>
      </c>
      <c r="CK329" s="14" t="e">
        <f>DISTRIBUSI!#REF!</f>
        <v>#REF!</v>
      </c>
      <c r="CL329" s="14">
        <f>'PEMAKAIAN UNIT'!N326</f>
        <v>0</v>
      </c>
      <c r="CM329" s="14" t="e">
        <f t="shared" si="294"/>
        <v>#REF!</v>
      </c>
      <c r="CN329" s="15" t="e">
        <f t="shared" si="295"/>
        <v>#REF!</v>
      </c>
      <c r="CO329" s="14" t="e">
        <f>DL329+DISTRIBUSI!#REF!-'PEMAKAIAN UNIT'!O326</f>
        <v>#REF!</v>
      </c>
      <c r="CP329" s="15" t="e">
        <f t="shared" si="296"/>
        <v>#REF!</v>
      </c>
      <c r="CQ329" s="226">
        <f t="shared" si="297"/>
        <v>0</v>
      </c>
      <c r="CR329" s="226">
        <f>DISTRIBUSI!R327</f>
        <v>0</v>
      </c>
      <c r="CS329" s="226">
        <f>'PEMAKAIAN UNIT'!P326</f>
        <v>0</v>
      </c>
      <c r="CT329" s="14">
        <f t="shared" si="298"/>
        <v>0</v>
      </c>
      <c r="CU329" s="15">
        <f t="shared" si="299"/>
        <v>0</v>
      </c>
      <c r="CV329" s="14" t="e">
        <f>DN329+DISTRIBUSI!#REF!-'PEMAKAIAN UNIT'!Q326</f>
        <v>#REF!</v>
      </c>
      <c r="CW329" s="15" t="e">
        <f t="shared" si="300"/>
        <v>#REF!</v>
      </c>
      <c r="CX329" s="14">
        <f>DO329+'LPLPO PROGRAM'!E158-'LPLPO PROGRAM'!G158</f>
        <v>0</v>
      </c>
      <c r="CY329" s="15">
        <f t="shared" si="301"/>
        <v>0</v>
      </c>
      <c r="DA329" s="14">
        <v>0</v>
      </c>
      <c r="DB329" s="14">
        <v>0</v>
      </c>
      <c r="DC329" s="14">
        <v>0</v>
      </c>
      <c r="DD329" s="14">
        <v>0</v>
      </c>
      <c r="DE329" s="14">
        <v>0</v>
      </c>
      <c r="DF329" s="14">
        <v>0</v>
      </c>
      <c r="DG329" s="14">
        <v>0</v>
      </c>
      <c r="DH329" s="14">
        <v>0</v>
      </c>
      <c r="DI329" s="14">
        <v>0</v>
      </c>
      <c r="DJ329" s="14">
        <v>0</v>
      </c>
      <c r="DK329" s="14">
        <v>0</v>
      </c>
      <c r="DL329" s="14">
        <v>0</v>
      </c>
      <c r="DM329" s="14">
        <v>0</v>
      </c>
      <c r="DN329" s="14">
        <v>0</v>
      </c>
      <c r="DO329" s="14">
        <v>0</v>
      </c>
      <c r="DP329" s="13">
        <f t="shared" si="262"/>
        <v>0</v>
      </c>
      <c r="DU329" s="20" t="e">
        <f t="shared" si="259"/>
        <v>#REF!</v>
      </c>
    </row>
    <row r="330" spans="1:125" ht="15.5" x14ac:dyDescent="0.35">
      <c r="A330" s="205">
        <v>146</v>
      </c>
      <c r="B330" s="184"/>
      <c r="C330" s="179"/>
      <c r="D330" s="14">
        <v>0</v>
      </c>
      <c r="E330" s="254">
        <f>'LPLPO PROGRAM'!E159</f>
        <v>0</v>
      </c>
      <c r="F330" s="254">
        <f t="shared" si="302"/>
        <v>0</v>
      </c>
      <c r="G330" s="254">
        <f>'PEMAKAIAN UNIT'!R327</f>
        <v>0</v>
      </c>
      <c r="H330" s="14">
        <v>0</v>
      </c>
      <c r="I330" s="14">
        <v>0</v>
      </c>
      <c r="J330" s="14">
        <v>0</v>
      </c>
      <c r="K330" s="14"/>
      <c r="L330" s="14"/>
      <c r="M330" s="14"/>
      <c r="N330" s="14"/>
      <c r="O330" s="14"/>
      <c r="P330" s="14"/>
      <c r="Q330" s="14"/>
      <c r="R330" s="14"/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09">
        <f t="shared" si="303"/>
        <v>0</v>
      </c>
      <c r="Z330" s="109" t="e">
        <f t="shared" si="304"/>
        <v>#REF!</v>
      </c>
      <c r="AA330" s="109" t="e">
        <f t="shared" si="305"/>
        <v>#REF!</v>
      </c>
      <c r="AB330" s="14">
        <v>0</v>
      </c>
      <c r="AC330" s="109" t="e">
        <f t="shared" si="306"/>
        <v>#REF!</v>
      </c>
      <c r="AD330" s="109">
        <f>'LPLPO PROGRAM'!H159</f>
        <v>0</v>
      </c>
      <c r="AE330" s="111" t="e">
        <f t="shared" si="307"/>
        <v>#REF!</v>
      </c>
      <c r="AF330" s="212"/>
      <c r="AG330" s="212"/>
      <c r="AI330" s="14">
        <f t="shared" si="260"/>
        <v>0</v>
      </c>
      <c r="AJ330" s="209" t="e">
        <f t="shared" si="261"/>
        <v>#REF!</v>
      </c>
      <c r="AL330" s="14">
        <f t="shared" si="263"/>
        <v>0</v>
      </c>
      <c r="AM330" s="14">
        <f>DISTRIBUSI!D328</f>
        <v>0</v>
      </c>
      <c r="AN330" s="14">
        <f>'PEMAKAIAN UNIT'!D327</f>
        <v>0</v>
      </c>
      <c r="AO330" s="14">
        <f t="shared" si="264"/>
        <v>0</v>
      </c>
      <c r="AP330" s="15">
        <f t="shared" si="265"/>
        <v>0</v>
      </c>
      <c r="AQ330" s="14">
        <f t="shared" si="266"/>
        <v>0</v>
      </c>
      <c r="AR330" s="14">
        <f>DISTRIBUSI!E328</f>
        <v>0</v>
      </c>
      <c r="AS330" s="14">
        <f>'PEMAKAIAN UNIT'!E327</f>
        <v>0</v>
      </c>
      <c r="AT330" s="14">
        <f t="shared" si="267"/>
        <v>0</v>
      </c>
      <c r="AU330" s="15">
        <f t="shared" si="268"/>
        <v>0</v>
      </c>
      <c r="AV330" s="14">
        <f t="shared" si="269"/>
        <v>0</v>
      </c>
      <c r="AW330" s="14">
        <f>DISTRIBUSI!F328</f>
        <v>0</v>
      </c>
      <c r="AX330" s="14">
        <f>'PEMAKAIAN UNIT'!F327</f>
        <v>0</v>
      </c>
      <c r="AY330" s="14">
        <f t="shared" si="270"/>
        <v>0</v>
      </c>
      <c r="AZ330" s="15">
        <f t="shared" si="271"/>
        <v>0</v>
      </c>
      <c r="BA330" s="14">
        <f t="shared" si="272"/>
        <v>0</v>
      </c>
      <c r="BB330" s="14">
        <f>DISTRIBUSI!G328</f>
        <v>0</v>
      </c>
      <c r="BC330" s="14">
        <f>'PEMAKAIAN UNIT'!G327</f>
        <v>0</v>
      </c>
      <c r="BD330" s="14">
        <f t="shared" si="273"/>
        <v>0</v>
      </c>
      <c r="BE330" s="15">
        <f t="shared" si="274"/>
        <v>0</v>
      </c>
      <c r="BF330" s="14">
        <f t="shared" si="275"/>
        <v>0</v>
      </c>
      <c r="BG330" s="14">
        <f>DISTRIBUSI!H328</f>
        <v>0</v>
      </c>
      <c r="BH330" s="14">
        <f>'PEMAKAIAN UNIT'!H327</f>
        <v>0</v>
      </c>
      <c r="BI330" s="14">
        <f t="shared" si="276"/>
        <v>0</v>
      </c>
      <c r="BJ330" s="15">
        <f t="shared" si="277"/>
        <v>0</v>
      </c>
      <c r="BK330" s="14">
        <f t="shared" si="278"/>
        <v>0</v>
      </c>
      <c r="BL330" s="14">
        <f>DISTRIBUSI!I328</f>
        <v>0</v>
      </c>
      <c r="BM330" s="14">
        <f>'PEMAKAIAN UNIT'!I327</f>
        <v>0</v>
      </c>
      <c r="BN330" s="14">
        <f t="shared" si="279"/>
        <v>0</v>
      </c>
      <c r="BO330" s="15">
        <f t="shared" si="280"/>
        <v>0</v>
      </c>
      <c r="BP330" s="14">
        <f t="shared" si="281"/>
        <v>0</v>
      </c>
      <c r="BQ330" s="14">
        <f>DISTRIBUSI!J328</f>
        <v>0</v>
      </c>
      <c r="BR330" s="14">
        <f>'PEMAKAIAN UNIT'!J327</f>
        <v>0</v>
      </c>
      <c r="BS330" s="14">
        <f t="shared" si="282"/>
        <v>0</v>
      </c>
      <c r="BT330" s="15">
        <f t="shared" si="283"/>
        <v>0</v>
      </c>
      <c r="BU330" s="14">
        <f t="shared" si="284"/>
        <v>0</v>
      </c>
      <c r="BV330" s="14">
        <f>DISTRIBUSI!K328</f>
        <v>0</v>
      </c>
      <c r="BW330" s="14">
        <f>'PEMAKAIAN UNIT'!K327</f>
        <v>0</v>
      </c>
      <c r="BX330" s="14">
        <f t="shared" si="285"/>
        <v>0</v>
      </c>
      <c r="BY330" s="15">
        <f t="shared" si="286"/>
        <v>0</v>
      </c>
      <c r="BZ330" s="14">
        <f t="shared" si="287"/>
        <v>0</v>
      </c>
      <c r="CA330" s="14">
        <f>DISTRIBUSI!L328</f>
        <v>0</v>
      </c>
      <c r="CB330" s="14">
        <f>'PEMAKAIAN UNIT'!L327</f>
        <v>0</v>
      </c>
      <c r="CC330" s="14">
        <f t="shared" si="288"/>
        <v>0</v>
      </c>
      <c r="CD330" s="15">
        <f t="shared" si="289"/>
        <v>0</v>
      </c>
      <c r="CE330" s="14">
        <f t="shared" si="290"/>
        <v>0</v>
      </c>
      <c r="CF330" s="14">
        <f>DISTRIBUSI!M328</f>
        <v>0</v>
      </c>
      <c r="CG330" s="14">
        <f>'PEMAKAIAN UNIT'!M327</f>
        <v>0</v>
      </c>
      <c r="CH330" s="14">
        <f t="shared" si="291"/>
        <v>0</v>
      </c>
      <c r="CI330" s="15">
        <f t="shared" si="292"/>
        <v>0</v>
      </c>
      <c r="CJ330" s="14">
        <f t="shared" si="293"/>
        <v>0</v>
      </c>
      <c r="CK330" s="14" t="e">
        <f>DISTRIBUSI!#REF!</f>
        <v>#REF!</v>
      </c>
      <c r="CL330" s="14">
        <f>'PEMAKAIAN UNIT'!N327</f>
        <v>0</v>
      </c>
      <c r="CM330" s="14" t="e">
        <f t="shared" si="294"/>
        <v>#REF!</v>
      </c>
      <c r="CN330" s="15" t="e">
        <f t="shared" si="295"/>
        <v>#REF!</v>
      </c>
      <c r="CO330" s="14" t="e">
        <f>DL330+DISTRIBUSI!#REF!-'PEMAKAIAN UNIT'!O327</f>
        <v>#REF!</v>
      </c>
      <c r="CP330" s="15" t="e">
        <f t="shared" si="296"/>
        <v>#REF!</v>
      </c>
      <c r="CQ330" s="226">
        <f t="shared" si="297"/>
        <v>0</v>
      </c>
      <c r="CR330" s="226">
        <f>DISTRIBUSI!R328</f>
        <v>0</v>
      </c>
      <c r="CS330" s="226">
        <f>'PEMAKAIAN UNIT'!P327</f>
        <v>0</v>
      </c>
      <c r="CT330" s="14">
        <f t="shared" si="298"/>
        <v>0</v>
      </c>
      <c r="CU330" s="15">
        <f t="shared" si="299"/>
        <v>0</v>
      </c>
      <c r="CV330" s="14" t="e">
        <f>DN330+DISTRIBUSI!#REF!-'PEMAKAIAN UNIT'!Q327</f>
        <v>#REF!</v>
      </c>
      <c r="CW330" s="15" t="e">
        <f t="shared" si="300"/>
        <v>#REF!</v>
      </c>
      <c r="CX330" s="14">
        <f>DO330+'LPLPO PROGRAM'!E159-'LPLPO PROGRAM'!G159</f>
        <v>0</v>
      </c>
      <c r="CY330" s="15">
        <f t="shared" si="301"/>
        <v>0</v>
      </c>
      <c r="DA330" s="14">
        <v>0</v>
      </c>
      <c r="DB330" s="14">
        <v>0</v>
      </c>
      <c r="DC330" s="14">
        <v>0</v>
      </c>
      <c r="DD330" s="14">
        <v>0</v>
      </c>
      <c r="DE330" s="14">
        <v>0</v>
      </c>
      <c r="DF330" s="14">
        <v>0</v>
      </c>
      <c r="DG330" s="14">
        <v>0</v>
      </c>
      <c r="DH330" s="14">
        <v>0</v>
      </c>
      <c r="DI330" s="14">
        <v>0</v>
      </c>
      <c r="DJ330" s="14">
        <v>0</v>
      </c>
      <c r="DK330" s="14">
        <v>0</v>
      </c>
      <c r="DL330" s="14">
        <v>0</v>
      </c>
      <c r="DM330" s="14">
        <v>0</v>
      </c>
      <c r="DN330" s="14">
        <v>0</v>
      </c>
      <c r="DO330" s="14">
        <v>0</v>
      </c>
      <c r="DP330" s="13">
        <f t="shared" si="262"/>
        <v>0</v>
      </c>
      <c r="DU330" s="20" t="e">
        <f t="shared" si="259"/>
        <v>#REF!</v>
      </c>
    </row>
    <row r="331" spans="1:125" ht="15.5" x14ac:dyDescent="0.35">
      <c r="A331" s="205">
        <v>147</v>
      </c>
      <c r="B331" s="184"/>
      <c r="C331" s="179"/>
      <c r="D331" s="14">
        <v>0</v>
      </c>
      <c r="E331" s="254">
        <f>'LPLPO PROGRAM'!E160</f>
        <v>0</v>
      </c>
      <c r="F331" s="254">
        <f t="shared" si="302"/>
        <v>0</v>
      </c>
      <c r="G331" s="254">
        <f>'PEMAKAIAN UNIT'!R328</f>
        <v>0</v>
      </c>
      <c r="H331" s="14">
        <v>0</v>
      </c>
      <c r="I331" s="14">
        <v>0</v>
      </c>
      <c r="J331" s="14">
        <v>0</v>
      </c>
      <c r="K331" s="14"/>
      <c r="L331" s="14"/>
      <c r="M331" s="14"/>
      <c r="N331" s="14"/>
      <c r="O331" s="14"/>
      <c r="P331" s="14"/>
      <c r="Q331" s="14"/>
      <c r="R331" s="14"/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09">
        <f t="shared" si="303"/>
        <v>0</v>
      </c>
      <c r="Z331" s="109" t="e">
        <f t="shared" si="304"/>
        <v>#REF!</v>
      </c>
      <c r="AA331" s="109" t="e">
        <f t="shared" si="305"/>
        <v>#REF!</v>
      </c>
      <c r="AB331" s="14">
        <v>0</v>
      </c>
      <c r="AC331" s="109" t="e">
        <f t="shared" si="306"/>
        <v>#REF!</v>
      </c>
      <c r="AD331" s="109">
        <f>'LPLPO PROGRAM'!H160</f>
        <v>0</v>
      </c>
      <c r="AE331" s="111" t="e">
        <f t="shared" si="307"/>
        <v>#REF!</v>
      </c>
      <c r="AF331" s="212"/>
      <c r="AG331" s="212"/>
      <c r="AI331" s="14">
        <f t="shared" si="260"/>
        <v>0</v>
      </c>
      <c r="AJ331" s="209" t="e">
        <f t="shared" si="261"/>
        <v>#REF!</v>
      </c>
      <c r="AL331" s="14">
        <f t="shared" si="263"/>
        <v>0</v>
      </c>
      <c r="AM331" s="14">
        <f>DISTRIBUSI!D329</f>
        <v>0</v>
      </c>
      <c r="AN331" s="14">
        <f>'PEMAKAIAN UNIT'!D328</f>
        <v>0</v>
      </c>
      <c r="AO331" s="14">
        <f t="shared" si="264"/>
        <v>0</v>
      </c>
      <c r="AP331" s="15">
        <f t="shared" si="265"/>
        <v>0</v>
      </c>
      <c r="AQ331" s="14">
        <f t="shared" si="266"/>
        <v>0</v>
      </c>
      <c r="AR331" s="14">
        <f>DISTRIBUSI!E329</f>
        <v>0</v>
      </c>
      <c r="AS331" s="14">
        <f>'PEMAKAIAN UNIT'!E328</f>
        <v>0</v>
      </c>
      <c r="AT331" s="14">
        <f t="shared" si="267"/>
        <v>0</v>
      </c>
      <c r="AU331" s="15">
        <f t="shared" si="268"/>
        <v>0</v>
      </c>
      <c r="AV331" s="14">
        <f t="shared" si="269"/>
        <v>0</v>
      </c>
      <c r="AW331" s="14">
        <f>DISTRIBUSI!F329</f>
        <v>0</v>
      </c>
      <c r="AX331" s="14">
        <f>'PEMAKAIAN UNIT'!F328</f>
        <v>0</v>
      </c>
      <c r="AY331" s="14">
        <f t="shared" si="270"/>
        <v>0</v>
      </c>
      <c r="AZ331" s="15">
        <f t="shared" si="271"/>
        <v>0</v>
      </c>
      <c r="BA331" s="14">
        <f t="shared" si="272"/>
        <v>0</v>
      </c>
      <c r="BB331" s="14">
        <f>DISTRIBUSI!G329</f>
        <v>0</v>
      </c>
      <c r="BC331" s="14">
        <f>'PEMAKAIAN UNIT'!G328</f>
        <v>0</v>
      </c>
      <c r="BD331" s="14">
        <f t="shared" si="273"/>
        <v>0</v>
      </c>
      <c r="BE331" s="15">
        <f t="shared" si="274"/>
        <v>0</v>
      </c>
      <c r="BF331" s="14">
        <f t="shared" si="275"/>
        <v>0</v>
      </c>
      <c r="BG331" s="14">
        <f>DISTRIBUSI!H329</f>
        <v>0</v>
      </c>
      <c r="BH331" s="14">
        <f>'PEMAKAIAN UNIT'!H328</f>
        <v>0</v>
      </c>
      <c r="BI331" s="14">
        <f t="shared" si="276"/>
        <v>0</v>
      </c>
      <c r="BJ331" s="15">
        <f t="shared" si="277"/>
        <v>0</v>
      </c>
      <c r="BK331" s="14">
        <f t="shared" si="278"/>
        <v>0</v>
      </c>
      <c r="BL331" s="14">
        <f>DISTRIBUSI!I329</f>
        <v>0</v>
      </c>
      <c r="BM331" s="14">
        <f>'PEMAKAIAN UNIT'!I328</f>
        <v>0</v>
      </c>
      <c r="BN331" s="14">
        <f t="shared" si="279"/>
        <v>0</v>
      </c>
      <c r="BO331" s="15">
        <f t="shared" si="280"/>
        <v>0</v>
      </c>
      <c r="BP331" s="14">
        <f t="shared" si="281"/>
        <v>0</v>
      </c>
      <c r="BQ331" s="14">
        <f>DISTRIBUSI!J329</f>
        <v>0</v>
      </c>
      <c r="BR331" s="14">
        <f>'PEMAKAIAN UNIT'!J328</f>
        <v>0</v>
      </c>
      <c r="BS331" s="14">
        <f t="shared" si="282"/>
        <v>0</v>
      </c>
      <c r="BT331" s="15">
        <f t="shared" si="283"/>
        <v>0</v>
      </c>
      <c r="BU331" s="14">
        <f t="shared" si="284"/>
        <v>0</v>
      </c>
      <c r="BV331" s="14">
        <f>DISTRIBUSI!K329</f>
        <v>0</v>
      </c>
      <c r="BW331" s="14">
        <f>'PEMAKAIAN UNIT'!K328</f>
        <v>0</v>
      </c>
      <c r="BX331" s="14">
        <f t="shared" si="285"/>
        <v>0</v>
      </c>
      <c r="BY331" s="15">
        <f t="shared" si="286"/>
        <v>0</v>
      </c>
      <c r="BZ331" s="14">
        <f t="shared" si="287"/>
        <v>0</v>
      </c>
      <c r="CA331" s="14">
        <f>DISTRIBUSI!L329</f>
        <v>0</v>
      </c>
      <c r="CB331" s="14">
        <f>'PEMAKAIAN UNIT'!L328</f>
        <v>0</v>
      </c>
      <c r="CC331" s="14">
        <f t="shared" si="288"/>
        <v>0</v>
      </c>
      <c r="CD331" s="15">
        <f t="shared" si="289"/>
        <v>0</v>
      </c>
      <c r="CE331" s="14">
        <f t="shared" si="290"/>
        <v>0</v>
      </c>
      <c r="CF331" s="14">
        <f>DISTRIBUSI!M329</f>
        <v>0</v>
      </c>
      <c r="CG331" s="14">
        <f>'PEMAKAIAN UNIT'!M328</f>
        <v>0</v>
      </c>
      <c r="CH331" s="14">
        <f t="shared" si="291"/>
        <v>0</v>
      </c>
      <c r="CI331" s="15">
        <f t="shared" si="292"/>
        <v>0</v>
      </c>
      <c r="CJ331" s="14">
        <f t="shared" si="293"/>
        <v>0</v>
      </c>
      <c r="CK331" s="14" t="e">
        <f>DISTRIBUSI!#REF!</f>
        <v>#REF!</v>
      </c>
      <c r="CL331" s="14">
        <f>'PEMAKAIAN UNIT'!N328</f>
        <v>0</v>
      </c>
      <c r="CM331" s="14" t="e">
        <f t="shared" si="294"/>
        <v>#REF!</v>
      </c>
      <c r="CN331" s="15" t="e">
        <f t="shared" si="295"/>
        <v>#REF!</v>
      </c>
      <c r="CO331" s="14" t="e">
        <f>DL331+DISTRIBUSI!#REF!-'PEMAKAIAN UNIT'!O328</f>
        <v>#REF!</v>
      </c>
      <c r="CP331" s="15" t="e">
        <f t="shared" si="296"/>
        <v>#REF!</v>
      </c>
      <c r="CQ331" s="226">
        <f t="shared" si="297"/>
        <v>0</v>
      </c>
      <c r="CR331" s="226">
        <f>DISTRIBUSI!R329</f>
        <v>0</v>
      </c>
      <c r="CS331" s="226">
        <f>'PEMAKAIAN UNIT'!P328</f>
        <v>0</v>
      </c>
      <c r="CT331" s="14">
        <f t="shared" si="298"/>
        <v>0</v>
      </c>
      <c r="CU331" s="15">
        <f t="shared" si="299"/>
        <v>0</v>
      </c>
      <c r="CV331" s="14" t="e">
        <f>DN331+DISTRIBUSI!#REF!-'PEMAKAIAN UNIT'!Q328</f>
        <v>#REF!</v>
      </c>
      <c r="CW331" s="15" t="e">
        <f t="shared" si="300"/>
        <v>#REF!</v>
      </c>
      <c r="CX331" s="14">
        <f>DO331+'LPLPO PROGRAM'!E160-'LPLPO PROGRAM'!G160</f>
        <v>0</v>
      </c>
      <c r="CY331" s="15">
        <f t="shared" si="301"/>
        <v>0</v>
      </c>
      <c r="DA331" s="14">
        <v>0</v>
      </c>
      <c r="DB331" s="14">
        <v>0</v>
      </c>
      <c r="DC331" s="14">
        <v>0</v>
      </c>
      <c r="DD331" s="14">
        <v>0</v>
      </c>
      <c r="DE331" s="14">
        <v>0</v>
      </c>
      <c r="DF331" s="14">
        <v>0</v>
      </c>
      <c r="DG331" s="14">
        <v>0</v>
      </c>
      <c r="DH331" s="14">
        <v>0</v>
      </c>
      <c r="DI331" s="14">
        <v>0</v>
      </c>
      <c r="DJ331" s="14">
        <v>0</v>
      </c>
      <c r="DK331" s="14">
        <v>0</v>
      </c>
      <c r="DL331" s="14">
        <v>0</v>
      </c>
      <c r="DM331" s="14">
        <v>0</v>
      </c>
      <c r="DN331" s="14">
        <v>0</v>
      </c>
      <c r="DO331" s="14">
        <v>0</v>
      </c>
      <c r="DP331" s="13">
        <f t="shared" si="262"/>
        <v>0</v>
      </c>
      <c r="DU331" s="20" t="e">
        <f t="shared" si="259"/>
        <v>#REF!</v>
      </c>
    </row>
    <row r="332" spans="1:125" ht="18" x14ac:dyDescent="0.5">
      <c r="A332" s="256">
        <v>148</v>
      </c>
      <c r="B332" s="248" t="s">
        <v>435</v>
      </c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212"/>
      <c r="AG332" s="212"/>
      <c r="AI332" s="14">
        <f t="shared" si="260"/>
        <v>0</v>
      </c>
      <c r="AJ332" s="209">
        <f t="shared" si="261"/>
        <v>0</v>
      </c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  <c r="AW332" s="146"/>
      <c r="AX332" s="146"/>
      <c r="AY332" s="146"/>
      <c r="AZ332" s="146"/>
      <c r="BA332" s="146"/>
      <c r="BB332" s="146"/>
      <c r="BC332" s="146"/>
      <c r="BD332" s="146"/>
      <c r="BE332" s="146"/>
      <c r="BF332" s="146"/>
      <c r="BG332" s="146"/>
      <c r="BH332" s="146"/>
      <c r="BI332" s="146"/>
      <c r="BJ332" s="146"/>
      <c r="BK332" s="146"/>
      <c r="BL332" s="146"/>
      <c r="BM332" s="146"/>
      <c r="BN332" s="146"/>
      <c r="BO332" s="146"/>
      <c r="BP332" s="146"/>
      <c r="BQ332" s="146"/>
      <c r="BR332" s="146"/>
      <c r="BS332" s="146"/>
      <c r="BT332" s="146"/>
      <c r="BU332" s="146"/>
      <c r="BV332" s="146"/>
      <c r="BW332" s="146"/>
      <c r="BX332" s="146"/>
      <c r="BY332" s="146"/>
      <c r="BZ332" s="146"/>
      <c r="CA332" s="146"/>
      <c r="CB332" s="146"/>
      <c r="CC332" s="146"/>
      <c r="CD332" s="146"/>
      <c r="CE332" s="146"/>
      <c r="CF332" s="146"/>
      <c r="CG332" s="146"/>
      <c r="CH332" s="146"/>
      <c r="CI332" s="146"/>
      <c r="CJ332" s="146"/>
      <c r="CK332" s="146"/>
      <c r="CL332" s="146"/>
      <c r="CM332" s="146"/>
      <c r="CN332" s="146"/>
      <c r="CO332" s="146"/>
      <c r="CP332" s="146"/>
      <c r="CQ332" s="146"/>
      <c r="CR332" s="146"/>
      <c r="CS332" s="146"/>
      <c r="CT332" s="146"/>
      <c r="CU332" s="146"/>
      <c r="CV332" s="146"/>
      <c r="CW332" s="146"/>
      <c r="CX332" s="146"/>
      <c r="CY332" s="146"/>
      <c r="DA332" s="14">
        <v>0</v>
      </c>
      <c r="DB332" s="14">
        <v>0</v>
      </c>
      <c r="DC332" s="14">
        <v>0</v>
      </c>
      <c r="DD332" s="14">
        <v>0</v>
      </c>
      <c r="DE332" s="14">
        <v>0</v>
      </c>
      <c r="DF332" s="14">
        <v>0</v>
      </c>
      <c r="DG332" s="14">
        <v>0</v>
      </c>
      <c r="DH332" s="14">
        <v>0</v>
      </c>
      <c r="DI332" s="14">
        <v>0</v>
      </c>
      <c r="DJ332" s="14">
        <v>0</v>
      </c>
      <c r="DK332" s="14">
        <v>0</v>
      </c>
      <c r="DL332" s="14">
        <v>0</v>
      </c>
      <c r="DM332" s="14">
        <v>0</v>
      </c>
      <c r="DN332" s="14">
        <v>0</v>
      </c>
      <c r="DO332" s="14">
        <v>0</v>
      </c>
      <c r="DP332" s="13">
        <f t="shared" si="262"/>
        <v>0</v>
      </c>
      <c r="DU332" s="20">
        <f t="shared" si="259"/>
        <v>0</v>
      </c>
    </row>
    <row r="333" spans="1:125" ht="18" x14ac:dyDescent="0.5">
      <c r="A333" s="251">
        <v>149</v>
      </c>
      <c r="B333" s="148" t="s">
        <v>436</v>
      </c>
      <c r="C333" s="148" t="s">
        <v>6</v>
      </c>
      <c r="D333" s="14">
        <v>0</v>
      </c>
      <c r="E333" s="254">
        <f>'LPLPO PROGRAM'!E162</f>
        <v>0</v>
      </c>
      <c r="F333" s="254">
        <f t="shared" si="302"/>
        <v>0</v>
      </c>
      <c r="G333" s="254">
        <f>'PEMAKAIAN UNIT'!R330</f>
        <v>0</v>
      </c>
      <c r="H333" s="14">
        <v>0</v>
      </c>
      <c r="I333" s="14">
        <v>0</v>
      </c>
      <c r="J333" s="14">
        <v>0</v>
      </c>
      <c r="K333" s="14"/>
      <c r="L333" s="14"/>
      <c r="M333" s="14"/>
      <c r="N333" s="14"/>
      <c r="O333" s="14"/>
      <c r="P333" s="14"/>
      <c r="Q333" s="14"/>
      <c r="R333" s="14"/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09">
        <f t="shared" si="303"/>
        <v>0</v>
      </c>
      <c r="Z333" s="109" t="e">
        <f t="shared" si="304"/>
        <v>#REF!</v>
      </c>
      <c r="AA333" s="109" t="e">
        <f t="shared" si="305"/>
        <v>#REF!</v>
      </c>
      <c r="AB333" s="14">
        <v>0</v>
      </c>
      <c r="AC333" s="109" t="e">
        <f t="shared" si="306"/>
        <v>#REF!</v>
      </c>
      <c r="AD333" s="109">
        <f>'LPLPO PROGRAM'!H162</f>
        <v>0</v>
      </c>
      <c r="AE333" s="111" t="e">
        <f t="shared" si="307"/>
        <v>#REF!</v>
      </c>
      <c r="AF333" s="212"/>
      <c r="AG333" s="212"/>
      <c r="AI333" s="14">
        <f t="shared" si="260"/>
        <v>0</v>
      </c>
      <c r="AJ333" s="209" t="e">
        <f t="shared" si="261"/>
        <v>#REF!</v>
      </c>
      <c r="AL333" s="14">
        <f t="shared" si="263"/>
        <v>0</v>
      </c>
      <c r="AM333" s="14">
        <f>DISTRIBUSI!D331</f>
        <v>0</v>
      </c>
      <c r="AN333" s="14">
        <f>'PEMAKAIAN UNIT'!D330</f>
        <v>0</v>
      </c>
      <c r="AO333" s="14">
        <f t="shared" si="264"/>
        <v>0</v>
      </c>
      <c r="AP333" s="15">
        <f t="shared" si="265"/>
        <v>0</v>
      </c>
      <c r="AQ333" s="14">
        <f t="shared" si="266"/>
        <v>0</v>
      </c>
      <c r="AR333" s="14">
        <f>DISTRIBUSI!E331</f>
        <v>0</v>
      </c>
      <c r="AS333" s="14">
        <f>'PEMAKAIAN UNIT'!E330</f>
        <v>0</v>
      </c>
      <c r="AT333" s="14">
        <f t="shared" si="267"/>
        <v>0</v>
      </c>
      <c r="AU333" s="15">
        <f t="shared" si="268"/>
        <v>0</v>
      </c>
      <c r="AV333" s="14">
        <f t="shared" si="269"/>
        <v>0</v>
      </c>
      <c r="AW333" s="14">
        <f>DISTRIBUSI!F331</f>
        <v>0</v>
      </c>
      <c r="AX333" s="14">
        <f>'PEMAKAIAN UNIT'!F330</f>
        <v>0</v>
      </c>
      <c r="AY333" s="14">
        <f t="shared" si="270"/>
        <v>0</v>
      </c>
      <c r="AZ333" s="15">
        <f t="shared" si="271"/>
        <v>0</v>
      </c>
      <c r="BA333" s="14">
        <f t="shared" si="272"/>
        <v>0</v>
      </c>
      <c r="BB333" s="14">
        <f>DISTRIBUSI!G331</f>
        <v>0</v>
      </c>
      <c r="BC333" s="14">
        <f>'PEMAKAIAN UNIT'!G330</f>
        <v>0</v>
      </c>
      <c r="BD333" s="14">
        <f t="shared" si="273"/>
        <v>0</v>
      </c>
      <c r="BE333" s="15">
        <f t="shared" si="274"/>
        <v>0</v>
      </c>
      <c r="BF333" s="14">
        <f t="shared" si="275"/>
        <v>0</v>
      </c>
      <c r="BG333" s="14">
        <f>DISTRIBUSI!H331</f>
        <v>0</v>
      </c>
      <c r="BH333" s="14">
        <f>'PEMAKAIAN UNIT'!H330</f>
        <v>0</v>
      </c>
      <c r="BI333" s="14">
        <f t="shared" si="276"/>
        <v>0</v>
      </c>
      <c r="BJ333" s="15">
        <f t="shared" si="277"/>
        <v>0</v>
      </c>
      <c r="BK333" s="14">
        <f t="shared" si="278"/>
        <v>0</v>
      </c>
      <c r="BL333" s="14">
        <f>DISTRIBUSI!I331</f>
        <v>0</v>
      </c>
      <c r="BM333" s="14">
        <f>'PEMAKAIAN UNIT'!I330</f>
        <v>0</v>
      </c>
      <c r="BN333" s="14">
        <f t="shared" si="279"/>
        <v>0</v>
      </c>
      <c r="BO333" s="15">
        <f t="shared" si="280"/>
        <v>0</v>
      </c>
      <c r="BP333" s="14">
        <f t="shared" si="281"/>
        <v>0</v>
      </c>
      <c r="BQ333" s="14">
        <f>DISTRIBUSI!J331</f>
        <v>0</v>
      </c>
      <c r="BR333" s="14">
        <f>'PEMAKAIAN UNIT'!J330</f>
        <v>0</v>
      </c>
      <c r="BS333" s="14">
        <f t="shared" si="282"/>
        <v>0</v>
      </c>
      <c r="BT333" s="15">
        <f t="shared" si="283"/>
        <v>0</v>
      </c>
      <c r="BU333" s="14">
        <f t="shared" si="284"/>
        <v>0</v>
      </c>
      <c r="BV333" s="14">
        <f>DISTRIBUSI!K331</f>
        <v>0</v>
      </c>
      <c r="BW333" s="14">
        <f>'PEMAKAIAN UNIT'!K330</f>
        <v>0</v>
      </c>
      <c r="BX333" s="14">
        <f t="shared" si="285"/>
        <v>0</v>
      </c>
      <c r="BY333" s="15">
        <f t="shared" si="286"/>
        <v>0</v>
      </c>
      <c r="BZ333" s="14">
        <f t="shared" si="287"/>
        <v>0</v>
      </c>
      <c r="CA333" s="14">
        <f>DISTRIBUSI!L331</f>
        <v>0</v>
      </c>
      <c r="CB333" s="14">
        <f>'PEMAKAIAN UNIT'!L330</f>
        <v>0</v>
      </c>
      <c r="CC333" s="14">
        <f t="shared" si="288"/>
        <v>0</v>
      </c>
      <c r="CD333" s="15">
        <f t="shared" si="289"/>
        <v>0</v>
      </c>
      <c r="CE333" s="14">
        <f t="shared" si="290"/>
        <v>0</v>
      </c>
      <c r="CF333" s="14">
        <f>DISTRIBUSI!M331</f>
        <v>0</v>
      </c>
      <c r="CG333" s="14">
        <f>'PEMAKAIAN UNIT'!M330</f>
        <v>0</v>
      </c>
      <c r="CH333" s="14">
        <f t="shared" si="291"/>
        <v>0</v>
      </c>
      <c r="CI333" s="15">
        <f t="shared" si="292"/>
        <v>0</v>
      </c>
      <c r="CJ333" s="14">
        <f t="shared" si="293"/>
        <v>0</v>
      </c>
      <c r="CK333" s="14" t="e">
        <f>DISTRIBUSI!#REF!</f>
        <v>#REF!</v>
      </c>
      <c r="CL333" s="14">
        <f>'PEMAKAIAN UNIT'!N330</f>
        <v>0</v>
      </c>
      <c r="CM333" s="14" t="e">
        <f t="shared" si="294"/>
        <v>#REF!</v>
      </c>
      <c r="CN333" s="15" t="e">
        <f t="shared" si="295"/>
        <v>#REF!</v>
      </c>
      <c r="CO333" s="14" t="e">
        <f>DL333+DISTRIBUSI!#REF!-'PEMAKAIAN UNIT'!O330</f>
        <v>#REF!</v>
      </c>
      <c r="CP333" s="15" t="e">
        <f t="shared" si="296"/>
        <v>#REF!</v>
      </c>
      <c r="CQ333" s="226">
        <f t="shared" si="297"/>
        <v>0</v>
      </c>
      <c r="CR333" s="226">
        <f>DISTRIBUSI!R331</f>
        <v>0</v>
      </c>
      <c r="CS333" s="226">
        <f>'PEMAKAIAN UNIT'!P330</f>
        <v>0</v>
      </c>
      <c r="CT333" s="14">
        <f t="shared" si="298"/>
        <v>0</v>
      </c>
      <c r="CU333" s="15">
        <f t="shared" si="299"/>
        <v>0</v>
      </c>
      <c r="CV333" s="14" t="e">
        <f>DN333+DISTRIBUSI!#REF!-'PEMAKAIAN UNIT'!Q330</f>
        <v>#REF!</v>
      </c>
      <c r="CW333" s="15" t="e">
        <f t="shared" si="300"/>
        <v>#REF!</v>
      </c>
      <c r="CX333" s="14">
        <f>DO333+'LPLPO PROGRAM'!E162-'LPLPO PROGRAM'!G162</f>
        <v>0</v>
      </c>
      <c r="CY333" s="15">
        <f t="shared" si="301"/>
        <v>0</v>
      </c>
      <c r="DA333" s="14">
        <v>0</v>
      </c>
      <c r="DB333" s="14">
        <v>0</v>
      </c>
      <c r="DC333" s="14">
        <v>0</v>
      </c>
      <c r="DD333" s="14">
        <v>0</v>
      </c>
      <c r="DE333" s="14">
        <v>0</v>
      </c>
      <c r="DF333" s="14">
        <v>0</v>
      </c>
      <c r="DG333" s="14">
        <v>0</v>
      </c>
      <c r="DH333" s="14">
        <v>0</v>
      </c>
      <c r="DI333" s="14">
        <v>0</v>
      </c>
      <c r="DJ333" s="14">
        <v>0</v>
      </c>
      <c r="DK333" s="14">
        <v>0</v>
      </c>
      <c r="DL333" s="14">
        <v>0</v>
      </c>
      <c r="DM333" s="14">
        <v>0</v>
      </c>
      <c r="DN333" s="14">
        <v>0</v>
      </c>
      <c r="DO333" s="14">
        <v>0</v>
      </c>
      <c r="DP333" s="13">
        <f t="shared" si="262"/>
        <v>0</v>
      </c>
      <c r="DU333" s="20" t="e">
        <f t="shared" ref="DU333:DU336" si="308">H333+I333+J333+S333+T333+U333+V333+W333+X333+Y333+Z333+AA333+AC333</f>
        <v>#REF!</v>
      </c>
    </row>
    <row r="334" spans="1:125" ht="18" x14ac:dyDescent="0.5">
      <c r="A334" s="251">
        <v>150</v>
      </c>
      <c r="B334" s="148" t="s">
        <v>437</v>
      </c>
      <c r="C334" s="148" t="s">
        <v>6</v>
      </c>
      <c r="D334" s="14">
        <v>0</v>
      </c>
      <c r="E334" s="254">
        <f>'LPLPO PROGRAM'!E163</f>
        <v>0</v>
      </c>
      <c r="F334" s="254">
        <f t="shared" si="302"/>
        <v>0</v>
      </c>
      <c r="G334" s="254">
        <f>'PEMAKAIAN UNIT'!R331</f>
        <v>0</v>
      </c>
      <c r="H334" s="14">
        <v>0</v>
      </c>
      <c r="I334" s="14">
        <v>0</v>
      </c>
      <c r="J334" s="14">
        <v>0</v>
      </c>
      <c r="K334" s="14"/>
      <c r="L334" s="14"/>
      <c r="M334" s="14"/>
      <c r="N334" s="14"/>
      <c r="O334" s="14"/>
      <c r="P334" s="14"/>
      <c r="Q334" s="14"/>
      <c r="R334" s="14"/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09">
        <f t="shared" si="303"/>
        <v>0</v>
      </c>
      <c r="Z334" s="109" t="e">
        <f t="shared" si="304"/>
        <v>#REF!</v>
      </c>
      <c r="AA334" s="109" t="e">
        <f t="shared" si="305"/>
        <v>#REF!</v>
      </c>
      <c r="AB334" s="14">
        <v>0</v>
      </c>
      <c r="AC334" s="109" t="e">
        <f t="shared" si="306"/>
        <v>#REF!</v>
      </c>
      <c r="AD334" s="109">
        <f>'LPLPO PROGRAM'!H163</f>
        <v>0</v>
      </c>
      <c r="AE334" s="111" t="e">
        <f t="shared" si="307"/>
        <v>#REF!</v>
      </c>
      <c r="AF334" s="212"/>
      <c r="AG334" s="212"/>
      <c r="AI334" s="14">
        <f t="shared" si="260"/>
        <v>0</v>
      </c>
      <c r="AJ334" s="209" t="e">
        <f t="shared" si="261"/>
        <v>#REF!</v>
      </c>
      <c r="AL334" s="14">
        <f t="shared" si="263"/>
        <v>0</v>
      </c>
      <c r="AM334" s="14">
        <f>DISTRIBUSI!D332</f>
        <v>0</v>
      </c>
      <c r="AN334" s="14">
        <f>'PEMAKAIAN UNIT'!D331</f>
        <v>0</v>
      </c>
      <c r="AO334" s="14">
        <f t="shared" si="264"/>
        <v>0</v>
      </c>
      <c r="AP334" s="15">
        <f t="shared" si="265"/>
        <v>0</v>
      </c>
      <c r="AQ334" s="14">
        <f t="shared" si="266"/>
        <v>0</v>
      </c>
      <c r="AR334" s="14">
        <f>DISTRIBUSI!E332</f>
        <v>0</v>
      </c>
      <c r="AS334" s="14">
        <f>'PEMAKAIAN UNIT'!E331</f>
        <v>0</v>
      </c>
      <c r="AT334" s="14">
        <f t="shared" si="267"/>
        <v>0</v>
      </c>
      <c r="AU334" s="15">
        <f t="shared" si="268"/>
        <v>0</v>
      </c>
      <c r="AV334" s="14">
        <f t="shared" si="269"/>
        <v>0</v>
      </c>
      <c r="AW334" s="14">
        <f>DISTRIBUSI!F332</f>
        <v>0</v>
      </c>
      <c r="AX334" s="14">
        <f>'PEMAKAIAN UNIT'!F331</f>
        <v>0</v>
      </c>
      <c r="AY334" s="14">
        <f t="shared" si="270"/>
        <v>0</v>
      </c>
      <c r="AZ334" s="15">
        <f t="shared" si="271"/>
        <v>0</v>
      </c>
      <c r="BA334" s="14">
        <f t="shared" si="272"/>
        <v>0</v>
      </c>
      <c r="BB334" s="14">
        <f>DISTRIBUSI!G332</f>
        <v>0</v>
      </c>
      <c r="BC334" s="14">
        <f>'PEMAKAIAN UNIT'!G331</f>
        <v>0</v>
      </c>
      <c r="BD334" s="14">
        <f t="shared" si="273"/>
        <v>0</v>
      </c>
      <c r="BE334" s="15">
        <f t="shared" si="274"/>
        <v>0</v>
      </c>
      <c r="BF334" s="14">
        <f t="shared" si="275"/>
        <v>0</v>
      </c>
      <c r="BG334" s="14">
        <f>DISTRIBUSI!H332</f>
        <v>0</v>
      </c>
      <c r="BH334" s="14">
        <f>'PEMAKAIAN UNIT'!H331</f>
        <v>0</v>
      </c>
      <c r="BI334" s="14">
        <f t="shared" si="276"/>
        <v>0</v>
      </c>
      <c r="BJ334" s="15">
        <f t="shared" si="277"/>
        <v>0</v>
      </c>
      <c r="BK334" s="14">
        <f t="shared" si="278"/>
        <v>0</v>
      </c>
      <c r="BL334" s="14">
        <f>DISTRIBUSI!I332</f>
        <v>0</v>
      </c>
      <c r="BM334" s="14">
        <f>'PEMAKAIAN UNIT'!I331</f>
        <v>0</v>
      </c>
      <c r="BN334" s="14">
        <f t="shared" si="279"/>
        <v>0</v>
      </c>
      <c r="BO334" s="15">
        <f t="shared" si="280"/>
        <v>0</v>
      </c>
      <c r="BP334" s="14">
        <f t="shared" si="281"/>
        <v>0</v>
      </c>
      <c r="BQ334" s="14">
        <f>DISTRIBUSI!J332</f>
        <v>0</v>
      </c>
      <c r="BR334" s="14">
        <f>'PEMAKAIAN UNIT'!J331</f>
        <v>0</v>
      </c>
      <c r="BS334" s="14">
        <f t="shared" si="282"/>
        <v>0</v>
      </c>
      <c r="BT334" s="15">
        <f t="shared" si="283"/>
        <v>0</v>
      </c>
      <c r="BU334" s="14">
        <f t="shared" si="284"/>
        <v>0</v>
      </c>
      <c r="BV334" s="14">
        <f>DISTRIBUSI!K332</f>
        <v>0</v>
      </c>
      <c r="BW334" s="14">
        <f>'PEMAKAIAN UNIT'!K331</f>
        <v>0</v>
      </c>
      <c r="BX334" s="14">
        <f t="shared" si="285"/>
        <v>0</v>
      </c>
      <c r="BY334" s="15">
        <f t="shared" si="286"/>
        <v>0</v>
      </c>
      <c r="BZ334" s="14">
        <f t="shared" si="287"/>
        <v>0</v>
      </c>
      <c r="CA334" s="14">
        <f>DISTRIBUSI!L332</f>
        <v>0</v>
      </c>
      <c r="CB334" s="14">
        <f>'PEMAKAIAN UNIT'!L331</f>
        <v>0</v>
      </c>
      <c r="CC334" s="14">
        <f t="shared" si="288"/>
        <v>0</v>
      </c>
      <c r="CD334" s="15">
        <f t="shared" si="289"/>
        <v>0</v>
      </c>
      <c r="CE334" s="14">
        <f t="shared" si="290"/>
        <v>0</v>
      </c>
      <c r="CF334" s="14">
        <f>DISTRIBUSI!M332</f>
        <v>0</v>
      </c>
      <c r="CG334" s="14">
        <f>'PEMAKAIAN UNIT'!M331</f>
        <v>0</v>
      </c>
      <c r="CH334" s="14">
        <f t="shared" si="291"/>
        <v>0</v>
      </c>
      <c r="CI334" s="15">
        <f t="shared" si="292"/>
        <v>0</v>
      </c>
      <c r="CJ334" s="14">
        <f t="shared" si="293"/>
        <v>0</v>
      </c>
      <c r="CK334" s="14" t="e">
        <f>DISTRIBUSI!#REF!</f>
        <v>#REF!</v>
      </c>
      <c r="CL334" s="14">
        <f>'PEMAKAIAN UNIT'!N331</f>
        <v>0</v>
      </c>
      <c r="CM334" s="14" t="e">
        <f t="shared" si="294"/>
        <v>#REF!</v>
      </c>
      <c r="CN334" s="15" t="e">
        <f t="shared" si="295"/>
        <v>#REF!</v>
      </c>
      <c r="CO334" s="14" t="e">
        <f>DL334+DISTRIBUSI!#REF!-'PEMAKAIAN UNIT'!O331</f>
        <v>#REF!</v>
      </c>
      <c r="CP334" s="15" t="e">
        <f t="shared" si="296"/>
        <v>#REF!</v>
      </c>
      <c r="CQ334" s="226">
        <f t="shared" si="297"/>
        <v>0</v>
      </c>
      <c r="CR334" s="226">
        <f>DISTRIBUSI!R332</f>
        <v>0</v>
      </c>
      <c r="CS334" s="226">
        <f>'PEMAKAIAN UNIT'!P331</f>
        <v>0</v>
      </c>
      <c r="CT334" s="14">
        <f t="shared" si="298"/>
        <v>0</v>
      </c>
      <c r="CU334" s="15">
        <f t="shared" si="299"/>
        <v>0</v>
      </c>
      <c r="CV334" s="14" t="e">
        <f>DN334+DISTRIBUSI!#REF!-'PEMAKAIAN UNIT'!Q331</f>
        <v>#REF!</v>
      </c>
      <c r="CW334" s="15" t="e">
        <f t="shared" si="300"/>
        <v>#REF!</v>
      </c>
      <c r="CX334" s="14">
        <f>DO334+'LPLPO PROGRAM'!E163-'LPLPO PROGRAM'!G163</f>
        <v>0</v>
      </c>
      <c r="CY334" s="15">
        <f t="shared" si="301"/>
        <v>0</v>
      </c>
      <c r="DA334" s="14">
        <v>0</v>
      </c>
      <c r="DB334" s="14">
        <v>0</v>
      </c>
      <c r="DC334" s="14">
        <v>0</v>
      </c>
      <c r="DD334" s="14">
        <v>0</v>
      </c>
      <c r="DE334" s="14">
        <v>0</v>
      </c>
      <c r="DF334" s="14">
        <v>0</v>
      </c>
      <c r="DG334" s="14">
        <v>0</v>
      </c>
      <c r="DH334" s="14">
        <v>0</v>
      </c>
      <c r="DI334" s="14">
        <v>0</v>
      </c>
      <c r="DJ334" s="14">
        <v>0</v>
      </c>
      <c r="DK334" s="14">
        <v>0</v>
      </c>
      <c r="DL334" s="14">
        <v>0</v>
      </c>
      <c r="DM334" s="14">
        <v>0</v>
      </c>
      <c r="DN334" s="14">
        <v>0</v>
      </c>
      <c r="DO334" s="14">
        <v>0</v>
      </c>
      <c r="DP334" s="13">
        <f t="shared" si="262"/>
        <v>0</v>
      </c>
      <c r="DU334" s="20" t="e">
        <f t="shared" si="308"/>
        <v>#REF!</v>
      </c>
    </row>
    <row r="335" spans="1:125" ht="18" x14ac:dyDescent="0.5">
      <c r="A335" s="251">
        <v>151</v>
      </c>
      <c r="B335" s="148" t="s">
        <v>438</v>
      </c>
      <c r="C335" s="148" t="s">
        <v>6</v>
      </c>
      <c r="D335" s="14">
        <v>0</v>
      </c>
      <c r="E335" s="254">
        <f>'LPLPO PROGRAM'!E164</f>
        <v>0</v>
      </c>
      <c r="F335" s="254">
        <f t="shared" si="302"/>
        <v>0</v>
      </c>
      <c r="G335" s="254">
        <f>'PEMAKAIAN UNIT'!R332</f>
        <v>0</v>
      </c>
      <c r="H335" s="14">
        <v>0</v>
      </c>
      <c r="I335" s="14">
        <v>0</v>
      </c>
      <c r="J335" s="14">
        <v>0</v>
      </c>
      <c r="K335" s="14"/>
      <c r="L335" s="14"/>
      <c r="M335" s="14"/>
      <c r="N335" s="14"/>
      <c r="O335" s="14"/>
      <c r="P335" s="14"/>
      <c r="Q335" s="14"/>
      <c r="R335" s="14"/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09">
        <f t="shared" si="303"/>
        <v>0</v>
      </c>
      <c r="Z335" s="109" t="e">
        <f t="shared" si="304"/>
        <v>#REF!</v>
      </c>
      <c r="AA335" s="109" t="e">
        <f t="shared" si="305"/>
        <v>#REF!</v>
      </c>
      <c r="AB335" s="14">
        <v>0</v>
      </c>
      <c r="AC335" s="109" t="e">
        <f t="shared" si="306"/>
        <v>#REF!</v>
      </c>
      <c r="AD335" s="109">
        <f>'LPLPO PROGRAM'!H164</f>
        <v>0</v>
      </c>
      <c r="AE335" s="111" t="e">
        <f t="shared" si="307"/>
        <v>#REF!</v>
      </c>
      <c r="AF335" s="212"/>
      <c r="AG335" s="212"/>
      <c r="AI335" s="14">
        <f t="shared" si="260"/>
        <v>0</v>
      </c>
      <c r="AJ335" s="209" t="e">
        <f t="shared" si="261"/>
        <v>#REF!</v>
      </c>
      <c r="AL335" s="14">
        <f t="shared" si="263"/>
        <v>0</v>
      </c>
      <c r="AM335" s="14">
        <f>DISTRIBUSI!D333</f>
        <v>0</v>
      </c>
      <c r="AN335" s="14">
        <f>'PEMAKAIAN UNIT'!D332</f>
        <v>0</v>
      </c>
      <c r="AO335" s="14">
        <f t="shared" si="264"/>
        <v>0</v>
      </c>
      <c r="AP335" s="15">
        <f t="shared" si="265"/>
        <v>0</v>
      </c>
      <c r="AQ335" s="14">
        <f t="shared" si="266"/>
        <v>0</v>
      </c>
      <c r="AR335" s="14">
        <f>DISTRIBUSI!E333</f>
        <v>0</v>
      </c>
      <c r="AS335" s="14">
        <f>'PEMAKAIAN UNIT'!E332</f>
        <v>0</v>
      </c>
      <c r="AT335" s="14">
        <f t="shared" si="267"/>
        <v>0</v>
      </c>
      <c r="AU335" s="15">
        <f t="shared" si="268"/>
        <v>0</v>
      </c>
      <c r="AV335" s="14">
        <f t="shared" si="269"/>
        <v>0</v>
      </c>
      <c r="AW335" s="14">
        <f>DISTRIBUSI!F333</f>
        <v>0</v>
      </c>
      <c r="AX335" s="14">
        <f>'PEMAKAIAN UNIT'!F332</f>
        <v>0</v>
      </c>
      <c r="AY335" s="14">
        <f t="shared" si="270"/>
        <v>0</v>
      </c>
      <c r="AZ335" s="15">
        <f t="shared" si="271"/>
        <v>0</v>
      </c>
      <c r="BA335" s="14">
        <f t="shared" si="272"/>
        <v>0</v>
      </c>
      <c r="BB335" s="14">
        <f>DISTRIBUSI!G333</f>
        <v>0</v>
      </c>
      <c r="BC335" s="14">
        <f>'PEMAKAIAN UNIT'!G332</f>
        <v>0</v>
      </c>
      <c r="BD335" s="14">
        <f t="shared" si="273"/>
        <v>0</v>
      </c>
      <c r="BE335" s="15">
        <f t="shared" si="274"/>
        <v>0</v>
      </c>
      <c r="BF335" s="14">
        <f t="shared" si="275"/>
        <v>0</v>
      </c>
      <c r="BG335" s="14">
        <f>DISTRIBUSI!H333</f>
        <v>0</v>
      </c>
      <c r="BH335" s="14">
        <f>'PEMAKAIAN UNIT'!H332</f>
        <v>0</v>
      </c>
      <c r="BI335" s="14">
        <f t="shared" si="276"/>
        <v>0</v>
      </c>
      <c r="BJ335" s="15">
        <f t="shared" si="277"/>
        <v>0</v>
      </c>
      <c r="BK335" s="14">
        <f t="shared" si="278"/>
        <v>0</v>
      </c>
      <c r="BL335" s="14">
        <f>DISTRIBUSI!I333</f>
        <v>0</v>
      </c>
      <c r="BM335" s="14">
        <f>'PEMAKAIAN UNIT'!I332</f>
        <v>0</v>
      </c>
      <c r="BN335" s="14">
        <f t="shared" si="279"/>
        <v>0</v>
      </c>
      <c r="BO335" s="15">
        <f t="shared" si="280"/>
        <v>0</v>
      </c>
      <c r="BP335" s="14">
        <f t="shared" si="281"/>
        <v>0</v>
      </c>
      <c r="BQ335" s="14">
        <f>DISTRIBUSI!J333</f>
        <v>0</v>
      </c>
      <c r="BR335" s="14">
        <f>'PEMAKAIAN UNIT'!J332</f>
        <v>0</v>
      </c>
      <c r="BS335" s="14">
        <f t="shared" si="282"/>
        <v>0</v>
      </c>
      <c r="BT335" s="15">
        <f t="shared" si="283"/>
        <v>0</v>
      </c>
      <c r="BU335" s="14">
        <f t="shared" si="284"/>
        <v>0</v>
      </c>
      <c r="BV335" s="14">
        <f>DISTRIBUSI!K333</f>
        <v>0</v>
      </c>
      <c r="BW335" s="14">
        <f>'PEMAKAIAN UNIT'!K332</f>
        <v>0</v>
      </c>
      <c r="BX335" s="14">
        <f t="shared" si="285"/>
        <v>0</v>
      </c>
      <c r="BY335" s="15">
        <f t="shared" si="286"/>
        <v>0</v>
      </c>
      <c r="BZ335" s="14">
        <f t="shared" si="287"/>
        <v>0</v>
      </c>
      <c r="CA335" s="14">
        <f>DISTRIBUSI!L333</f>
        <v>0</v>
      </c>
      <c r="CB335" s="14">
        <f>'PEMAKAIAN UNIT'!L332</f>
        <v>0</v>
      </c>
      <c r="CC335" s="14">
        <f t="shared" si="288"/>
        <v>0</v>
      </c>
      <c r="CD335" s="15">
        <f t="shared" si="289"/>
        <v>0</v>
      </c>
      <c r="CE335" s="14">
        <f t="shared" si="290"/>
        <v>0</v>
      </c>
      <c r="CF335" s="14">
        <f>DISTRIBUSI!M333</f>
        <v>0</v>
      </c>
      <c r="CG335" s="14">
        <f>'PEMAKAIAN UNIT'!M332</f>
        <v>0</v>
      </c>
      <c r="CH335" s="14">
        <f t="shared" si="291"/>
        <v>0</v>
      </c>
      <c r="CI335" s="15">
        <f t="shared" si="292"/>
        <v>0</v>
      </c>
      <c r="CJ335" s="14">
        <f t="shared" si="293"/>
        <v>0</v>
      </c>
      <c r="CK335" s="14" t="e">
        <f>DISTRIBUSI!#REF!</f>
        <v>#REF!</v>
      </c>
      <c r="CL335" s="14">
        <f>'PEMAKAIAN UNIT'!N332</f>
        <v>0</v>
      </c>
      <c r="CM335" s="14" t="e">
        <f t="shared" si="294"/>
        <v>#REF!</v>
      </c>
      <c r="CN335" s="15" t="e">
        <f t="shared" si="295"/>
        <v>#REF!</v>
      </c>
      <c r="CO335" s="14" t="e">
        <f>DL335+DISTRIBUSI!#REF!-'PEMAKAIAN UNIT'!O332</f>
        <v>#REF!</v>
      </c>
      <c r="CP335" s="15" t="e">
        <f t="shared" si="296"/>
        <v>#REF!</v>
      </c>
      <c r="CQ335" s="226">
        <f t="shared" si="297"/>
        <v>0</v>
      </c>
      <c r="CR335" s="226">
        <f>DISTRIBUSI!R333</f>
        <v>0</v>
      </c>
      <c r="CS335" s="226">
        <f>'PEMAKAIAN UNIT'!P332</f>
        <v>0</v>
      </c>
      <c r="CT335" s="14">
        <f t="shared" si="298"/>
        <v>0</v>
      </c>
      <c r="CU335" s="15">
        <f t="shared" si="299"/>
        <v>0</v>
      </c>
      <c r="CV335" s="14" t="e">
        <f>DN335+DISTRIBUSI!#REF!-'PEMAKAIAN UNIT'!Q332</f>
        <v>#REF!</v>
      </c>
      <c r="CW335" s="15" t="e">
        <f t="shared" si="300"/>
        <v>#REF!</v>
      </c>
      <c r="CX335" s="14">
        <f>DO335+'LPLPO PROGRAM'!E164-'LPLPO PROGRAM'!G164</f>
        <v>0</v>
      </c>
      <c r="CY335" s="15">
        <f t="shared" si="301"/>
        <v>0</v>
      </c>
      <c r="DA335" s="14">
        <v>0</v>
      </c>
      <c r="DB335" s="14">
        <v>0</v>
      </c>
      <c r="DC335" s="14">
        <v>0</v>
      </c>
      <c r="DD335" s="14">
        <v>0</v>
      </c>
      <c r="DE335" s="14">
        <v>0</v>
      </c>
      <c r="DF335" s="14">
        <v>0</v>
      </c>
      <c r="DG335" s="14">
        <v>0</v>
      </c>
      <c r="DH335" s="14">
        <v>0</v>
      </c>
      <c r="DI335" s="14">
        <v>0</v>
      </c>
      <c r="DJ335" s="14">
        <v>0</v>
      </c>
      <c r="DK335" s="14">
        <v>0</v>
      </c>
      <c r="DL335" s="14">
        <v>0</v>
      </c>
      <c r="DM335" s="14">
        <v>0</v>
      </c>
      <c r="DN335" s="14">
        <v>0</v>
      </c>
      <c r="DO335" s="14">
        <v>0</v>
      </c>
      <c r="DP335" s="13">
        <f t="shared" si="262"/>
        <v>0</v>
      </c>
      <c r="DU335" s="20" t="e">
        <f t="shared" si="308"/>
        <v>#REF!</v>
      </c>
    </row>
    <row r="336" spans="1:125" ht="18" x14ac:dyDescent="0.5">
      <c r="A336" s="251">
        <v>152</v>
      </c>
      <c r="B336" s="148" t="s">
        <v>439</v>
      </c>
      <c r="C336" s="148" t="s">
        <v>6</v>
      </c>
      <c r="D336" s="14">
        <v>0</v>
      </c>
      <c r="E336" s="254">
        <f>'LPLPO PROGRAM'!E165</f>
        <v>0</v>
      </c>
      <c r="F336" s="254">
        <f t="shared" si="302"/>
        <v>0</v>
      </c>
      <c r="G336" s="254">
        <f>'PEMAKAIAN UNIT'!R333</f>
        <v>0</v>
      </c>
      <c r="H336" s="14">
        <v>0</v>
      </c>
      <c r="I336" s="14">
        <v>0</v>
      </c>
      <c r="J336" s="14">
        <v>0</v>
      </c>
      <c r="K336" s="14"/>
      <c r="L336" s="14"/>
      <c r="M336" s="14"/>
      <c r="N336" s="14"/>
      <c r="O336" s="14"/>
      <c r="P336" s="14"/>
      <c r="Q336" s="14"/>
      <c r="R336" s="14"/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09">
        <f t="shared" si="303"/>
        <v>0</v>
      </c>
      <c r="Z336" s="109" t="e">
        <f t="shared" si="304"/>
        <v>#REF!</v>
      </c>
      <c r="AA336" s="109" t="e">
        <f t="shared" si="305"/>
        <v>#REF!</v>
      </c>
      <c r="AB336" s="14">
        <v>0</v>
      </c>
      <c r="AC336" s="109" t="e">
        <f t="shared" si="306"/>
        <v>#REF!</v>
      </c>
      <c r="AD336" s="109">
        <f>'LPLPO PROGRAM'!H165</f>
        <v>0</v>
      </c>
      <c r="AE336" s="111" t="e">
        <f t="shared" si="307"/>
        <v>#REF!</v>
      </c>
      <c r="AF336" s="212"/>
      <c r="AG336" s="212"/>
      <c r="AI336" s="14">
        <f t="shared" si="260"/>
        <v>0</v>
      </c>
      <c r="AJ336" s="209" t="e">
        <f t="shared" si="261"/>
        <v>#REF!</v>
      </c>
      <c r="AL336" s="14">
        <f t="shared" si="263"/>
        <v>0</v>
      </c>
      <c r="AM336" s="14">
        <f>DISTRIBUSI!D334</f>
        <v>0</v>
      </c>
      <c r="AN336" s="14">
        <f>'PEMAKAIAN UNIT'!D333</f>
        <v>0</v>
      </c>
      <c r="AO336" s="14">
        <f t="shared" si="264"/>
        <v>0</v>
      </c>
      <c r="AP336" s="15">
        <f t="shared" si="265"/>
        <v>0</v>
      </c>
      <c r="AQ336" s="14">
        <f t="shared" si="266"/>
        <v>0</v>
      </c>
      <c r="AR336" s="14">
        <f>DISTRIBUSI!E334</f>
        <v>0</v>
      </c>
      <c r="AS336" s="14">
        <f>'PEMAKAIAN UNIT'!E333</f>
        <v>0</v>
      </c>
      <c r="AT336" s="14">
        <f t="shared" si="267"/>
        <v>0</v>
      </c>
      <c r="AU336" s="15">
        <f t="shared" si="268"/>
        <v>0</v>
      </c>
      <c r="AV336" s="14">
        <f t="shared" si="269"/>
        <v>0</v>
      </c>
      <c r="AW336" s="14">
        <f>DISTRIBUSI!F334</f>
        <v>0</v>
      </c>
      <c r="AX336" s="14">
        <f>'PEMAKAIAN UNIT'!F333</f>
        <v>0</v>
      </c>
      <c r="AY336" s="14">
        <f t="shared" si="270"/>
        <v>0</v>
      </c>
      <c r="AZ336" s="15">
        <f t="shared" si="271"/>
        <v>0</v>
      </c>
      <c r="BA336" s="14">
        <f t="shared" si="272"/>
        <v>0</v>
      </c>
      <c r="BB336" s="14">
        <f>DISTRIBUSI!G334</f>
        <v>0</v>
      </c>
      <c r="BC336" s="14">
        <f>'PEMAKAIAN UNIT'!G333</f>
        <v>0</v>
      </c>
      <c r="BD336" s="14">
        <f t="shared" si="273"/>
        <v>0</v>
      </c>
      <c r="BE336" s="15">
        <f t="shared" si="274"/>
        <v>0</v>
      </c>
      <c r="BF336" s="14">
        <f t="shared" si="275"/>
        <v>0</v>
      </c>
      <c r="BG336" s="14">
        <f>DISTRIBUSI!H334</f>
        <v>0</v>
      </c>
      <c r="BH336" s="14">
        <f>'PEMAKAIAN UNIT'!H333</f>
        <v>0</v>
      </c>
      <c r="BI336" s="14">
        <f t="shared" si="276"/>
        <v>0</v>
      </c>
      <c r="BJ336" s="15">
        <f t="shared" si="277"/>
        <v>0</v>
      </c>
      <c r="BK336" s="14">
        <f t="shared" si="278"/>
        <v>0</v>
      </c>
      <c r="BL336" s="14">
        <f>DISTRIBUSI!I334</f>
        <v>0</v>
      </c>
      <c r="BM336" s="14">
        <f>'PEMAKAIAN UNIT'!I333</f>
        <v>0</v>
      </c>
      <c r="BN336" s="14">
        <f t="shared" si="279"/>
        <v>0</v>
      </c>
      <c r="BO336" s="15">
        <f t="shared" si="280"/>
        <v>0</v>
      </c>
      <c r="BP336" s="14">
        <f t="shared" si="281"/>
        <v>0</v>
      </c>
      <c r="BQ336" s="14">
        <f>DISTRIBUSI!J334</f>
        <v>0</v>
      </c>
      <c r="BR336" s="14">
        <f>'PEMAKAIAN UNIT'!J333</f>
        <v>0</v>
      </c>
      <c r="BS336" s="14">
        <f t="shared" si="282"/>
        <v>0</v>
      </c>
      <c r="BT336" s="15">
        <f t="shared" si="283"/>
        <v>0</v>
      </c>
      <c r="BU336" s="14">
        <f t="shared" si="284"/>
        <v>0</v>
      </c>
      <c r="BV336" s="14">
        <f>DISTRIBUSI!K334</f>
        <v>0</v>
      </c>
      <c r="BW336" s="14">
        <f>'PEMAKAIAN UNIT'!K333</f>
        <v>0</v>
      </c>
      <c r="BX336" s="14">
        <f t="shared" si="285"/>
        <v>0</v>
      </c>
      <c r="BY336" s="15">
        <f t="shared" si="286"/>
        <v>0</v>
      </c>
      <c r="BZ336" s="14">
        <f t="shared" si="287"/>
        <v>0</v>
      </c>
      <c r="CA336" s="14">
        <f>DISTRIBUSI!L334</f>
        <v>0</v>
      </c>
      <c r="CB336" s="14">
        <f>'PEMAKAIAN UNIT'!L333</f>
        <v>0</v>
      </c>
      <c r="CC336" s="14">
        <f t="shared" si="288"/>
        <v>0</v>
      </c>
      <c r="CD336" s="15">
        <f t="shared" si="289"/>
        <v>0</v>
      </c>
      <c r="CE336" s="14">
        <f t="shared" si="290"/>
        <v>0</v>
      </c>
      <c r="CF336" s="14">
        <f>DISTRIBUSI!M334</f>
        <v>0</v>
      </c>
      <c r="CG336" s="14">
        <f>'PEMAKAIAN UNIT'!M333</f>
        <v>0</v>
      </c>
      <c r="CH336" s="14">
        <f t="shared" si="291"/>
        <v>0</v>
      </c>
      <c r="CI336" s="15">
        <f t="shared" si="292"/>
        <v>0</v>
      </c>
      <c r="CJ336" s="14">
        <f t="shared" si="293"/>
        <v>0</v>
      </c>
      <c r="CK336" s="14" t="e">
        <f>DISTRIBUSI!#REF!</f>
        <v>#REF!</v>
      </c>
      <c r="CL336" s="14">
        <f>'PEMAKAIAN UNIT'!N333</f>
        <v>0</v>
      </c>
      <c r="CM336" s="14" t="e">
        <f t="shared" si="294"/>
        <v>#REF!</v>
      </c>
      <c r="CN336" s="15" t="e">
        <f t="shared" si="295"/>
        <v>#REF!</v>
      </c>
      <c r="CO336" s="14" t="e">
        <f>DL336+DISTRIBUSI!#REF!-'PEMAKAIAN UNIT'!O333</f>
        <v>#REF!</v>
      </c>
      <c r="CP336" s="15" t="e">
        <f t="shared" si="296"/>
        <v>#REF!</v>
      </c>
      <c r="CQ336" s="226">
        <f t="shared" si="297"/>
        <v>0</v>
      </c>
      <c r="CR336" s="226">
        <f>DISTRIBUSI!R334</f>
        <v>0</v>
      </c>
      <c r="CS336" s="226">
        <f>'PEMAKAIAN UNIT'!P333</f>
        <v>0</v>
      </c>
      <c r="CT336" s="14">
        <f t="shared" si="298"/>
        <v>0</v>
      </c>
      <c r="CU336" s="15">
        <f t="shared" si="299"/>
        <v>0</v>
      </c>
      <c r="CV336" s="14" t="e">
        <f>DN336+DISTRIBUSI!#REF!-'PEMAKAIAN UNIT'!Q333</f>
        <v>#REF!</v>
      </c>
      <c r="CW336" s="15" t="e">
        <f t="shared" si="300"/>
        <v>#REF!</v>
      </c>
      <c r="CX336" s="14">
        <f>DO336+'LPLPO PROGRAM'!E165-'LPLPO PROGRAM'!G165</f>
        <v>0</v>
      </c>
      <c r="CY336" s="15">
        <f t="shared" si="301"/>
        <v>0</v>
      </c>
      <c r="DA336" s="14">
        <v>0</v>
      </c>
      <c r="DB336" s="14">
        <v>0</v>
      </c>
      <c r="DC336" s="14">
        <v>0</v>
      </c>
      <c r="DD336" s="14">
        <v>0</v>
      </c>
      <c r="DE336" s="14">
        <v>0</v>
      </c>
      <c r="DF336" s="14">
        <v>0</v>
      </c>
      <c r="DG336" s="14">
        <v>0</v>
      </c>
      <c r="DH336" s="14">
        <v>0</v>
      </c>
      <c r="DI336" s="14">
        <v>0</v>
      </c>
      <c r="DJ336" s="14">
        <v>0</v>
      </c>
      <c r="DK336" s="14">
        <v>0</v>
      </c>
      <c r="DL336" s="14">
        <v>0</v>
      </c>
      <c r="DM336" s="14">
        <v>0</v>
      </c>
      <c r="DN336" s="14">
        <v>0</v>
      </c>
      <c r="DO336" s="14">
        <v>0</v>
      </c>
      <c r="DP336" s="13">
        <f t="shared" si="262"/>
        <v>0</v>
      </c>
      <c r="DU336" s="20" t="e">
        <f t="shared" si="308"/>
        <v>#REF!</v>
      </c>
    </row>
    <row r="337" spans="1:119" ht="18" x14ac:dyDescent="0.5">
      <c r="A337" s="251">
        <v>153</v>
      </c>
      <c r="B337" s="148" t="s">
        <v>440</v>
      </c>
      <c r="C337" s="148" t="s">
        <v>6</v>
      </c>
      <c r="D337" s="14">
        <v>0</v>
      </c>
      <c r="E337" s="254">
        <f>'LPLPO PROGRAM'!E166</f>
        <v>0</v>
      </c>
      <c r="F337" s="254">
        <f t="shared" si="302"/>
        <v>0</v>
      </c>
      <c r="G337" s="254">
        <f>'PEMAKAIAN UNIT'!R334</f>
        <v>0</v>
      </c>
      <c r="H337" s="14">
        <v>0</v>
      </c>
      <c r="I337" s="14">
        <v>0</v>
      </c>
      <c r="J337" s="14">
        <v>0</v>
      </c>
      <c r="K337" s="14"/>
      <c r="L337" s="14"/>
      <c r="M337" s="14"/>
      <c r="N337" s="14"/>
      <c r="O337" s="14"/>
      <c r="P337" s="14"/>
      <c r="Q337" s="14"/>
      <c r="R337" s="14"/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09">
        <f t="shared" si="303"/>
        <v>0</v>
      </c>
      <c r="Z337" s="109" t="e">
        <f t="shared" si="304"/>
        <v>#REF!</v>
      </c>
      <c r="AA337" s="109" t="e">
        <f t="shared" si="305"/>
        <v>#REF!</v>
      </c>
      <c r="AB337" s="14">
        <v>0</v>
      </c>
      <c r="AC337" s="109" t="e">
        <f t="shared" si="306"/>
        <v>#REF!</v>
      </c>
      <c r="AD337" s="109">
        <f>'LPLPO PROGRAM'!H166</f>
        <v>0</v>
      </c>
      <c r="AE337" s="111" t="e">
        <f t="shared" si="307"/>
        <v>#REF!</v>
      </c>
      <c r="AI337" s="14">
        <f t="shared" si="260"/>
        <v>0</v>
      </c>
      <c r="AJ337" s="209" t="e">
        <f t="shared" si="261"/>
        <v>#REF!</v>
      </c>
      <c r="AL337" s="14">
        <f t="shared" si="263"/>
        <v>0</v>
      </c>
      <c r="AM337" s="14">
        <f>DISTRIBUSI!D335</f>
        <v>0</v>
      </c>
      <c r="AN337" s="14">
        <f>'PEMAKAIAN UNIT'!D334</f>
        <v>0</v>
      </c>
      <c r="AO337" s="14">
        <f t="shared" si="264"/>
        <v>0</v>
      </c>
      <c r="AP337" s="15">
        <f t="shared" si="265"/>
        <v>0</v>
      </c>
      <c r="AQ337" s="14">
        <f t="shared" si="266"/>
        <v>0</v>
      </c>
      <c r="AR337" s="14">
        <f>DISTRIBUSI!E335</f>
        <v>0</v>
      </c>
      <c r="AS337" s="14">
        <f>'PEMAKAIAN UNIT'!E334</f>
        <v>0</v>
      </c>
      <c r="AT337" s="14">
        <f t="shared" si="267"/>
        <v>0</v>
      </c>
      <c r="AU337" s="15">
        <f t="shared" si="268"/>
        <v>0</v>
      </c>
      <c r="AV337" s="14">
        <f t="shared" si="269"/>
        <v>0</v>
      </c>
      <c r="AW337" s="14">
        <f>DISTRIBUSI!F335</f>
        <v>0</v>
      </c>
      <c r="AX337" s="14">
        <f>'PEMAKAIAN UNIT'!F334</f>
        <v>0</v>
      </c>
      <c r="AY337" s="14">
        <f t="shared" si="270"/>
        <v>0</v>
      </c>
      <c r="AZ337" s="15">
        <f t="shared" si="271"/>
        <v>0</v>
      </c>
      <c r="BA337" s="14">
        <f t="shared" si="272"/>
        <v>0</v>
      </c>
      <c r="BB337" s="14">
        <f>DISTRIBUSI!G335</f>
        <v>0</v>
      </c>
      <c r="BC337" s="14">
        <f>'PEMAKAIAN UNIT'!G334</f>
        <v>0</v>
      </c>
      <c r="BD337" s="14">
        <f t="shared" si="273"/>
        <v>0</v>
      </c>
      <c r="BE337" s="15">
        <f t="shared" si="274"/>
        <v>0</v>
      </c>
      <c r="BF337" s="14">
        <f t="shared" si="275"/>
        <v>0</v>
      </c>
      <c r="BG337" s="14">
        <f>DISTRIBUSI!H335</f>
        <v>0</v>
      </c>
      <c r="BH337" s="14">
        <f>'PEMAKAIAN UNIT'!H334</f>
        <v>0</v>
      </c>
      <c r="BI337" s="14">
        <f t="shared" si="276"/>
        <v>0</v>
      </c>
      <c r="BJ337" s="15">
        <f t="shared" si="277"/>
        <v>0</v>
      </c>
      <c r="BK337" s="14">
        <f t="shared" si="278"/>
        <v>0</v>
      </c>
      <c r="BL337" s="14">
        <f>DISTRIBUSI!I335</f>
        <v>0</v>
      </c>
      <c r="BM337" s="14">
        <f>'PEMAKAIAN UNIT'!I334</f>
        <v>0</v>
      </c>
      <c r="BN337" s="14">
        <f t="shared" si="279"/>
        <v>0</v>
      </c>
      <c r="BO337" s="15">
        <f t="shared" si="280"/>
        <v>0</v>
      </c>
      <c r="BP337" s="14">
        <f t="shared" si="281"/>
        <v>0</v>
      </c>
      <c r="BQ337" s="14">
        <f>DISTRIBUSI!J335</f>
        <v>0</v>
      </c>
      <c r="BR337" s="14">
        <f>'PEMAKAIAN UNIT'!J334</f>
        <v>0</v>
      </c>
      <c r="BS337" s="14">
        <f t="shared" si="282"/>
        <v>0</v>
      </c>
      <c r="BT337" s="15">
        <f t="shared" si="283"/>
        <v>0</v>
      </c>
      <c r="BU337" s="14">
        <f t="shared" si="284"/>
        <v>0</v>
      </c>
      <c r="BV337" s="14">
        <f>DISTRIBUSI!K335</f>
        <v>0</v>
      </c>
      <c r="BW337" s="14">
        <f>'PEMAKAIAN UNIT'!K334</f>
        <v>0</v>
      </c>
      <c r="BX337" s="14">
        <f t="shared" si="285"/>
        <v>0</v>
      </c>
      <c r="BY337" s="15">
        <f t="shared" si="286"/>
        <v>0</v>
      </c>
      <c r="BZ337" s="14">
        <f t="shared" si="287"/>
        <v>0</v>
      </c>
      <c r="CA337" s="14">
        <f>DISTRIBUSI!L335</f>
        <v>0</v>
      </c>
      <c r="CB337" s="14">
        <f>'PEMAKAIAN UNIT'!L334</f>
        <v>0</v>
      </c>
      <c r="CC337" s="14">
        <f t="shared" si="288"/>
        <v>0</v>
      </c>
      <c r="CD337" s="15">
        <f t="shared" si="289"/>
        <v>0</v>
      </c>
      <c r="CE337" s="14">
        <f t="shared" si="290"/>
        <v>0</v>
      </c>
      <c r="CF337" s="14">
        <f>DISTRIBUSI!M335</f>
        <v>0</v>
      </c>
      <c r="CG337" s="14">
        <f>'PEMAKAIAN UNIT'!M334</f>
        <v>0</v>
      </c>
      <c r="CH337" s="14">
        <f t="shared" si="291"/>
        <v>0</v>
      </c>
      <c r="CI337" s="15">
        <f t="shared" si="292"/>
        <v>0</v>
      </c>
      <c r="CJ337" s="14">
        <f t="shared" si="293"/>
        <v>0</v>
      </c>
      <c r="CK337" s="14" t="e">
        <f>DISTRIBUSI!#REF!</f>
        <v>#REF!</v>
      </c>
      <c r="CL337" s="14">
        <f>'PEMAKAIAN UNIT'!N334</f>
        <v>0</v>
      </c>
      <c r="CM337" s="14" t="e">
        <f t="shared" si="294"/>
        <v>#REF!</v>
      </c>
      <c r="CN337" s="15" t="e">
        <f t="shared" si="295"/>
        <v>#REF!</v>
      </c>
      <c r="CO337" s="14" t="e">
        <f>DL337+DISTRIBUSI!#REF!-'PEMAKAIAN UNIT'!O334</f>
        <v>#REF!</v>
      </c>
      <c r="CP337" s="15" t="e">
        <f t="shared" si="296"/>
        <v>#REF!</v>
      </c>
      <c r="CQ337" s="226">
        <f t="shared" si="297"/>
        <v>0</v>
      </c>
      <c r="CR337" s="226">
        <f>DISTRIBUSI!R335</f>
        <v>0</v>
      </c>
      <c r="CS337" s="226">
        <f>'PEMAKAIAN UNIT'!P334</f>
        <v>0</v>
      </c>
      <c r="CT337" s="14">
        <f t="shared" si="298"/>
        <v>0</v>
      </c>
      <c r="CU337" s="15">
        <f t="shared" si="299"/>
        <v>0</v>
      </c>
      <c r="CV337" s="14" t="e">
        <f>DN337+DISTRIBUSI!#REF!-'PEMAKAIAN UNIT'!Q334</f>
        <v>#REF!</v>
      </c>
      <c r="CW337" s="15" t="e">
        <f t="shared" si="300"/>
        <v>#REF!</v>
      </c>
      <c r="CX337" s="14">
        <f>DO337+'LPLPO PROGRAM'!E166-'LPLPO PROGRAM'!G166</f>
        <v>0</v>
      </c>
      <c r="CY337" s="15">
        <f t="shared" si="301"/>
        <v>0</v>
      </c>
      <c r="DA337" s="14">
        <v>0</v>
      </c>
      <c r="DB337" s="14">
        <v>0</v>
      </c>
      <c r="DC337" s="14">
        <v>0</v>
      </c>
      <c r="DD337" s="14">
        <v>0</v>
      </c>
      <c r="DE337" s="14">
        <v>0</v>
      </c>
      <c r="DF337" s="14">
        <v>0</v>
      </c>
      <c r="DG337" s="14">
        <v>0</v>
      </c>
      <c r="DH337" s="14">
        <v>0</v>
      </c>
      <c r="DI337" s="14">
        <v>0</v>
      </c>
      <c r="DJ337" s="14">
        <v>0</v>
      </c>
      <c r="DK337" s="14">
        <v>0</v>
      </c>
      <c r="DL337" s="14">
        <v>0</v>
      </c>
      <c r="DM337" s="14">
        <v>0</v>
      </c>
      <c r="DN337" s="14">
        <v>0</v>
      </c>
      <c r="DO337" s="14">
        <v>0</v>
      </c>
    </row>
    <row r="338" spans="1:119" ht="18" x14ac:dyDescent="0.5">
      <c r="A338" s="251">
        <v>154</v>
      </c>
      <c r="B338" s="148" t="s">
        <v>441</v>
      </c>
      <c r="C338" s="148" t="s">
        <v>6</v>
      </c>
      <c r="D338" s="14">
        <v>0</v>
      </c>
      <c r="E338" s="254">
        <f>'LPLPO PROGRAM'!E167</f>
        <v>0</v>
      </c>
      <c r="F338" s="254">
        <f t="shared" si="302"/>
        <v>0</v>
      </c>
      <c r="G338" s="254">
        <f>'PEMAKAIAN UNIT'!R335</f>
        <v>0</v>
      </c>
      <c r="H338" s="14">
        <v>0</v>
      </c>
      <c r="I338" s="14">
        <v>0</v>
      </c>
      <c r="J338" s="14">
        <v>0</v>
      </c>
      <c r="K338" s="14"/>
      <c r="L338" s="14"/>
      <c r="M338" s="14"/>
      <c r="N338" s="14"/>
      <c r="O338" s="14"/>
      <c r="P338" s="14"/>
      <c r="Q338" s="14"/>
      <c r="R338" s="14"/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09">
        <f t="shared" si="303"/>
        <v>0</v>
      </c>
      <c r="Z338" s="109" t="e">
        <f t="shared" si="304"/>
        <v>#REF!</v>
      </c>
      <c r="AA338" s="109" t="e">
        <f t="shared" si="305"/>
        <v>#REF!</v>
      </c>
      <c r="AB338" s="14">
        <v>0</v>
      </c>
      <c r="AC338" s="109" t="e">
        <f t="shared" si="306"/>
        <v>#REF!</v>
      </c>
      <c r="AD338" s="109">
        <f>'LPLPO PROGRAM'!H167</f>
        <v>0</v>
      </c>
      <c r="AE338" s="111" t="e">
        <f t="shared" si="307"/>
        <v>#REF!</v>
      </c>
      <c r="AL338" s="14">
        <f t="shared" si="263"/>
        <v>0</v>
      </c>
      <c r="AM338" s="14">
        <f>DISTRIBUSI!D336</f>
        <v>0</v>
      </c>
      <c r="AN338" s="14">
        <f>'PEMAKAIAN UNIT'!D335</f>
        <v>0</v>
      </c>
      <c r="AO338" s="14">
        <f t="shared" si="264"/>
        <v>0</v>
      </c>
      <c r="AP338" s="15">
        <f t="shared" si="265"/>
        <v>0</v>
      </c>
      <c r="AQ338" s="14">
        <f t="shared" si="266"/>
        <v>0</v>
      </c>
      <c r="AR338" s="14">
        <f>DISTRIBUSI!E336</f>
        <v>0</v>
      </c>
      <c r="AS338" s="14">
        <f>'PEMAKAIAN UNIT'!E335</f>
        <v>0</v>
      </c>
      <c r="AT338" s="14">
        <f t="shared" si="267"/>
        <v>0</v>
      </c>
      <c r="AU338" s="15">
        <f t="shared" si="268"/>
        <v>0</v>
      </c>
      <c r="AV338" s="14">
        <f t="shared" si="269"/>
        <v>0</v>
      </c>
      <c r="AW338" s="14">
        <f>DISTRIBUSI!F336</f>
        <v>0</v>
      </c>
      <c r="AX338" s="14">
        <f>'PEMAKAIAN UNIT'!F335</f>
        <v>0</v>
      </c>
      <c r="AY338" s="14">
        <f t="shared" si="270"/>
        <v>0</v>
      </c>
      <c r="AZ338" s="15">
        <f t="shared" si="271"/>
        <v>0</v>
      </c>
      <c r="BA338" s="14">
        <f t="shared" si="272"/>
        <v>0</v>
      </c>
      <c r="BB338" s="14">
        <f>DISTRIBUSI!G336</f>
        <v>0</v>
      </c>
      <c r="BC338" s="14">
        <f>'PEMAKAIAN UNIT'!G335</f>
        <v>0</v>
      </c>
      <c r="BD338" s="14">
        <f t="shared" si="273"/>
        <v>0</v>
      </c>
      <c r="BE338" s="15">
        <f t="shared" si="274"/>
        <v>0</v>
      </c>
      <c r="BF338" s="14">
        <f t="shared" si="275"/>
        <v>0</v>
      </c>
      <c r="BG338" s="14">
        <f>DISTRIBUSI!H336</f>
        <v>0</v>
      </c>
      <c r="BH338" s="14">
        <f>'PEMAKAIAN UNIT'!H335</f>
        <v>0</v>
      </c>
      <c r="BI338" s="14">
        <f t="shared" si="276"/>
        <v>0</v>
      </c>
      <c r="BJ338" s="15">
        <f t="shared" si="277"/>
        <v>0</v>
      </c>
      <c r="BK338" s="14">
        <f t="shared" si="278"/>
        <v>0</v>
      </c>
      <c r="BL338" s="14">
        <f>DISTRIBUSI!I336</f>
        <v>0</v>
      </c>
      <c r="BM338" s="14">
        <f>'PEMAKAIAN UNIT'!I335</f>
        <v>0</v>
      </c>
      <c r="BN338" s="14">
        <f t="shared" si="279"/>
        <v>0</v>
      </c>
      <c r="BO338" s="15">
        <f t="shared" si="280"/>
        <v>0</v>
      </c>
      <c r="BP338" s="14">
        <f t="shared" si="281"/>
        <v>0</v>
      </c>
      <c r="BQ338" s="14">
        <f>DISTRIBUSI!J336</f>
        <v>0</v>
      </c>
      <c r="BR338" s="14">
        <f>'PEMAKAIAN UNIT'!J335</f>
        <v>0</v>
      </c>
      <c r="BS338" s="14">
        <f t="shared" si="282"/>
        <v>0</v>
      </c>
      <c r="BT338" s="15">
        <f t="shared" si="283"/>
        <v>0</v>
      </c>
      <c r="BU338" s="14">
        <f t="shared" si="284"/>
        <v>0</v>
      </c>
      <c r="BV338" s="14">
        <f>DISTRIBUSI!K336</f>
        <v>0</v>
      </c>
      <c r="BW338" s="14">
        <f>'PEMAKAIAN UNIT'!K335</f>
        <v>0</v>
      </c>
      <c r="BX338" s="14">
        <f t="shared" si="285"/>
        <v>0</v>
      </c>
      <c r="BY338" s="15">
        <f t="shared" si="286"/>
        <v>0</v>
      </c>
      <c r="BZ338" s="14">
        <f t="shared" si="287"/>
        <v>0</v>
      </c>
      <c r="CA338" s="14">
        <f>DISTRIBUSI!L336</f>
        <v>0</v>
      </c>
      <c r="CB338" s="14">
        <f>'PEMAKAIAN UNIT'!L335</f>
        <v>0</v>
      </c>
      <c r="CC338" s="14">
        <f t="shared" si="288"/>
        <v>0</v>
      </c>
      <c r="CD338" s="15">
        <f t="shared" si="289"/>
        <v>0</v>
      </c>
      <c r="CE338" s="14">
        <f t="shared" si="290"/>
        <v>0</v>
      </c>
      <c r="CF338" s="14">
        <f>DISTRIBUSI!M336</f>
        <v>0</v>
      </c>
      <c r="CG338" s="14">
        <f>'PEMAKAIAN UNIT'!M335</f>
        <v>0</v>
      </c>
      <c r="CH338" s="14">
        <f t="shared" si="291"/>
        <v>0</v>
      </c>
      <c r="CI338" s="15">
        <f t="shared" si="292"/>
        <v>0</v>
      </c>
      <c r="CJ338" s="14">
        <f t="shared" si="293"/>
        <v>0</v>
      </c>
      <c r="CK338" s="14" t="e">
        <f>DISTRIBUSI!#REF!</f>
        <v>#REF!</v>
      </c>
      <c r="CL338" s="14">
        <f>'PEMAKAIAN UNIT'!N335</f>
        <v>0</v>
      </c>
      <c r="CM338" s="14" t="e">
        <f t="shared" si="294"/>
        <v>#REF!</v>
      </c>
      <c r="CN338" s="15" t="e">
        <f t="shared" si="295"/>
        <v>#REF!</v>
      </c>
      <c r="CO338" s="14" t="e">
        <f>DL338+DISTRIBUSI!#REF!-'PEMAKAIAN UNIT'!O335</f>
        <v>#REF!</v>
      </c>
      <c r="CP338" s="15" t="e">
        <f t="shared" si="296"/>
        <v>#REF!</v>
      </c>
      <c r="CQ338" s="226">
        <f t="shared" si="297"/>
        <v>0</v>
      </c>
      <c r="CR338" s="226">
        <f>DISTRIBUSI!R336</f>
        <v>0</v>
      </c>
      <c r="CS338" s="226">
        <f>'PEMAKAIAN UNIT'!P335</f>
        <v>0</v>
      </c>
      <c r="CT338" s="14">
        <f t="shared" si="298"/>
        <v>0</v>
      </c>
      <c r="CU338" s="15">
        <f t="shared" si="299"/>
        <v>0</v>
      </c>
      <c r="CV338" s="14" t="e">
        <f>DN338+DISTRIBUSI!#REF!-'PEMAKAIAN UNIT'!Q335</f>
        <v>#REF!</v>
      </c>
      <c r="CW338" s="15" t="e">
        <f t="shared" si="300"/>
        <v>#REF!</v>
      </c>
      <c r="CX338" s="14">
        <f>DO338+'LPLPO PROGRAM'!E167-'LPLPO PROGRAM'!G167</f>
        <v>0</v>
      </c>
      <c r="CY338" s="15">
        <f t="shared" si="301"/>
        <v>0</v>
      </c>
      <c r="DA338" s="14">
        <v>0</v>
      </c>
      <c r="DB338" s="14">
        <v>0</v>
      </c>
      <c r="DC338" s="14">
        <v>0</v>
      </c>
      <c r="DD338" s="14">
        <v>0</v>
      </c>
      <c r="DE338" s="14">
        <v>0</v>
      </c>
      <c r="DF338" s="14">
        <v>0</v>
      </c>
      <c r="DG338" s="14">
        <v>0</v>
      </c>
      <c r="DH338" s="14">
        <v>0</v>
      </c>
      <c r="DI338" s="14">
        <v>0</v>
      </c>
      <c r="DJ338" s="14">
        <v>0</v>
      </c>
      <c r="DK338" s="14">
        <v>0</v>
      </c>
      <c r="DL338" s="14">
        <v>0</v>
      </c>
      <c r="DM338" s="14">
        <v>0</v>
      </c>
      <c r="DN338" s="14">
        <v>0</v>
      </c>
      <c r="DO338" s="14">
        <v>0</v>
      </c>
    </row>
    <row r="339" spans="1:119" ht="18" x14ac:dyDescent="0.5">
      <c r="A339" s="251">
        <v>155</v>
      </c>
      <c r="B339" s="148" t="s">
        <v>442</v>
      </c>
      <c r="C339" s="148" t="s">
        <v>6</v>
      </c>
      <c r="D339" s="14">
        <v>0</v>
      </c>
      <c r="E339" s="254">
        <f>'LPLPO PROGRAM'!E168</f>
        <v>0</v>
      </c>
      <c r="F339" s="254">
        <f t="shared" si="302"/>
        <v>0</v>
      </c>
      <c r="G339" s="254">
        <f>'PEMAKAIAN UNIT'!R336</f>
        <v>0</v>
      </c>
      <c r="H339" s="14">
        <v>0</v>
      </c>
      <c r="I339" s="14">
        <v>0</v>
      </c>
      <c r="J339" s="14">
        <v>0</v>
      </c>
      <c r="K339" s="14"/>
      <c r="L339" s="14"/>
      <c r="M339" s="14"/>
      <c r="N339" s="14"/>
      <c r="O339" s="14"/>
      <c r="P339" s="14"/>
      <c r="Q339" s="14"/>
      <c r="R339" s="14"/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09">
        <f t="shared" si="303"/>
        <v>0</v>
      </c>
      <c r="Z339" s="109" t="e">
        <f t="shared" si="304"/>
        <v>#REF!</v>
      </c>
      <c r="AA339" s="109" t="e">
        <f t="shared" si="305"/>
        <v>#REF!</v>
      </c>
      <c r="AB339" s="14">
        <v>0</v>
      </c>
      <c r="AC339" s="109" t="e">
        <f t="shared" si="306"/>
        <v>#REF!</v>
      </c>
      <c r="AD339" s="109">
        <f>'LPLPO PROGRAM'!H168</f>
        <v>0</v>
      </c>
      <c r="AE339" s="111" t="e">
        <f t="shared" si="307"/>
        <v>#REF!</v>
      </c>
      <c r="AL339" s="14">
        <f t="shared" si="263"/>
        <v>0</v>
      </c>
      <c r="AM339" s="14">
        <f>DISTRIBUSI!D337</f>
        <v>0</v>
      </c>
      <c r="AN339" s="14">
        <f>'PEMAKAIAN UNIT'!D336</f>
        <v>0</v>
      </c>
      <c r="AO339" s="14">
        <f t="shared" si="264"/>
        <v>0</v>
      </c>
      <c r="AP339" s="15">
        <f t="shared" si="265"/>
        <v>0</v>
      </c>
      <c r="AQ339" s="14">
        <f t="shared" si="266"/>
        <v>0</v>
      </c>
      <c r="AR339" s="14">
        <f>DISTRIBUSI!E337</f>
        <v>0</v>
      </c>
      <c r="AS339" s="14">
        <f>'PEMAKAIAN UNIT'!E336</f>
        <v>0</v>
      </c>
      <c r="AT339" s="14">
        <f t="shared" si="267"/>
        <v>0</v>
      </c>
      <c r="AU339" s="15">
        <f t="shared" si="268"/>
        <v>0</v>
      </c>
      <c r="AV339" s="14">
        <f t="shared" si="269"/>
        <v>0</v>
      </c>
      <c r="AW339" s="14">
        <f>DISTRIBUSI!F337</f>
        <v>0</v>
      </c>
      <c r="AX339" s="14">
        <f>'PEMAKAIAN UNIT'!F336</f>
        <v>0</v>
      </c>
      <c r="AY339" s="14">
        <f t="shared" si="270"/>
        <v>0</v>
      </c>
      <c r="AZ339" s="15">
        <f t="shared" si="271"/>
        <v>0</v>
      </c>
      <c r="BA339" s="14">
        <f t="shared" si="272"/>
        <v>0</v>
      </c>
      <c r="BB339" s="14">
        <f>DISTRIBUSI!G337</f>
        <v>0</v>
      </c>
      <c r="BC339" s="14">
        <f>'PEMAKAIAN UNIT'!G336</f>
        <v>0</v>
      </c>
      <c r="BD339" s="14">
        <f t="shared" si="273"/>
        <v>0</v>
      </c>
      <c r="BE339" s="15">
        <f t="shared" si="274"/>
        <v>0</v>
      </c>
      <c r="BF339" s="14">
        <f t="shared" si="275"/>
        <v>0</v>
      </c>
      <c r="BG339" s="14">
        <f>DISTRIBUSI!H337</f>
        <v>0</v>
      </c>
      <c r="BH339" s="14">
        <f>'PEMAKAIAN UNIT'!H336</f>
        <v>0</v>
      </c>
      <c r="BI339" s="14">
        <f t="shared" si="276"/>
        <v>0</v>
      </c>
      <c r="BJ339" s="15">
        <f t="shared" si="277"/>
        <v>0</v>
      </c>
      <c r="BK339" s="14">
        <f t="shared" si="278"/>
        <v>0</v>
      </c>
      <c r="BL339" s="14">
        <f>DISTRIBUSI!I337</f>
        <v>0</v>
      </c>
      <c r="BM339" s="14">
        <f>'PEMAKAIAN UNIT'!I336</f>
        <v>0</v>
      </c>
      <c r="BN339" s="14">
        <f t="shared" si="279"/>
        <v>0</v>
      </c>
      <c r="BO339" s="15">
        <f t="shared" si="280"/>
        <v>0</v>
      </c>
      <c r="BP339" s="14">
        <f t="shared" si="281"/>
        <v>0</v>
      </c>
      <c r="BQ339" s="14">
        <f>DISTRIBUSI!J337</f>
        <v>0</v>
      </c>
      <c r="BR339" s="14">
        <f>'PEMAKAIAN UNIT'!J336</f>
        <v>0</v>
      </c>
      <c r="BS339" s="14">
        <f t="shared" si="282"/>
        <v>0</v>
      </c>
      <c r="BT339" s="15">
        <f t="shared" si="283"/>
        <v>0</v>
      </c>
      <c r="BU339" s="14">
        <f t="shared" si="284"/>
        <v>0</v>
      </c>
      <c r="BV339" s="14">
        <f>DISTRIBUSI!K337</f>
        <v>0</v>
      </c>
      <c r="BW339" s="14">
        <f>'PEMAKAIAN UNIT'!K336</f>
        <v>0</v>
      </c>
      <c r="BX339" s="14">
        <f t="shared" si="285"/>
        <v>0</v>
      </c>
      <c r="BY339" s="15">
        <f t="shared" si="286"/>
        <v>0</v>
      </c>
      <c r="BZ339" s="14">
        <f t="shared" si="287"/>
        <v>0</v>
      </c>
      <c r="CA339" s="14">
        <f>DISTRIBUSI!L337</f>
        <v>0</v>
      </c>
      <c r="CB339" s="14">
        <f>'PEMAKAIAN UNIT'!L336</f>
        <v>0</v>
      </c>
      <c r="CC339" s="14">
        <f t="shared" si="288"/>
        <v>0</v>
      </c>
      <c r="CD339" s="15">
        <f t="shared" si="289"/>
        <v>0</v>
      </c>
      <c r="CE339" s="14">
        <f t="shared" si="290"/>
        <v>0</v>
      </c>
      <c r="CF339" s="14">
        <f>DISTRIBUSI!M337</f>
        <v>0</v>
      </c>
      <c r="CG339" s="14">
        <f>'PEMAKAIAN UNIT'!M336</f>
        <v>0</v>
      </c>
      <c r="CH339" s="14">
        <f t="shared" si="291"/>
        <v>0</v>
      </c>
      <c r="CI339" s="15">
        <f t="shared" si="292"/>
        <v>0</v>
      </c>
      <c r="CJ339" s="14">
        <f t="shared" si="293"/>
        <v>0</v>
      </c>
      <c r="CK339" s="14" t="e">
        <f>DISTRIBUSI!#REF!</f>
        <v>#REF!</v>
      </c>
      <c r="CL339" s="14">
        <f>'PEMAKAIAN UNIT'!N336</f>
        <v>0</v>
      </c>
      <c r="CM339" s="14" t="e">
        <f t="shared" si="294"/>
        <v>#REF!</v>
      </c>
      <c r="CN339" s="15" t="e">
        <f t="shared" si="295"/>
        <v>#REF!</v>
      </c>
      <c r="CO339" s="14" t="e">
        <f>DL339+DISTRIBUSI!#REF!-'PEMAKAIAN UNIT'!O336</f>
        <v>#REF!</v>
      </c>
      <c r="CP339" s="15" t="e">
        <f t="shared" si="296"/>
        <v>#REF!</v>
      </c>
      <c r="CQ339" s="226">
        <f t="shared" si="297"/>
        <v>0</v>
      </c>
      <c r="CR339" s="226">
        <f>DISTRIBUSI!R337</f>
        <v>0</v>
      </c>
      <c r="CS339" s="226">
        <f>'PEMAKAIAN UNIT'!P336</f>
        <v>0</v>
      </c>
      <c r="CT339" s="14">
        <f t="shared" si="298"/>
        <v>0</v>
      </c>
      <c r="CU339" s="15">
        <f t="shared" si="299"/>
        <v>0</v>
      </c>
      <c r="CV339" s="14" t="e">
        <f>DN339+DISTRIBUSI!#REF!-'PEMAKAIAN UNIT'!Q336</f>
        <v>#REF!</v>
      </c>
      <c r="CW339" s="15" t="e">
        <f t="shared" si="300"/>
        <v>#REF!</v>
      </c>
      <c r="CX339" s="14">
        <f>DO339+'LPLPO PROGRAM'!E168-'LPLPO PROGRAM'!G168</f>
        <v>0</v>
      </c>
      <c r="CY339" s="15">
        <f t="shared" si="301"/>
        <v>0</v>
      </c>
      <c r="DA339" s="14">
        <v>0</v>
      </c>
      <c r="DB339" s="14">
        <v>0</v>
      </c>
      <c r="DC339" s="14">
        <v>0</v>
      </c>
      <c r="DD339" s="14">
        <v>0</v>
      </c>
      <c r="DE339" s="14">
        <v>0</v>
      </c>
      <c r="DF339" s="14">
        <v>0</v>
      </c>
      <c r="DG339" s="14">
        <v>0</v>
      </c>
      <c r="DH339" s="14">
        <v>0</v>
      </c>
      <c r="DI339" s="14">
        <v>0</v>
      </c>
      <c r="DJ339" s="14">
        <v>0</v>
      </c>
      <c r="DK339" s="14">
        <v>0</v>
      </c>
      <c r="DL339" s="14">
        <v>0</v>
      </c>
      <c r="DM339" s="14">
        <v>0</v>
      </c>
      <c r="DN339" s="14">
        <v>0</v>
      </c>
      <c r="DO339" s="14">
        <v>0</v>
      </c>
    </row>
    <row r="340" spans="1:119" ht="18" x14ac:dyDescent="0.5">
      <c r="A340" s="251">
        <v>156</v>
      </c>
      <c r="B340" s="148"/>
      <c r="C340" s="148"/>
      <c r="D340" s="14">
        <v>0</v>
      </c>
      <c r="E340" s="254">
        <f>'LPLPO PROGRAM'!E169</f>
        <v>0</v>
      </c>
      <c r="F340" s="254">
        <f t="shared" si="302"/>
        <v>0</v>
      </c>
      <c r="G340" s="254">
        <f>'PEMAKAIAN UNIT'!R337</f>
        <v>0</v>
      </c>
      <c r="H340" s="14">
        <v>0</v>
      </c>
      <c r="I340" s="14">
        <v>0</v>
      </c>
      <c r="J340" s="14">
        <v>0</v>
      </c>
      <c r="K340" s="14"/>
      <c r="L340" s="14"/>
      <c r="M340" s="14"/>
      <c r="N340" s="14"/>
      <c r="O340" s="14"/>
      <c r="P340" s="14"/>
      <c r="Q340" s="14"/>
      <c r="R340" s="14"/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09">
        <f t="shared" si="303"/>
        <v>0</v>
      </c>
      <c r="Z340" s="109" t="e">
        <f t="shared" si="304"/>
        <v>#REF!</v>
      </c>
      <c r="AA340" s="109" t="e">
        <f t="shared" si="305"/>
        <v>#REF!</v>
      </c>
      <c r="AB340" s="14">
        <v>0</v>
      </c>
      <c r="AC340" s="109" t="e">
        <f t="shared" si="306"/>
        <v>#REF!</v>
      </c>
      <c r="AD340" s="109">
        <f>'LPLPO PROGRAM'!H169</f>
        <v>0</v>
      </c>
      <c r="AE340" s="111" t="e">
        <f t="shared" si="307"/>
        <v>#REF!</v>
      </c>
      <c r="AL340" s="14">
        <f t="shared" si="263"/>
        <v>0</v>
      </c>
      <c r="AM340" s="14">
        <f>DISTRIBUSI!D338</f>
        <v>0</v>
      </c>
      <c r="AN340" s="14">
        <f>'PEMAKAIAN UNIT'!D337</f>
        <v>0</v>
      </c>
      <c r="AO340" s="14">
        <f t="shared" si="264"/>
        <v>0</v>
      </c>
      <c r="AP340" s="15">
        <f t="shared" si="265"/>
        <v>0</v>
      </c>
      <c r="AQ340" s="14">
        <f t="shared" si="266"/>
        <v>0</v>
      </c>
      <c r="AR340" s="14">
        <f>DISTRIBUSI!E338</f>
        <v>0</v>
      </c>
      <c r="AS340" s="14">
        <f>'PEMAKAIAN UNIT'!E337</f>
        <v>0</v>
      </c>
      <c r="AT340" s="14">
        <f t="shared" si="267"/>
        <v>0</v>
      </c>
      <c r="AU340" s="15">
        <f t="shared" si="268"/>
        <v>0</v>
      </c>
      <c r="AV340" s="14">
        <f t="shared" si="269"/>
        <v>0</v>
      </c>
      <c r="AW340" s="14">
        <f>DISTRIBUSI!F338</f>
        <v>0</v>
      </c>
      <c r="AX340" s="14">
        <f>'PEMAKAIAN UNIT'!F337</f>
        <v>0</v>
      </c>
      <c r="AY340" s="14">
        <f t="shared" si="270"/>
        <v>0</v>
      </c>
      <c r="AZ340" s="15">
        <f t="shared" si="271"/>
        <v>0</v>
      </c>
      <c r="BA340" s="14">
        <f t="shared" si="272"/>
        <v>0</v>
      </c>
      <c r="BB340" s="14">
        <f>DISTRIBUSI!G338</f>
        <v>0</v>
      </c>
      <c r="BC340" s="14">
        <f>'PEMAKAIAN UNIT'!G337</f>
        <v>0</v>
      </c>
      <c r="BD340" s="14">
        <f t="shared" si="273"/>
        <v>0</v>
      </c>
      <c r="BE340" s="15">
        <f t="shared" si="274"/>
        <v>0</v>
      </c>
      <c r="BF340" s="14">
        <f t="shared" si="275"/>
        <v>0</v>
      </c>
      <c r="BG340" s="14">
        <f>DISTRIBUSI!H338</f>
        <v>0</v>
      </c>
      <c r="BH340" s="14">
        <f>'PEMAKAIAN UNIT'!H337</f>
        <v>0</v>
      </c>
      <c r="BI340" s="14">
        <f t="shared" si="276"/>
        <v>0</v>
      </c>
      <c r="BJ340" s="15">
        <f t="shared" si="277"/>
        <v>0</v>
      </c>
      <c r="BK340" s="14">
        <f t="shared" si="278"/>
        <v>0</v>
      </c>
      <c r="BL340" s="14">
        <f>DISTRIBUSI!I338</f>
        <v>0</v>
      </c>
      <c r="BM340" s="14">
        <f>'PEMAKAIAN UNIT'!I337</f>
        <v>0</v>
      </c>
      <c r="BN340" s="14">
        <f t="shared" si="279"/>
        <v>0</v>
      </c>
      <c r="BO340" s="15">
        <f t="shared" si="280"/>
        <v>0</v>
      </c>
      <c r="BP340" s="14">
        <f t="shared" si="281"/>
        <v>0</v>
      </c>
      <c r="BQ340" s="14">
        <f>DISTRIBUSI!J338</f>
        <v>0</v>
      </c>
      <c r="BR340" s="14">
        <f>'PEMAKAIAN UNIT'!J337</f>
        <v>0</v>
      </c>
      <c r="BS340" s="14">
        <f t="shared" si="282"/>
        <v>0</v>
      </c>
      <c r="BT340" s="15">
        <f t="shared" si="283"/>
        <v>0</v>
      </c>
      <c r="BU340" s="14">
        <f t="shared" si="284"/>
        <v>0</v>
      </c>
      <c r="BV340" s="14">
        <f>DISTRIBUSI!K338</f>
        <v>0</v>
      </c>
      <c r="BW340" s="14">
        <f>'PEMAKAIAN UNIT'!K337</f>
        <v>0</v>
      </c>
      <c r="BX340" s="14">
        <f t="shared" si="285"/>
        <v>0</v>
      </c>
      <c r="BY340" s="15">
        <f t="shared" si="286"/>
        <v>0</v>
      </c>
      <c r="BZ340" s="14">
        <f t="shared" si="287"/>
        <v>0</v>
      </c>
      <c r="CA340" s="14">
        <f>DISTRIBUSI!L338</f>
        <v>0</v>
      </c>
      <c r="CB340" s="14">
        <f>'PEMAKAIAN UNIT'!L337</f>
        <v>0</v>
      </c>
      <c r="CC340" s="14">
        <f t="shared" si="288"/>
        <v>0</v>
      </c>
      <c r="CD340" s="15">
        <f t="shared" si="289"/>
        <v>0</v>
      </c>
      <c r="CE340" s="14">
        <f t="shared" si="290"/>
        <v>0</v>
      </c>
      <c r="CF340" s="14">
        <f>DISTRIBUSI!M338</f>
        <v>0</v>
      </c>
      <c r="CG340" s="14">
        <f>'PEMAKAIAN UNIT'!M337</f>
        <v>0</v>
      </c>
      <c r="CH340" s="14">
        <f t="shared" si="291"/>
        <v>0</v>
      </c>
      <c r="CI340" s="15">
        <f t="shared" si="292"/>
        <v>0</v>
      </c>
      <c r="CJ340" s="14">
        <f t="shared" si="293"/>
        <v>0</v>
      </c>
      <c r="CK340" s="14" t="e">
        <f>DISTRIBUSI!#REF!</f>
        <v>#REF!</v>
      </c>
      <c r="CL340" s="14">
        <f>'PEMAKAIAN UNIT'!N337</f>
        <v>0</v>
      </c>
      <c r="CM340" s="14" t="e">
        <f t="shared" si="294"/>
        <v>#REF!</v>
      </c>
      <c r="CN340" s="15" t="e">
        <f t="shared" si="295"/>
        <v>#REF!</v>
      </c>
      <c r="CO340" s="14" t="e">
        <f>DL340+DISTRIBUSI!#REF!-'PEMAKAIAN UNIT'!O337</f>
        <v>#REF!</v>
      </c>
      <c r="CP340" s="15" t="e">
        <f t="shared" si="296"/>
        <v>#REF!</v>
      </c>
      <c r="CQ340" s="226">
        <f t="shared" si="297"/>
        <v>0</v>
      </c>
      <c r="CR340" s="226">
        <f>DISTRIBUSI!R338</f>
        <v>0</v>
      </c>
      <c r="CS340" s="226">
        <f>'PEMAKAIAN UNIT'!P337</f>
        <v>0</v>
      </c>
      <c r="CT340" s="14">
        <f t="shared" si="298"/>
        <v>0</v>
      </c>
      <c r="CU340" s="15">
        <f t="shared" si="299"/>
        <v>0</v>
      </c>
      <c r="CV340" s="14" t="e">
        <f>DN340+DISTRIBUSI!#REF!-'PEMAKAIAN UNIT'!Q337</f>
        <v>#REF!</v>
      </c>
      <c r="CW340" s="15" t="e">
        <f t="shared" si="300"/>
        <v>#REF!</v>
      </c>
      <c r="CX340" s="14">
        <f>DO340+'LPLPO PROGRAM'!E169-'LPLPO PROGRAM'!G169</f>
        <v>0</v>
      </c>
      <c r="CY340" s="15">
        <f t="shared" si="301"/>
        <v>0</v>
      </c>
      <c r="DA340" s="14">
        <v>0</v>
      </c>
      <c r="DB340" s="14">
        <v>0</v>
      </c>
      <c r="DC340" s="14">
        <v>0</v>
      </c>
      <c r="DD340" s="14">
        <v>0</v>
      </c>
      <c r="DE340" s="14">
        <v>0</v>
      </c>
      <c r="DF340" s="14">
        <v>0</v>
      </c>
      <c r="DG340" s="14">
        <v>0</v>
      </c>
      <c r="DH340" s="14">
        <v>0</v>
      </c>
      <c r="DI340" s="14">
        <v>0</v>
      </c>
      <c r="DJ340" s="14">
        <v>0</v>
      </c>
      <c r="DK340" s="14">
        <v>0</v>
      </c>
      <c r="DL340" s="14">
        <v>0</v>
      </c>
      <c r="DM340" s="14">
        <v>0</v>
      </c>
      <c r="DN340" s="14">
        <v>0</v>
      </c>
      <c r="DO340" s="14">
        <v>0</v>
      </c>
    </row>
    <row r="341" spans="1:119" ht="18" x14ac:dyDescent="0.5">
      <c r="A341" s="251">
        <v>157</v>
      </c>
      <c r="B341" s="148"/>
      <c r="C341" s="148"/>
      <c r="D341" s="14">
        <v>0</v>
      </c>
      <c r="E341" s="254">
        <f>'LPLPO PROGRAM'!E170</f>
        <v>0</v>
      </c>
      <c r="F341" s="254">
        <f t="shared" si="302"/>
        <v>0</v>
      </c>
      <c r="G341" s="254">
        <f>'PEMAKAIAN UNIT'!R338</f>
        <v>0</v>
      </c>
      <c r="H341" s="14">
        <v>0</v>
      </c>
      <c r="I341" s="14">
        <v>0</v>
      </c>
      <c r="J341" s="14">
        <v>0</v>
      </c>
      <c r="K341" s="14"/>
      <c r="L341" s="14"/>
      <c r="M341" s="14"/>
      <c r="N341" s="14"/>
      <c r="O341" s="14"/>
      <c r="P341" s="14"/>
      <c r="Q341" s="14"/>
      <c r="R341" s="14"/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09">
        <f t="shared" si="303"/>
        <v>0</v>
      </c>
      <c r="Z341" s="109" t="e">
        <f t="shared" si="304"/>
        <v>#REF!</v>
      </c>
      <c r="AA341" s="109" t="e">
        <f t="shared" si="305"/>
        <v>#REF!</v>
      </c>
      <c r="AB341" s="14">
        <v>0</v>
      </c>
      <c r="AC341" s="109" t="e">
        <f t="shared" si="306"/>
        <v>#REF!</v>
      </c>
      <c r="AD341" s="109">
        <f>'LPLPO PROGRAM'!H170</f>
        <v>0</v>
      </c>
      <c r="AE341" s="111" t="e">
        <f t="shared" si="307"/>
        <v>#REF!</v>
      </c>
      <c r="AL341" s="14">
        <f t="shared" si="263"/>
        <v>0</v>
      </c>
      <c r="AM341" s="14">
        <f>DISTRIBUSI!D339</f>
        <v>0</v>
      </c>
      <c r="AN341" s="14">
        <f>'PEMAKAIAN UNIT'!D338</f>
        <v>0</v>
      </c>
      <c r="AO341" s="14">
        <f t="shared" si="264"/>
        <v>0</v>
      </c>
      <c r="AP341" s="15">
        <f t="shared" si="265"/>
        <v>0</v>
      </c>
      <c r="AQ341" s="14">
        <f t="shared" si="266"/>
        <v>0</v>
      </c>
      <c r="AR341" s="14">
        <f>DISTRIBUSI!E339</f>
        <v>0</v>
      </c>
      <c r="AS341" s="14">
        <f>'PEMAKAIAN UNIT'!E338</f>
        <v>0</v>
      </c>
      <c r="AT341" s="14">
        <f t="shared" si="267"/>
        <v>0</v>
      </c>
      <c r="AU341" s="15">
        <f t="shared" si="268"/>
        <v>0</v>
      </c>
      <c r="AV341" s="14">
        <f t="shared" si="269"/>
        <v>0</v>
      </c>
      <c r="AW341" s="14">
        <f>DISTRIBUSI!F339</f>
        <v>0</v>
      </c>
      <c r="AX341" s="14">
        <f>'PEMAKAIAN UNIT'!F338</f>
        <v>0</v>
      </c>
      <c r="AY341" s="14">
        <f t="shared" si="270"/>
        <v>0</v>
      </c>
      <c r="AZ341" s="15">
        <f t="shared" si="271"/>
        <v>0</v>
      </c>
      <c r="BA341" s="14">
        <f t="shared" si="272"/>
        <v>0</v>
      </c>
      <c r="BB341" s="14">
        <f>DISTRIBUSI!G339</f>
        <v>0</v>
      </c>
      <c r="BC341" s="14">
        <f>'PEMAKAIAN UNIT'!G338</f>
        <v>0</v>
      </c>
      <c r="BD341" s="14">
        <f t="shared" si="273"/>
        <v>0</v>
      </c>
      <c r="BE341" s="15">
        <f t="shared" si="274"/>
        <v>0</v>
      </c>
      <c r="BF341" s="14">
        <f t="shared" si="275"/>
        <v>0</v>
      </c>
      <c r="BG341" s="14">
        <f>DISTRIBUSI!H339</f>
        <v>0</v>
      </c>
      <c r="BH341" s="14">
        <f>'PEMAKAIAN UNIT'!H338</f>
        <v>0</v>
      </c>
      <c r="BI341" s="14">
        <f t="shared" si="276"/>
        <v>0</v>
      </c>
      <c r="BJ341" s="15">
        <f t="shared" si="277"/>
        <v>0</v>
      </c>
      <c r="BK341" s="14">
        <f t="shared" si="278"/>
        <v>0</v>
      </c>
      <c r="BL341" s="14">
        <f>DISTRIBUSI!I339</f>
        <v>0</v>
      </c>
      <c r="BM341" s="14">
        <f>'PEMAKAIAN UNIT'!I338</f>
        <v>0</v>
      </c>
      <c r="BN341" s="14">
        <f t="shared" si="279"/>
        <v>0</v>
      </c>
      <c r="BO341" s="15">
        <f t="shared" si="280"/>
        <v>0</v>
      </c>
      <c r="BP341" s="14">
        <f t="shared" si="281"/>
        <v>0</v>
      </c>
      <c r="BQ341" s="14">
        <f>DISTRIBUSI!J339</f>
        <v>0</v>
      </c>
      <c r="BR341" s="14">
        <f>'PEMAKAIAN UNIT'!J338</f>
        <v>0</v>
      </c>
      <c r="BS341" s="14">
        <f t="shared" si="282"/>
        <v>0</v>
      </c>
      <c r="BT341" s="15">
        <f t="shared" si="283"/>
        <v>0</v>
      </c>
      <c r="BU341" s="14">
        <f t="shared" si="284"/>
        <v>0</v>
      </c>
      <c r="BV341" s="14">
        <f>DISTRIBUSI!K339</f>
        <v>0</v>
      </c>
      <c r="BW341" s="14">
        <f>'PEMAKAIAN UNIT'!K338</f>
        <v>0</v>
      </c>
      <c r="BX341" s="14">
        <f t="shared" si="285"/>
        <v>0</v>
      </c>
      <c r="BY341" s="15">
        <f t="shared" si="286"/>
        <v>0</v>
      </c>
      <c r="BZ341" s="14">
        <f t="shared" si="287"/>
        <v>0</v>
      </c>
      <c r="CA341" s="14">
        <f>DISTRIBUSI!L339</f>
        <v>0</v>
      </c>
      <c r="CB341" s="14">
        <f>'PEMAKAIAN UNIT'!L338</f>
        <v>0</v>
      </c>
      <c r="CC341" s="14">
        <f t="shared" si="288"/>
        <v>0</v>
      </c>
      <c r="CD341" s="15">
        <f t="shared" si="289"/>
        <v>0</v>
      </c>
      <c r="CE341" s="14">
        <f t="shared" si="290"/>
        <v>0</v>
      </c>
      <c r="CF341" s="14">
        <f>DISTRIBUSI!M339</f>
        <v>0</v>
      </c>
      <c r="CG341" s="14">
        <f>'PEMAKAIAN UNIT'!M338</f>
        <v>0</v>
      </c>
      <c r="CH341" s="14">
        <f t="shared" si="291"/>
        <v>0</v>
      </c>
      <c r="CI341" s="15">
        <f t="shared" si="292"/>
        <v>0</v>
      </c>
      <c r="CJ341" s="14">
        <f t="shared" si="293"/>
        <v>0</v>
      </c>
      <c r="CK341" s="14" t="e">
        <f>DISTRIBUSI!#REF!</f>
        <v>#REF!</v>
      </c>
      <c r="CL341" s="14">
        <f>'PEMAKAIAN UNIT'!N338</f>
        <v>0</v>
      </c>
      <c r="CM341" s="14" t="e">
        <f t="shared" si="294"/>
        <v>#REF!</v>
      </c>
      <c r="CN341" s="15" t="e">
        <f t="shared" si="295"/>
        <v>#REF!</v>
      </c>
      <c r="CO341" s="14" t="e">
        <f>DL341+DISTRIBUSI!#REF!-'PEMAKAIAN UNIT'!O338</f>
        <v>#REF!</v>
      </c>
      <c r="CP341" s="15" t="e">
        <f t="shared" si="296"/>
        <v>#REF!</v>
      </c>
      <c r="CQ341" s="226">
        <f t="shared" si="297"/>
        <v>0</v>
      </c>
      <c r="CR341" s="226">
        <f>DISTRIBUSI!R339</f>
        <v>0</v>
      </c>
      <c r="CS341" s="226">
        <f>'PEMAKAIAN UNIT'!P338</f>
        <v>0</v>
      </c>
      <c r="CT341" s="14">
        <f t="shared" si="298"/>
        <v>0</v>
      </c>
      <c r="CU341" s="15">
        <f t="shared" si="299"/>
        <v>0</v>
      </c>
      <c r="CV341" s="14" t="e">
        <f>DN341+DISTRIBUSI!#REF!-'PEMAKAIAN UNIT'!Q338</f>
        <v>#REF!</v>
      </c>
      <c r="CW341" s="15" t="e">
        <f t="shared" si="300"/>
        <v>#REF!</v>
      </c>
      <c r="CX341" s="14">
        <f>DO341+'LPLPO PROGRAM'!E170-'LPLPO PROGRAM'!G170</f>
        <v>0</v>
      </c>
      <c r="CY341" s="15">
        <f t="shared" si="301"/>
        <v>0</v>
      </c>
      <c r="DA341" s="14">
        <v>0</v>
      </c>
      <c r="DB341" s="14">
        <v>0</v>
      </c>
      <c r="DC341" s="14">
        <v>0</v>
      </c>
      <c r="DD341" s="14">
        <v>0</v>
      </c>
      <c r="DE341" s="14">
        <v>0</v>
      </c>
      <c r="DF341" s="14">
        <v>0</v>
      </c>
      <c r="DG341" s="14">
        <v>0</v>
      </c>
      <c r="DH341" s="14">
        <v>0</v>
      </c>
      <c r="DI341" s="14">
        <v>0</v>
      </c>
      <c r="DJ341" s="14">
        <v>0</v>
      </c>
      <c r="DK341" s="14">
        <v>0</v>
      </c>
      <c r="DL341" s="14">
        <v>0</v>
      </c>
      <c r="DM341" s="14">
        <v>0</v>
      </c>
      <c r="DN341" s="14">
        <v>0</v>
      </c>
      <c r="DO341" s="14">
        <v>0</v>
      </c>
    </row>
    <row r="342" spans="1:119" ht="18" x14ac:dyDescent="0.5">
      <c r="A342" s="251">
        <v>158</v>
      </c>
      <c r="B342" s="148"/>
      <c r="C342" s="148"/>
      <c r="D342" s="14">
        <v>0</v>
      </c>
      <c r="E342" s="254">
        <f>'LPLPO PROGRAM'!E171</f>
        <v>0</v>
      </c>
      <c r="F342" s="254">
        <f t="shared" si="302"/>
        <v>0</v>
      </c>
      <c r="G342" s="254">
        <f>'PEMAKAIAN UNIT'!R339</f>
        <v>0</v>
      </c>
      <c r="H342" s="14">
        <v>0</v>
      </c>
      <c r="I342" s="14">
        <v>0</v>
      </c>
      <c r="J342" s="14">
        <v>0</v>
      </c>
      <c r="K342" s="14"/>
      <c r="L342" s="14"/>
      <c r="M342" s="14"/>
      <c r="N342" s="14"/>
      <c r="O342" s="14"/>
      <c r="P342" s="14"/>
      <c r="Q342" s="14"/>
      <c r="R342" s="14"/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09">
        <f t="shared" si="303"/>
        <v>0</v>
      </c>
      <c r="Z342" s="109" t="e">
        <f t="shared" si="304"/>
        <v>#REF!</v>
      </c>
      <c r="AA342" s="109" t="e">
        <f t="shared" si="305"/>
        <v>#REF!</v>
      </c>
      <c r="AB342" s="14">
        <v>0</v>
      </c>
      <c r="AC342" s="109" t="e">
        <f t="shared" si="306"/>
        <v>#REF!</v>
      </c>
      <c r="AD342" s="109">
        <f>'LPLPO PROGRAM'!H171</f>
        <v>0</v>
      </c>
      <c r="AE342" s="111" t="e">
        <f t="shared" si="307"/>
        <v>#REF!</v>
      </c>
      <c r="AL342" s="14">
        <f t="shared" si="263"/>
        <v>0</v>
      </c>
      <c r="AM342" s="14">
        <f>DISTRIBUSI!D340</f>
        <v>100</v>
      </c>
      <c r="AN342" s="14">
        <f>'PEMAKAIAN UNIT'!D339</f>
        <v>0</v>
      </c>
      <c r="AO342" s="14">
        <f t="shared" si="264"/>
        <v>100</v>
      </c>
      <c r="AP342" s="15">
        <f t="shared" si="265"/>
        <v>100</v>
      </c>
      <c r="AQ342" s="14">
        <f t="shared" si="266"/>
        <v>0</v>
      </c>
      <c r="AR342" s="14">
        <f>DISTRIBUSI!E340</f>
        <v>0</v>
      </c>
      <c r="AS342" s="14">
        <f>'PEMAKAIAN UNIT'!E339</f>
        <v>0</v>
      </c>
      <c r="AT342" s="14">
        <f t="shared" si="267"/>
        <v>0</v>
      </c>
      <c r="AU342" s="15">
        <f t="shared" si="268"/>
        <v>0</v>
      </c>
      <c r="AV342" s="14">
        <f t="shared" si="269"/>
        <v>0</v>
      </c>
      <c r="AW342" s="14">
        <f>DISTRIBUSI!F340</f>
        <v>0</v>
      </c>
      <c r="AX342" s="14">
        <f>'PEMAKAIAN UNIT'!F339</f>
        <v>0</v>
      </c>
      <c r="AY342" s="14">
        <f t="shared" si="270"/>
        <v>0</v>
      </c>
      <c r="AZ342" s="15">
        <f t="shared" si="271"/>
        <v>0</v>
      </c>
      <c r="BA342" s="14">
        <f t="shared" si="272"/>
        <v>0</v>
      </c>
      <c r="BB342" s="14">
        <f>DISTRIBUSI!G340</f>
        <v>0</v>
      </c>
      <c r="BC342" s="14">
        <f>'PEMAKAIAN UNIT'!G339</f>
        <v>0</v>
      </c>
      <c r="BD342" s="14">
        <f t="shared" si="273"/>
        <v>0</v>
      </c>
      <c r="BE342" s="15">
        <f t="shared" si="274"/>
        <v>0</v>
      </c>
      <c r="BF342" s="14">
        <f t="shared" si="275"/>
        <v>0</v>
      </c>
      <c r="BG342" s="14">
        <f>DISTRIBUSI!H340</f>
        <v>100</v>
      </c>
      <c r="BH342" s="14">
        <f>'PEMAKAIAN UNIT'!H339</f>
        <v>0</v>
      </c>
      <c r="BI342" s="14">
        <f t="shared" si="276"/>
        <v>100</v>
      </c>
      <c r="BJ342" s="15">
        <f t="shared" si="277"/>
        <v>100</v>
      </c>
      <c r="BK342" s="14">
        <f t="shared" si="278"/>
        <v>0</v>
      </c>
      <c r="BL342" s="14">
        <f>DISTRIBUSI!I340</f>
        <v>100</v>
      </c>
      <c r="BM342" s="14">
        <f>'PEMAKAIAN UNIT'!I339</f>
        <v>0</v>
      </c>
      <c r="BN342" s="14">
        <f t="shared" si="279"/>
        <v>100</v>
      </c>
      <c r="BO342" s="15">
        <f t="shared" si="280"/>
        <v>100</v>
      </c>
      <c r="BP342" s="14">
        <f t="shared" si="281"/>
        <v>0</v>
      </c>
      <c r="BQ342" s="14">
        <f>DISTRIBUSI!J340</f>
        <v>100</v>
      </c>
      <c r="BR342" s="14">
        <f>'PEMAKAIAN UNIT'!J339</f>
        <v>0</v>
      </c>
      <c r="BS342" s="14">
        <f t="shared" si="282"/>
        <v>100</v>
      </c>
      <c r="BT342" s="15">
        <f t="shared" si="283"/>
        <v>100</v>
      </c>
      <c r="BU342" s="14">
        <f t="shared" si="284"/>
        <v>0</v>
      </c>
      <c r="BV342" s="14">
        <f>DISTRIBUSI!K340</f>
        <v>100</v>
      </c>
      <c r="BW342" s="14">
        <f>'PEMAKAIAN UNIT'!K339</f>
        <v>0</v>
      </c>
      <c r="BX342" s="14">
        <f t="shared" si="285"/>
        <v>100</v>
      </c>
      <c r="BY342" s="15">
        <f t="shared" si="286"/>
        <v>100</v>
      </c>
      <c r="BZ342" s="14">
        <f t="shared" si="287"/>
        <v>0</v>
      </c>
      <c r="CA342" s="14">
        <f>DISTRIBUSI!L340</f>
        <v>0</v>
      </c>
      <c r="CB342" s="14">
        <f>'PEMAKAIAN UNIT'!L339</f>
        <v>0</v>
      </c>
      <c r="CC342" s="14">
        <f t="shared" si="288"/>
        <v>0</v>
      </c>
      <c r="CD342" s="15">
        <f t="shared" si="289"/>
        <v>0</v>
      </c>
      <c r="CE342" s="14">
        <f t="shared" si="290"/>
        <v>0</v>
      </c>
      <c r="CF342" s="14">
        <f>DISTRIBUSI!M340</f>
        <v>0</v>
      </c>
      <c r="CG342" s="14">
        <f>'PEMAKAIAN UNIT'!M339</f>
        <v>0</v>
      </c>
      <c r="CH342" s="14">
        <f t="shared" si="291"/>
        <v>0</v>
      </c>
      <c r="CI342" s="15">
        <f t="shared" si="292"/>
        <v>0</v>
      </c>
      <c r="CJ342" s="14">
        <f t="shared" si="293"/>
        <v>0</v>
      </c>
      <c r="CK342" s="14" t="e">
        <f>DISTRIBUSI!#REF!</f>
        <v>#REF!</v>
      </c>
      <c r="CL342" s="14">
        <f>'PEMAKAIAN UNIT'!N339</f>
        <v>0</v>
      </c>
      <c r="CM342" s="14" t="e">
        <f t="shared" si="294"/>
        <v>#REF!</v>
      </c>
      <c r="CN342" s="15" t="e">
        <f t="shared" si="295"/>
        <v>#REF!</v>
      </c>
      <c r="CO342" s="14" t="e">
        <f>DL342+DISTRIBUSI!#REF!-'PEMAKAIAN UNIT'!O339</f>
        <v>#REF!</v>
      </c>
      <c r="CP342" s="15" t="e">
        <f t="shared" si="296"/>
        <v>#REF!</v>
      </c>
      <c r="CQ342" s="226">
        <f t="shared" si="297"/>
        <v>0</v>
      </c>
      <c r="CR342" s="226">
        <f>DISTRIBUSI!R340</f>
        <v>0</v>
      </c>
      <c r="CS342" s="226">
        <f>'PEMAKAIAN UNIT'!P339</f>
        <v>0</v>
      </c>
      <c r="CT342" s="14">
        <f t="shared" si="298"/>
        <v>0</v>
      </c>
      <c r="CU342" s="15">
        <f t="shared" si="299"/>
        <v>0</v>
      </c>
      <c r="CV342" s="14" t="e">
        <f>DN342+DISTRIBUSI!#REF!-'PEMAKAIAN UNIT'!Q339</f>
        <v>#REF!</v>
      </c>
      <c r="CW342" s="15" t="e">
        <f t="shared" si="300"/>
        <v>#REF!</v>
      </c>
      <c r="CX342" s="14">
        <f>DO342+'LPLPO PROGRAM'!E171-'LPLPO PROGRAM'!G171</f>
        <v>0</v>
      </c>
      <c r="CY342" s="15">
        <f t="shared" si="301"/>
        <v>0</v>
      </c>
      <c r="DA342" s="14">
        <v>0</v>
      </c>
      <c r="DB342" s="14">
        <v>0</v>
      </c>
      <c r="DC342" s="14">
        <v>0</v>
      </c>
      <c r="DD342" s="14">
        <v>0</v>
      </c>
      <c r="DE342" s="14">
        <v>0</v>
      </c>
      <c r="DF342" s="14">
        <v>0</v>
      </c>
      <c r="DG342" s="14">
        <v>0</v>
      </c>
      <c r="DH342" s="14">
        <v>0</v>
      </c>
      <c r="DI342" s="14">
        <v>0</v>
      </c>
      <c r="DJ342" s="14">
        <v>0</v>
      </c>
      <c r="DK342" s="14">
        <v>0</v>
      </c>
      <c r="DL342" s="14">
        <v>0</v>
      </c>
      <c r="DM342" s="14">
        <v>0</v>
      </c>
      <c r="DN342" s="14">
        <v>0</v>
      </c>
      <c r="DO342" s="14">
        <v>0</v>
      </c>
    </row>
    <row r="343" spans="1:119" ht="18.5" thickBot="1" x14ac:dyDescent="0.55000000000000004">
      <c r="A343" s="252">
        <v>159</v>
      </c>
      <c r="B343" s="253"/>
      <c r="C343" s="253"/>
      <c r="D343" s="227">
        <v>0</v>
      </c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206"/>
      <c r="AC343" s="206"/>
      <c r="AD343" s="206"/>
      <c r="AE343" s="207"/>
      <c r="AL343" s="14">
        <f t="shared" si="263"/>
        <v>0</v>
      </c>
      <c r="AM343" s="14">
        <f>DISTRIBUSI!D359</f>
        <v>0</v>
      </c>
      <c r="AN343" s="14">
        <f>'PEMAKAIAN UNIT'!D340</f>
        <v>0</v>
      </c>
      <c r="AO343" s="14">
        <f t="shared" si="264"/>
        <v>0</v>
      </c>
      <c r="AP343" s="15">
        <f t="shared" si="265"/>
        <v>0</v>
      </c>
      <c r="AQ343" s="14">
        <f t="shared" si="266"/>
        <v>0</v>
      </c>
      <c r="AR343" s="14">
        <f>DISTRIBUSI!E359</f>
        <v>0</v>
      </c>
      <c r="AS343" s="14">
        <f>'PEMAKAIAN UNIT'!E340</f>
        <v>0</v>
      </c>
      <c r="AT343" s="14">
        <f t="shared" si="267"/>
        <v>0</v>
      </c>
      <c r="AU343" s="15">
        <f t="shared" si="268"/>
        <v>0</v>
      </c>
      <c r="AV343" s="14">
        <f t="shared" si="269"/>
        <v>0</v>
      </c>
      <c r="AW343" s="14">
        <f>DISTRIBUSI!F359</f>
        <v>0</v>
      </c>
      <c r="AX343" s="14">
        <f>'PEMAKAIAN UNIT'!F340</f>
        <v>0</v>
      </c>
      <c r="AY343" s="14">
        <f t="shared" si="270"/>
        <v>0</v>
      </c>
      <c r="AZ343" s="15">
        <f t="shared" si="271"/>
        <v>0</v>
      </c>
      <c r="BA343" s="14">
        <f t="shared" si="272"/>
        <v>0</v>
      </c>
      <c r="BB343" s="14">
        <f>DISTRIBUSI!G359</f>
        <v>0</v>
      </c>
      <c r="BC343" s="14">
        <f>'PEMAKAIAN UNIT'!G340</f>
        <v>0</v>
      </c>
      <c r="BD343" s="14">
        <f t="shared" si="273"/>
        <v>0</v>
      </c>
      <c r="BE343" s="15">
        <f t="shared" si="274"/>
        <v>0</v>
      </c>
      <c r="BF343" s="14">
        <f t="shared" si="275"/>
        <v>0</v>
      </c>
      <c r="BG343" s="14">
        <f>DISTRIBUSI!H359</f>
        <v>0</v>
      </c>
      <c r="BH343" s="14">
        <f>'PEMAKAIAN UNIT'!H340</f>
        <v>0</v>
      </c>
      <c r="BI343" s="14">
        <f t="shared" si="276"/>
        <v>0</v>
      </c>
      <c r="BJ343" s="15">
        <f t="shared" si="277"/>
        <v>0</v>
      </c>
      <c r="BK343" s="14">
        <f t="shared" si="278"/>
        <v>0</v>
      </c>
      <c r="BL343" s="14">
        <f>DISTRIBUSI!I359</f>
        <v>0</v>
      </c>
      <c r="BM343" s="14">
        <f>'PEMAKAIAN UNIT'!I340</f>
        <v>0</v>
      </c>
      <c r="BN343" s="14">
        <f t="shared" si="279"/>
        <v>0</v>
      </c>
      <c r="BO343" s="15">
        <f t="shared" si="280"/>
        <v>0</v>
      </c>
      <c r="BP343" s="14">
        <f t="shared" si="281"/>
        <v>0</v>
      </c>
      <c r="BQ343" s="14">
        <f>DISTRIBUSI!J359</f>
        <v>0</v>
      </c>
      <c r="BR343" s="14">
        <f>'PEMAKAIAN UNIT'!J340</f>
        <v>0</v>
      </c>
      <c r="BS343" s="14">
        <f t="shared" si="282"/>
        <v>0</v>
      </c>
      <c r="BT343" s="15">
        <f t="shared" si="283"/>
        <v>0</v>
      </c>
      <c r="BU343" s="14">
        <f t="shared" si="284"/>
        <v>0</v>
      </c>
      <c r="BV343" s="14">
        <f>DISTRIBUSI!K359</f>
        <v>0</v>
      </c>
      <c r="BW343" s="14">
        <f>'PEMAKAIAN UNIT'!K340</f>
        <v>0</v>
      </c>
      <c r="BX343" s="14">
        <f t="shared" si="285"/>
        <v>0</v>
      </c>
      <c r="BY343" s="15">
        <f t="shared" si="286"/>
        <v>0</v>
      </c>
      <c r="BZ343" s="14">
        <f t="shared" si="287"/>
        <v>0</v>
      </c>
      <c r="CA343" s="14">
        <f>DISTRIBUSI!L359</f>
        <v>0</v>
      </c>
      <c r="CB343" s="14">
        <f>'PEMAKAIAN UNIT'!L340</f>
        <v>0</v>
      </c>
      <c r="CC343" s="14">
        <f t="shared" si="288"/>
        <v>0</v>
      </c>
      <c r="CD343" s="15">
        <f t="shared" si="289"/>
        <v>0</v>
      </c>
      <c r="CE343" s="14">
        <f t="shared" si="290"/>
        <v>0</v>
      </c>
      <c r="CF343" s="14">
        <f>DISTRIBUSI!M359</f>
        <v>0</v>
      </c>
      <c r="CG343" s="14">
        <f>'PEMAKAIAN UNIT'!M340</f>
        <v>0</v>
      </c>
      <c r="CH343" s="14">
        <f t="shared" si="291"/>
        <v>0</v>
      </c>
      <c r="CI343" s="15">
        <f t="shared" si="292"/>
        <v>0</v>
      </c>
      <c r="CJ343" s="14">
        <f t="shared" si="293"/>
        <v>0</v>
      </c>
      <c r="CK343" s="14" t="e">
        <f>DISTRIBUSI!#REF!</f>
        <v>#REF!</v>
      </c>
      <c r="CL343" s="14">
        <f>'PEMAKAIAN UNIT'!N340</f>
        <v>0</v>
      </c>
      <c r="CM343" s="14" t="e">
        <f t="shared" si="294"/>
        <v>#REF!</v>
      </c>
      <c r="CN343" s="15" t="e">
        <f t="shared" si="295"/>
        <v>#REF!</v>
      </c>
      <c r="CO343" s="14" t="e">
        <f>DL343+DISTRIBUSI!#REF!-'PEMAKAIAN UNIT'!O340</f>
        <v>#REF!</v>
      </c>
      <c r="CP343" s="15" t="e">
        <f t="shared" si="296"/>
        <v>#REF!</v>
      </c>
      <c r="CQ343" s="226">
        <f t="shared" si="297"/>
        <v>0</v>
      </c>
      <c r="CR343" s="226">
        <f>DISTRIBUSI!R359</f>
        <v>0</v>
      </c>
      <c r="CS343" s="226">
        <f>'PEMAKAIAN UNIT'!P340</f>
        <v>0</v>
      </c>
      <c r="CT343" s="14">
        <f t="shared" si="298"/>
        <v>0</v>
      </c>
      <c r="CU343" s="15">
        <f t="shared" si="299"/>
        <v>0</v>
      </c>
      <c r="CV343" s="14" t="e">
        <f>DN343+DISTRIBUSI!#REF!-'PEMAKAIAN UNIT'!Q340</f>
        <v>#REF!</v>
      </c>
      <c r="CW343" s="15" t="e">
        <f t="shared" si="300"/>
        <v>#REF!</v>
      </c>
      <c r="CX343" s="14">
        <f>DO343+'LPLPO GUDANG'!E343-'LPLPO GUDANG'!G343</f>
        <v>0</v>
      </c>
      <c r="CY343" s="15">
        <f t="shared" si="301"/>
        <v>0</v>
      </c>
      <c r="DA343" s="14">
        <v>0</v>
      </c>
      <c r="DB343" s="14">
        <v>0</v>
      </c>
      <c r="DC343" s="14">
        <v>0</v>
      </c>
      <c r="DD343" s="14">
        <v>0</v>
      </c>
      <c r="DE343" s="14">
        <v>0</v>
      </c>
      <c r="DF343" s="14">
        <v>0</v>
      </c>
      <c r="DG343" s="14">
        <v>0</v>
      </c>
      <c r="DH343" s="14">
        <v>0</v>
      </c>
      <c r="DI343" s="14">
        <v>0</v>
      </c>
      <c r="DJ343" s="14">
        <v>0</v>
      </c>
      <c r="DK343" s="14">
        <v>0</v>
      </c>
      <c r="DL343" s="14">
        <v>0</v>
      </c>
      <c r="DM343" s="14">
        <v>0</v>
      </c>
      <c r="DN343" s="14">
        <v>0</v>
      </c>
      <c r="DO343" s="14">
        <v>0</v>
      </c>
    </row>
    <row r="344" spans="1:119" ht="16" thickTop="1" x14ac:dyDescent="0.35">
      <c r="DA344" s="14">
        <v>0</v>
      </c>
      <c r="DB344" s="14">
        <v>0</v>
      </c>
      <c r="DC344" s="14">
        <v>0</v>
      </c>
      <c r="DD344" s="14">
        <v>0</v>
      </c>
      <c r="DE344" s="14">
        <v>0</v>
      </c>
      <c r="DF344" s="14">
        <v>0</v>
      </c>
      <c r="DG344" s="14">
        <v>0</v>
      </c>
      <c r="DH344" s="14">
        <v>0</v>
      </c>
      <c r="DI344" s="14">
        <v>0</v>
      </c>
      <c r="DJ344" s="14">
        <v>0</v>
      </c>
      <c r="DK344" s="14">
        <v>0</v>
      </c>
      <c r="DL344" s="14">
        <v>0</v>
      </c>
      <c r="DM344" s="14">
        <v>0</v>
      </c>
      <c r="DN344" s="14">
        <v>0</v>
      </c>
      <c r="DO344" s="14">
        <v>0</v>
      </c>
    </row>
    <row r="345" spans="1:119" ht="15.5" x14ac:dyDescent="0.35">
      <c r="G345" s="21">
        <v>0</v>
      </c>
      <c r="BJ345" s="21" t="s">
        <v>243</v>
      </c>
      <c r="DA345" s="14">
        <v>0</v>
      </c>
      <c r="DB345" s="14">
        <v>0</v>
      </c>
      <c r="DC345" s="14">
        <v>0</v>
      </c>
      <c r="DD345" s="14">
        <v>0</v>
      </c>
      <c r="DE345" s="14">
        <v>0</v>
      </c>
      <c r="DF345" s="14">
        <v>0</v>
      </c>
      <c r="DG345" s="14">
        <v>0</v>
      </c>
      <c r="DH345" s="14">
        <v>0</v>
      </c>
      <c r="DI345" s="14">
        <v>0</v>
      </c>
      <c r="DJ345" s="14">
        <v>0</v>
      </c>
      <c r="DK345" s="14">
        <v>0</v>
      </c>
      <c r="DL345" s="14">
        <v>0</v>
      </c>
      <c r="DM345" s="14">
        <v>0</v>
      </c>
      <c r="DN345" s="14">
        <v>0</v>
      </c>
      <c r="DO345" s="14">
        <v>0</v>
      </c>
    </row>
    <row r="346" spans="1:119" ht="15.5" x14ac:dyDescent="0.35">
      <c r="DA346" s="14">
        <v>0</v>
      </c>
      <c r="DB346" s="14">
        <v>0</v>
      </c>
      <c r="DC346" s="14">
        <v>0</v>
      </c>
      <c r="DD346" s="14">
        <v>0</v>
      </c>
      <c r="DE346" s="14">
        <v>0</v>
      </c>
      <c r="DF346" s="14">
        <v>0</v>
      </c>
      <c r="DG346" s="14">
        <v>0</v>
      </c>
      <c r="DH346" s="14">
        <v>0</v>
      </c>
      <c r="DI346" s="14">
        <v>0</v>
      </c>
      <c r="DJ346" s="14">
        <v>0</v>
      </c>
      <c r="DK346" s="14">
        <v>0</v>
      </c>
      <c r="DL346" s="14">
        <v>0</v>
      </c>
      <c r="DM346" s="14">
        <v>0</v>
      </c>
      <c r="DN346" s="14">
        <v>0</v>
      </c>
      <c r="DO346" s="14">
        <v>0</v>
      </c>
    </row>
    <row r="347" spans="1:119" ht="15.5" x14ac:dyDescent="0.35">
      <c r="DA347" s="14">
        <v>0</v>
      </c>
      <c r="DB347" s="14">
        <v>0</v>
      </c>
      <c r="DC347" s="14">
        <v>0</v>
      </c>
      <c r="DD347" s="14">
        <v>0</v>
      </c>
      <c r="DE347" s="14">
        <v>0</v>
      </c>
      <c r="DF347" s="14">
        <v>0</v>
      </c>
      <c r="DG347" s="14">
        <v>0</v>
      </c>
      <c r="DH347" s="14">
        <v>0</v>
      </c>
      <c r="DI347" s="14">
        <v>0</v>
      </c>
      <c r="DJ347" s="14">
        <v>0</v>
      </c>
      <c r="DK347" s="14">
        <v>0</v>
      </c>
      <c r="DL347" s="14">
        <v>0</v>
      </c>
      <c r="DM347" s="14">
        <v>0</v>
      </c>
      <c r="DN347" s="14">
        <v>0</v>
      </c>
      <c r="DO347" s="14">
        <v>0</v>
      </c>
    </row>
  </sheetData>
  <mergeCells count="68">
    <mergeCell ref="DM9:DM10"/>
    <mergeCell ref="DC9:DC10"/>
    <mergeCell ref="DD9:DD10"/>
    <mergeCell ref="DB9:DB10"/>
    <mergeCell ref="AB4:AC4"/>
    <mergeCell ref="AB5:AC5"/>
    <mergeCell ref="AB6:AC6"/>
    <mergeCell ref="AC9:AC10"/>
    <mergeCell ref="DJ9:DJ10"/>
    <mergeCell ref="DK9:DK10"/>
    <mergeCell ref="DL9:DL10"/>
    <mergeCell ref="DA9:DA10"/>
    <mergeCell ref="DE9:DE10"/>
    <mergeCell ref="DF9:DF10"/>
    <mergeCell ref="DG9:DG10"/>
    <mergeCell ref="H8:AD8"/>
    <mergeCell ref="J9:J10"/>
    <mergeCell ref="H9:H10"/>
    <mergeCell ref="I9:I10"/>
    <mergeCell ref="S9:S10"/>
    <mergeCell ref="AA9:AA10"/>
    <mergeCell ref="K9:K10"/>
    <mergeCell ref="L9:L10"/>
    <mergeCell ref="M9:M10"/>
    <mergeCell ref="N9:N10"/>
    <mergeCell ref="O9:O10"/>
    <mergeCell ref="P9:P10"/>
    <mergeCell ref="Q9:Q10"/>
    <mergeCell ref="R9:R10"/>
    <mergeCell ref="AB9:AB10"/>
    <mergeCell ref="Y9:Y10"/>
    <mergeCell ref="Z9:Z10"/>
    <mergeCell ref="U9:U10"/>
    <mergeCell ref="V9:V10"/>
    <mergeCell ref="W9:W10"/>
    <mergeCell ref="X9:X10"/>
    <mergeCell ref="DP9:DP11"/>
    <mergeCell ref="AL9:AP9"/>
    <mergeCell ref="AQ9:AU9"/>
    <mergeCell ref="AV9:AZ9"/>
    <mergeCell ref="BA9:BE9"/>
    <mergeCell ref="BF9:BJ9"/>
    <mergeCell ref="BK9:BO9"/>
    <mergeCell ref="BP9:BT9"/>
    <mergeCell ref="BU9:BY9"/>
    <mergeCell ref="BZ9:CD9"/>
    <mergeCell ref="CE9:CI9"/>
    <mergeCell ref="CJ9:CN9"/>
    <mergeCell ref="CO9:CP10"/>
    <mergeCell ref="DN9:DN10"/>
    <mergeCell ref="DH9:DH10"/>
    <mergeCell ref="DI9:DI10"/>
    <mergeCell ref="CQ9:CU9"/>
    <mergeCell ref="CV9:CW10"/>
    <mergeCell ref="DO9:DO10"/>
    <mergeCell ref="A4:B4"/>
    <mergeCell ref="A5:B5"/>
    <mergeCell ref="A8:A10"/>
    <mergeCell ref="B8:B10"/>
    <mergeCell ref="G8:G10"/>
    <mergeCell ref="F8:F10"/>
    <mergeCell ref="E8:E10"/>
    <mergeCell ref="D8:D10"/>
    <mergeCell ref="C8:C10"/>
    <mergeCell ref="CX9:CY10"/>
    <mergeCell ref="AE8:AE10"/>
    <mergeCell ref="T9:T10"/>
    <mergeCell ref="AD9:AD10"/>
  </mergeCells>
  <pageMargins left="0.23622047244094499" right="0.23622047244094499" top="0.74803149606299202" bottom="0.74803149606299202" header="0.31496062992126" footer="0.31496062992126"/>
  <pageSetup paperSize="5" scale="70" orientation="landscape" horizontalDpi="4294967293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96"/>
  <sheetViews>
    <sheetView workbookViewId="0">
      <selection activeCell="F7" sqref="F7"/>
    </sheetView>
  </sheetViews>
  <sheetFormatPr defaultRowHeight="14.5" x14ac:dyDescent="0.35"/>
  <cols>
    <col min="1" max="1" width="4.7265625" customWidth="1"/>
    <col min="2" max="2" width="42.7265625" customWidth="1"/>
    <col min="3" max="3" width="17.7265625" customWidth="1"/>
    <col min="4" max="9" width="9.7265625" customWidth="1"/>
    <col min="10" max="15" width="7.7265625" customWidth="1"/>
    <col min="16" max="16" width="7.7265625" style="21" customWidth="1"/>
  </cols>
  <sheetData>
    <row r="1" spans="1:51" s="2" customFormat="1" ht="17.5" x14ac:dyDescent="0.5">
      <c r="A1" s="372" t="s">
        <v>149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221"/>
      <c r="AY1" s="3"/>
    </row>
    <row r="2" spans="1:51" s="2" customFormat="1" ht="17.5" x14ac:dyDescent="0.5">
      <c r="A2" s="372" t="s">
        <v>150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221"/>
      <c r="AY2" s="3"/>
    </row>
    <row r="3" spans="1:51" s="2" customFormat="1" ht="15" x14ac:dyDescent="0.3">
      <c r="A3" s="373"/>
      <c r="B3" s="373"/>
      <c r="C3" s="4"/>
      <c r="F3" s="4"/>
      <c r="G3" s="5"/>
      <c r="H3" s="6"/>
      <c r="P3" s="5"/>
      <c r="AY3" s="3"/>
    </row>
    <row r="4" spans="1:51" s="2" customFormat="1" ht="20" x14ac:dyDescent="0.5">
      <c r="A4" s="371" t="s">
        <v>151</v>
      </c>
      <c r="B4" s="371"/>
      <c r="C4" s="7" t="s">
        <v>237</v>
      </c>
      <c r="F4" s="4"/>
      <c r="G4" s="5"/>
      <c r="H4" s="6"/>
      <c r="P4" s="5"/>
      <c r="AY4" s="3"/>
    </row>
    <row r="5" spans="1:51" s="2" customFormat="1" ht="20" x14ac:dyDescent="0.5">
      <c r="A5" s="371" t="s">
        <v>153</v>
      </c>
      <c r="B5" s="371"/>
      <c r="C5" s="7" t="s">
        <v>482</v>
      </c>
      <c r="F5" s="4"/>
      <c r="G5" s="5"/>
      <c r="H5" s="6"/>
      <c r="P5" s="5"/>
      <c r="AY5" s="3"/>
    </row>
    <row r="6" spans="1:51" s="2" customFormat="1" ht="20" x14ac:dyDescent="0.5">
      <c r="A6" s="371" t="s">
        <v>154</v>
      </c>
      <c r="B6" s="371"/>
      <c r="C6" s="7" t="s">
        <v>482</v>
      </c>
      <c r="F6" s="4"/>
      <c r="G6" s="5"/>
      <c r="H6" s="6"/>
      <c r="P6" s="5"/>
      <c r="AY6" s="3"/>
    </row>
    <row r="7" spans="1:51" s="2" customFormat="1" ht="20" x14ac:dyDescent="0.5">
      <c r="A7" s="371" t="s">
        <v>155</v>
      </c>
      <c r="B7" s="371"/>
      <c r="C7" s="7" t="s">
        <v>156</v>
      </c>
      <c r="F7" s="4"/>
      <c r="G7" s="5"/>
      <c r="H7" s="6"/>
      <c r="P7" s="5"/>
      <c r="AY7" s="3"/>
    </row>
    <row r="8" spans="1:51" s="2" customFormat="1" ht="20" x14ac:dyDescent="0.5">
      <c r="A8" s="371" t="s">
        <v>157</v>
      </c>
      <c r="B8" s="371"/>
      <c r="C8" s="7" t="s">
        <v>158</v>
      </c>
      <c r="F8" s="4"/>
      <c r="G8" s="5"/>
      <c r="H8" s="6"/>
      <c r="P8" s="5"/>
      <c r="AY8" s="3"/>
    </row>
    <row r="9" spans="1:51" s="2" customFormat="1" ht="17.5" x14ac:dyDescent="0.5">
      <c r="A9" s="372"/>
      <c r="B9" s="372"/>
      <c r="C9" s="4"/>
      <c r="F9" s="4"/>
      <c r="G9" s="5"/>
      <c r="H9" s="6"/>
      <c r="K9" s="371"/>
      <c r="L9" s="371"/>
      <c r="M9" s="8"/>
      <c r="P9" s="5"/>
      <c r="AY9" s="3"/>
    </row>
    <row r="10" spans="1:51" s="2" customFormat="1" ht="17.5" x14ac:dyDescent="0.5">
      <c r="A10" s="371"/>
      <c r="B10" s="371"/>
      <c r="C10" s="4"/>
      <c r="F10" s="4"/>
      <c r="G10" s="5"/>
      <c r="H10" s="6"/>
      <c r="K10" s="371" t="s">
        <v>159</v>
      </c>
      <c r="L10" s="371"/>
      <c r="M10" s="8" t="str">
        <f>DISTRIBUSI!R5</f>
        <v>BULAN</v>
      </c>
      <c r="P10" s="5"/>
      <c r="AY10" s="3"/>
    </row>
    <row r="11" spans="1:51" s="2" customFormat="1" ht="17.5" x14ac:dyDescent="0.5">
      <c r="A11" s="9"/>
      <c r="B11" s="9"/>
      <c r="C11" s="4"/>
      <c r="F11" s="4"/>
      <c r="G11" s="5"/>
      <c r="H11" s="6"/>
      <c r="K11" s="9" t="s">
        <v>160</v>
      </c>
      <c r="L11" s="9"/>
      <c r="M11" s="8" t="str">
        <f>DISTRIBUSI!R6</f>
        <v>TAHUN</v>
      </c>
      <c r="P11" s="5"/>
      <c r="AY11" s="3"/>
    </row>
    <row r="12" spans="1:51" ht="17.5" x14ac:dyDescent="0.35">
      <c r="A12" s="374" t="s">
        <v>0</v>
      </c>
      <c r="B12" s="375" t="s">
        <v>1</v>
      </c>
      <c r="C12" s="376" t="s">
        <v>2</v>
      </c>
      <c r="D12" s="370" t="s">
        <v>161</v>
      </c>
      <c r="E12" s="370" t="s">
        <v>162</v>
      </c>
      <c r="F12" s="370" t="s">
        <v>163</v>
      </c>
      <c r="G12" s="370" t="s">
        <v>164</v>
      </c>
      <c r="H12" s="370" t="s">
        <v>165</v>
      </c>
      <c r="I12" s="370" t="s">
        <v>166</v>
      </c>
      <c r="J12" s="370" t="s">
        <v>167</v>
      </c>
      <c r="K12" s="370"/>
      <c r="L12" s="370"/>
      <c r="M12" s="370"/>
      <c r="N12" s="370"/>
      <c r="O12" s="370" t="s">
        <v>168</v>
      </c>
      <c r="P12" s="224"/>
    </row>
    <row r="13" spans="1:51" ht="35" x14ac:dyDescent="0.35">
      <c r="A13" s="374"/>
      <c r="B13" s="375"/>
      <c r="C13" s="376"/>
      <c r="D13" s="370"/>
      <c r="E13" s="370"/>
      <c r="F13" s="370"/>
      <c r="G13" s="370"/>
      <c r="H13" s="370"/>
      <c r="I13" s="370"/>
      <c r="J13" s="10" t="s">
        <v>169</v>
      </c>
      <c r="K13" s="10" t="s">
        <v>170</v>
      </c>
      <c r="L13" s="10" t="s">
        <v>171</v>
      </c>
      <c r="M13" s="10" t="s">
        <v>172</v>
      </c>
      <c r="N13" s="10" t="s">
        <v>173</v>
      </c>
      <c r="O13" s="370"/>
      <c r="P13" s="224"/>
    </row>
    <row r="14" spans="1:51" ht="15" x14ac:dyDescent="0.35">
      <c r="A14" s="1">
        <v>1</v>
      </c>
      <c r="B14" s="1">
        <v>2</v>
      </c>
      <c r="C14" s="1">
        <v>4</v>
      </c>
      <c r="D14" s="1">
        <v>5</v>
      </c>
      <c r="E14" s="1">
        <v>6</v>
      </c>
      <c r="F14" s="1">
        <v>7</v>
      </c>
      <c r="G14" s="1">
        <v>8</v>
      </c>
      <c r="H14" s="1">
        <v>9</v>
      </c>
      <c r="I14" s="1">
        <v>10</v>
      </c>
      <c r="J14" s="1">
        <v>11</v>
      </c>
      <c r="K14" s="1">
        <v>12</v>
      </c>
      <c r="L14" s="1">
        <v>13</v>
      </c>
      <c r="M14" s="1">
        <v>14</v>
      </c>
      <c r="N14" s="1">
        <v>15</v>
      </c>
      <c r="O14" s="1">
        <v>16</v>
      </c>
      <c r="P14" s="211"/>
    </row>
    <row r="15" spans="1:51" ht="20.149999999999999" customHeight="1" x14ac:dyDescent="0.35">
      <c r="A15" s="83">
        <v>1</v>
      </c>
      <c r="B15" s="141" t="s">
        <v>3</v>
      </c>
      <c r="C15" s="85" t="s">
        <v>4</v>
      </c>
      <c r="D15" s="14">
        <f>'SISA STOK UNIT'!D12</f>
        <v>0</v>
      </c>
      <c r="E15" s="14">
        <f>'LPLPO GUDANG'!E15</f>
        <v>30</v>
      </c>
      <c r="F15" s="14">
        <f>D15+E15</f>
        <v>30</v>
      </c>
      <c r="G15" s="14">
        <f>'PEMAKAIAN UNIT'!R9</f>
        <v>0</v>
      </c>
      <c r="H15" s="14">
        <f>F15-G15</f>
        <v>30</v>
      </c>
      <c r="I15" s="15">
        <f>'LPLPO GUDANG'!I15</f>
        <v>200</v>
      </c>
      <c r="J15" s="12"/>
      <c r="K15" s="12"/>
      <c r="L15" s="12"/>
      <c r="M15" s="12"/>
      <c r="N15" s="12"/>
      <c r="O15" s="12"/>
    </row>
    <row r="16" spans="1:51" ht="20.149999999999999" customHeight="1" x14ac:dyDescent="0.35">
      <c r="A16" s="84">
        <f>A15+1</f>
        <v>2</v>
      </c>
      <c r="B16" s="141" t="s">
        <v>5</v>
      </c>
      <c r="C16" s="115" t="s">
        <v>327</v>
      </c>
      <c r="D16" s="14">
        <f>'SISA STOK UNIT'!D13</f>
        <v>0</v>
      </c>
      <c r="E16" s="14">
        <f>'LPLPO GUDANG'!E16</f>
        <v>500</v>
      </c>
      <c r="F16" s="14">
        <f t="shared" ref="F16:F79" si="0">D16+E16</f>
        <v>500</v>
      </c>
      <c r="G16" s="14">
        <f>'PEMAKAIAN UNIT'!R10</f>
        <v>0</v>
      </c>
      <c r="H16" s="14">
        <f t="shared" ref="H16:H79" si="1">F16-G16</f>
        <v>500</v>
      </c>
      <c r="I16" s="15">
        <f>'LPLPO GUDANG'!I16</f>
        <v>1000</v>
      </c>
      <c r="J16" s="12"/>
      <c r="K16" s="12"/>
      <c r="L16" s="12"/>
      <c r="M16" s="12"/>
      <c r="N16" s="12"/>
      <c r="O16" s="12"/>
    </row>
    <row r="17" spans="1:15" ht="20.149999999999999" customHeight="1" x14ac:dyDescent="0.35">
      <c r="A17" s="84">
        <f t="shared" ref="A17:A80" si="2">A16+1</f>
        <v>3</v>
      </c>
      <c r="B17" s="141" t="s">
        <v>262</v>
      </c>
      <c r="C17" s="116" t="s">
        <v>48</v>
      </c>
      <c r="D17" s="14">
        <f>'SISA STOK UNIT'!D14</f>
        <v>0</v>
      </c>
      <c r="E17" s="14">
        <f>'LPLPO GUDANG'!E17</f>
        <v>0</v>
      </c>
      <c r="F17" s="14">
        <f t="shared" si="0"/>
        <v>0</v>
      </c>
      <c r="G17" s="14">
        <f>'PEMAKAIAN UNIT'!R11</f>
        <v>0</v>
      </c>
      <c r="H17" s="14">
        <f t="shared" si="1"/>
        <v>0</v>
      </c>
      <c r="I17" s="15">
        <f>'LPLPO GUDANG'!I17</f>
        <v>50</v>
      </c>
      <c r="J17" s="12"/>
      <c r="K17" s="12"/>
      <c r="L17" s="12"/>
      <c r="M17" s="12"/>
      <c r="N17" s="12"/>
      <c r="O17" s="12"/>
    </row>
    <row r="18" spans="1:15" ht="20.149999999999999" customHeight="1" x14ac:dyDescent="0.35">
      <c r="A18" s="84">
        <f t="shared" si="2"/>
        <v>4</v>
      </c>
      <c r="B18" s="141" t="s">
        <v>7</v>
      </c>
      <c r="C18" s="117" t="s">
        <v>328</v>
      </c>
      <c r="D18" s="14">
        <f>'SISA STOK UNIT'!D15</f>
        <v>0</v>
      </c>
      <c r="E18" s="14">
        <f>'LPLPO GUDANG'!E18</f>
        <v>2000</v>
      </c>
      <c r="F18" s="14">
        <f t="shared" si="0"/>
        <v>2000</v>
      </c>
      <c r="G18" s="14">
        <f>'PEMAKAIAN UNIT'!R12</f>
        <v>0</v>
      </c>
      <c r="H18" s="14">
        <f t="shared" si="1"/>
        <v>2000</v>
      </c>
      <c r="I18" s="15">
        <f>'LPLPO GUDANG'!I18</f>
        <v>3000</v>
      </c>
      <c r="J18" s="12"/>
      <c r="K18" s="12"/>
      <c r="L18" s="12"/>
      <c r="M18" s="12"/>
      <c r="N18" s="12"/>
      <c r="O18" s="12"/>
    </row>
    <row r="19" spans="1:15" ht="20.149999999999999" customHeight="1" x14ac:dyDescent="0.35">
      <c r="A19" s="84">
        <f t="shared" si="2"/>
        <v>5</v>
      </c>
      <c r="B19" s="141" t="s">
        <v>317</v>
      </c>
      <c r="C19" s="61" t="s">
        <v>6</v>
      </c>
      <c r="D19" s="14">
        <f>'SISA STOK UNIT'!D16</f>
        <v>0</v>
      </c>
      <c r="E19" s="14">
        <f>'LPLPO GUDANG'!E19</f>
        <v>3000</v>
      </c>
      <c r="F19" s="14">
        <f t="shared" si="0"/>
        <v>3000</v>
      </c>
      <c r="G19" s="14">
        <f>'PEMAKAIAN UNIT'!R13</f>
        <v>0</v>
      </c>
      <c r="H19" s="14">
        <f t="shared" si="1"/>
        <v>3000</v>
      </c>
      <c r="I19" s="15">
        <f>'LPLPO GUDANG'!I19</f>
        <v>3000</v>
      </c>
      <c r="J19" s="12"/>
      <c r="K19" s="12"/>
      <c r="L19" s="12"/>
      <c r="M19" s="12"/>
      <c r="N19" s="12"/>
      <c r="O19" s="12"/>
    </row>
    <row r="20" spans="1:15" ht="20.149999999999999" customHeight="1" x14ac:dyDescent="0.35">
      <c r="A20" s="84">
        <f t="shared" si="2"/>
        <v>6</v>
      </c>
      <c r="B20" s="141" t="s">
        <v>8</v>
      </c>
      <c r="C20" s="116" t="s">
        <v>48</v>
      </c>
      <c r="D20" s="14">
        <f>'SISA STOK UNIT'!D17</f>
        <v>0</v>
      </c>
      <c r="E20" s="14">
        <f>'LPLPO GUDANG'!E20</f>
        <v>0</v>
      </c>
      <c r="F20" s="14">
        <f t="shared" si="0"/>
        <v>0</v>
      </c>
      <c r="G20" s="14">
        <f>'PEMAKAIAN UNIT'!R14</f>
        <v>0</v>
      </c>
      <c r="H20" s="14">
        <f t="shared" si="1"/>
        <v>0</v>
      </c>
      <c r="I20" s="15">
        <f>'LPLPO GUDANG'!I20</f>
        <v>0</v>
      </c>
      <c r="J20" s="12"/>
      <c r="K20" s="12"/>
      <c r="L20" s="12"/>
      <c r="M20" s="12"/>
      <c r="N20" s="12"/>
      <c r="O20" s="12"/>
    </row>
    <row r="21" spans="1:15" ht="20.149999999999999" customHeight="1" x14ac:dyDescent="0.35">
      <c r="A21" s="84">
        <f t="shared" si="2"/>
        <v>7</v>
      </c>
      <c r="B21" s="141" t="s">
        <v>9</v>
      </c>
      <c r="C21" s="116" t="s">
        <v>329</v>
      </c>
      <c r="D21" s="14">
        <f>'SISA STOK UNIT'!D18</f>
        <v>0</v>
      </c>
      <c r="E21" s="14">
        <f>'LPLPO GUDANG'!E21</f>
        <v>1500</v>
      </c>
      <c r="F21" s="14">
        <f t="shared" si="0"/>
        <v>1500</v>
      </c>
      <c r="G21" s="14">
        <f>'PEMAKAIAN UNIT'!R15</f>
        <v>0</v>
      </c>
      <c r="H21" s="14">
        <f t="shared" si="1"/>
        <v>1500</v>
      </c>
      <c r="I21" s="15">
        <f>'LPLPO GUDANG'!I21</f>
        <v>0</v>
      </c>
      <c r="J21" s="12"/>
      <c r="K21" s="12"/>
      <c r="L21" s="12"/>
      <c r="M21" s="12"/>
      <c r="N21" s="12"/>
      <c r="O21" s="12"/>
    </row>
    <row r="22" spans="1:15" ht="20.149999999999999" customHeight="1" x14ac:dyDescent="0.35">
      <c r="A22" s="84">
        <f t="shared" si="2"/>
        <v>8</v>
      </c>
      <c r="B22" s="141" t="s">
        <v>250</v>
      </c>
      <c r="C22" s="116" t="s">
        <v>4</v>
      </c>
      <c r="D22" s="14">
        <f>'SISA STOK UNIT'!D19</f>
        <v>0</v>
      </c>
      <c r="E22" s="14">
        <f>'LPLPO GUDANG'!E22</f>
        <v>100</v>
      </c>
      <c r="F22" s="14">
        <f t="shared" si="0"/>
        <v>100</v>
      </c>
      <c r="G22" s="14">
        <f>'PEMAKAIAN UNIT'!R16</f>
        <v>0</v>
      </c>
      <c r="H22" s="14">
        <f t="shared" si="1"/>
        <v>100</v>
      </c>
      <c r="I22" s="15">
        <f>'LPLPO GUDANG'!I22</f>
        <v>200</v>
      </c>
      <c r="J22" s="12"/>
      <c r="K22" s="12"/>
      <c r="L22" s="12"/>
      <c r="M22" s="12"/>
      <c r="N22" s="12"/>
      <c r="O22" s="12"/>
    </row>
    <row r="23" spans="1:15" ht="30" x14ac:dyDescent="0.35">
      <c r="A23" s="84">
        <f t="shared" si="2"/>
        <v>9</v>
      </c>
      <c r="B23" s="141" t="s">
        <v>10</v>
      </c>
      <c r="C23" s="118" t="s">
        <v>319</v>
      </c>
      <c r="D23" s="14">
        <f>'SISA STOK UNIT'!D20</f>
        <v>0</v>
      </c>
      <c r="E23" s="14">
        <f>'LPLPO GUDANG'!E23</f>
        <v>50</v>
      </c>
      <c r="F23" s="14">
        <f t="shared" si="0"/>
        <v>50</v>
      </c>
      <c r="G23" s="14">
        <f>'PEMAKAIAN UNIT'!R17</f>
        <v>0</v>
      </c>
      <c r="H23" s="14">
        <f t="shared" si="1"/>
        <v>50</v>
      </c>
      <c r="I23" s="15">
        <f>'LPLPO GUDANG'!I23</f>
        <v>100</v>
      </c>
      <c r="J23" s="12"/>
      <c r="K23" s="12"/>
      <c r="L23" s="12"/>
      <c r="M23" s="12"/>
      <c r="N23" s="12"/>
      <c r="O23" s="12"/>
    </row>
    <row r="24" spans="1:15" ht="30" x14ac:dyDescent="0.35">
      <c r="A24" s="84">
        <f t="shared" si="2"/>
        <v>10</v>
      </c>
      <c r="B24" s="141" t="s">
        <v>10</v>
      </c>
      <c r="C24" s="115" t="s">
        <v>327</v>
      </c>
      <c r="D24" s="14">
        <f>'SISA STOK UNIT'!D21</f>
        <v>0</v>
      </c>
      <c r="E24" s="14">
        <f>'LPLPO GUDANG'!E24</f>
        <v>1000</v>
      </c>
      <c r="F24" s="14">
        <f t="shared" si="0"/>
        <v>1000</v>
      </c>
      <c r="G24" s="14">
        <f>'PEMAKAIAN UNIT'!R18</f>
        <v>0</v>
      </c>
      <c r="H24" s="14">
        <f t="shared" si="1"/>
        <v>1000</v>
      </c>
      <c r="I24" s="15">
        <f>'LPLPO GUDANG'!I24</f>
        <v>1000</v>
      </c>
      <c r="J24" s="12"/>
      <c r="K24" s="12"/>
      <c r="L24" s="12"/>
      <c r="M24" s="12"/>
      <c r="N24" s="12"/>
      <c r="O24" s="12"/>
    </row>
    <row r="25" spans="1:15" ht="16.5" x14ac:dyDescent="0.35">
      <c r="A25" s="84">
        <f t="shared" si="2"/>
        <v>11</v>
      </c>
      <c r="B25" s="141" t="s">
        <v>259</v>
      </c>
      <c r="C25" s="116" t="s">
        <v>4</v>
      </c>
      <c r="D25" s="14">
        <f>'SISA STOK UNIT'!D22</f>
        <v>0</v>
      </c>
      <c r="E25" s="14">
        <f>'LPLPO GUDANG'!E25</f>
        <v>0</v>
      </c>
      <c r="F25" s="14">
        <f t="shared" si="0"/>
        <v>0</v>
      </c>
      <c r="G25" s="14">
        <f>'PEMAKAIAN UNIT'!R19</f>
        <v>0</v>
      </c>
      <c r="H25" s="14">
        <f t="shared" si="1"/>
        <v>0</v>
      </c>
      <c r="I25" s="15">
        <f>'LPLPO GUDANG'!I25</f>
        <v>0</v>
      </c>
      <c r="J25" s="12"/>
      <c r="K25" s="12"/>
      <c r="L25" s="12"/>
      <c r="M25" s="12"/>
      <c r="N25" s="12"/>
      <c r="O25" s="12"/>
    </row>
    <row r="26" spans="1:15" ht="60" x14ac:dyDescent="0.35">
      <c r="A26" s="84">
        <f t="shared" si="2"/>
        <v>12</v>
      </c>
      <c r="B26" s="141" t="s">
        <v>11</v>
      </c>
      <c r="C26" s="119" t="s">
        <v>330</v>
      </c>
      <c r="D26" s="14">
        <f>'SISA STOK UNIT'!D23</f>
        <v>0</v>
      </c>
      <c r="E26" s="14">
        <f>'LPLPO GUDANG'!E26</f>
        <v>0</v>
      </c>
      <c r="F26" s="14">
        <f t="shared" si="0"/>
        <v>0</v>
      </c>
      <c r="G26" s="14">
        <f>'PEMAKAIAN UNIT'!R20</f>
        <v>0</v>
      </c>
      <c r="H26" s="14">
        <f t="shared" si="1"/>
        <v>0</v>
      </c>
      <c r="I26" s="15">
        <f>'LPLPO GUDANG'!I26</f>
        <v>20</v>
      </c>
      <c r="J26" s="12"/>
      <c r="K26" s="12"/>
      <c r="L26" s="12"/>
      <c r="M26" s="12"/>
      <c r="N26" s="12"/>
      <c r="O26" s="12"/>
    </row>
    <row r="27" spans="1:15" ht="20.149999999999999" customHeight="1" x14ac:dyDescent="0.35">
      <c r="A27" s="84">
        <f t="shared" si="2"/>
        <v>13</v>
      </c>
      <c r="B27" s="141" t="s">
        <v>12</v>
      </c>
      <c r="C27" s="102" t="s">
        <v>327</v>
      </c>
      <c r="D27" s="14">
        <f>'SISA STOK UNIT'!D24</f>
        <v>0</v>
      </c>
      <c r="E27" s="14">
        <f>'LPLPO GUDANG'!E27</f>
        <v>0</v>
      </c>
      <c r="F27" s="14">
        <f t="shared" si="0"/>
        <v>0</v>
      </c>
      <c r="G27" s="14">
        <f>'PEMAKAIAN UNIT'!R21</f>
        <v>0</v>
      </c>
      <c r="H27" s="14">
        <f t="shared" si="1"/>
        <v>0</v>
      </c>
      <c r="I27" s="15">
        <f>'LPLPO GUDANG'!I27</f>
        <v>0</v>
      </c>
      <c r="J27" s="12"/>
      <c r="K27" s="12"/>
      <c r="L27" s="12"/>
      <c r="M27" s="12"/>
      <c r="N27" s="12"/>
      <c r="O27" s="12"/>
    </row>
    <row r="28" spans="1:15" ht="20.149999999999999" customHeight="1" x14ac:dyDescent="0.35">
      <c r="A28" s="84">
        <f t="shared" si="2"/>
        <v>14</v>
      </c>
      <c r="B28" s="141" t="s">
        <v>277</v>
      </c>
      <c r="C28" s="102" t="s">
        <v>327</v>
      </c>
      <c r="D28" s="14">
        <f>'SISA STOK UNIT'!D25</f>
        <v>0</v>
      </c>
      <c r="E28" s="14">
        <f>'LPLPO GUDANG'!E28</f>
        <v>0</v>
      </c>
      <c r="F28" s="14">
        <f t="shared" si="0"/>
        <v>0</v>
      </c>
      <c r="G28" s="14">
        <f>'PEMAKAIAN UNIT'!R22</f>
        <v>0</v>
      </c>
      <c r="H28" s="14">
        <f t="shared" si="1"/>
        <v>0</v>
      </c>
      <c r="I28" s="15">
        <f>'LPLPO GUDANG'!I28</f>
        <v>0</v>
      </c>
      <c r="J28" s="12"/>
      <c r="K28" s="12"/>
      <c r="L28" s="12"/>
      <c r="M28" s="12"/>
      <c r="N28" s="12"/>
      <c r="O28" s="12"/>
    </row>
    <row r="29" spans="1:15" ht="20.149999999999999" customHeight="1" x14ac:dyDescent="0.35">
      <c r="A29" s="84">
        <f t="shared" si="2"/>
        <v>15</v>
      </c>
      <c r="B29" s="141" t="s">
        <v>13</v>
      </c>
      <c r="C29" s="120" t="s">
        <v>327</v>
      </c>
      <c r="D29" s="14">
        <f>'SISA STOK UNIT'!D26</f>
        <v>0</v>
      </c>
      <c r="E29" s="14">
        <f>'LPLPO GUDANG'!E29</f>
        <v>0</v>
      </c>
      <c r="F29" s="14">
        <f t="shared" si="0"/>
        <v>0</v>
      </c>
      <c r="G29" s="14">
        <f>'PEMAKAIAN UNIT'!R23</f>
        <v>0</v>
      </c>
      <c r="H29" s="14">
        <f t="shared" si="1"/>
        <v>0</v>
      </c>
      <c r="I29" s="15">
        <f>'LPLPO GUDANG'!I29</f>
        <v>0</v>
      </c>
      <c r="J29" s="12"/>
      <c r="K29" s="12"/>
      <c r="L29" s="12"/>
      <c r="M29" s="12"/>
      <c r="N29" s="12"/>
      <c r="O29" s="12"/>
    </row>
    <row r="30" spans="1:15" ht="20.149999999999999" customHeight="1" x14ac:dyDescent="0.35">
      <c r="A30" s="84">
        <f t="shared" si="2"/>
        <v>16</v>
      </c>
      <c r="B30" s="141" t="s">
        <v>14</v>
      </c>
      <c r="C30" s="102" t="s">
        <v>327</v>
      </c>
      <c r="D30" s="14">
        <f>'SISA STOK UNIT'!D27</f>
        <v>0</v>
      </c>
      <c r="E30" s="14">
        <f>'LPLPO GUDANG'!E30</f>
        <v>1500</v>
      </c>
      <c r="F30" s="14">
        <f t="shared" si="0"/>
        <v>1500</v>
      </c>
      <c r="G30" s="14">
        <f>'PEMAKAIAN UNIT'!R24</f>
        <v>0</v>
      </c>
      <c r="H30" s="14">
        <f t="shared" si="1"/>
        <v>1500</v>
      </c>
      <c r="I30" s="15">
        <f>'LPLPO GUDANG'!I30</f>
        <v>2000</v>
      </c>
      <c r="J30" s="12"/>
      <c r="K30" s="12"/>
      <c r="L30" s="12"/>
      <c r="M30" s="12"/>
      <c r="N30" s="12"/>
      <c r="O30" s="12"/>
    </row>
    <row r="31" spans="1:15" ht="20.149999999999999" customHeight="1" x14ac:dyDescent="0.35">
      <c r="A31" s="84">
        <f t="shared" si="2"/>
        <v>17</v>
      </c>
      <c r="B31" s="141" t="s">
        <v>15</v>
      </c>
      <c r="C31" s="102" t="s">
        <v>4</v>
      </c>
      <c r="D31" s="14">
        <f>'SISA STOK UNIT'!D28</f>
        <v>0</v>
      </c>
      <c r="E31" s="14">
        <f>'LPLPO GUDANG'!E31</f>
        <v>0</v>
      </c>
      <c r="F31" s="14">
        <f t="shared" si="0"/>
        <v>0</v>
      </c>
      <c r="G31" s="14">
        <f>'PEMAKAIAN UNIT'!R25</f>
        <v>0</v>
      </c>
      <c r="H31" s="14">
        <f t="shared" si="1"/>
        <v>0</v>
      </c>
      <c r="I31" s="15">
        <f>'LPLPO GUDANG'!I31</f>
        <v>0</v>
      </c>
      <c r="J31" s="12"/>
      <c r="K31" s="12"/>
      <c r="L31" s="12"/>
      <c r="M31" s="12"/>
      <c r="N31" s="12"/>
      <c r="O31" s="12"/>
    </row>
    <row r="32" spans="1:15" ht="20.149999999999999" customHeight="1" x14ac:dyDescent="0.35">
      <c r="A32" s="84">
        <f t="shared" si="2"/>
        <v>18</v>
      </c>
      <c r="B32" s="141" t="s">
        <v>320</v>
      </c>
      <c r="C32" s="102" t="s">
        <v>331</v>
      </c>
      <c r="D32" s="14">
        <f>'SISA STOK UNIT'!D29</f>
        <v>0</v>
      </c>
      <c r="E32" s="14">
        <f>'LPLPO GUDANG'!E32</f>
        <v>25</v>
      </c>
      <c r="F32" s="14">
        <f t="shared" si="0"/>
        <v>25</v>
      </c>
      <c r="G32" s="14">
        <f>'PEMAKAIAN UNIT'!R26</f>
        <v>0</v>
      </c>
      <c r="H32" s="14">
        <f t="shared" si="1"/>
        <v>25</v>
      </c>
      <c r="I32" s="15">
        <f>'LPLPO GUDANG'!I32</f>
        <v>0</v>
      </c>
      <c r="J32" s="12"/>
      <c r="K32" s="12"/>
      <c r="L32" s="12"/>
      <c r="M32" s="12"/>
      <c r="N32" s="12"/>
      <c r="O32" s="12"/>
    </row>
    <row r="33" spans="1:15" ht="20.149999999999999" customHeight="1" x14ac:dyDescent="0.35">
      <c r="A33" s="84">
        <f t="shared" si="2"/>
        <v>19</v>
      </c>
      <c r="B33" s="141" t="s">
        <v>17</v>
      </c>
      <c r="C33" s="102" t="s">
        <v>332</v>
      </c>
      <c r="D33" s="14">
        <f>'SISA STOK UNIT'!D30</f>
        <v>0</v>
      </c>
      <c r="E33" s="14">
        <f>'LPLPO GUDANG'!E33</f>
        <v>0</v>
      </c>
      <c r="F33" s="14">
        <f t="shared" si="0"/>
        <v>0</v>
      </c>
      <c r="G33" s="14">
        <f>'PEMAKAIAN UNIT'!R27</f>
        <v>0</v>
      </c>
      <c r="H33" s="14">
        <f t="shared" si="1"/>
        <v>0</v>
      </c>
      <c r="I33" s="15">
        <f>'LPLPO GUDANG'!I33</f>
        <v>0</v>
      </c>
      <c r="J33" s="12"/>
      <c r="K33" s="12"/>
      <c r="L33" s="12"/>
      <c r="M33" s="12"/>
      <c r="N33" s="12"/>
      <c r="O33" s="12"/>
    </row>
    <row r="34" spans="1:15" ht="20.149999999999999" customHeight="1" x14ac:dyDescent="0.35">
      <c r="A34" s="84">
        <f t="shared" si="2"/>
        <v>20</v>
      </c>
      <c r="B34" s="141" t="s">
        <v>18</v>
      </c>
      <c r="C34" s="102" t="s">
        <v>333</v>
      </c>
      <c r="D34" s="14">
        <f>'SISA STOK UNIT'!D31</f>
        <v>0</v>
      </c>
      <c r="E34" s="14">
        <f>'LPLPO GUDANG'!E34</f>
        <v>0</v>
      </c>
      <c r="F34" s="14">
        <f t="shared" si="0"/>
        <v>0</v>
      </c>
      <c r="G34" s="14">
        <f>'PEMAKAIAN UNIT'!R28</f>
        <v>0</v>
      </c>
      <c r="H34" s="14">
        <f t="shared" si="1"/>
        <v>0</v>
      </c>
      <c r="I34" s="15">
        <f>'LPLPO GUDANG'!I34</f>
        <v>0</v>
      </c>
      <c r="J34" s="12"/>
      <c r="K34" s="12"/>
      <c r="L34" s="12"/>
      <c r="M34" s="12"/>
      <c r="N34" s="12"/>
      <c r="O34" s="12"/>
    </row>
    <row r="35" spans="1:15" ht="20.149999999999999" customHeight="1" x14ac:dyDescent="0.35">
      <c r="A35" s="84">
        <f t="shared" si="2"/>
        <v>21</v>
      </c>
      <c r="B35" s="236" t="s">
        <v>413</v>
      </c>
      <c r="C35" s="144" t="s">
        <v>6</v>
      </c>
      <c r="D35" s="14">
        <f>'SISA STOK UNIT'!D32</f>
        <v>0</v>
      </c>
      <c r="E35" s="14">
        <f>'LPLPO GUDANG'!E35</f>
        <v>2000</v>
      </c>
      <c r="F35" s="14">
        <f t="shared" si="0"/>
        <v>2000</v>
      </c>
      <c r="G35" s="14">
        <f>'PEMAKAIAN UNIT'!R29</f>
        <v>0</v>
      </c>
      <c r="H35" s="14">
        <f t="shared" si="1"/>
        <v>2000</v>
      </c>
      <c r="I35" s="15">
        <f>'LPLPO GUDANG'!I35</f>
        <v>0</v>
      </c>
      <c r="J35" s="12"/>
      <c r="K35" s="12"/>
      <c r="L35" s="12"/>
      <c r="M35" s="12"/>
      <c r="N35" s="12"/>
      <c r="O35" s="12"/>
    </row>
    <row r="36" spans="1:15" ht="20.149999999999999" customHeight="1" x14ac:dyDescent="0.35">
      <c r="A36" s="84">
        <f t="shared" si="2"/>
        <v>22</v>
      </c>
      <c r="B36" s="141" t="s">
        <v>19</v>
      </c>
      <c r="C36" s="118" t="s">
        <v>4</v>
      </c>
      <c r="D36" s="14">
        <f>'SISA STOK UNIT'!D33</f>
        <v>0</v>
      </c>
      <c r="E36" s="14">
        <f>'LPLPO GUDANG'!E36</f>
        <v>0</v>
      </c>
      <c r="F36" s="14">
        <f t="shared" si="0"/>
        <v>0</v>
      </c>
      <c r="G36" s="14">
        <f>'PEMAKAIAN UNIT'!R30</f>
        <v>0</v>
      </c>
      <c r="H36" s="14">
        <f t="shared" si="1"/>
        <v>0</v>
      </c>
      <c r="I36" s="15">
        <f>'LPLPO GUDANG'!I36</f>
        <v>0</v>
      </c>
      <c r="J36" s="12"/>
      <c r="K36" s="12"/>
      <c r="L36" s="12"/>
      <c r="M36" s="12"/>
      <c r="N36" s="12"/>
      <c r="O36" s="12"/>
    </row>
    <row r="37" spans="1:15" ht="20.149999999999999" customHeight="1" x14ac:dyDescent="0.35">
      <c r="A37" s="84">
        <f t="shared" si="2"/>
        <v>23</v>
      </c>
      <c r="B37" s="141" t="s">
        <v>260</v>
      </c>
      <c r="C37" s="118" t="s">
        <v>254</v>
      </c>
      <c r="D37" s="14">
        <f>'SISA STOK UNIT'!D34</f>
        <v>0</v>
      </c>
      <c r="E37" s="14">
        <f>'LPLPO GUDANG'!E37</f>
        <v>0</v>
      </c>
      <c r="F37" s="14">
        <f t="shared" si="0"/>
        <v>0</v>
      </c>
      <c r="G37" s="14">
        <f>'PEMAKAIAN UNIT'!R31</f>
        <v>0</v>
      </c>
      <c r="H37" s="14">
        <f t="shared" si="1"/>
        <v>0</v>
      </c>
      <c r="I37" s="15">
        <f>'LPLPO GUDANG'!I37</f>
        <v>0</v>
      </c>
      <c r="J37" s="12"/>
      <c r="K37" s="12"/>
      <c r="L37" s="12"/>
      <c r="M37" s="12"/>
      <c r="N37" s="12"/>
      <c r="O37" s="12"/>
    </row>
    <row r="38" spans="1:15" ht="20.149999999999999" customHeight="1" x14ac:dyDescent="0.35">
      <c r="A38" s="84">
        <f t="shared" si="2"/>
        <v>24</v>
      </c>
      <c r="B38" s="141" t="s">
        <v>104</v>
      </c>
      <c r="C38" s="118" t="s">
        <v>334</v>
      </c>
      <c r="D38" s="14">
        <f>'SISA STOK UNIT'!D35</f>
        <v>0</v>
      </c>
      <c r="E38" s="14">
        <f>'LPLPO GUDANG'!E38</f>
        <v>0</v>
      </c>
      <c r="F38" s="14">
        <f t="shared" si="0"/>
        <v>0</v>
      </c>
      <c r="G38" s="14">
        <f>'PEMAKAIAN UNIT'!R32</f>
        <v>0</v>
      </c>
      <c r="H38" s="14">
        <f t="shared" si="1"/>
        <v>0</v>
      </c>
      <c r="I38" s="15">
        <f>'LPLPO GUDANG'!I38</f>
        <v>1000</v>
      </c>
      <c r="J38" s="12"/>
      <c r="K38" s="12"/>
      <c r="L38" s="12"/>
      <c r="M38" s="12"/>
      <c r="N38" s="12"/>
      <c r="O38" s="12"/>
    </row>
    <row r="39" spans="1:15" ht="20.149999999999999" customHeight="1" x14ac:dyDescent="0.35">
      <c r="A39" s="84">
        <f t="shared" si="2"/>
        <v>25</v>
      </c>
      <c r="B39" s="141" t="s">
        <v>20</v>
      </c>
      <c r="C39" s="102" t="s">
        <v>335</v>
      </c>
      <c r="D39" s="14">
        <f>'SISA STOK UNIT'!D36</f>
        <v>0</v>
      </c>
      <c r="E39" s="14">
        <f>'LPLPO GUDANG'!E39</f>
        <v>0</v>
      </c>
      <c r="F39" s="14">
        <f t="shared" si="0"/>
        <v>0</v>
      </c>
      <c r="G39" s="14">
        <f>'PEMAKAIAN UNIT'!R33</f>
        <v>0</v>
      </c>
      <c r="H39" s="14">
        <f t="shared" si="1"/>
        <v>0</v>
      </c>
      <c r="I39" s="15">
        <f>'LPLPO GUDANG'!I39</f>
        <v>0</v>
      </c>
      <c r="J39" s="12"/>
      <c r="K39" s="12"/>
      <c r="L39" s="12"/>
      <c r="M39" s="12"/>
      <c r="N39" s="12"/>
      <c r="O39" s="12"/>
    </row>
    <row r="40" spans="1:15" ht="20.149999999999999" customHeight="1" x14ac:dyDescent="0.35">
      <c r="A40" s="84">
        <f t="shared" si="2"/>
        <v>26</v>
      </c>
      <c r="B40" s="141" t="s">
        <v>22</v>
      </c>
      <c r="C40" s="102" t="s">
        <v>330</v>
      </c>
      <c r="D40" s="14">
        <f>'SISA STOK UNIT'!D37</f>
        <v>0</v>
      </c>
      <c r="E40" s="14">
        <f>'LPLPO GUDANG'!E40</f>
        <v>0</v>
      </c>
      <c r="F40" s="14">
        <f t="shared" si="0"/>
        <v>0</v>
      </c>
      <c r="G40" s="14">
        <f>'PEMAKAIAN UNIT'!R34</f>
        <v>0</v>
      </c>
      <c r="H40" s="14">
        <f t="shared" si="1"/>
        <v>0</v>
      </c>
      <c r="I40" s="15">
        <f>'LPLPO GUDANG'!I40</f>
        <v>0</v>
      </c>
      <c r="J40" s="12"/>
      <c r="K40" s="12"/>
      <c r="L40" s="12"/>
      <c r="M40" s="12"/>
      <c r="N40" s="12"/>
      <c r="O40" s="12"/>
    </row>
    <row r="41" spans="1:15" ht="20.149999999999999" customHeight="1" x14ac:dyDescent="0.35">
      <c r="A41" s="84">
        <f t="shared" si="2"/>
        <v>27</v>
      </c>
      <c r="B41" s="141" t="s">
        <v>21</v>
      </c>
      <c r="C41" s="121" t="s">
        <v>330</v>
      </c>
      <c r="D41" s="14">
        <f>'SISA STOK UNIT'!D38</f>
        <v>0</v>
      </c>
      <c r="E41" s="14">
        <f>'LPLPO GUDANG'!E41</f>
        <v>0</v>
      </c>
      <c r="F41" s="14">
        <f t="shared" si="0"/>
        <v>0</v>
      </c>
      <c r="G41" s="14">
        <f>'PEMAKAIAN UNIT'!R35</f>
        <v>0</v>
      </c>
      <c r="H41" s="14">
        <f t="shared" si="1"/>
        <v>0</v>
      </c>
      <c r="I41" s="15">
        <f>'LPLPO GUDANG'!I41</f>
        <v>0</v>
      </c>
      <c r="J41" s="12"/>
      <c r="K41" s="12"/>
      <c r="L41" s="12"/>
      <c r="M41" s="12"/>
      <c r="N41" s="12"/>
      <c r="O41" s="12"/>
    </row>
    <row r="42" spans="1:15" ht="20.149999999999999" customHeight="1" x14ac:dyDescent="0.35">
      <c r="A42" s="84">
        <f t="shared" si="2"/>
        <v>28</v>
      </c>
      <c r="B42" s="141" t="s">
        <v>23</v>
      </c>
      <c r="C42" s="118" t="s">
        <v>336</v>
      </c>
      <c r="D42" s="14">
        <f>'SISA STOK UNIT'!D39</f>
        <v>0</v>
      </c>
      <c r="E42" s="14">
        <f>'LPLPO GUDANG'!E42</f>
        <v>0</v>
      </c>
      <c r="F42" s="14">
        <f t="shared" si="0"/>
        <v>0</v>
      </c>
      <c r="G42" s="14">
        <f>'PEMAKAIAN UNIT'!R36</f>
        <v>0</v>
      </c>
      <c r="H42" s="14">
        <f t="shared" si="1"/>
        <v>0</v>
      </c>
      <c r="I42" s="15">
        <f>'LPLPO GUDANG'!I42</f>
        <v>0</v>
      </c>
      <c r="J42" s="12"/>
      <c r="K42" s="12"/>
      <c r="L42" s="12"/>
      <c r="M42" s="12"/>
      <c r="N42" s="12"/>
      <c r="O42" s="12"/>
    </row>
    <row r="43" spans="1:15" ht="16.5" x14ac:dyDescent="0.35">
      <c r="A43" s="84">
        <f t="shared" si="2"/>
        <v>29</v>
      </c>
      <c r="B43" s="141" t="s">
        <v>25</v>
      </c>
      <c r="C43" s="102" t="s">
        <v>327</v>
      </c>
      <c r="D43" s="14">
        <f>'SISA STOK UNIT'!D40</f>
        <v>0</v>
      </c>
      <c r="E43" s="14">
        <f>'LPLPO GUDANG'!E43</f>
        <v>1500</v>
      </c>
      <c r="F43" s="14">
        <f t="shared" si="0"/>
        <v>1500</v>
      </c>
      <c r="G43" s="14">
        <f>'PEMAKAIAN UNIT'!R37</f>
        <v>0</v>
      </c>
      <c r="H43" s="14">
        <f t="shared" si="1"/>
        <v>1500</v>
      </c>
      <c r="I43" s="15">
        <f>'LPLPO GUDANG'!I43</f>
        <v>3000</v>
      </c>
      <c r="J43" s="12"/>
      <c r="K43" s="12"/>
      <c r="L43" s="12"/>
      <c r="M43" s="12"/>
      <c r="N43" s="12"/>
      <c r="O43" s="12"/>
    </row>
    <row r="44" spans="1:15" ht="20.149999999999999" customHeight="1" x14ac:dyDescent="0.35">
      <c r="A44" s="84">
        <f t="shared" si="2"/>
        <v>30</v>
      </c>
      <c r="B44" s="141" t="s">
        <v>24</v>
      </c>
      <c r="C44" s="122" t="s">
        <v>4</v>
      </c>
      <c r="D44" s="14">
        <f>'SISA STOK UNIT'!D41</f>
        <v>0</v>
      </c>
      <c r="E44" s="14">
        <f>'LPLPO GUDANG'!E44</f>
        <v>0</v>
      </c>
      <c r="F44" s="14">
        <f t="shared" si="0"/>
        <v>0</v>
      </c>
      <c r="G44" s="14">
        <f>'PEMAKAIAN UNIT'!R38</f>
        <v>0</v>
      </c>
      <c r="H44" s="14">
        <f t="shared" si="1"/>
        <v>0</v>
      </c>
      <c r="I44" s="15">
        <f>'LPLPO GUDANG'!I44</f>
        <v>0</v>
      </c>
      <c r="J44" s="12"/>
      <c r="K44" s="12"/>
      <c r="L44" s="12"/>
      <c r="M44" s="12"/>
      <c r="N44" s="12"/>
      <c r="O44" s="12"/>
    </row>
    <row r="45" spans="1:15" ht="20.149999999999999" customHeight="1" x14ac:dyDescent="0.35">
      <c r="A45" s="84">
        <f t="shared" si="2"/>
        <v>31</v>
      </c>
      <c r="B45" s="141" t="s">
        <v>26</v>
      </c>
      <c r="C45" s="102" t="s">
        <v>48</v>
      </c>
      <c r="D45" s="14">
        <f>'SISA STOK UNIT'!D42</f>
        <v>0</v>
      </c>
      <c r="E45" s="14">
        <f>'LPLPO GUDANG'!E45</f>
        <v>0</v>
      </c>
      <c r="F45" s="14">
        <f t="shared" si="0"/>
        <v>0</v>
      </c>
      <c r="G45" s="14">
        <f>'PEMAKAIAN UNIT'!R39</f>
        <v>0</v>
      </c>
      <c r="H45" s="14">
        <f t="shared" si="1"/>
        <v>0</v>
      </c>
      <c r="I45" s="15">
        <f>'LPLPO GUDANG'!I45</f>
        <v>0</v>
      </c>
      <c r="J45" s="12"/>
      <c r="K45" s="12"/>
      <c r="L45" s="12"/>
      <c r="M45" s="12"/>
      <c r="N45" s="12"/>
      <c r="O45" s="12"/>
    </row>
    <row r="46" spans="1:15" ht="20.149999999999999" customHeight="1" x14ac:dyDescent="0.35">
      <c r="A46" s="84">
        <f t="shared" si="2"/>
        <v>32</v>
      </c>
      <c r="B46" s="141" t="s">
        <v>27</v>
      </c>
      <c r="C46" s="102" t="s">
        <v>337</v>
      </c>
      <c r="D46" s="14">
        <f>'SISA STOK UNIT'!D43</f>
        <v>0</v>
      </c>
      <c r="E46" s="14">
        <f>'LPLPO GUDANG'!E46</f>
        <v>0</v>
      </c>
      <c r="F46" s="14">
        <f t="shared" si="0"/>
        <v>0</v>
      </c>
      <c r="G46" s="14">
        <f>'PEMAKAIAN UNIT'!R40</f>
        <v>0</v>
      </c>
      <c r="H46" s="14">
        <f t="shared" si="1"/>
        <v>0</v>
      </c>
      <c r="I46" s="15">
        <f>'LPLPO GUDANG'!I46</f>
        <v>0</v>
      </c>
      <c r="J46" s="12"/>
      <c r="K46" s="12"/>
      <c r="L46" s="12"/>
      <c r="M46" s="12"/>
      <c r="N46" s="12"/>
      <c r="O46" s="12"/>
    </row>
    <row r="47" spans="1:15" ht="20.149999999999999" customHeight="1" x14ac:dyDescent="0.35">
      <c r="A47" s="84">
        <f t="shared" si="2"/>
        <v>33</v>
      </c>
      <c r="B47" s="141" t="s">
        <v>28</v>
      </c>
      <c r="C47" s="106" t="s">
        <v>338</v>
      </c>
      <c r="D47" s="14">
        <f>'SISA STOK UNIT'!D44</f>
        <v>0</v>
      </c>
      <c r="E47" s="14">
        <f>'LPLPO GUDANG'!E47</f>
        <v>0</v>
      </c>
      <c r="F47" s="14">
        <f t="shared" si="0"/>
        <v>0</v>
      </c>
      <c r="G47" s="14">
        <f>'PEMAKAIAN UNIT'!R41</f>
        <v>0</v>
      </c>
      <c r="H47" s="14">
        <f t="shared" si="1"/>
        <v>0</v>
      </c>
      <c r="I47" s="15">
        <f>'LPLPO GUDANG'!I47</f>
        <v>0</v>
      </c>
      <c r="J47" s="12"/>
      <c r="K47" s="12"/>
      <c r="L47" s="12"/>
      <c r="M47" s="12"/>
      <c r="N47" s="12"/>
      <c r="O47" s="12"/>
    </row>
    <row r="48" spans="1:15" ht="20.149999999999999" customHeight="1" x14ac:dyDescent="0.35">
      <c r="A48" s="84">
        <f t="shared" si="2"/>
        <v>34</v>
      </c>
      <c r="B48" s="141" t="s">
        <v>29</v>
      </c>
      <c r="C48" s="123" t="s">
        <v>339</v>
      </c>
      <c r="D48" s="14">
        <f>'SISA STOK UNIT'!D45</f>
        <v>0</v>
      </c>
      <c r="E48" s="14">
        <f>'LPLPO GUDANG'!E48</f>
        <v>0</v>
      </c>
      <c r="F48" s="14">
        <f t="shared" si="0"/>
        <v>0</v>
      </c>
      <c r="G48" s="14">
        <f>'PEMAKAIAN UNIT'!R42</f>
        <v>0</v>
      </c>
      <c r="H48" s="14">
        <f t="shared" si="1"/>
        <v>0</v>
      </c>
      <c r="I48" s="15">
        <f>'LPLPO GUDANG'!I48</f>
        <v>0</v>
      </c>
      <c r="J48" s="12"/>
      <c r="K48" s="12"/>
      <c r="L48" s="12"/>
      <c r="M48" s="12"/>
      <c r="N48" s="12"/>
      <c r="O48" s="12"/>
    </row>
    <row r="49" spans="1:15" ht="20.149999999999999" customHeight="1" x14ac:dyDescent="0.35">
      <c r="A49" s="84">
        <f t="shared" si="2"/>
        <v>35</v>
      </c>
      <c r="B49" s="141" t="s">
        <v>30</v>
      </c>
      <c r="C49" s="123" t="s">
        <v>337</v>
      </c>
      <c r="D49" s="14">
        <f>'SISA STOK UNIT'!D46</f>
        <v>0</v>
      </c>
      <c r="E49" s="14">
        <f>'LPLPO GUDANG'!E49</f>
        <v>0</v>
      </c>
      <c r="F49" s="14">
        <f t="shared" si="0"/>
        <v>0</v>
      </c>
      <c r="G49" s="14">
        <f>'PEMAKAIAN UNIT'!R43</f>
        <v>0</v>
      </c>
      <c r="H49" s="14">
        <f t="shared" si="1"/>
        <v>0</v>
      </c>
      <c r="I49" s="15">
        <f>'LPLPO GUDANG'!I49</f>
        <v>0</v>
      </c>
      <c r="J49" s="12"/>
      <c r="K49" s="12"/>
      <c r="L49" s="12"/>
      <c r="M49" s="12"/>
      <c r="N49" s="12"/>
      <c r="O49" s="12"/>
    </row>
    <row r="50" spans="1:15" ht="20.149999999999999" customHeight="1" x14ac:dyDescent="0.35">
      <c r="A50" s="84">
        <f t="shared" si="2"/>
        <v>36</v>
      </c>
      <c r="B50" s="141" t="s">
        <v>31</v>
      </c>
      <c r="C50" s="102" t="s">
        <v>327</v>
      </c>
      <c r="D50" s="14">
        <f>'SISA STOK UNIT'!D47</f>
        <v>0</v>
      </c>
      <c r="E50" s="14">
        <f>'LPLPO GUDANG'!E50</f>
        <v>400</v>
      </c>
      <c r="F50" s="14">
        <f t="shared" si="0"/>
        <v>400</v>
      </c>
      <c r="G50" s="14">
        <f>'PEMAKAIAN UNIT'!R44</f>
        <v>0</v>
      </c>
      <c r="H50" s="14">
        <f t="shared" si="1"/>
        <v>400</v>
      </c>
      <c r="I50" s="15">
        <f>'LPLPO GUDANG'!I50</f>
        <v>1000</v>
      </c>
      <c r="J50" s="12"/>
      <c r="K50" s="12"/>
      <c r="L50" s="12"/>
      <c r="M50" s="12"/>
      <c r="N50" s="12"/>
      <c r="O50" s="12"/>
    </row>
    <row r="51" spans="1:15" ht="20.149999999999999" customHeight="1" x14ac:dyDescent="0.35">
      <c r="A51" s="84">
        <f t="shared" si="2"/>
        <v>37</v>
      </c>
      <c r="B51" s="141" t="s">
        <v>32</v>
      </c>
      <c r="C51" s="118" t="s">
        <v>340</v>
      </c>
      <c r="D51" s="14">
        <f>'SISA STOK UNIT'!D48</f>
        <v>0</v>
      </c>
      <c r="E51" s="14">
        <f>'LPLPO GUDANG'!E51</f>
        <v>0</v>
      </c>
      <c r="F51" s="14">
        <f t="shared" si="0"/>
        <v>0</v>
      </c>
      <c r="G51" s="14">
        <f>'PEMAKAIAN UNIT'!R45</f>
        <v>0</v>
      </c>
      <c r="H51" s="14">
        <f t="shared" si="1"/>
        <v>0</v>
      </c>
      <c r="I51" s="15">
        <f>'LPLPO GUDANG'!I51</f>
        <v>0</v>
      </c>
      <c r="J51" s="12"/>
      <c r="K51" s="12"/>
      <c r="L51" s="12"/>
      <c r="M51" s="12"/>
      <c r="N51" s="12"/>
      <c r="O51" s="12"/>
    </row>
    <row r="52" spans="1:15" ht="20.149999999999999" customHeight="1" x14ac:dyDescent="0.35">
      <c r="A52" s="84">
        <f t="shared" si="2"/>
        <v>38</v>
      </c>
      <c r="B52" s="141" t="s">
        <v>34</v>
      </c>
      <c r="C52" s="121" t="s">
        <v>48</v>
      </c>
      <c r="D52" s="14">
        <f>'SISA STOK UNIT'!D49</f>
        <v>0</v>
      </c>
      <c r="E52" s="14">
        <f>'LPLPO GUDANG'!E52</f>
        <v>50</v>
      </c>
      <c r="F52" s="14">
        <f t="shared" si="0"/>
        <v>50</v>
      </c>
      <c r="G52" s="14">
        <f>'PEMAKAIAN UNIT'!R46</f>
        <v>0</v>
      </c>
      <c r="H52" s="14">
        <f t="shared" si="1"/>
        <v>50</v>
      </c>
      <c r="I52" s="15">
        <f>'LPLPO GUDANG'!I52</f>
        <v>0</v>
      </c>
      <c r="J52" s="12"/>
      <c r="K52" s="12"/>
      <c r="L52" s="12"/>
      <c r="M52" s="12"/>
      <c r="N52" s="12"/>
      <c r="O52" s="12"/>
    </row>
    <row r="53" spans="1:15" ht="20.149999999999999" customHeight="1" x14ac:dyDescent="0.35">
      <c r="A53" s="84">
        <f t="shared" si="2"/>
        <v>39</v>
      </c>
      <c r="B53" s="141" t="s">
        <v>35</v>
      </c>
      <c r="C53" s="124" t="s">
        <v>4</v>
      </c>
      <c r="D53" s="14">
        <f>'SISA STOK UNIT'!D50</f>
        <v>0</v>
      </c>
      <c r="E53" s="14">
        <f>'LPLPO GUDANG'!E53</f>
        <v>0</v>
      </c>
      <c r="F53" s="14">
        <f t="shared" si="0"/>
        <v>0</v>
      </c>
      <c r="G53" s="14">
        <f>'PEMAKAIAN UNIT'!R47</f>
        <v>0</v>
      </c>
      <c r="H53" s="14">
        <f t="shared" si="1"/>
        <v>0</v>
      </c>
      <c r="I53" s="15">
        <f>'LPLPO GUDANG'!I53</f>
        <v>0</v>
      </c>
      <c r="J53" s="12"/>
      <c r="K53" s="12"/>
      <c r="L53" s="12"/>
      <c r="M53" s="12"/>
      <c r="N53" s="12"/>
      <c r="O53" s="12"/>
    </row>
    <row r="54" spans="1:15" ht="20.149999999999999" customHeight="1" x14ac:dyDescent="0.35">
      <c r="A54" s="84">
        <f t="shared" si="2"/>
        <v>40</v>
      </c>
      <c r="B54" s="141" t="s">
        <v>282</v>
      </c>
      <c r="C54" s="102" t="s">
        <v>48</v>
      </c>
      <c r="D54" s="14">
        <f>'SISA STOK UNIT'!D51</f>
        <v>0</v>
      </c>
      <c r="E54" s="14">
        <f>'LPLPO GUDANG'!E54</f>
        <v>0</v>
      </c>
      <c r="F54" s="14">
        <f t="shared" si="0"/>
        <v>0</v>
      </c>
      <c r="G54" s="14">
        <f>'PEMAKAIAN UNIT'!R48</f>
        <v>0</v>
      </c>
      <c r="H54" s="14">
        <f t="shared" si="1"/>
        <v>0</v>
      </c>
      <c r="I54" s="15">
        <f>'LPLPO GUDANG'!I54</f>
        <v>0</v>
      </c>
      <c r="J54" s="12"/>
      <c r="K54" s="12"/>
      <c r="L54" s="12"/>
      <c r="M54" s="12"/>
      <c r="N54" s="12"/>
      <c r="O54" s="12"/>
    </row>
    <row r="55" spans="1:15" ht="20.149999999999999" customHeight="1" x14ac:dyDescent="0.35">
      <c r="A55" s="84">
        <f t="shared" si="2"/>
        <v>41</v>
      </c>
      <c r="B55" s="141" t="s">
        <v>36</v>
      </c>
      <c r="C55" s="102" t="s">
        <v>341</v>
      </c>
      <c r="D55" s="14">
        <f>'SISA STOK UNIT'!D52</f>
        <v>0</v>
      </c>
      <c r="E55" s="14">
        <f>'LPLPO GUDANG'!E55</f>
        <v>0</v>
      </c>
      <c r="F55" s="14">
        <f t="shared" si="0"/>
        <v>0</v>
      </c>
      <c r="G55" s="14">
        <f>'PEMAKAIAN UNIT'!R49</f>
        <v>0</v>
      </c>
      <c r="H55" s="14">
        <f t="shared" si="1"/>
        <v>0</v>
      </c>
      <c r="I55" s="15">
        <f>'LPLPO GUDANG'!I55</f>
        <v>0</v>
      </c>
      <c r="J55" s="12"/>
      <c r="K55" s="12"/>
      <c r="L55" s="12"/>
      <c r="M55" s="12"/>
      <c r="N55" s="12"/>
      <c r="O55" s="12"/>
    </row>
    <row r="56" spans="1:15" ht="20.149999999999999" customHeight="1" x14ac:dyDescent="0.35">
      <c r="A56" s="84">
        <f t="shared" si="2"/>
        <v>42</v>
      </c>
      <c r="B56" s="141" t="s">
        <v>38</v>
      </c>
      <c r="C56" s="118" t="s">
        <v>337</v>
      </c>
      <c r="D56" s="14">
        <f>'SISA STOK UNIT'!D53</f>
        <v>0</v>
      </c>
      <c r="E56" s="14">
        <f>'LPLPO GUDANG'!E56</f>
        <v>0</v>
      </c>
      <c r="F56" s="14">
        <f t="shared" si="0"/>
        <v>0</v>
      </c>
      <c r="G56" s="14">
        <f>'PEMAKAIAN UNIT'!R50</f>
        <v>0</v>
      </c>
      <c r="H56" s="14">
        <f t="shared" si="1"/>
        <v>0</v>
      </c>
      <c r="I56" s="15">
        <f>'LPLPO GUDANG'!I56</f>
        <v>0</v>
      </c>
      <c r="J56" s="12"/>
      <c r="K56" s="12"/>
      <c r="L56" s="12"/>
      <c r="M56" s="12"/>
      <c r="N56" s="12"/>
      <c r="O56" s="12"/>
    </row>
    <row r="57" spans="1:15" ht="20.149999999999999" customHeight="1" x14ac:dyDescent="0.35">
      <c r="A57" s="84">
        <f t="shared" si="2"/>
        <v>43</v>
      </c>
      <c r="B57" s="141" t="s">
        <v>37</v>
      </c>
      <c r="C57" s="102" t="s">
        <v>327</v>
      </c>
      <c r="D57" s="14">
        <f>'SISA STOK UNIT'!D54</f>
        <v>0</v>
      </c>
      <c r="E57" s="14">
        <f>'LPLPO GUDANG'!E57</f>
        <v>0</v>
      </c>
      <c r="F57" s="14">
        <f t="shared" si="0"/>
        <v>0</v>
      </c>
      <c r="G57" s="14">
        <f>'PEMAKAIAN UNIT'!R51</f>
        <v>0</v>
      </c>
      <c r="H57" s="14">
        <f t="shared" si="1"/>
        <v>0</v>
      </c>
      <c r="I57" s="15">
        <f>'LPLPO GUDANG'!I57</f>
        <v>1000</v>
      </c>
      <c r="J57" s="12"/>
      <c r="K57" s="12"/>
      <c r="L57" s="12"/>
      <c r="M57" s="12"/>
      <c r="N57" s="12"/>
      <c r="O57" s="12"/>
    </row>
    <row r="58" spans="1:15" ht="20.149999999999999" customHeight="1" x14ac:dyDescent="0.35">
      <c r="A58" s="84">
        <f t="shared" si="2"/>
        <v>44</v>
      </c>
      <c r="B58" s="141" t="s">
        <v>261</v>
      </c>
      <c r="C58" s="102" t="s">
        <v>337</v>
      </c>
      <c r="D58" s="14">
        <f>'SISA STOK UNIT'!D55</f>
        <v>0</v>
      </c>
      <c r="E58" s="14">
        <f>'LPLPO GUDANG'!E58</f>
        <v>0</v>
      </c>
      <c r="F58" s="14">
        <f t="shared" si="0"/>
        <v>0</v>
      </c>
      <c r="G58" s="14">
        <f>'PEMAKAIAN UNIT'!R52</f>
        <v>0</v>
      </c>
      <c r="H58" s="14">
        <f t="shared" si="1"/>
        <v>0</v>
      </c>
      <c r="I58" s="15">
        <f>'LPLPO GUDANG'!I58</f>
        <v>0</v>
      </c>
      <c r="J58" s="12"/>
      <c r="K58" s="12"/>
      <c r="L58" s="12"/>
      <c r="M58" s="12"/>
      <c r="N58" s="12"/>
      <c r="O58" s="12"/>
    </row>
    <row r="59" spans="1:15" ht="20.149999999999999" customHeight="1" x14ac:dyDescent="0.35">
      <c r="A59" s="84">
        <f t="shared" si="2"/>
        <v>45</v>
      </c>
      <c r="B59" s="141" t="s">
        <v>39</v>
      </c>
      <c r="C59" s="102" t="s">
        <v>342</v>
      </c>
      <c r="D59" s="14">
        <f>'SISA STOK UNIT'!D56</f>
        <v>0</v>
      </c>
      <c r="E59" s="14">
        <f>'LPLPO GUDANG'!E59</f>
        <v>0</v>
      </c>
      <c r="F59" s="14">
        <f t="shared" si="0"/>
        <v>0</v>
      </c>
      <c r="G59" s="14">
        <f>'PEMAKAIAN UNIT'!R53</f>
        <v>0</v>
      </c>
      <c r="H59" s="14">
        <f t="shared" si="1"/>
        <v>0</v>
      </c>
      <c r="I59" s="15">
        <f>'LPLPO GUDANG'!I59</f>
        <v>600</v>
      </c>
      <c r="J59" s="12"/>
      <c r="K59" s="12"/>
      <c r="L59" s="12"/>
      <c r="M59" s="12"/>
      <c r="N59" s="12"/>
      <c r="O59" s="12"/>
    </row>
    <row r="60" spans="1:15" ht="20.149999999999999" customHeight="1" x14ac:dyDescent="0.35">
      <c r="A60" s="84">
        <f t="shared" si="2"/>
        <v>46</v>
      </c>
      <c r="B60" s="141" t="s">
        <v>40</v>
      </c>
      <c r="C60" s="118" t="s">
        <v>177</v>
      </c>
      <c r="D60" s="14">
        <f>'SISA STOK UNIT'!D57</f>
        <v>0</v>
      </c>
      <c r="E60" s="14">
        <f>'LPLPO GUDANG'!E60</f>
        <v>0</v>
      </c>
      <c r="F60" s="14">
        <f t="shared" si="0"/>
        <v>0</v>
      </c>
      <c r="G60" s="14">
        <f>'PEMAKAIAN UNIT'!R54</f>
        <v>0</v>
      </c>
      <c r="H60" s="14">
        <f t="shared" si="1"/>
        <v>0</v>
      </c>
      <c r="I60" s="15">
        <f>'LPLPO GUDANG'!I60</f>
        <v>0</v>
      </c>
      <c r="J60" s="12"/>
      <c r="K60" s="12"/>
      <c r="L60" s="12"/>
      <c r="M60" s="12"/>
      <c r="N60" s="12"/>
      <c r="O60" s="12"/>
    </row>
    <row r="61" spans="1:15" ht="20.149999999999999" customHeight="1" x14ac:dyDescent="0.35">
      <c r="A61" s="84">
        <f t="shared" si="2"/>
        <v>47</v>
      </c>
      <c r="B61" s="141" t="s">
        <v>265</v>
      </c>
      <c r="C61" s="118" t="s">
        <v>343</v>
      </c>
      <c r="D61" s="14">
        <f>'SISA STOK UNIT'!D58</f>
        <v>0</v>
      </c>
      <c r="E61" s="14">
        <f>'LPLPO GUDANG'!E61</f>
        <v>0</v>
      </c>
      <c r="F61" s="14">
        <f t="shared" si="0"/>
        <v>0</v>
      </c>
      <c r="G61" s="14">
        <f>'PEMAKAIAN UNIT'!R55</f>
        <v>0</v>
      </c>
      <c r="H61" s="14">
        <f t="shared" si="1"/>
        <v>0</v>
      </c>
      <c r="I61" s="15">
        <f>'LPLPO GUDANG'!I61</f>
        <v>0</v>
      </c>
      <c r="J61" s="12"/>
      <c r="K61" s="12"/>
      <c r="L61" s="12"/>
      <c r="M61" s="12"/>
      <c r="N61" s="12"/>
      <c r="O61" s="12"/>
    </row>
    <row r="62" spans="1:15" ht="16.5" x14ac:dyDescent="0.35">
      <c r="A62" s="84">
        <f t="shared" si="2"/>
        <v>48</v>
      </c>
      <c r="B62" s="141" t="s">
        <v>41</v>
      </c>
      <c r="C62" s="115" t="s">
        <v>327</v>
      </c>
      <c r="D62" s="14">
        <f>'SISA STOK UNIT'!D59</f>
        <v>0</v>
      </c>
      <c r="E62" s="14">
        <f>'LPLPO GUDANG'!E62</f>
        <v>1000</v>
      </c>
      <c r="F62" s="14">
        <f t="shared" si="0"/>
        <v>1000</v>
      </c>
      <c r="G62" s="14">
        <f>'PEMAKAIAN UNIT'!R56</f>
        <v>0</v>
      </c>
      <c r="H62" s="14">
        <f t="shared" si="1"/>
        <v>1000</v>
      </c>
      <c r="I62" s="15">
        <f>'LPLPO GUDANG'!I62</f>
        <v>2000</v>
      </c>
      <c r="J62" s="12"/>
      <c r="K62" s="12"/>
      <c r="L62" s="12"/>
      <c r="M62" s="12"/>
      <c r="N62" s="12"/>
      <c r="O62" s="12"/>
    </row>
    <row r="63" spans="1:15" ht="20.149999999999999" customHeight="1" x14ac:dyDescent="0.35">
      <c r="A63" s="84">
        <f t="shared" si="2"/>
        <v>49</v>
      </c>
      <c r="B63" s="141" t="s">
        <v>105</v>
      </c>
      <c r="C63" s="125" t="s">
        <v>327</v>
      </c>
      <c r="D63" s="14">
        <f>'SISA STOK UNIT'!D60</f>
        <v>0</v>
      </c>
      <c r="E63" s="14">
        <f>'LPLPO GUDANG'!E63</f>
        <v>0</v>
      </c>
      <c r="F63" s="14">
        <f t="shared" si="0"/>
        <v>0</v>
      </c>
      <c r="G63" s="14">
        <f>'PEMAKAIAN UNIT'!R57</f>
        <v>0</v>
      </c>
      <c r="H63" s="14">
        <f t="shared" si="1"/>
        <v>0</v>
      </c>
      <c r="I63" s="15">
        <f>'LPLPO GUDANG'!I63</f>
        <v>3000</v>
      </c>
      <c r="J63" s="12"/>
      <c r="K63" s="12"/>
      <c r="L63" s="12"/>
      <c r="M63" s="12"/>
      <c r="N63" s="12"/>
      <c r="O63" s="12"/>
    </row>
    <row r="64" spans="1:15" ht="20.149999999999999" customHeight="1" x14ac:dyDescent="0.35">
      <c r="A64" s="84">
        <f t="shared" si="2"/>
        <v>50</v>
      </c>
      <c r="B64" s="141" t="s">
        <v>42</v>
      </c>
      <c r="C64" s="118" t="s">
        <v>321</v>
      </c>
      <c r="D64" s="14">
        <f>'SISA STOK UNIT'!D61</f>
        <v>0</v>
      </c>
      <c r="E64" s="14">
        <f>'LPLPO GUDANG'!E64</f>
        <v>0</v>
      </c>
      <c r="F64" s="14">
        <f t="shared" si="0"/>
        <v>0</v>
      </c>
      <c r="G64" s="14">
        <f>'PEMAKAIAN UNIT'!R58</f>
        <v>0</v>
      </c>
      <c r="H64" s="14">
        <f t="shared" si="1"/>
        <v>0</v>
      </c>
      <c r="I64" s="15">
        <f>'LPLPO GUDANG'!I64</f>
        <v>0</v>
      </c>
      <c r="J64" s="12"/>
      <c r="K64" s="12"/>
      <c r="L64" s="12"/>
      <c r="M64" s="12"/>
      <c r="N64" s="12"/>
      <c r="O64" s="12"/>
    </row>
    <row r="65" spans="1:15" ht="20.149999999999999" customHeight="1" x14ac:dyDescent="0.35">
      <c r="A65" s="84">
        <f t="shared" si="2"/>
        <v>51</v>
      </c>
      <c r="B65" s="141" t="s">
        <v>43</v>
      </c>
      <c r="C65" s="102" t="s">
        <v>327</v>
      </c>
      <c r="D65" s="14">
        <f>'SISA STOK UNIT'!D62</f>
        <v>0</v>
      </c>
      <c r="E65" s="14">
        <f>'LPLPO GUDANG'!E65</f>
        <v>0</v>
      </c>
      <c r="F65" s="14">
        <f t="shared" si="0"/>
        <v>0</v>
      </c>
      <c r="G65" s="14">
        <f>'PEMAKAIAN UNIT'!R59</f>
        <v>0</v>
      </c>
      <c r="H65" s="14">
        <f t="shared" si="1"/>
        <v>0</v>
      </c>
      <c r="I65" s="15">
        <f>'LPLPO GUDANG'!I65</f>
        <v>0</v>
      </c>
      <c r="J65" s="12"/>
      <c r="K65" s="12"/>
      <c r="L65" s="12"/>
      <c r="M65" s="12"/>
      <c r="N65" s="12"/>
      <c r="O65" s="12"/>
    </row>
    <row r="66" spans="1:15" ht="20.149999999999999" customHeight="1" x14ac:dyDescent="0.35">
      <c r="A66" s="84">
        <f t="shared" si="2"/>
        <v>52</v>
      </c>
      <c r="B66" s="141" t="s">
        <v>44</v>
      </c>
      <c r="C66" s="118" t="s">
        <v>327</v>
      </c>
      <c r="D66" s="14">
        <f>'SISA STOK UNIT'!D63</f>
        <v>0</v>
      </c>
      <c r="E66" s="14">
        <f>'LPLPO GUDANG'!E66</f>
        <v>0</v>
      </c>
      <c r="F66" s="14">
        <f t="shared" si="0"/>
        <v>0</v>
      </c>
      <c r="G66" s="14">
        <f>'PEMAKAIAN UNIT'!R60</f>
        <v>0</v>
      </c>
      <c r="H66" s="14">
        <f t="shared" si="1"/>
        <v>0</v>
      </c>
      <c r="I66" s="15">
        <f>'LPLPO GUDANG'!I66</f>
        <v>0</v>
      </c>
      <c r="J66" s="12"/>
      <c r="K66" s="12"/>
      <c r="L66" s="12"/>
      <c r="M66" s="12"/>
      <c r="N66" s="12"/>
      <c r="O66" s="12"/>
    </row>
    <row r="67" spans="1:15" ht="20.149999999999999" customHeight="1" x14ac:dyDescent="0.35">
      <c r="A67" s="84">
        <f t="shared" si="2"/>
        <v>53</v>
      </c>
      <c r="B67" s="141" t="s">
        <v>45</v>
      </c>
      <c r="C67" s="106" t="s">
        <v>335</v>
      </c>
      <c r="D67" s="14">
        <f>'SISA STOK UNIT'!D64</f>
        <v>0</v>
      </c>
      <c r="E67" s="14">
        <f>'LPLPO GUDANG'!E67</f>
        <v>0</v>
      </c>
      <c r="F67" s="14">
        <f t="shared" si="0"/>
        <v>0</v>
      </c>
      <c r="G67" s="14">
        <f>'PEMAKAIAN UNIT'!R61</f>
        <v>0</v>
      </c>
      <c r="H67" s="14">
        <f t="shared" si="1"/>
        <v>0</v>
      </c>
      <c r="I67" s="15">
        <f>'LPLPO GUDANG'!I67</f>
        <v>0</v>
      </c>
      <c r="J67" s="12"/>
      <c r="K67" s="12"/>
      <c r="L67" s="12"/>
      <c r="M67" s="12"/>
      <c r="N67" s="12"/>
      <c r="O67" s="12"/>
    </row>
    <row r="68" spans="1:15" ht="20.149999999999999" customHeight="1" x14ac:dyDescent="0.35">
      <c r="A68" s="84">
        <f t="shared" si="2"/>
        <v>54</v>
      </c>
      <c r="B68" s="141" t="s">
        <v>46</v>
      </c>
      <c r="C68" s="106" t="s">
        <v>344</v>
      </c>
      <c r="D68" s="14">
        <f>'SISA STOK UNIT'!D65</f>
        <v>0</v>
      </c>
      <c r="E68" s="14">
        <f>'LPLPO GUDANG'!E68</f>
        <v>300</v>
      </c>
      <c r="F68" s="14">
        <f t="shared" si="0"/>
        <v>300</v>
      </c>
      <c r="G68" s="14">
        <f>'PEMAKAIAN UNIT'!R62</f>
        <v>0</v>
      </c>
      <c r="H68" s="14">
        <f t="shared" si="1"/>
        <v>300</v>
      </c>
      <c r="I68" s="15">
        <f>'LPLPO GUDANG'!I68</f>
        <v>1000</v>
      </c>
      <c r="J68" s="12"/>
      <c r="K68" s="12"/>
      <c r="L68" s="12"/>
      <c r="M68" s="12"/>
      <c r="N68" s="12"/>
      <c r="O68" s="12"/>
    </row>
    <row r="69" spans="1:15" ht="16.5" x14ac:dyDescent="0.35">
      <c r="A69" s="84">
        <f t="shared" si="2"/>
        <v>55</v>
      </c>
      <c r="B69" s="141" t="s">
        <v>47</v>
      </c>
      <c r="C69" s="102" t="s">
        <v>48</v>
      </c>
      <c r="D69" s="14">
        <f>'SISA STOK UNIT'!D66</f>
        <v>0</v>
      </c>
      <c r="E69" s="14">
        <f>'LPLPO GUDANG'!E69</f>
        <v>0</v>
      </c>
      <c r="F69" s="14">
        <f t="shared" si="0"/>
        <v>0</v>
      </c>
      <c r="G69" s="14">
        <f>'PEMAKAIAN UNIT'!R63</f>
        <v>0</v>
      </c>
      <c r="H69" s="14">
        <f t="shared" si="1"/>
        <v>0</v>
      </c>
      <c r="I69" s="15">
        <f>'LPLPO GUDANG'!I69</f>
        <v>0</v>
      </c>
      <c r="J69" s="12"/>
      <c r="K69" s="12"/>
      <c r="L69" s="12"/>
      <c r="M69" s="12"/>
      <c r="N69" s="12"/>
      <c r="O69" s="12"/>
    </row>
    <row r="70" spans="1:15" ht="20.149999999999999" customHeight="1" x14ac:dyDescent="0.35">
      <c r="A70" s="84">
        <f t="shared" si="2"/>
        <v>56</v>
      </c>
      <c r="B70" s="141" t="s">
        <v>49</v>
      </c>
      <c r="C70" s="102" t="s">
        <v>341</v>
      </c>
      <c r="D70" s="14">
        <f>'SISA STOK UNIT'!D67</f>
        <v>0</v>
      </c>
      <c r="E70" s="14">
        <f>'LPLPO GUDANG'!E70</f>
        <v>1500</v>
      </c>
      <c r="F70" s="14">
        <f t="shared" si="0"/>
        <v>1500</v>
      </c>
      <c r="G70" s="14">
        <f>'PEMAKAIAN UNIT'!R64</f>
        <v>0</v>
      </c>
      <c r="H70" s="14">
        <f t="shared" si="1"/>
        <v>1500</v>
      </c>
      <c r="I70" s="15">
        <f>'LPLPO GUDANG'!I70</f>
        <v>2000</v>
      </c>
      <c r="J70" s="12"/>
      <c r="K70" s="12"/>
      <c r="L70" s="12"/>
      <c r="M70" s="12"/>
      <c r="N70" s="12"/>
      <c r="O70" s="12"/>
    </row>
    <row r="71" spans="1:15" ht="20.149999999999999" customHeight="1" x14ac:dyDescent="0.35">
      <c r="A71" s="84">
        <f t="shared" si="2"/>
        <v>57</v>
      </c>
      <c r="B71" s="141" t="s">
        <v>50</v>
      </c>
      <c r="C71" s="102" t="s">
        <v>327</v>
      </c>
      <c r="D71" s="14">
        <f>'SISA STOK UNIT'!D68</f>
        <v>0</v>
      </c>
      <c r="E71" s="14">
        <f>'LPLPO GUDANG'!E71</f>
        <v>0</v>
      </c>
      <c r="F71" s="14">
        <f t="shared" si="0"/>
        <v>0</v>
      </c>
      <c r="G71" s="14">
        <f>'PEMAKAIAN UNIT'!R65</f>
        <v>0</v>
      </c>
      <c r="H71" s="14">
        <f t="shared" si="1"/>
        <v>0</v>
      </c>
      <c r="I71" s="15">
        <f>'LPLPO GUDANG'!I71</f>
        <v>0</v>
      </c>
      <c r="J71" s="12"/>
      <c r="K71" s="12"/>
      <c r="L71" s="12"/>
      <c r="M71" s="12"/>
      <c r="N71" s="12"/>
      <c r="O71" s="12"/>
    </row>
    <row r="72" spans="1:15" ht="20.149999999999999" customHeight="1" x14ac:dyDescent="0.35">
      <c r="A72" s="84">
        <f t="shared" si="2"/>
        <v>58</v>
      </c>
      <c r="B72" s="141" t="s">
        <v>51</v>
      </c>
      <c r="C72" s="102" t="s">
        <v>327</v>
      </c>
      <c r="D72" s="14">
        <f>'SISA STOK UNIT'!D69</f>
        <v>0</v>
      </c>
      <c r="E72" s="14">
        <f>'LPLPO GUDANG'!E72</f>
        <v>0</v>
      </c>
      <c r="F72" s="14">
        <f t="shared" si="0"/>
        <v>0</v>
      </c>
      <c r="G72" s="14">
        <f>'PEMAKAIAN UNIT'!R66</f>
        <v>0</v>
      </c>
      <c r="H72" s="14">
        <f t="shared" si="1"/>
        <v>0</v>
      </c>
      <c r="I72" s="15">
        <f>'LPLPO GUDANG'!I72</f>
        <v>3000</v>
      </c>
      <c r="J72" s="12"/>
      <c r="K72" s="12"/>
      <c r="L72" s="12"/>
      <c r="M72" s="12"/>
      <c r="N72" s="12"/>
      <c r="O72" s="12"/>
    </row>
    <row r="73" spans="1:15" ht="20.149999999999999" customHeight="1" x14ac:dyDescent="0.35">
      <c r="A73" s="84">
        <f t="shared" si="2"/>
        <v>59</v>
      </c>
      <c r="B73" s="141" t="s">
        <v>251</v>
      </c>
      <c r="C73" s="102" t="s">
        <v>327</v>
      </c>
      <c r="D73" s="14">
        <f>'SISA STOK UNIT'!D70</f>
        <v>0</v>
      </c>
      <c r="E73" s="14">
        <f>'LPLPO GUDANG'!E73</f>
        <v>0</v>
      </c>
      <c r="F73" s="14">
        <f t="shared" si="0"/>
        <v>0</v>
      </c>
      <c r="G73" s="14">
        <f>'PEMAKAIAN UNIT'!R67</f>
        <v>0</v>
      </c>
      <c r="H73" s="14">
        <f t="shared" si="1"/>
        <v>0</v>
      </c>
      <c r="I73" s="15">
        <f>'LPLPO GUDANG'!I73</f>
        <v>2000</v>
      </c>
      <c r="J73" s="12"/>
      <c r="K73" s="12"/>
      <c r="L73" s="12"/>
      <c r="M73" s="12"/>
      <c r="N73" s="12"/>
      <c r="O73" s="12"/>
    </row>
    <row r="74" spans="1:15" ht="20.149999999999999" customHeight="1" x14ac:dyDescent="0.35">
      <c r="A74" s="84">
        <f t="shared" si="2"/>
        <v>60</v>
      </c>
      <c r="B74" s="141" t="s">
        <v>52</v>
      </c>
      <c r="C74" s="102" t="s">
        <v>327</v>
      </c>
      <c r="D74" s="14">
        <f>'SISA STOK UNIT'!D71</f>
        <v>0</v>
      </c>
      <c r="E74" s="14">
        <f>'LPLPO GUDANG'!E74</f>
        <v>0</v>
      </c>
      <c r="F74" s="14">
        <f t="shared" si="0"/>
        <v>0</v>
      </c>
      <c r="G74" s="14">
        <f>'PEMAKAIAN UNIT'!R68</f>
        <v>0</v>
      </c>
      <c r="H74" s="14">
        <f t="shared" si="1"/>
        <v>0</v>
      </c>
      <c r="I74" s="15">
        <f>'LPLPO GUDANG'!I74</f>
        <v>0</v>
      </c>
      <c r="J74" s="12"/>
      <c r="K74" s="12"/>
      <c r="L74" s="12"/>
      <c r="M74" s="12"/>
      <c r="N74" s="12"/>
      <c r="O74" s="12"/>
    </row>
    <row r="75" spans="1:15" ht="20.149999999999999" customHeight="1" x14ac:dyDescent="0.35">
      <c r="A75" s="84">
        <f t="shared" si="2"/>
        <v>61</v>
      </c>
      <c r="B75" s="141" t="s">
        <v>53</v>
      </c>
      <c r="C75" s="122" t="s">
        <v>48</v>
      </c>
      <c r="D75" s="14">
        <f>'SISA STOK UNIT'!D72</f>
        <v>0</v>
      </c>
      <c r="E75" s="14">
        <f>'LPLPO GUDANG'!E75</f>
        <v>0</v>
      </c>
      <c r="F75" s="14">
        <f t="shared" si="0"/>
        <v>0</v>
      </c>
      <c r="G75" s="14">
        <f>'PEMAKAIAN UNIT'!R69</f>
        <v>0</v>
      </c>
      <c r="H75" s="14">
        <f t="shared" si="1"/>
        <v>0</v>
      </c>
      <c r="I75" s="15">
        <f>'LPLPO GUDANG'!I75</f>
        <v>0</v>
      </c>
      <c r="J75" s="12"/>
      <c r="K75" s="12"/>
      <c r="L75" s="12"/>
      <c r="M75" s="12"/>
      <c r="N75" s="12"/>
      <c r="O75" s="12"/>
    </row>
    <row r="76" spans="1:15" ht="16.5" x14ac:dyDescent="0.35">
      <c r="A76" s="84">
        <f t="shared" si="2"/>
        <v>62</v>
      </c>
      <c r="B76" s="141" t="s">
        <v>54</v>
      </c>
      <c r="C76" s="102" t="s">
        <v>332</v>
      </c>
      <c r="D76" s="14">
        <f>'SISA STOK UNIT'!D73</f>
        <v>0</v>
      </c>
      <c r="E76" s="14">
        <f>'LPLPO GUDANG'!E76</f>
        <v>0</v>
      </c>
      <c r="F76" s="14">
        <f t="shared" si="0"/>
        <v>0</v>
      </c>
      <c r="G76" s="14">
        <f>'PEMAKAIAN UNIT'!R70</f>
        <v>0</v>
      </c>
      <c r="H76" s="14">
        <f t="shared" si="1"/>
        <v>0</v>
      </c>
      <c r="I76" s="15">
        <f>'LPLPO GUDANG'!I76</f>
        <v>0</v>
      </c>
      <c r="J76" s="12"/>
      <c r="K76" s="12"/>
      <c r="L76" s="12"/>
      <c r="M76" s="12"/>
      <c r="N76" s="12"/>
      <c r="O76" s="12"/>
    </row>
    <row r="77" spans="1:15" ht="20.149999999999999" customHeight="1" x14ac:dyDescent="0.35">
      <c r="A77" s="84">
        <f t="shared" si="2"/>
        <v>63</v>
      </c>
      <c r="B77" s="141" t="s">
        <v>252</v>
      </c>
      <c r="C77" s="118" t="s">
        <v>340</v>
      </c>
      <c r="D77" s="14">
        <f>'SISA STOK UNIT'!D74</f>
        <v>0</v>
      </c>
      <c r="E77" s="14">
        <f>'LPLPO GUDANG'!E77</f>
        <v>0</v>
      </c>
      <c r="F77" s="14">
        <f t="shared" si="0"/>
        <v>0</v>
      </c>
      <c r="G77" s="14">
        <f>'PEMAKAIAN UNIT'!R71</f>
        <v>0</v>
      </c>
      <c r="H77" s="14">
        <f t="shared" si="1"/>
        <v>0</v>
      </c>
      <c r="I77" s="15">
        <f>'LPLPO GUDANG'!I77</f>
        <v>0</v>
      </c>
      <c r="J77" s="12"/>
      <c r="K77" s="12"/>
      <c r="L77" s="12"/>
      <c r="M77" s="12"/>
      <c r="N77" s="12"/>
      <c r="O77" s="12"/>
    </row>
    <row r="78" spans="1:15" ht="20.149999999999999" customHeight="1" x14ac:dyDescent="0.35">
      <c r="A78" s="84">
        <f t="shared" si="2"/>
        <v>64</v>
      </c>
      <c r="B78" s="141" t="s">
        <v>55</v>
      </c>
      <c r="C78" s="115" t="s">
        <v>346</v>
      </c>
      <c r="D78" s="14">
        <f>'SISA STOK UNIT'!D75</f>
        <v>0</v>
      </c>
      <c r="E78" s="14">
        <f>'LPLPO GUDANG'!E78</f>
        <v>30</v>
      </c>
      <c r="F78" s="14">
        <f t="shared" si="0"/>
        <v>30</v>
      </c>
      <c r="G78" s="14">
        <f>'PEMAKAIAN UNIT'!R72</f>
        <v>0</v>
      </c>
      <c r="H78" s="14">
        <f t="shared" si="1"/>
        <v>30</v>
      </c>
      <c r="I78" s="15">
        <f>'LPLPO GUDANG'!I78</f>
        <v>0</v>
      </c>
      <c r="J78" s="12"/>
      <c r="K78" s="12"/>
      <c r="L78" s="12"/>
      <c r="M78" s="12"/>
      <c r="N78" s="12"/>
      <c r="O78" s="12"/>
    </row>
    <row r="79" spans="1:15" ht="16.5" x14ac:dyDescent="0.35">
      <c r="A79" s="84">
        <f t="shared" si="2"/>
        <v>65</v>
      </c>
      <c r="B79" s="141" t="s">
        <v>56</v>
      </c>
      <c r="C79" s="123" t="s">
        <v>347</v>
      </c>
      <c r="D79" s="14">
        <f>'SISA STOK UNIT'!D76</f>
        <v>0</v>
      </c>
      <c r="E79" s="14">
        <f>'LPLPO GUDANG'!E79</f>
        <v>0</v>
      </c>
      <c r="F79" s="14">
        <f t="shared" si="0"/>
        <v>0</v>
      </c>
      <c r="G79" s="14">
        <f>'PEMAKAIAN UNIT'!R73</f>
        <v>0</v>
      </c>
      <c r="H79" s="14">
        <f t="shared" si="1"/>
        <v>0</v>
      </c>
      <c r="I79" s="15">
        <f>'LPLPO GUDANG'!I79</f>
        <v>0</v>
      </c>
      <c r="J79" s="12"/>
      <c r="K79" s="12"/>
      <c r="L79" s="12"/>
      <c r="M79" s="12"/>
      <c r="N79" s="12"/>
      <c r="O79" s="12"/>
    </row>
    <row r="80" spans="1:15" ht="16.5" x14ac:dyDescent="0.35">
      <c r="A80" s="84">
        <f t="shared" si="2"/>
        <v>66</v>
      </c>
      <c r="B80" s="141" t="s">
        <v>57</v>
      </c>
      <c r="C80" s="106" t="s">
        <v>48</v>
      </c>
      <c r="D80" s="14">
        <f>'SISA STOK UNIT'!D77</f>
        <v>0</v>
      </c>
      <c r="E80" s="14">
        <f>'LPLPO GUDANG'!E80</f>
        <v>0</v>
      </c>
      <c r="F80" s="14">
        <f t="shared" ref="F80:F143" si="3">D80+E80</f>
        <v>0</v>
      </c>
      <c r="G80" s="14">
        <f>'PEMAKAIAN UNIT'!R74</f>
        <v>0</v>
      </c>
      <c r="H80" s="14">
        <f t="shared" ref="H80:H143" si="4">F80-G80</f>
        <v>0</v>
      </c>
      <c r="I80" s="15">
        <f>'LPLPO GUDANG'!I80</f>
        <v>0</v>
      </c>
      <c r="J80" s="12"/>
      <c r="K80" s="12"/>
      <c r="L80" s="12"/>
      <c r="M80" s="12"/>
      <c r="N80" s="12"/>
      <c r="O80" s="12"/>
    </row>
    <row r="81" spans="1:15" ht="16.5" x14ac:dyDescent="0.35">
      <c r="A81" s="84">
        <f t="shared" ref="A81:A144" si="5">A80+1</f>
        <v>67</v>
      </c>
      <c r="B81" s="141" t="s">
        <v>59</v>
      </c>
      <c r="C81" s="102" t="s">
        <v>48</v>
      </c>
      <c r="D81" s="14">
        <f>'SISA STOK UNIT'!D78</f>
        <v>0</v>
      </c>
      <c r="E81" s="14">
        <f>'LPLPO GUDANG'!E81</f>
        <v>0</v>
      </c>
      <c r="F81" s="14">
        <f t="shared" si="3"/>
        <v>0</v>
      </c>
      <c r="G81" s="14">
        <f>'PEMAKAIAN UNIT'!R75</f>
        <v>0</v>
      </c>
      <c r="H81" s="14">
        <f t="shared" si="4"/>
        <v>0</v>
      </c>
      <c r="I81" s="15">
        <f>'LPLPO GUDANG'!I81</f>
        <v>0</v>
      </c>
      <c r="J81" s="12"/>
      <c r="K81" s="12"/>
      <c r="L81" s="12"/>
      <c r="M81" s="12"/>
      <c r="N81" s="12"/>
      <c r="O81" s="12"/>
    </row>
    <row r="82" spans="1:15" ht="20.149999999999999" customHeight="1" x14ac:dyDescent="0.35">
      <c r="A82" s="84">
        <f t="shared" si="5"/>
        <v>68</v>
      </c>
      <c r="B82" s="141" t="s">
        <v>58</v>
      </c>
      <c r="C82" s="102" t="s">
        <v>48</v>
      </c>
      <c r="D82" s="14">
        <f>'SISA STOK UNIT'!D79</f>
        <v>0</v>
      </c>
      <c r="E82" s="14">
        <f>'LPLPO GUDANG'!E82</f>
        <v>0</v>
      </c>
      <c r="F82" s="14">
        <f t="shared" si="3"/>
        <v>0</v>
      </c>
      <c r="G82" s="14">
        <f>'PEMAKAIAN UNIT'!R76</f>
        <v>0</v>
      </c>
      <c r="H82" s="14">
        <f t="shared" si="4"/>
        <v>0</v>
      </c>
      <c r="I82" s="15">
        <f>'LPLPO GUDANG'!I82</f>
        <v>50</v>
      </c>
      <c r="J82" s="12"/>
      <c r="K82" s="12"/>
      <c r="L82" s="12"/>
      <c r="M82" s="12"/>
      <c r="N82" s="12"/>
      <c r="O82" s="12"/>
    </row>
    <row r="83" spans="1:15" ht="20.149999999999999" customHeight="1" x14ac:dyDescent="0.35">
      <c r="A83" s="84">
        <f t="shared" si="5"/>
        <v>69</v>
      </c>
      <c r="B83" s="141" t="s">
        <v>60</v>
      </c>
      <c r="C83" s="102" t="s">
        <v>327</v>
      </c>
      <c r="D83" s="14">
        <f>'SISA STOK UNIT'!D80</f>
        <v>0</v>
      </c>
      <c r="E83" s="14">
        <f>'LPLPO GUDANG'!E83</f>
        <v>1000</v>
      </c>
      <c r="F83" s="14">
        <f t="shared" si="3"/>
        <v>1000</v>
      </c>
      <c r="G83" s="14">
        <f>'PEMAKAIAN UNIT'!R77</f>
        <v>0</v>
      </c>
      <c r="H83" s="14">
        <f t="shared" si="4"/>
        <v>1000</v>
      </c>
      <c r="I83" s="15">
        <f>'LPLPO GUDANG'!I83</f>
        <v>2000</v>
      </c>
      <c r="J83" s="12"/>
      <c r="K83" s="12"/>
      <c r="L83" s="12"/>
      <c r="M83" s="12"/>
      <c r="N83" s="12"/>
      <c r="O83" s="12"/>
    </row>
    <row r="84" spans="1:15" ht="20.149999999999999" customHeight="1" x14ac:dyDescent="0.35">
      <c r="A84" s="84">
        <f t="shared" si="5"/>
        <v>70</v>
      </c>
      <c r="B84" s="141" t="s">
        <v>280</v>
      </c>
      <c r="C84" s="102" t="s">
        <v>327</v>
      </c>
      <c r="D84" s="14">
        <f>'SISA STOK UNIT'!D81</f>
        <v>0</v>
      </c>
      <c r="E84" s="14">
        <f>'LPLPO GUDANG'!E84</f>
        <v>0</v>
      </c>
      <c r="F84" s="14">
        <f t="shared" si="3"/>
        <v>0</v>
      </c>
      <c r="G84" s="14">
        <f>'PEMAKAIAN UNIT'!R78</f>
        <v>0</v>
      </c>
      <c r="H84" s="14">
        <f t="shared" si="4"/>
        <v>0</v>
      </c>
      <c r="I84" s="15">
        <f>'LPLPO GUDANG'!I84</f>
        <v>0</v>
      </c>
      <c r="J84" s="12"/>
      <c r="K84" s="12"/>
      <c r="L84" s="12"/>
      <c r="M84" s="12"/>
      <c r="N84" s="12"/>
      <c r="O84" s="12"/>
    </row>
    <row r="85" spans="1:15" ht="20.149999999999999" customHeight="1" x14ac:dyDescent="0.35">
      <c r="A85" s="84">
        <f t="shared" si="5"/>
        <v>71</v>
      </c>
      <c r="B85" s="141" t="s">
        <v>61</v>
      </c>
      <c r="C85" s="102" t="s">
        <v>327</v>
      </c>
      <c r="D85" s="14">
        <f>'SISA STOK UNIT'!D82</f>
        <v>0</v>
      </c>
      <c r="E85" s="14">
        <f>'LPLPO GUDANG'!E85</f>
        <v>0</v>
      </c>
      <c r="F85" s="14">
        <f t="shared" si="3"/>
        <v>0</v>
      </c>
      <c r="G85" s="14">
        <f>'PEMAKAIAN UNIT'!R79</f>
        <v>0</v>
      </c>
      <c r="H85" s="14">
        <f t="shared" si="4"/>
        <v>0</v>
      </c>
      <c r="I85" s="15">
        <f>'LPLPO GUDANG'!I85</f>
        <v>0</v>
      </c>
      <c r="J85" s="12"/>
      <c r="K85" s="12"/>
      <c r="L85" s="12"/>
      <c r="M85" s="12"/>
      <c r="N85" s="12"/>
      <c r="O85" s="12"/>
    </row>
    <row r="86" spans="1:15" ht="20.149999999999999" customHeight="1" x14ac:dyDescent="0.35">
      <c r="A86" s="84">
        <f t="shared" si="5"/>
        <v>72</v>
      </c>
      <c r="B86" s="141" t="s">
        <v>253</v>
      </c>
      <c r="C86" s="102" t="s">
        <v>327</v>
      </c>
      <c r="D86" s="14">
        <f>'SISA STOK UNIT'!D83</f>
        <v>0</v>
      </c>
      <c r="E86" s="14">
        <f>'LPLPO GUDANG'!E86</f>
        <v>0</v>
      </c>
      <c r="F86" s="14">
        <f t="shared" si="3"/>
        <v>0</v>
      </c>
      <c r="G86" s="14">
        <f>'PEMAKAIAN UNIT'!R80</f>
        <v>0</v>
      </c>
      <c r="H86" s="14">
        <f t="shared" si="4"/>
        <v>0</v>
      </c>
      <c r="I86" s="15">
        <f>'LPLPO GUDANG'!I86</f>
        <v>0</v>
      </c>
      <c r="J86" s="12"/>
      <c r="K86" s="12"/>
      <c r="L86" s="12"/>
      <c r="M86" s="12"/>
      <c r="N86" s="12"/>
      <c r="O86" s="12"/>
    </row>
    <row r="87" spans="1:15" ht="20.149999999999999" customHeight="1" x14ac:dyDescent="0.35">
      <c r="A87" s="84">
        <f t="shared" si="5"/>
        <v>73</v>
      </c>
      <c r="B87" s="141" t="s">
        <v>62</v>
      </c>
      <c r="C87" s="102" t="s">
        <v>319</v>
      </c>
      <c r="D87" s="14">
        <f>'SISA STOK UNIT'!D84</f>
        <v>0</v>
      </c>
      <c r="E87" s="14">
        <f>'LPLPO GUDANG'!E87</f>
        <v>0</v>
      </c>
      <c r="F87" s="14">
        <f t="shared" si="3"/>
        <v>0</v>
      </c>
      <c r="G87" s="14">
        <f>'PEMAKAIAN UNIT'!R81</f>
        <v>0</v>
      </c>
      <c r="H87" s="14">
        <f t="shared" si="4"/>
        <v>0</v>
      </c>
      <c r="I87" s="15">
        <f>'LPLPO GUDANG'!I87</f>
        <v>0</v>
      </c>
      <c r="J87" s="12"/>
      <c r="K87" s="12"/>
      <c r="L87" s="12"/>
      <c r="M87" s="12"/>
      <c r="N87" s="12"/>
      <c r="O87" s="12"/>
    </row>
    <row r="88" spans="1:15" ht="20.149999999999999" customHeight="1" x14ac:dyDescent="0.35">
      <c r="A88" s="84">
        <f t="shared" si="5"/>
        <v>74</v>
      </c>
      <c r="B88" s="141" t="s">
        <v>63</v>
      </c>
      <c r="C88" s="118" t="s">
        <v>348</v>
      </c>
      <c r="D88" s="14">
        <f>'SISA STOK UNIT'!D85</f>
        <v>0</v>
      </c>
      <c r="E88" s="14">
        <f>'LPLPO GUDANG'!E88</f>
        <v>0</v>
      </c>
      <c r="F88" s="14">
        <f t="shared" si="3"/>
        <v>0</v>
      </c>
      <c r="G88" s="14">
        <f>'PEMAKAIAN UNIT'!R82</f>
        <v>0</v>
      </c>
      <c r="H88" s="14">
        <f t="shared" si="4"/>
        <v>0</v>
      </c>
      <c r="I88" s="15">
        <f>'LPLPO GUDANG'!I88</f>
        <v>0</v>
      </c>
      <c r="J88" s="12"/>
      <c r="K88" s="12"/>
      <c r="L88" s="12"/>
      <c r="M88" s="12"/>
      <c r="N88" s="12"/>
      <c r="O88" s="12"/>
    </row>
    <row r="89" spans="1:15" ht="20.149999999999999" customHeight="1" x14ac:dyDescent="0.35">
      <c r="A89" s="84">
        <f t="shared" si="5"/>
        <v>75</v>
      </c>
      <c r="B89" s="141" t="s">
        <v>106</v>
      </c>
      <c r="C89" s="105" t="s">
        <v>4</v>
      </c>
      <c r="D89" s="14">
        <f>'SISA STOK UNIT'!D86</f>
        <v>0</v>
      </c>
      <c r="E89" s="14">
        <f>'LPLPO GUDANG'!E89</f>
        <v>100</v>
      </c>
      <c r="F89" s="14">
        <f t="shared" si="3"/>
        <v>100</v>
      </c>
      <c r="G89" s="14">
        <f>'PEMAKAIAN UNIT'!R83</f>
        <v>0</v>
      </c>
      <c r="H89" s="14">
        <f t="shared" si="4"/>
        <v>100</v>
      </c>
      <c r="I89" s="15">
        <f>'LPLPO GUDANG'!I89</f>
        <v>4000</v>
      </c>
      <c r="J89" s="12"/>
      <c r="K89" s="12"/>
      <c r="L89" s="12"/>
      <c r="M89" s="12"/>
      <c r="N89" s="12"/>
      <c r="O89" s="12"/>
    </row>
    <row r="90" spans="1:15" ht="20.149999999999999" customHeight="1" x14ac:dyDescent="0.35">
      <c r="A90" s="84">
        <f t="shared" si="5"/>
        <v>76</v>
      </c>
      <c r="B90" s="141" t="s">
        <v>65</v>
      </c>
      <c r="C90" s="102" t="s">
        <v>344</v>
      </c>
      <c r="D90" s="14">
        <f>'SISA STOK UNIT'!D87</f>
        <v>0</v>
      </c>
      <c r="E90" s="14">
        <f>'LPLPO GUDANG'!E90</f>
        <v>4000</v>
      </c>
      <c r="F90" s="14">
        <f t="shared" si="3"/>
        <v>4000</v>
      </c>
      <c r="G90" s="14">
        <f>'PEMAKAIAN UNIT'!R84</f>
        <v>0</v>
      </c>
      <c r="H90" s="14">
        <f t="shared" si="4"/>
        <v>4000</v>
      </c>
      <c r="I90" s="15">
        <f>'LPLPO GUDANG'!I90</f>
        <v>7000</v>
      </c>
      <c r="J90" s="12"/>
      <c r="K90" s="12"/>
      <c r="L90" s="12"/>
      <c r="M90" s="12"/>
      <c r="N90" s="12"/>
      <c r="O90" s="12"/>
    </row>
    <row r="91" spans="1:15" ht="20.149999999999999" customHeight="1" x14ac:dyDescent="0.35">
      <c r="A91" s="84">
        <f t="shared" si="5"/>
        <v>77</v>
      </c>
      <c r="B91" s="141" t="s">
        <v>264</v>
      </c>
      <c r="C91" s="102" t="s">
        <v>4</v>
      </c>
      <c r="D91" s="14">
        <f>'SISA STOK UNIT'!D88</f>
        <v>0</v>
      </c>
      <c r="E91" s="14">
        <f>'LPLPO GUDANG'!E91</f>
        <v>0</v>
      </c>
      <c r="F91" s="14">
        <f t="shared" si="3"/>
        <v>0</v>
      </c>
      <c r="G91" s="14">
        <f>'PEMAKAIAN UNIT'!R85</f>
        <v>0</v>
      </c>
      <c r="H91" s="14">
        <f t="shared" si="4"/>
        <v>0</v>
      </c>
      <c r="I91" s="15">
        <f>'LPLPO GUDANG'!I91</f>
        <v>0</v>
      </c>
      <c r="J91" s="12"/>
      <c r="K91" s="12"/>
      <c r="L91" s="12"/>
      <c r="M91" s="12"/>
      <c r="N91" s="12"/>
      <c r="O91" s="12"/>
    </row>
    <row r="92" spans="1:15" ht="20.149999999999999" customHeight="1" x14ac:dyDescent="0.35">
      <c r="A92" s="84">
        <f t="shared" si="5"/>
        <v>78</v>
      </c>
      <c r="B92" s="141" t="s">
        <v>66</v>
      </c>
      <c r="C92" s="106" t="s">
        <v>327</v>
      </c>
      <c r="D92" s="14">
        <f>'SISA STOK UNIT'!D89</f>
        <v>0</v>
      </c>
      <c r="E92" s="14">
        <f>'LPLPO GUDANG'!E92</f>
        <v>0</v>
      </c>
      <c r="F92" s="14">
        <f t="shared" si="3"/>
        <v>0</v>
      </c>
      <c r="G92" s="14">
        <f>'PEMAKAIAN UNIT'!R86</f>
        <v>0</v>
      </c>
      <c r="H92" s="14">
        <f t="shared" si="4"/>
        <v>0</v>
      </c>
      <c r="I92" s="15">
        <f>'LPLPO GUDANG'!I92</f>
        <v>0</v>
      </c>
      <c r="J92" s="12"/>
      <c r="K92" s="12"/>
      <c r="L92" s="12"/>
      <c r="M92" s="12"/>
      <c r="N92" s="12"/>
      <c r="O92" s="12"/>
    </row>
    <row r="93" spans="1:15" ht="20.149999999999999" customHeight="1" x14ac:dyDescent="0.35">
      <c r="A93" s="84">
        <f t="shared" si="5"/>
        <v>79</v>
      </c>
      <c r="B93" s="141" t="s">
        <v>67</v>
      </c>
      <c r="C93" s="102" t="s">
        <v>327</v>
      </c>
      <c r="D93" s="14">
        <f>'SISA STOK UNIT'!D90</f>
        <v>0</v>
      </c>
      <c r="E93" s="14">
        <f>'LPLPO GUDANG'!E93</f>
        <v>1000</v>
      </c>
      <c r="F93" s="14">
        <f t="shared" si="3"/>
        <v>1000</v>
      </c>
      <c r="G93" s="14">
        <f>'PEMAKAIAN UNIT'!R87</f>
        <v>0</v>
      </c>
      <c r="H93" s="14">
        <f t="shared" si="4"/>
        <v>1000</v>
      </c>
      <c r="I93" s="15">
        <f>'LPLPO GUDANG'!I93</f>
        <v>2000</v>
      </c>
      <c r="J93" s="12"/>
      <c r="K93" s="12"/>
      <c r="L93" s="12"/>
      <c r="M93" s="12"/>
      <c r="N93" s="12"/>
      <c r="O93" s="12"/>
    </row>
    <row r="94" spans="1:15" ht="20.149999999999999" customHeight="1" x14ac:dyDescent="0.35">
      <c r="A94" s="84">
        <f t="shared" si="5"/>
        <v>80</v>
      </c>
      <c r="B94" s="141" t="s">
        <v>68</v>
      </c>
      <c r="C94" s="102" t="s">
        <v>327</v>
      </c>
      <c r="D94" s="14">
        <f>'SISA STOK UNIT'!D91</f>
        <v>0</v>
      </c>
      <c r="E94" s="14">
        <f>'LPLPO GUDANG'!E94</f>
        <v>0</v>
      </c>
      <c r="F94" s="14">
        <f t="shared" si="3"/>
        <v>0</v>
      </c>
      <c r="G94" s="14">
        <f>'PEMAKAIAN UNIT'!R88</f>
        <v>0</v>
      </c>
      <c r="H94" s="14">
        <f t="shared" si="4"/>
        <v>0</v>
      </c>
      <c r="I94" s="15">
        <f>'LPLPO GUDANG'!I94</f>
        <v>0</v>
      </c>
      <c r="J94" s="12"/>
      <c r="K94" s="12"/>
      <c r="L94" s="12"/>
      <c r="M94" s="12"/>
      <c r="N94" s="12"/>
      <c r="O94" s="12"/>
    </row>
    <row r="95" spans="1:15" ht="20.149999999999999" customHeight="1" x14ac:dyDescent="0.35">
      <c r="A95" s="84">
        <f t="shared" si="5"/>
        <v>81</v>
      </c>
      <c r="B95" s="141" t="s">
        <v>69</v>
      </c>
      <c r="C95" s="103" t="s">
        <v>327</v>
      </c>
      <c r="D95" s="14">
        <f>'SISA STOK UNIT'!D92</f>
        <v>0</v>
      </c>
      <c r="E95" s="14">
        <f>'LPLPO GUDANG'!E95</f>
        <v>0</v>
      </c>
      <c r="F95" s="14">
        <f t="shared" si="3"/>
        <v>0</v>
      </c>
      <c r="G95" s="14">
        <f>'PEMAKAIAN UNIT'!R89</f>
        <v>0</v>
      </c>
      <c r="H95" s="14">
        <f t="shared" si="4"/>
        <v>0</v>
      </c>
      <c r="I95" s="15">
        <f>'LPLPO GUDANG'!I95</f>
        <v>0</v>
      </c>
      <c r="J95" s="12"/>
      <c r="K95" s="12"/>
      <c r="L95" s="12"/>
      <c r="M95" s="12"/>
      <c r="N95" s="12"/>
      <c r="O95" s="12"/>
    </row>
    <row r="96" spans="1:15" ht="20.149999999999999" customHeight="1" x14ac:dyDescent="0.35">
      <c r="A96" s="84">
        <f t="shared" si="5"/>
        <v>82</v>
      </c>
      <c r="B96" s="141" t="s">
        <v>257</v>
      </c>
      <c r="C96" s="102" t="s">
        <v>48</v>
      </c>
      <c r="D96" s="14">
        <f>'SISA STOK UNIT'!D93</f>
        <v>0</v>
      </c>
      <c r="E96" s="14">
        <f>'LPLPO GUDANG'!E96</f>
        <v>0</v>
      </c>
      <c r="F96" s="14">
        <f t="shared" si="3"/>
        <v>0</v>
      </c>
      <c r="G96" s="14">
        <f>'PEMAKAIAN UNIT'!R90</f>
        <v>0</v>
      </c>
      <c r="H96" s="14">
        <f t="shared" si="4"/>
        <v>0</v>
      </c>
      <c r="I96" s="15">
        <f>'LPLPO GUDANG'!I96</f>
        <v>0</v>
      </c>
      <c r="J96" s="12"/>
      <c r="K96" s="12"/>
      <c r="L96" s="12"/>
      <c r="M96" s="12"/>
      <c r="N96" s="12"/>
      <c r="O96" s="12"/>
    </row>
    <row r="97" spans="1:15" ht="20.149999999999999" customHeight="1" x14ac:dyDescent="0.35">
      <c r="A97" s="84">
        <f t="shared" si="5"/>
        <v>83</v>
      </c>
      <c r="B97" s="141" t="s">
        <v>70</v>
      </c>
      <c r="C97" s="122" t="s">
        <v>349</v>
      </c>
      <c r="D97" s="14">
        <f>'SISA STOK UNIT'!D94</f>
        <v>0</v>
      </c>
      <c r="E97" s="14">
        <f>'LPLPO GUDANG'!E97</f>
        <v>50</v>
      </c>
      <c r="F97" s="14">
        <f t="shared" si="3"/>
        <v>50</v>
      </c>
      <c r="G97" s="14">
        <f>'PEMAKAIAN UNIT'!R91</f>
        <v>0</v>
      </c>
      <c r="H97" s="14">
        <f t="shared" si="4"/>
        <v>50</v>
      </c>
      <c r="I97" s="15">
        <f>'LPLPO GUDANG'!I97</f>
        <v>0</v>
      </c>
      <c r="J97" s="12"/>
      <c r="K97" s="12"/>
      <c r="L97" s="12"/>
      <c r="M97" s="12"/>
      <c r="N97" s="12"/>
      <c r="O97" s="12"/>
    </row>
    <row r="98" spans="1:15" ht="20.149999999999999" customHeight="1" x14ac:dyDescent="0.35">
      <c r="A98" s="84">
        <f t="shared" si="5"/>
        <v>84</v>
      </c>
      <c r="B98" s="141" t="s">
        <v>72</v>
      </c>
      <c r="C98" s="122" t="s">
        <v>321</v>
      </c>
      <c r="D98" s="14">
        <f>'SISA STOK UNIT'!D95</f>
        <v>0</v>
      </c>
      <c r="E98" s="14">
        <f>'LPLPO GUDANG'!E98</f>
        <v>60</v>
      </c>
      <c r="F98" s="14">
        <f t="shared" si="3"/>
        <v>60</v>
      </c>
      <c r="G98" s="14">
        <f>'PEMAKAIAN UNIT'!R92</f>
        <v>0</v>
      </c>
      <c r="H98" s="14">
        <f t="shared" si="4"/>
        <v>60</v>
      </c>
      <c r="I98" s="15">
        <f>'LPLPO GUDANG'!I98</f>
        <v>100</v>
      </c>
      <c r="J98" s="12"/>
      <c r="K98" s="12"/>
      <c r="L98" s="12"/>
      <c r="M98" s="12"/>
      <c r="N98" s="12"/>
      <c r="O98" s="12"/>
    </row>
    <row r="99" spans="1:15" ht="20.149999999999999" customHeight="1" x14ac:dyDescent="0.35">
      <c r="A99" s="84">
        <f t="shared" si="5"/>
        <v>85</v>
      </c>
      <c r="B99" s="141" t="s">
        <v>71</v>
      </c>
      <c r="C99" s="122" t="s">
        <v>340</v>
      </c>
      <c r="D99" s="14">
        <f>'SISA STOK UNIT'!D96</f>
        <v>0</v>
      </c>
      <c r="E99" s="14">
        <f>'LPLPO GUDANG'!E99</f>
        <v>0</v>
      </c>
      <c r="F99" s="14">
        <f t="shared" si="3"/>
        <v>0</v>
      </c>
      <c r="G99" s="14">
        <f>'PEMAKAIAN UNIT'!R93</f>
        <v>0</v>
      </c>
      <c r="H99" s="14">
        <f t="shared" si="4"/>
        <v>0</v>
      </c>
      <c r="I99" s="15">
        <f>'LPLPO GUDANG'!I99</f>
        <v>2000</v>
      </c>
      <c r="J99" s="12"/>
      <c r="K99" s="12"/>
      <c r="L99" s="12"/>
      <c r="M99" s="12"/>
      <c r="N99" s="12"/>
      <c r="O99" s="12"/>
    </row>
    <row r="100" spans="1:15" ht="20.149999999999999" customHeight="1" x14ac:dyDescent="0.35">
      <c r="A100" s="84">
        <f t="shared" si="5"/>
        <v>86</v>
      </c>
      <c r="B100" s="141" t="s">
        <v>73</v>
      </c>
      <c r="C100" s="121" t="s">
        <v>332</v>
      </c>
      <c r="D100" s="14">
        <f>'SISA STOK UNIT'!D97</f>
        <v>0</v>
      </c>
      <c r="E100" s="14">
        <f>'LPLPO GUDANG'!E100</f>
        <v>1500</v>
      </c>
      <c r="F100" s="14">
        <f t="shared" si="3"/>
        <v>1500</v>
      </c>
      <c r="G100" s="14">
        <f>'PEMAKAIAN UNIT'!R94</f>
        <v>0</v>
      </c>
      <c r="H100" s="14">
        <f t="shared" si="4"/>
        <v>1500</v>
      </c>
      <c r="I100" s="15">
        <f>'LPLPO GUDANG'!I100</f>
        <v>2000</v>
      </c>
      <c r="J100" s="12"/>
      <c r="K100" s="12"/>
      <c r="L100" s="12"/>
      <c r="M100" s="12"/>
      <c r="N100" s="12"/>
      <c r="O100" s="12"/>
    </row>
    <row r="101" spans="1:15" ht="20.149999999999999" customHeight="1" x14ac:dyDescent="0.35">
      <c r="A101" s="84">
        <f t="shared" si="5"/>
        <v>87</v>
      </c>
      <c r="B101" s="141" t="s">
        <v>74</v>
      </c>
      <c r="C101" s="102" t="s">
        <v>327</v>
      </c>
      <c r="D101" s="14">
        <f>'SISA STOK UNIT'!D98</f>
        <v>0</v>
      </c>
      <c r="E101" s="14">
        <f>'LPLPO GUDANG'!E101</f>
        <v>0</v>
      </c>
      <c r="F101" s="14">
        <f t="shared" si="3"/>
        <v>0</v>
      </c>
      <c r="G101" s="14">
        <f>'PEMAKAIAN UNIT'!R95</f>
        <v>0</v>
      </c>
      <c r="H101" s="14">
        <f t="shared" si="4"/>
        <v>0</v>
      </c>
      <c r="I101" s="15">
        <f>'LPLPO GUDANG'!I101</f>
        <v>0</v>
      </c>
      <c r="J101" s="12"/>
      <c r="K101" s="12"/>
      <c r="L101" s="12"/>
      <c r="M101" s="12"/>
      <c r="N101" s="12"/>
      <c r="O101" s="12"/>
    </row>
    <row r="102" spans="1:15" ht="20.149999999999999" customHeight="1" x14ac:dyDescent="0.35">
      <c r="A102" s="84">
        <f t="shared" si="5"/>
        <v>88</v>
      </c>
      <c r="B102" s="141" t="s">
        <v>75</v>
      </c>
      <c r="C102" s="127" t="s">
        <v>327</v>
      </c>
      <c r="D102" s="14">
        <f>'SISA STOK UNIT'!D99</f>
        <v>0</v>
      </c>
      <c r="E102" s="14">
        <f>'LPLPO GUDANG'!E102</f>
        <v>0</v>
      </c>
      <c r="F102" s="14">
        <f t="shared" si="3"/>
        <v>0</v>
      </c>
      <c r="G102" s="14">
        <f>'PEMAKAIAN UNIT'!R96</f>
        <v>0</v>
      </c>
      <c r="H102" s="14">
        <f t="shared" si="4"/>
        <v>0</v>
      </c>
      <c r="I102" s="15">
        <f>'LPLPO GUDANG'!I102</f>
        <v>0</v>
      </c>
      <c r="J102" s="12"/>
      <c r="K102" s="12"/>
      <c r="L102" s="12"/>
      <c r="M102" s="12"/>
      <c r="N102" s="12"/>
      <c r="O102" s="12"/>
    </row>
    <row r="103" spans="1:15" ht="20.149999999999999" customHeight="1" x14ac:dyDescent="0.35">
      <c r="A103" s="84">
        <f t="shared" si="5"/>
        <v>89</v>
      </c>
      <c r="B103" s="141" t="s">
        <v>281</v>
      </c>
      <c r="C103" s="116" t="s">
        <v>188</v>
      </c>
      <c r="D103" s="14">
        <f>'SISA STOK UNIT'!D100</f>
        <v>0</v>
      </c>
      <c r="E103" s="14">
        <f>'LPLPO GUDANG'!E103</f>
        <v>0</v>
      </c>
      <c r="F103" s="14">
        <f t="shared" si="3"/>
        <v>0</v>
      </c>
      <c r="G103" s="14">
        <f>'PEMAKAIAN UNIT'!R97</f>
        <v>0</v>
      </c>
      <c r="H103" s="14">
        <f t="shared" si="4"/>
        <v>0</v>
      </c>
      <c r="I103" s="15">
        <f>'LPLPO GUDANG'!I103</f>
        <v>0</v>
      </c>
      <c r="J103" s="12"/>
      <c r="K103" s="12"/>
      <c r="L103" s="12"/>
      <c r="M103" s="12"/>
      <c r="N103" s="12"/>
      <c r="O103" s="12"/>
    </row>
    <row r="104" spans="1:15" ht="20.149999999999999" customHeight="1" x14ac:dyDescent="0.35">
      <c r="A104" s="84">
        <f t="shared" si="5"/>
        <v>90</v>
      </c>
      <c r="B104" s="141" t="s">
        <v>76</v>
      </c>
      <c r="C104" s="116" t="s">
        <v>4</v>
      </c>
      <c r="D104" s="14">
        <f>'SISA STOK UNIT'!D101</f>
        <v>0</v>
      </c>
      <c r="E104" s="14">
        <f>'LPLPO GUDANG'!E104</f>
        <v>0</v>
      </c>
      <c r="F104" s="14">
        <f t="shared" si="3"/>
        <v>0</v>
      </c>
      <c r="G104" s="14">
        <f>'PEMAKAIAN UNIT'!R98</f>
        <v>0</v>
      </c>
      <c r="H104" s="14">
        <f t="shared" si="4"/>
        <v>0</v>
      </c>
      <c r="I104" s="15">
        <f>'LPLPO GUDANG'!I104</f>
        <v>0</v>
      </c>
      <c r="J104" s="12"/>
      <c r="K104" s="12"/>
      <c r="L104" s="12"/>
      <c r="M104" s="12"/>
      <c r="N104" s="12"/>
      <c r="O104" s="12"/>
    </row>
    <row r="105" spans="1:15" ht="20.149999999999999" customHeight="1" x14ac:dyDescent="0.35">
      <c r="A105" s="84">
        <f t="shared" si="5"/>
        <v>91</v>
      </c>
      <c r="B105" s="141" t="s">
        <v>77</v>
      </c>
      <c r="C105" s="116" t="s">
        <v>64</v>
      </c>
      <c r="D105" s="14">
        <f>'SISA STOK UNIT'!D102</f>
        <v>0</v>
      </c>
      <c r="E105" s="14">
        <f>'LPLPO GUDANG'!E105</f>
        <v>250</v>
      </c>
      <c r="F105" s="14">
        <f t="shared" si="3"/>
        <v>250</v>
      </c>
      <c r="G105" s="14">
        <f>'PEMAKAIAN UNIT'!R99</f>
        <v>0</v>
      </c>
      <c r="H105" s="14">
        <f t="shared" si="4"/>
        <v>250</v>
      </c>
      <c r="I105" s="15">
        <f>'LPLPO GUDANG'!I105</f>
        <v>300</v>
      </c>
      <c r="J105" s="12"/>
      <c r="K105" s="12"/>
      <c r="L105" s="12"/>
      <c r="M105" s="12"/>
      <c r="N105" s="12"/>
      <c r="O105" s="12"/>
    </row>
    <row r="106" spans="1:15" ht="20.149999999999999" customHeight="1" x14ac:dyDescent="0.35">
      <c r="A106" s="84">
        <f t="shared" si="5"/>
        <v>92</v>
      </c>
      <c r="B106" s="141" t="s">
        <v>78</v>
      </c>
      <c r="C106" s="102" t="s">
        <v>345</v>
      </c>
      <c r="D106" s="14">
        <f>'SISA STOK UNIT'!D103</f>
        <v>0</v>
      </c>
      <c r="E106" s="14">
        <f>'LPLPO GUDANG'!E106</f>
        <v>0</v>
      </c>
      <c r="F106" s="14">
        <f t="shared" si="3"/>
        <v>0</v>
      </c>
      <c r="G106" s="14">
        <f>'PEMAKAIAN UNIT'!R100</f>
        <v>0</v>
      </c>
      <c r="H106" s="14">
        <f t="shared" si="4"/>
        <v>0</v>
      </c>
      <c r="I106" s="15">
        <f>'LPLPO GUDANG'!I106</f>
        <v>1000</v>
      </c>
      <c r="J106" s="12"/>
      <c r="K106" s="12"/>
      <c r="L106" s="12"/>
      <c r="M106" s="12"/>
      <c r="N106" s="12"/>
      <c r="O106" s="12"/>
    </row>
    <row r="107" spans="1:15" ht="20.149999999999999" customHeight="1" x14ac:dyDescent="0.45">
      <c r="A107" s="84">
        <f t="shared" si="5"/>
        <v>93</v>
      </c>
      <c r="B107" s="141" t="s">
        <v>79</v>
      </c>
      <c r="C107" s="128" t="s">
        <v>4</v>
      </c>
      <c r="D107" s="14">
        <f>'SISA STOK UNIT'!D104</f>
        <v>0</v>
      </c>
      <c r="E107" s="14">
        <f>'LPLPO GUDANG'!E107</f>
        <v>250</v>
      </c>
      <c r="F107" s="14">
        <f t="shared" si="3"/>
        <v>250</v>
      </c>
      <c r="G107" s="14">
        <f>'PEMAKAIAN UNIT'!R101</f>
        <v>0</v>
      </c>
      <c r="H107" s="14">
        <f t="shared" si="4"/>
        <v>250</v>
      </c>
      <c r="I107" s="15">
        <f>'LPLPO GUDANG'!I107</f>
        <v>300</v>
      </c>
      <c r="J107" s="12"/>
      <c r="K107" s="12"/>
      <c r="L107" s="12"/>
      <c r="M107" s="12"/>
      <c r="N107" s="12"/>
      <c r="O107" s="12"/>
    </row>
    <row r="108" spans="1:15" ht="20.149999999999999" customHeight="1" x14ac:dyDescent="0.35">
      <c r="A108" s="84">
        <f t="shared" si="5"/>
        <v>94</v>
      </c>
      <c r="B108" s="141" t="s">
        <v>80</v>
      </c>
      <c r="C108" s="102" t="s">
        <v>350</v>
      </c>
      <c r="D108" s="14">
        <f>'SISA STOK UNIT'!D105</f>
        <v>0</v>
      </c>
      <c r="E108" s="14">
        <f>'LPLPO GUDANG'!E108</f>
        <v>0</v>
      </c>
      <c r="F108" s="14">
        <f t="shared" si="3"/>
        <v>0</v>
      </c>
      <c r="G108" s="14">
        <f>'PEMAKAIAN UNIT'!R102</f>
        <v>0</v>
      </c>
      <c r="H108" s="14">
        <f t="shared" si="4"/>
        <v>0</v>
      </c>
      <c r="I108" s="15">
        <f>'LPLPO GUDANG'!I108</f>
        <v>0</v>
      </c>
      <c r="J108" s="12"/>
      <c r="K108" s="12"/>
      <c r="L108" s="12"/>
      <c r="M108" s="12"/>
      <c r="N108" s="12"/>
      <c r="O108" s="12"/>
    </row>
    <row r="109" spans="1:15" ht="20.149999999999999" customHeight="1" x14ac:dyDescent="0.35">
      <c r="A109" s="84">
        <f t="shared" si="5"/>
        <v>95</v>
      </c>
      <c r="B109" s="141" t="s">
        <v>263</v>
      </c>
      <c r="C109" s="129" t="s">
        <v>48</v>
      </c>
      <c r="D109" s="14">
        <f>'SISA STOK UNIT'!D106</f>
        <v>0</v>
      </c>
      <c r="E109" s="14">
        <f>'LPLPO GUDANG'!E109</f>
        <v>0</v>
      </c>
      <c r="F109" s="14">
        <f t="shared" si="3"/>
        <v>0</v>
      </c>
      <c r="G109" s="14">
        <f>'PEMAKAIAN UNIT'!R103</f>
        <v>0</v>
      </c>
      <c r="H109" s="14">
        <f t="shared" si="4"/>
        <v>0</v>
      </c>
      <c r="I109" s="15">
        <f>'LPLPO GUDANG'!I109</f>
        <v>0</v>
      </c>
      <c r="J109" s="12"/>
      <c r="K109" s="12"/>
      <c r="L109" s="12"/>
      <c r="M109" s="12"/>
      <c r="N109" s="12"/>
      <c r="O109" s="12"/>
    </row>
    <row r="110" spans="1:15" ht="20.149999999999999" customHeight="1" x14ac:dyDescent="0.35">
      <c r="A110" s="84">
        <f t="shared" si="5"/>
        <v>96</v>
      </c>
      <c r="B110" s="141" t="s">
        <v>81</v>
      </c>
      <c r="C110" s="102" t="s">
        <v>48</v>
      </c>
      <c r="D110" s="14">
        <f>'SISA STOK UNIT'!D107</f>
        <v>0</v>
      </c>
      <c r="E110" s="14">
        <f>'LPLPO GUDANG'!E110</f>
        <v>100</v>
      </c>
      <c r="F110" s="14">
        <f t="shared" si="3"/>
        <v>100</v>
      </c>
      <c r="G110" s="14">
        <f>'PEMAKAIAN UNIT'!R104</f>
        <v>0</v>
      </c>
      <c r="H110" s="14">
        <f t="shared" si="4"/>
        <v>100</v>
      </c>
      <c r="I110" s="15">
        <f>'LPLPO GUDANG'!I110</f>
        <v>100</v>
      </c>
      <c r="J110" s="12"/>
      <c r="K110" s="12"/>
      <c r="L110" s="12"/>
      <c r="M110" s="12"/>
      <c r="N110" s="12"/>
      <c r="O110" s="12"/>
    </row>
    <row r="111" spans="1:15" ht="20.149999999999999" customHeight="1" x14ac:dyDescent="0.35">
      <c r="A111" s="84">
        <f t="shared" si="5"/>
        <v>97</v>
      </c>
      <c r="B111" s="141" t="s">
        <v>82</v>
      </c>
      <c r="C111" s="116" t="s">
        <v>327</v>
      </c>
      <c r="D111" s="14">
        <f>'SISA STOK UNIT'!D108</f>
        <v>0</v>
      </c>
      <c r="E111" s="14">
        <f>'LPLPO GUDANG'!E111</f>
        <v>0</v>
      </c>
      <c r="F111" s="14">
        <f t="shared" si="3"/>
        <v>0</v>
      </c>
      <c r="G111" s="14">
        <f>'PEMAKAIAN UNIT'!R105</f>
        <v>0</v>
      </c>
      <c r="H111" s="14">
        <f t="shared" si="4"/>
        <v>0</v>
      </c>
      <c r="I111" s="15">
        <f>'LPLPO GUDANG'!I111</f>
        <v>6000</v>
      </c>
      <c r="J111" s="12"/>
      <c r="K111" s="12"/>
      <c r="L111" s="12"/>
      <c r="M111" s="12"/>
      <c r="N111" s="12"/>
      <c r="O111" s="12"/>
    </row>
    <row r="112" spans="1:15" ht="20.149999999999999" customHeight="1" x14ac:dyDescent="0.35">
      <c r="A112" s="84">
        <f t="shared" si="5"/>
        <v>98</v>
      </c>
      <c r="B112" s="141" t="s">
        <v>83</v>
      </c>
      <c r="C112" s="116" t="s">
        <v>188</v>
      </c>
      <c r="D112" s="14">
        <f>'SISA STOK UNIT'!D109</f>
        <v>0</v>
      </c>
      <c r="E112" s="14">
        <f>'LPLPO GUDANG'!E112</f>
        <v>2</v>
      </c>
      <c r="F112" s="14">
        <f t="shared" si="3"/>
        <v>2</v>
      </c>
      <c r="G112" s="14">
        <f>'PEMAKAIAN UNIT'!R106</f>
        <v>0</v>
      </c>
      <c r="H112" s="14">
        <f t="shared" si="4"/>
        <v>2</v>
      </c>
      <c r="I112" s="15">
        <f>'LPLPO GUDANG'!I112</f>
        <v>0</v>
      </c>
      <c r="J112" s="12"/>
      <c r="K112" s="12"/>
      <c r="L112" s="12"/>
      <c r="M112" s="12"/>
      <c r="N112" s="12"/>
      <c r="O112" s="12"/>
    </row>
    <row r="113" spans="1:15" ht="16.5" x14ac:dyDescent="0.35">
      <c r="A113" s="84">
        <f t="shared" si="5"/>
        <v>99</v>
      </c>
      <c r="B113" s="141" t="s">
        <v>84</v>
      </c>
      <c r="C113" s="102" t="s">
        <v>188</v>
      </c>
      <c r="D113" s="14">
        <f>'SISA STOK UNIT'!D110</f>
        <v>0</v>
      </c>
      <c r="E113" s="14">
        <f>'LPLPO GUDANG'!E113</f>
        <v>0</v>
      </c>
      <c r="F113" s="14">
        <f t="shared" si="3"/>
        <v>0</v>
      </c>
      <c r="G113" s="14">
        <f>'PEMAKAIAN UNIT'!R107</f>
        <v>0</v>
      </c>
      <c r="H113" s="14">
        <f t="shared" si="4"/>
        <v>0</v>
      </c>
      <c r="I113" s="15">
        <f>'LPLPO GUDANG'!I113</f>
        <v>0</v>
      </c>
      <c r="J113" s="12"/>
      <c r="K113" s="12"/>
      <c r="L113" s="12"/>
      <c r="M113" s="12"/>
      <c r="N113" s="12"/>
      <c r="O113" s="12"/>
    </row>
    <row r="114" spans="1:15" ht="20.149999999999999" customHeight="1" x14ac:dyDescent="0.35">
      <c r="A114" s="84">
        <f t="shared" si="5"/>
        <v>100</v>
      </c>
      <c r="B114" s="141" t="s">
        <v>85</v>
      </c>
      <c r="C114" s="116" t="s">
        <v>327</v>
      </c>
      <c r="D114" s="14">
        <f>'SISA STOK UNIT'!D111</f>
        <v>0</v>
      </c>
      <c r="E114" s="14">
        <f>'LPLPO GUDANG'!E114</f>
        <v>0</v>
      </c>
      <c r="F114" s="14">
        <f t="shared" si="3"/>
        <v>0</v>
      </c>
      <c r="G114" s="14">
        <f>'PEMAKAIAN UNIT'!R108</f>
        <v>0</v>
      </c>
      <c r="H114" s="14">
        <f t="shared" si="4"/>
        <v>0</v>
      </c>
      <c r="I114" s="15">
        <f>'LPLPO GUDANG'!I114</f>
        <v>3000</v>
      </c>
      <c r="J114" s="12"/>
      <c r="K114" s="12"/>
      <c r="L114" s="12"/>
      <c r="M114" s="12"/>
      <c r="N114" s="12"/>
      <c r="O114" s="12"/>
    </row>
    <row r="115" spans="1:15" ht="20.149999999999999" customHeight="1" x14ac:dyDescent="0.35">
      <c r="A115" s="84">
        <f t="shared" si="5"/>
        <v>101</v>
      </c>
      <c r="B115" s="141" t="s">
        <v>86</v>
      </c>
      <c r="C115" s="102" t="s">
        <v>327</v>
      </c>
      <c r="D115" s="14">
        <f>'SISA STOK UNIT'!D112</f>
        <v>0</v>
      </c>
      <c r="E115" s="14">
        <f>'LPLPO GUDANG'!E115</f>
        <v>0</v>
      </c>
      <c r="F115" s="14">
        <f t="shared" si="3"/>
        <v>0</v>
      </c>
      <c r="G115" s="14">
        <f>'PEMAKAIAN UNIT'!R109</f>
        <v>0</v>
      </c>
      <c r="H115" s="14">
        <f t="shared" si="4"/>
        <v>0</v>
      </c>
      <c r="I115" s="15">
        <f>'LPLPO GUDANG'!I115</f>
        <v>0</v>
      </c>
      <c r="J115" s="12"/>
      <c r="K115" s="12"/>
      <c r="L115" s="12"/>
      <c r="M115" s="12"/>
      <c r="N115" s="12"/>
      <c r="O115" s="12"/>
    </row>
    <row r="116" spans="1:15" ht="20.149999999999999" customHeight="1" x14ac:dyDescent="0.35">
      <c r="A116" s="84">
        <f t="shared" si="5"/>
        <v>102</v>
      </c>
      <c r="B116" s="141" t="s">
        <v>87</v>
      </c>
      <c r="C116" s="129" t="s">
        <v>327</v>
      </c>
      <c r="D116" s="14">
        <f>'SISA STOK UNIT'!D113</f>
        <v>0</v>
      </c>
      <c r="E116" s="14">
        <f>'LPLPO GUDANG'!E116</f>
        <v>0</v>
      </c>
      <c r="F116" s="14">
        <f t="shared" si="3"/>
        <v>0</v>
      </c>
      <c r="G116" s="14">
        <f>'PEMAKAIAN UNIT'!R110</f>
        <v>0</v>
      </c>
      <c r="H116" s="14">
        <f t="shared" si="4"/>
        <v>0</v>
      </c>
      <c r="I116" s="15">
        <f>'LPLPO GUDANG'!I116</f>
        <v>0</v>
      </c>
      <c r="J116" s="12"/>
      <c r="K116" s="12"/>
      <c r="L116" s="12"/>
      <c r="M116" s="12"/>
      <c r="N116" s="12"/>
      <c r="O116" s="12"/>
    </row>
    <row r="117" spans="1:15" ht="20.149999999999999" customHeight="1" x14ac:dyDescent="0.35">
      <c r="A117" s="84">
        <f t="shared" si="5"/>
        <v>103</v>
      </c>
      <c r="B117" s="141" t="s">
        <v>88</v>
      </c>
      <c r="C117" s="106" t="s">
        <v>327</v>
      </c>
      <c r="D117" s="14">
        <f>'SISA STOK UNIT'!D114</f>
        <v>0</v>
      </c>
      <c r="E117" s="14">
        <f>'LPLPO GUDANG'!E117</f>
        <v>0</v>
      </c>
      <c r="F117" s="14">
        <f t="shared" si="3"/>
        <v>0</v>
      </c>
      <c r="G117" s="14">
        <f>'PEMAKAIAN UNIT'!R111</f>
        <v>0</v>
      </c>
      <c r="H117" s="14">
        <f t="shared" si="4"/>
        <v>0</v>
      </c>
      <c r="I117" s="15">
        <f>'LPLPO GUDANG'!I117</f>
        <v>0</v>
      </c>
      <c r="J117" s="12"/>
      <c r="K117" s="12"/>
      <c r="L117" s="12"/>
      <c r="M117" s="12"/>
      <c r="N117" s="12"/>
      <c r="O117" s="12"/>
    </row>
    <row r="118" spans="1:15" ht="16.5" x14ac:dyDescent="0.35">
      <c r="A118" s="84">
        <f t="shared" si="5"/>
        <v>104</v>
      </c>
      <c r="B118" s="141" t="s">
        <v>89</v>
      </c>
      <c r="C118" s="118" t="s">
        <v>327</v>
      </c>
      <c r="D118" s="14">
        <f>'SISA STOK UNIT'!D115</f>
        <v>0</v>
      </c>
      <c r="E118" s="14">
        <f>'LPLPO GUDANG'!E118</f>
        <v>0</v>
      </c>
      <c r="F118" s="14">
        <f t="shared" si="3"/>
        <v>0</v>
      </c>
      <c r="G118" s="14">
        <f>'PEMAKAIAN UNIT'!R112</f>
        <v>0</v>
      </c>
      <c r="H118" s="14">
        <f t="shared" si="4"/>
        <v>0</v>
      </c>
      <c r="I118" s="15">
        <f>'LPLPO GUDANG'!I118</f>
        <v>0</v>
      </c>
      <c r="J118" s="12"/>
      <c r="K118" s="12"/>
      <c r="L118" s="12"/>
      <c r="M118" s="12"/>
      <c r="N118" s="12"/>
      <c r="O118" s="12"/>
    </row>
    <row r="119" spans="1:15" ht="20.149999999999999" customHeight="1" x14ac:dyDescent="0.35">
      <c r="A119" s="84">
        <f t="shared" si="5"/>
        <v>105</v>
      </c>
      <c r="B119" s="141" t="s">
        <v>90</v>
      </c>
      <c r="C119" s="116" t="s">
        <v>322</v>
      </c>
      <c r="D119" s="14">
        <f>'SISA STOK UNIT'!D116</f>
        <v>0</v>
      </c>
      <c r="E119" s="14">
        <f>'LPLPO GUDANG'!E119</f>
        <v>300</v>
      </c>
      <c r="F119" s="14">
        <f t="shared" si="3"/>
        <v>300</v>
      </c>
      <c r="G119" s="14">
        <f>'PEMAKAIAN UNIT'!R113</f>
        <v>0</v>
      </c>
      <c r="H119" s="14">
        <f t="shared" si="4"/>
        <v>300</v>
      </c>
      <c r="I119" s="15">
        <f>'LPLPO GUDANG'!I119</f>
        <v>700</v>
      </c>
      <c r="J119" s="12"/>
      <c r="K119" s="12"/>
      <c r="L119" s="12"/>
      <c r="M119" s="12"/>
      <c r="N119" s="12"/>
      <c r="O119" s="12"/>
    </row>
    <row r="120" spans="1:15" ht="20.149999999999999" customHeight="1" x14ac:dyDescent="0.35">
      <c r="A120" s="84">
        <f t="shared" si="5"/>
        <v>106</v>
      </c>
      <c r="B120" s="236" t="s">
        <v>417</v>
      </c>
      <c r="C120" s="144" t="s">
        <v>414</v>
      </c>
      <c r="D120" s="14">
        <f>'SISA STOK UNIT'!D117</f>
        <v>0</v>
      </c>
      <c r="E120" s="14">
        <f>'LPLPO GUDANG'!E120</f>
        <v>0</v>
      </c>
      <c r="F120" s="14">
        <f t="shared" si="3"/>
        <v>0</v>
      </c>
      <c r="G120" s="14">
        <f>'PEMAKAIAN UNIT'!R114</f>
        <v>0</v>
      </c>
      <c r="H120" s="14">
        <f t="shared" si="4"/>
        <v>0</v>
      </c>
      <c r="I120" s="15">
        <f>'LPLPO GUDANG'!I120</f>
        <v>0</v>
      </c>
      <c r="J120" s="12"/>
      <c r="K120" s="12"/>
      <c r="L120" s="12"/>
      <c r="M120" s="12"/>
      <c r="N120" s="12"/>
      <c r="O120" s="12"/>
    </row>
    <row r="121" spans="1:15" ht="20.149999999999999" customHeight="1" x14ac:dyDescent="0.35">
      <c r="A121" s="84">
        <f t="shared" si="5"/>
        <v>107</v>
      </c>
      <c r="B121" s="141" t="s">
        <v>325</v>
      </c>
      <c r="C121" s="118" t="s">
        <v>4</v>
      </c>
      <c r="D121" s="14">
        <f>'SISA STOK UNIT'!D118</f>
        <v>0</v>
      </c>
      <c r="E121" s="14">
        <f>'LPLPO GUDANG'!E121</f>
        <v>10</v>
      </c>
      <c r="F121" s="14">
        <f t="shared" si="3"/>
        <v>10</v>
      </c>
      <c r="G121" s="14">
        <f>'PEMAKAIAN UNIT'!R115</f>
        <v>0</v>
      </c>
      <c r="H121" s="14">
        <f t="shared" si="4"/>
        <v>10</v>
      </c>
      <c r="I121" s="15">
        <f>'LPLPO GUDANG'!I121</f>
        <v>50</v>
      </c>
      <c r="J121" s="12"/>
      <c r="K121" s="12"/>
      <c r="L121" s="12"/>
      <c r="M121" s="12"/>
      <c r="N121" s="12"/>
      <c r="O121" s="12"/>
    </row>
    <row r="122" spans="1:15" ht="20.149999999999999" customHeight="1" x14ac:dyDescent="0.35">
      <c r="A122" s="84">
        <f t="shared" si="5"/>
        <v>108</v>
      </c>
      <c r="B122" s="141" t="s">
        <v>91</v>
      </c>
      <c r="C122" s="121" t="s">
        <v>327</v>
      </c>
      <c r="D122" s="14">
        <f>'SISA STOK UNIT'!D119</f>
        <v>0</v>
      </c>
      <c r="E122" s="14">
        <f>'LPLPO GUDANG'!E122</f>
        <v>0</v>
      </c>
      <c r="F122" s="14">
        <f t="shared" si="3"/>
        <v>0</v>
      </c>
      <c r="G122" s="14">
        <f>'PEMAKAIAN UNIT'!R116</f>
        <v>0</v>
      </c>
      <c r="H122" s="14">
        <f t="shared" si="4"/>
        <v>0</v>
      </c>
      <c r="I122" s="15">
        <f>'LPLPO GUDANG'!I122</f>
        <v>0</v>
      </c>
      <c r="J122" s="12"/>
      <c r="K122" s="12"/>
      <c r="L122" s="12"/>
      <c r="M122" s="12"/>
      <c r="N122" s="12"/>
      <c r="O122" s="12"/>
    </row>
    <row r="123" spans="1:15" ht="20.149999999999999" customHeight="1" x14ac:dyDescent="0.35">
      <c r="A123" s="84">
        <f t="shared" si="5"/>
        <v>109</v>
      </c>
      <c r="B123" s="141" t="s">
        <v>92</v>
      </c>
      <c r="C123" s="105" t="s">
        <v>351</v>
      </c>
      <c r="D123" s="14">
        <f>'SISA STOK UNIT'!D120</f>
        <v>0</v>
      </c>
      <c r="E123" s="14">
        <f>'LPLPO GUDANG'!E123</f>
        <v>20</v>
      </c>
      <c r="F123" s="14">
        <f t="shared" si="3"/>
        <v>20</v>
      </c>
      <c r="G123" s="14">
        <f>'PEMAKAIAN UNIT'!R117</f>
        <v>0</v>
      </c>
      <c r="H123" s="14">
        <f t="shared" si="4"/>
        <v>20</v>
      </c>
      <c r="I123" s="15">
        <f>'LPLPO GUDANG'!I123</f>
        <v>0</v>
      </c>
      <c r="J123" s="12"/>
      <c r="K123" s="12"/>
      <c r="L123" s="12"/>
      <c r="M123" s="12"/>
      <c r="N123" s="12"/>
      <c r="O123" s="12"/>
    </row>
    <row r="124" spans="1:15" ht="20.149999999999999" customHeight="1" x14ac:dyDescent="0.35">
      <c r="A124" s="84">
        <f t="shared" si="5"/>
        <v>110</v>
      </c>
      <c r="B124" s="141" t="s">
        <v>93</v>
      </c>
      <c r="C124" s="118" t="s">
        <v>327</v>
      </c>
      <c r="D124" s="14">
        <f>'SISA STOK UNIT'!D121</f>
        <v>0</v>
      </c>
      <c r="E124" s="14">
        <f>'LPLPO GUDANG'!E124</f>
        <v>0</v>
      </c>
      <c r="F124" s="14">
        <f t="shared" si="3"/>
        <v>0</v>
      </c>
      <c r="G124" s="14">
        <f>'PEMAKAIAN UNIT'!R118</f>
        <v>0</v>
      </c>
      <c r="H124" s="14">
        <f t="shared" si="4"/>
        <v>0</v>
      </c>
      <c r="I124" s="15">
        <f>'LPLPO GUDANG'!I124</f>
        <v>0</v>
      </c>
      <c r="J124" s="12"/>
      <c r="K124" s="12"/>
      <c r="L124" s="12"/>
      <c r="M124" s="12"/>
      <c r="N124" s="12"/>
      <c r="O124" s="12"/>
    </row>
    <row r="125" spans="1:15" ht="20.149999999999999" customHeight="1" x14ac:dyDescent="0.35">
      <c r="A125" s="84">
        <f t="shared" si="5"/>
        <v>111</v>
      </c>
      <c r="B125" s="141" t="s">
        <v>94</v>
      </c>
      <c r="C125" s="117" t="s">
        <v>64</v>
      </c>
      <c r="D125" s="14">
        <f>'SISA STOK UNIT'!D122</f>
        <v>0</v>
      </c>
      <c r="E125" s="14">
        <f>'LPLPO GUDANG'!E125</f>
        <v>100</v>
      </c>
      <c r="F125" s="14">
        <f t="shared" si="3"/>
        <v>100</v>
      </c>
      <c r="G125" s="14">
        <f>'PEMAKAIAN UNIT'!R119</f>
        <v>0</v>
      </c>
      <c r="H125" s="14">
        <f t="shared" si="4"/>
        <v>100</v>
      </c>
      <c r="I125" s="15">
        <f>'LPLPO GUDANG'!I125</f>
        <v>0</v>
      </c>
      <c r="J125" s="12"/>
      <c r="K125" s="12"/>
      <c r="L125" s="12"/>
      <c r="M125" s="12"/>
      <c r="N125" s="12"/>
      <c r="O125" s="12"/>
    </row>
    <row r="126" spans="1:15" ht="20.149999999999999" customHeight="1" x14ac:dyDescent="0.35">
      <c r="A126" s="84">
        <f t="shared" si="5"/>
        <v>112</v>
      </c>
      <c r="B126" s="141" t="s">
        <v>95</v>
      </c>
      <c r="C126" s="117" t="s">
        <v>48</v>
      </c>
      <c r="D126" s="14">
        <f>'SISA STOK UNIT'!D123</f>
        <v>0</v>
      </c>
      <c r="E126" s="14">
        <f>'LPLPO GUDANG'!E126</f>
        <v>0</v>
      </c>
      <c r="F126" s="14">
        <f t="shared" si="3"/>
        <v>0</v>
      </c>
      <c r="G126" s="14">
        <f>'PEMAKAIAN UNIT'!R120</f>
        <v>0</v>
      </c>
      <c r="H126" s="14">
        <f t="shared" si="4"/>
        <v>0</v>
      </c>
      <c r="I126" s="15">
        <f>'LPLPO GUDANG'!I126</f>
        <v>50</v>
      </c>
      <c r="J126" s="12"/>
      <c r="K126" s="12"/>
      <c r="L126" s="12"/>
      <c r="M126" s="12"/>
      <c r="N126" s="12"/>
      <c r="O126" s="12"/>
    </row>
    <row r="127" spans="1:15" ht="20.149999999999999" customHeight="1" x14ac:dyDescent="0.35">
      <c r="A127" s="84">
        <f t="shared" si="5"/>
        <v>113</v>
      </c>
      <c r="B127" s="141" t="s">
        <v>96</v>
      </c>
      <c r="C127" s="116" t="s">
        <v>327</v>
      </c>
      <c r="D127" s="14">
        <f>'SISA STOK UNIT'!D124</f>
        <v>0</v>
      </c>
      <c r="E127" s="14">
        <f>'LPLPO GUDANG'!E127</f>
        <v>1000</v>
      </c>
      <c r="F127" s="14">
        <f t="shared" si="3"/>
        <v>1000</v>
      </c>
      <c r="G127" s="14">
        <f>'PEMAKAIAN UNIT'!R121</f>
        <v>0</v>
      </c>
      <c r="H127" s="14">
        <f t="shared" si="4"/>
        <v>1000</v>
      </c>
      <c r="I127" s="15">
        <f>'LPLPO GUDANG'!I127</f>
        <v>2000</v>
      </c>
      <c r="J127" s="12"/>
      <c r="K127" s="12"/>
      <c r="L127" s="12"/>
      <c r="M127" s="12"/>
      <c r="N127" s="12"/>
      <c r="O127" s="12"/>
    </row>
    <row r="128" spans="1:15" ht="20.149999999999999" customHeight="1" x14ac:dyDescent="0.35">
      <c r="A128" s="84">
        <f t="shared" si="5"/>
        <v>114</v>
      </c>
      <c r="B128" s="141" t="s">
        <v>97</v>
      </c>
      <c r="C128" s="130" t="s">
        <v>4</v>
      </c>
      <c r="D128" s="14">
        <f>'SISA STOK UNIT'!D125</f>
        <v>0</v>
      </c>
      <c r="E128" s="14">
        <f>'LPLPO GUDANG'!E128</f>
        <v>0</v>
      </c>
      <c r="F128" s="14">
        <f t="shared" si="3"/>
        <v>0</v>
      </c>
      <c r="G128" s="14">
        <f>'PEMAKAIAN UNIT'!R122</f>
        <v>0</v>
      </c>
      <c r="H128" s="14">
        <f t="shared" si="4"/>
        <v>0</v>
      </c>
      <c r="I128" s="15">
        <f>'LPLPO GUDANG'!I128</f>
        <v>0</v>
      </c>
      <c r="J128" s="12"/>
      <c r="K128" s="12"/>
      <c r="L128" s="12"/>
      <c r="M128" s="12"/>
      <c r="N128" s="12"/>
      <c r="O128" s="12"/>
    </row>
    <row r="129" spans="1:15" ht="16.5" x14ac:dyDescent="0.35">
      <c r="A129" s="84">
        <f t="shared" si="5"/>
        <v>115</v>
      </c>
      <c r="B129" s="141" t="s">
        <v>98</v>
      </c>
      <c r="C129" s="118" t="s">
        <v>327</v>
      </c>
      <c r="D129" s="14">
        <f>'SISA STOK UNIT'!D126</f>
        <v>0</v>
      </c>
      <c r="E129" s="14">
        <f>'LPLPO GUDANG'!E129</f>
        <v>0</v>
      </c>
      <c r="F129" s="14">
        <f t="shared" si="3"/>
        <v>0</v>
      </c>
      <c r="G129" s="14">
        <f>'PEMAKAIAN UNIT'!R123</f>
        <v>0</v>
      </c>
      <c r="H129" s="14">
        <f t="shared" si="4"/>
        <v>0</v>
      </c>
      <c r="I129" s="15">
        <f>'LPLPO GUDANG'!I129</f>
        <v>0</v>
      </c>
      <c r="J129" s="12"/>
      <c r="K129" s="12"/>
      <c r="L129" s="12"/>
      <c r="M129" s="12"/>
      <c r="N129" s="12"/>
      <c r="O129" s="12"/>
    </row>
    <row r="130" spans="1:15" ht="20.149999999999999" customHeight="1" x14ac:dyDescent="0.35">
      <c r="A130" s="84">
        <f t="shared" si="5"/>
        <v>116</v>
      </c>
      <c r="B130" s="141" t="s">
        <v>99</v>
      </c>
      <c r="C130" s="116" t="s">
        <v>327</v>
      </c>
      <c r="D130" s="14">
        <f>'SISA STOK UNIT'!D127</f>
        <v>0</v>
      </c>
      <c r="E130" s="14">
        <f>'LPLPO GUDANG'!E130</f>
        <v>0</v>
      </c>
      <c r="F130" s="14">
        <f t="shared" si="3"/>
        <v>0</v>
      </c>
      <c r="G130" s="14">
        <f>'PEMAKAIAN UNIT'!R124</f>
        <v>0</v>
      </c>
      <c r="H130" s="14">
        <f t="shared" si="4"/>
        <v>0</v>
      </c>
      <c r="I130" s="15">
        <f>'LPLPO GUDANG'!I130</f>
        <v>0</v>
      </c>
      <c r="J130" s="12"/>
      <c r="K130" s="12"/>
      <c r="L130" s="12"/>
      <c r="M130" s="12"/>
      <c r="N130" s="12"/>
      <c r="O130" s="12"/>
    </row>
    <row r="131" spans="1:15" ht="20.149999999999999" customHeight="1" x14ac:dyDescent="0.45">
      <c r="A131" s="84">
        <f t="shared" si="5"/>
        <v>117</v>
      </c>
      <c r="B131" s="247" t="s">
        <v>424</v>
      </c>
      <c r="C131" s="116"/>
      <c r="D131" s="14">
        <f>'SISA STOK UNIT'!D128</f>
        <v>0</v>
      </c>
      <c r="E131" s="14">
        <f>'LPLPO GUDANG'!E131</f>
        <v>0</v>
      </c>
      <c r="F131" s="14">
        <f t="shared" si="3"/>
        <v>0</v>
      </c>
      <c r="G131" s="14">
        <f>'PEMAKAIAN UNIT'!R125</f>
        <v>0</v>
      </c>
      <c r="H131" s="14">
        <f t="shared" si="4"/>
        <v>0</v>
      </c>
      <c r="I131" s="15">
        <f>'LPLPO GUDANG'!I131</f>
        <v>0</v>
      </c>
      <c r="J131" s="12"/>
      <c r="K131" s="12"/>
      <c r="L131" s="12"/>
      <c r="M131" s="12"/>
      <c r="N131" s="12"/>
      <c r="O131" s="12"/>
    </row>
    <row r="132" spans="1:15" ht="20.149999999999999" customHeight="1" x14ac:dyDescent="0.35">
      <c r="A132" s="84">
        <f t="shared" si="5"/>
        <v>118</v>
      </c>
      <c r="B132" s="141" t="s">
        <v>100</v>
      </c>
      <c r="C132" s="116" t="s">
        <v>327</v>
      </c>
      <c r="D132" s="14">
        <f>'SISA STOK UNIT'!D129</f>
        <v>0</v>
      </c>
      <c r="E132" s="14">
        <f>'LPLPO GUDANG'!E132</f>
        <v>0</v>
      </c>
      <c r="F132" s="14">
        <f t="shared" si="3"/>
        <v>0</v>
      </c>
      <c r="G132" s="14">
        <f>'PEMAKAIAN UNIT'!R126</f>
        <v>0</v>
      </c>
      <c r="H132" s="14">
        <f t="shared" si="4"/>
        <v>0</v>
      </c>
      <c r="I132" s="15">
        <f>'LPLPO GUDANG'!I132</f>
        <v>0</v>
      </c>
      <c r="J132" s="12"/>
      <c r="K132" s="12"/>
      <c r="L132" s="12"/>
      <c r="M132" s="12"/>
      <c r="N132" s="12"/>
      <c r="O132" s="12"/>
    </row>
    <row r="133" spans="1:15" ht="20.149999999999999" customHeight="1" x14ac:dyDescent="0.35">
      <c r="A133" s="84">
        <f t="shared" si="5"/>
        <v>119</v>
      </c>
      <c r="B133" s="141" t="s">
        <v>258</v>
      </c>
      <c r="C133" s="117" t="s">
        <v>352</v>
      </c>
      <c r="D133" s="14">
        <f>'SISA STOK UNIT'!D130</f>
        <v>0</v>
      </c>
      <c r="E133" s="14">
        <f>'LPLPO GUDANG'!E133</f>
        <v>0</v>
      </c>
      <c r="F133" s="14">
        <f t="shared" si="3"/>
        <v>0</v>
      </c>
      <c r="G133" s="14">
        <f>'PEMAKAIAN UNIT'!R127</f>
        <v>0</v>
      </c>
      <c r="H133" s="14">
        <f t="shared" si="4"/>
        <v>0</v>
      </c>
      <c r="I133" s="15">
        <f>'LPLPO GUDANG'!I133</f>
        <v>0</v>
      </c>
      <c r="J133" s="12"/>
      <c r="K133" s="12"/>
      <c r="L133" s="12"/>
      <c r="M133" s="12"/>
      <c r="N133" s="12"/>
      <c r="O133" s="12"/>
    </row>
    <row r="134" spans="1:15" ht="20.149999999999999" customHeight="1" x14ac:dyDescent="0.35">
      <c r="A134" s="84">
        <f t="shared" si="5"/>
        <v>120</v>
      </c>
      <c r="B134" s="141" t="s">
        <v>101</v>
      </c>
      <c r="C134" s="117" t="s">
        <v>327</v>
      </c>
      <c r="D134" s="14">
        <f>'SISA STOK UNIT'!D131</f>
        <v>0</v>
      </c>
      <c r="E134" s="14">
        <f>'LPLPO GUDANG'!E134</f>
        <v>0</v>
      </c>
      <c r="F134" s="14">
        <f t="shared" si="3"/>
        <v>0</v>
      </c>
      <c r="G134" s="14">
        <f>'PEMAKAIAN UNIT'!R128</f>
        <v>0</v>
      </c>
      <c r="H134" s="14">
        <f t="shared" si="4"/>
        <v>0</v>
      </c>
      <c r="I134" s="15">
        <f>'LPLPO GUDANG'!I134</f>
        <v>0</v>
      </c>
      <c r="J134" s="12"/>
      <c r="K134" s="12"/>
      <c r="L134" s="12"/>
      <c r="M134" s="12"/>
      <c r="N134" s="12"/>
      <c r="O134" s="12"/>
    </row>
    <row r="135" spans="1:15" ht="20.149999999999999" customHeight="1" x14ac:dyDescent="0.35">
      <c r="A135" s="84">
        <f t="shared" si="5"/>
        <v>121</v>
      </c>
      <c r="B135" s="141" t="s">
        <v>102</v>
      </c>
      <c r="C135" s="117" t="s">
        <v>327</v>
      </c>
      <c r="D135" s="14">
        <f>'SISA STOK UNIT'!D132</f>
        <v>0</v>
      </c>
      <c r="E135" s="14">
        <f>'LPLPO GUDANG'!E135</f>
        <v>0</v>
      </c>
      <c r="F135" s="14">
        <f t="shared" si="3"/>
        <v>0</v>
      </c>
      <c r="G135" s="14">
        <f>'PEMAKAIAN UNIT'!R129</f>
        <v>0</v>
      </c>
      <c r="H135" s="14">
        <f t="shared" si="4"/>
        <v>0</v>
      </c>
      <c r="I135" s="15">
        <f>'LPLPO GUDANG'!I135</f>
        <v>0</v>
      </c>
      <c r="J135" s="12"/>
      <c r="K135" s="12"/>
      <c r="L135" s="12"/>
      <c r="M135" s="12"/>
      <c r="N135" s="12"/>
      <c r="O135" s="12"/>
    </row>
    <row r="136" spans="1:15" ht="20.149999999999999" customHeight="1" x14ac:dyDescent="0.35">
      <c r="A136" s="84">
        <f t="shared" si="5"/>
        <v>122</v>
      </c>
      <c r="B136" s="141" t="s">
        <v>103</v>
      </c>
      <c r="C136" s="115" t="s">
        <v>48</v>
      </c>
      <c r="D136" s="14">
        <f>'SISA STOK UNIT'!D133</f>
        <v>0</v>
      </c>
      <c r="E136" s="14">
        <f>'LPLPO GUDANG'!E136</f>
        <v>0</v>
      </c>
      <c r="F136" s="14">
        <f t="shared" si="3"/>
        <v>0</v>
      </c>
      <c r="G136" s="14">
        <f>'PEMAKAIAN UNIT'!R130</f>
        <v>0</v>
      </c>
      <c r="H136" s="14">
        <f t="shared" si="4"/>
        <v>0</v>
      </c>
      <c r="I136" s="15">
        <f>'LPLPO GUDANG'!I136</f>
        <v>0</v>
      </c>
      <c r="J136" s="12"/>
      <c r="K136" s="12"/>
      <c r="L136" s="12"/>
      <c r="M136" s="12"/>
      <c r="N136" s="12"/>
      <c r="O136" s="12"/>
    </row>
    <row r="137" spans="1:15" ht="20.149999999999999" customHeight="1" x14ac:dyDescent="0.35">
      <c r="A137" s="84">
        <f t="shared" si="5"/>
        <v>123</v>
      </c>
      <c r="B137" s="141" t="s">
        <v>107</v>
      </c>
      <c r="C137" s="115" t="s">
        <v>108</v>
      </c>
      <c r="D137" s="14">
        <f>'SISA STOK UNIT'!D134</f>
        <v>0</v>
      </c>
      <c r="E137" s="14">
        <f>'LPLPO GUDANG'!E137</f>
        <v>0</v>
      </c>
      <c r="F137" s="14">
        <f t="shared" si="3"/>
        <v>0</v>
      </c>
      <c r="G137" s="14">
        <f>'PEMAKAIAN UNIT'!R131</f>
        <v>0</v>
      </c>
      <c r="H137" s="14">
        <f t="shared" si="4"/>
        <v>0</v>
      </c>
      <c r="I137" s="15">
        <f>'LPLPO GUDANG'!I137</f>
        <v>0</v>
      </c>
      <c r="J137" s="12"/>
      <c r="K137" s="12"/>
      <c r="L137" s="12"/>
      <c r="M137" s="12"/>
      <c r="N137" s="12"/>
      <c r="O137" s="12"/>
    </row>
    <row r="138" spans="1:15" ht="20.149999999999999" customHeight="1" x14ac:dyDescent="0.35">
      <c r="A138" s="84">
        <f t="shared" si="5"/>
        <v>124</v>
      </c>
      <c r="B138" s="141" t="s">
        <v>107</v>
      </c>
      <c r="C138" s="117" t="s">
        <v>108</v>
      </c>
      <c r="D138" s="14">
        <f>'SISA STOK UNIT'!D135</f>
        <v>0</v>
      </c>
      <c r="E138" s="14">
        <f>'LPLPO GUDANG'!E138</f>
        <v>0</v>
      </c>
      <c r="F138" s="14">
        <f t="shared" si="3"/>
        <v>0</v>
      </c>
      <c r="G138" s="14">
        <f>'PEMAKAIAN UNIT'!R132</f>
        <v>0</v>
      </c>
      <c r="H138" s="14">
        <f t="shared" si="4"/>
        <v>0</v>
      </c>
      <c r="I138" s="15">
        <f>'LPLPO GUDANG'!I138</f>
        <v>0</v>
      </c>
      <c r="J138" s="12"/>
      <c r="K138" s="12"/>
      <c r="L138" s="12"/>
      <c r="M138" s="12"/>
      <c r="N138" s="12"/>
      <c r="O138" s="12"/>
    </row>
    <row r="139" spans="1:15" ht="20.149999999999999" customHeight="1" x14ac:dyDescent="0.35">
      <c r="A139" s="84">
        <f t="shared" si="5"/>
        <v>125</v>
      </c>
      <c r="B139" s="141" t="s">
        <v>111</v>
      </c>
      <c r="C139" s="117" t="s">
        <v>108</v>
      </c>
      <c r="D139" s="14">
        <f>'SISA STOK UNIT'!D136</f>
        <v>0</v>
      </c>
      <c r="E139" s="14">
        <f>'LPLPO GUDANG'!E139</f>
        <v>400</v>
      </c>
      <c r="F139" s="14">
        <f t="shared" si="3"/>
        <v>400</v>
      </c>
      <c r="G139" s="14">
        <f>'PEMAKAIAN UNIT'!R133</f>
        <v>0</v>
      </c>
      <c r="H139" s="14">
        <f t="shared" si="4"/>
        <v>400</v>
      </c>
      <c r="I139" s="15">
        <f>'LPLPO GUDANG'!I139</f>
        <v>600</v>
      </c>
      <c r="J139" s="12"/>
      <c r="K139" s="12"/>
      <c r="L139" s="12"/>
      <c r="M139" s="12"/>
      <c r="N139" s="12"/>
      <c r="O139" s="12"/>
    </row>
    <row r="140" spans="1:15" ht="20.149999999999999" customHeight="1" x14ac:dyDescent="0.35">
      <c r="A140" s="84">
        <f t="shared" si="5"/>
        <v>126</v>
      </c>
      <c r="B140" s="141" t="s">
        <v>109</v>
      </c>
      <c r="C140" s="116" t="s">
        <v>108</v>
      </c>
      <c r="D140" s="14">
        <f>'SISA STOK UNIT'!D137</f>
        <v>0</v>
      </c>
      <c r="E140" s="14">
        <f>'LPLPO GUDANG'!E140</f>
        <v>600</v>
      </c>
      <c r="F140" s="14">
        <f t="shared" si="3"/>
        <v>600</v>
      </c>
      <c r="G140" s="14">
        <f>'PEMAKAIAN UNIT'!R134</f>
        <v>0</v>
      </c>
      <c r="H140" s="14">
        <f t="shared" si="4"/>
        <v>600</v>
      </c>
      <c r="I140" s="15">
        <f>'LPLPO GUDANG'!I140</f>
        <v>500</v>
      </c>
      <c r="J140" s="12"/>
      <c r="K140" s="12"/>
      <c r="L140" s="12"/>
      <c r="M140" s="12"/>
      <c r="N140" s="12"/>
      <c r="O140" s="12"/>
    </row>
    <row r="141" spans="1:15" ht="20.149999999999999" customHeight="1" x14ac:dyDescent="0.35">
      <c r="A141" s="84">
        <f t="shared" si="5"/>
        <v>127</v>
      </c>
      <c r="B141" s="141" t="s">
        <v>109</v>
      </c>
      <c r="C141" s="116" t="s">
        <v>108</v>
      </c>
      <c r="D141" s="14">
        <f>'SISA STOK UNIT'!D138</f>
        <v>0</v>
      </c>
      <c r="E141" s="14">
        <f>'LPLPO GUDANG'!E141</f>
        <v>0</v>
      </c>
      <c r="F141" s="14">
        <f t="shared" si="3"/>
        <v>0</v>
      </c>
      <c r="G141" s="14">
        <f>'PEMAKAIAN UNIT'!R135</f>
        <v>0</v>
      </c>
      <c r="H141" s="14">
        <f t="shared" si="4"/>
        <v>0</v>
      </c>
      <c r="I141" s="15">
        <f>'LPLPO GUDANG'!I141</f>
        <v>0</v>
      </c>
      <c r="J141" s="12"/>
      <c r="K141" s="12"/>
      <c r="L141" s="12"/>
      <c r="M141" s="12"/>
      <c r="N141" s="12"/>
      <c r="O141" s="12"/>
    </row>
    <row r="142" spans="1:15" ht="20.149999999999999" customHeight="1" x14ac:dyDescent="0.35">
      <c r="A142" s="84">
        <f t="shared" si="5"/>
        <v>128</v>
      </c>
      <c r="B142" s="141" t="s">
        <v>110</v>
      </c>
      <c r="C142" s="116" t="s">
        <v>108</v>
      </c>
      <c r="D142" s="14">
        <f>'SISA STOK UNIT'!D139</f>
        <v>0</v>
      </c>
      <c r="E142" s="14">
        <f>'LPLPO GUDANG'!E142</f>
        <v>200</v>
      </c>
      <c r="F142" s="14">
        <f t="shared" si="3"/>
        <v>200</v>
      </c>
      <c r="G142" s="14">
        <f>'PEMAKAIAN UNIT'!R136</f>
        <v>0</v>
      </c>
      <c r="H142" s="14">
        <f t="shared" si="4"/>
        <v>200</v>
      </c>
      <c r="I142" s="15">
        <f>'LPLPO GUDANG'!I142</f>
        <v>500</v>
      </c>
      <c r="J142" s="12"/>
      <c r="K142" s="12"/>
      <c r="L142" s="12"/>
      <c r="M142" s="12"/>
      <c r="N142" s="12"/>
      <c r="O142" s="12"/>
    </row>
    <row r="143" spans="1:15" ht="20.149999999999999" customHeight="1" x14ac:dyDescent="0.35">
      <c r="A143" s="84">
        <f t="shared" si="5"/>
        <v>129</v>
      </c>
      <c r="B143" s="141" t="s">
        <v>112</v>
      </c>
      <c r="C143" s="117" t="s">
        <v>108</v>
      </c>
      <c r="D143" s="14">
        <f>'SISA STOK UNIT'!D140</f>
        <v>0</v>
      </c>
      <c r="E143" s="14">
        <f>'LPLPO GUDANG'!E143</f>
        <v>1500</v>
      </c>
      <c r="F143" s="14">
        <f t="shared" si="3"/>
        <v>1500</v>
      </c>
      <c r="G143" s="14">
        <f>'PEMAKAIAN UNIT'!R137</f>
        <v>0</v>
      </c>
      <c r="H143" s="14">
        <f t="shared" si="4"/>
        <v>1500</v>
      </c>
      <c r="I143" s="15">
        <f>'LPLPO GUDANG'!I143</f>
        <v>1000</v>
      </c>
      <c r="J143" s="12"/>
      <c r="K143" s="12"/>
      <c r="L143" s="12"/>
      <c r="M143" s="12"/>
      <c r="N143" s="12"/>
      <c r="O143" s="12"/>
    </row>
    <row r="144" spans="1:15" ht="20.149999999999999" customHeight="1" x14ac:dyDescent="0.35">
      <c r="A144" s="84">
        <f t="shared" si="5"/>
        <v>130</v>
      </c>
      <c r="B144" s="141" t="s">
        <v>113</v>
      </c>
      <c r="C144" s="131" t="s">
        <v>48</v>
      </c>
      <c r="D144" s="14">
        <f>'SISA STOK UNIT'!D141</f>
        <v>0</v>
      </c>
      <c r="E144" s="14">
        <f>'LPLPO GUDANG'!E144</f>
        <v>0</v>
      </c>
      <c r="F144" s="14">
        <f t="shared" ref="F144:F181" si="6">D144+E144</f>
        <v>0</v>
      </c>
      <c r="G144" s="14">
        <f>'PEMAKAIAN UNIT'!R138</f>
        <v>0</v>
      </c>
      <c r="H144" s="14">
        <f t="shared" ref="H144:H181" si="7">F144-G144</f>
        <v>0</v>
      </c>
      <c r="I144" s="15">
        <f>'LPLPO GUDANG'!I144</f>
        <v>0</v>
      </c>
      <c r="J144" s="12"/>
      <c r="K144" s="12"/>
      <c r="L144" s="12"/>
      <c r="M144" s="12"/>
      <c r="N144" s="12"/>
      <c r="O144" s="12"/>
    </row>
    <row r="145" spans="1:15" ht="20.149999999999999" customHeight="1" x14ac:dyDescent="0.35">
      <c r="A145" s="84">
        <f t="shared" ref="A145:A181" si="8">A144+1</f>
        <v>131</v>
      </c>
      <c r="B145" s="141" t="s">
        <v>16</v>
      </c>
      <c r="C145" s="127" t="s">
        <v>48</v>
      </c>
      <c r="D145" s="14">
        <f>'SISA STOK UNIT'!D142</f>
        <v>0</v>
      </c>
      <c r="E145" s="14">
        <f>'LPLPO GUDANG'!E145</f>
        <v>20</v>
      </c>
      <c r="F145" s="14">
        <f t="shared" si="6"/>
        <v>20</v>
      </c>
      <c r="G145" s="14">
        <f>'PEMAKAIAN UNIT'!R139</f>
        <v>0</v>
      </c>
      <c r="H145" s="14">
        <f t="shared" si="7"/>
        <v>20</v>
      </c>
      <c r="I145" s="15">
        <f>'LPLPO GUDANG'!I145</f>
        <v>100</v>
      </c>
      <c r="J145" s="12"/>
      <c r="K145" s="12"/>
      <c r="L145" s="12"/>
      <c r="M145" s="12"/>
      <c r="N145" s="12"/>
      <c r="O145" s="12"/>
    </row>
    <row r="146" spans="1:15" ht="20.149999999999999" customHeight="1" x14ac:dyDescent="0.35">
      <c r="A146" s="84">
        <f t="shared" si="8"/>
        <v>132</v>
      </c>
      <c r="B146" s="141" t="s">
        <v>425</v>
      </c>
      <c r="C146" s="127"/>
      <c r="D146" s="14">
        <f>'SISA STOK UNIT'!D143</f>
        <v>0</v>
      </c>
      <c r="E146" s="14">
        <f>'LPLPO GUDANG'!E146</f>
        <v>0</v>
      </c>
      <c r="F146" s="14">
        <f t="shared" si="6"/>
        <v>0</v>
      </c>
      <c r="G146" s="14">
        <f>'PEMAKAIAN UNIT'!R140</f>
        <v>0</v>
      </c>
      <c r="H146" s="14">
        <f t="shared" si="7"/>
        <v>0</v>
      </c>
      <c r="I146" s="15">
        <f>'LPLPO GUDANG'!I146</f>
        <v>0</v>
      </c>
      <c r="J146" s="12"/>
      <c r="K146" s="12"/>
      <c r="L146" s="12"/>
      <c r="M146" s="12"/>
      <c r="N146" s="12"/>
      <c r="O146" s="12"/>
    </row>
    <row r="147" spans="1:15" ht="20.149999999999999" customHeight="1" x14ac:dyDescent="0.35">
      <c r="A147" s="84">
        <f t="shared" si="8"/>
        <v>133</v>
      </c>
      <c r="B147" s="141" t="s">
        <v>114</v>
      </c>
      <c r="C147" s="116" t="s">
        <v>108</v>
      </c>
      <c r="D147" s="14">
        <f>'SISA STOK UNIT'!D144</f>
        <v>0</v>
      </c>
      <c r="E147" s="14">
        <f>'LPLPO GUDANG'!E147</f>
        <v>0</v>
      </c>
      <c r="F147" s="14">
        <f t="shared" si="6"/>
        <v>0</v>
      </c>
      <c r="G147" s="14">
        <f>'PEMAKAIAN UNIT'!R141</f>
        <v>0</v>
      </c>
      <c r="H147" s="14">
        <f t="shared" si="7"/>
        <v>0</v>
      </c>
      <c r="I147" s="15">
        <f>'LPLPO GUDANG'!I147</f>
        <v>72</v>
      </c>
      <c r="J147" s="12"/>
      <c r="K147" s="12"/>
      <c r="L147" s="12"/>
      <c r="M147" s="12"/>
      <c r="N147" s="12"/>
      <c r="O147" s="12"/>
    </row>
    <row r="148" spans="1:15" ht="20.149999999999999" customHeight="1" x14ac:dyDescent="0.35">
      <c r="A148" s="84">
        <f t="shared" si="8"/>
        <v>134</v>
      </c>
      <c r="B148" s="141" t="s">
        <v>115</v>
      </c>
      <c r="C148" s="116" t="s">
        <v>48</v>
      </c>
      <c r="D148" s="14">
        <f>'SISA STOK UNIT'!D145</f>
        <v>0</v>
      </c>
      <c r="E148" s="14">
        <f>'LPLPO GUDANG'!E148</f>
        <v>0</v>
      </c>
      <c r="F148" s="14">
        <f t="shared" si="6"/>
        <v>0</v>
      </c>
      <c r="G148" s="14">
        <f>'PEMAKAIAN UNIT'!R142</f>
        <v>0</v>
      </c>
      <c r="H148" s="14">
        <f t="shared" si="7"/>
        <v>0</v>
      </c>
      <c r="I148" s="15">
        <f>'LPLPO GUDANG'!I148</f>
        <v>0</v>
      </c>
      <c r="J148" s="12"/>
      <c r="K148" s="12"/>
      <c r="L148" s="12"/>
      <c r="M148" s="12"/>
      <c r="N148" s="12"/>
      <c r="O148" s="12"/>
    </row>
    <row r="149" spans="1:15" ht="20.149999999999999" customHeight="1" x14ac:dyDescent="0.35">
      <c r="A149" s="84">
        <f t="shared" si="8"/>
        <v>135</v>
      </c>
      <c r="B149" s="141" t="s">
        <v>116</v>
      </c>
      <c r="C149" s="119" t="s">
        <v>48</v>
      </c>
      <c r="D149" s="14">
        <f>'SISA STOK UNIT'!D146</f>
        <v>0</v>
      </c>
      <c r="E149" s="14">
        <f>'LPLPO GUDANG'!E149</f>
        <v>0</v>
      </c>
      <c r="F149" s="14">
        <f t="shared" si="6"/>
        <v>0</v>
      </c>
      <c r="G149" s="14">
        <f>'PEMAKAIAN UNIT'!R143</f>
        <v>0</v>
      </c>
      <c r="H149" s="14">
        <f t="shared" si="7"/>
        <v>0</v>
      </c>
      <c r="I149" s="15">
        <f>'LPLPO GUDANG'!I149</f>
        <v>10</v>
      </c>
      <c r="J149" s="12"/>
      <c r="K149" s="12"/>
      <c r="L149" s="12"/>
      <c r="M149" s="12"/>
      <c r="N149" s="12"/>
      <c r="O149" s="12"/>
    </row>
    <row r="150" spans="1:15" ht="20.149999999999999" customHeight="1" x14ac:dyDescent="0.35">
      <c r="A150" s="84">
        <f t="shared" si="8"/>
        <v>136</v>
      </c>
      <c r="B150" s="141" t="s">
        <v>117</v>
      </c>
      <c r="C150" s="116" t="s">
        <v>108</v>
      </c>
      <c r="D150" s="14">
        <f>'SISA STOK UNIT'!D147</f>
        <v>0</v>
      </c>
      <c r="E150" s="14">
        <f>'LPLPO GUDANG'!E150</f>
        <v>0</v>
      </c>
      <c r="F150" s="14">
        <f t="shared" si="6"/>
        <v>0</v>
      </c>
      <c r="G150" s="14">
        <f>'PEMAKAIAN UNIT'!R144</f>
        <v>0</v>
      </c>
      <c r="H150" s="14">
        <f t="shared" si="7"/>
        <v>0</v>
      </c>
      <c r="I150" s="15">
        <f>'LPLPO GUDANG'!I150</f>
        <v>0</v>
      </c>
      <c r="J150" s="12"/>
      <c r="K150" s="12"/>
      <c r="L150" s="12"/>
      <c r="M150" s="12"/>
      <c r="N150" s="12"/>
      <c r="O150" s="12"/>
    </row>
    <row r="151" spans="1:15" ht="20.149999999999999" customHeight="1" x14ac:dyDescent="0.35">
      <c r="A151" s="84">
        <f t="shared" si="8"/>
        <v>137</v>
      </c>
      <c r="B151" s="141" t="s">
        <v>118</v>
      </c>
      <c r="C151" s="102" t="s">
        <v>108</v>
      </c>
      <c r="D151" s="14">
        <f>'SISA STOK UNIT'!D148</f>
        <v>0</v>
      </c>
      <c r="E151" s="14">
        <f>'LPLPO GUDANG'!E151</f>
        <v>0</v>
      </c>
      <c r="F151" s="14">
        <f t="shared" si="6"/>
        <v>0</v>
      </c>
      <c r="G151" s="14">
        <f>'PEMAKAIAN UNIT'!R145</f>
        <v>0</v>
      </c>
      <c r="H151" s="14">
        <f t="shared" si="7"/>
        <v>0</v>
      </c>
      <c r="I151" s="15">
        <f>'LPLPO GUDANG'!I151</f>
        <v>0</v>
      </c>
      <c r="J151" s="12"/>
      <c r="K151" s="12"/>
      <c r="L151" s="12"/>
      <c r="M151" s="12"/>
      <c r="N151" s="12"/>
      <c r="O151" s="12"/>
    </row>
    <row r="152" spans="1:15" ht="20.149999999999999" customHeight="1" x14ac:dyDescent="0.35">
      <c r="A152" s="84">
        <f t="shared" si="8"/>
        <v>138</v>
      </c>
      <c r="B152" s="141" t="s">
        <v>326</v>
      </c>
      <c r="C152" s="106" t="s">
        <v>108</v>
      </c>
      <c r="D152" s="14">
        <f>'SISA STOK UNIT'!D149</f>
        <v>0</v>
      </c>
      <c r="E152" s="14">
        <f>'LPLPO GUDANG'!E152</f>
        <v>200</v>
      </c>
      <c r="F152" s="14">
        <f t="shared" si="6"/>
        <v>200</v>
      </c>
      <c r="G152" s="14">
        <f>'PEMAKAIAN UNIT'!R146</f>
        <v>0</v>
      </c>
      <c r="H152" s="14">
        <f t="shared" si="7"/>
        <v>200</v>
      </c>
      <c r="I152" s="15">
        <f>'LPLPO GUDANG'!I152</f>
        <v>200</v>
      </c>
      <c r="J152" s="12"/>
      <c r="K152" s="12"/>
      <c r="L152" s="12"/>
      <c r="M152" s="12"/>
      <c r="N152" s="12"/>
      <c r="O152" s="12"/>
    </row>
    <row r="153" spans="1:15" ht="20.149999999999999" customHeight="1" x14ac:dyDescent="0.35">
      <c r="A153" s="84">
        <f t="shared" si="8"/>
        <v>139</v>
      </c>
      <c r="B153" s="141" t="s">
        <v>119</v>
      </c>
      <c r="C153" s="116" t="s">
        <v>108</v>
      </c>
      <c r="D153" s="14">
        <f>'SISA STOK UNIT'!D150</f>
        <v>0</v>
      </c>
      <c r="E153" s="14">
        <f>'LPLPO GUDANG'!E153</f>
        <v>0</v>
      </c>
      <c r="F153" s="14">
        <f t="shared" si="6"/>
        <v>0</v>
      </c>
      <c r="G153" s="14">
        <f>'PEMAKAIAN UNIT'!R147</f>
        <v>0</v>
      </c>
      <c r="H153" s="14">
        <f t="shared" si="7"/>
        <v>0</v>
      </c>
      <c r="I153" s="15">
        <f>'LPLPO GUDANG'!I153</f>
        <v>0</v>
      </c>
      <c r="J153" s="12"/>
      <c r="K153" s="12"/>
      <c r="L153" s="12"/>
      <c r="M153" s="12"/>
      <c r="N153" s="12"/>
      <c r="O153" s="12"/>
    </row>
    <row r="154" spans="1:15" ht="20.149999999999999" customHeight="1" x14ac:dyDescent="0.35">
      <c r="A154" s="84">
        <f t="shared" si="8"/>
        <v>140</v>
      </c>
      <c r="B154" s="141" t="s">
        <v>120</v>
      </c>
      <c r="C154" s="116" t="s">
        <v>108</v>
      </c>
      <c r="D154" s="14">
        <f>'SISA STOK UNIT'!D151</f>
        <v>0</v>
      </c>
      <c r="E154" s="14">
        <f>'LPLPO GUDANG'!E154</f>
        <v>0</v>
      </c>
      <c r="F154" s="14">
        <f t="shared" si="6"/>
        <v>0</v>
      </c>
      <c r="G154" s="14">
        <f>'PEMAKAIAN UNIT'!R148</f>
        <v>0</v>
      </c>
      <c r="H154" s="14">
        <f t="shared" si="7"/>
        <v>0</v>
      </c>
      <c r="I154" s="15">
        <f>'LPLPO GUDANG'!I154</f>
        <v>0</v>
      </c>
      <c r="J154" s="12"/>
      <c r="K154" s="12"/>
      <c r="L154" s="12"/>
      <c r="M154" s="12"/>
      <c r="N154" s="12"/>
      <c r="O154" s="12"/>
    </row>
    <row r="155" spans="1:15" ht="20.149999999999999" customHeight="1" x14ac:dyDescent="0.35">
      <c r="A155" s="84">
        <f t="shared" si="8"/>
        <v>141</v>
      </c>
      <c r="B155" s="141" t="s">
        <v>121</v>
      </c>
      <c r="C155" s="106" t="s">
        <v>108</v>
      </c>
      <c r="D155" s="14">
        <f>'SISA STOK UNIT'!D152</f>
        <v>0</v>
      </c>
      <c r="E155" s="14">
        <f>'LPLPO GUDANG'!E155</f>
        <v>0</v>
      </c>
      <c r="F155" s="14">
        <f t="shared" si="6"/>
        <v>0</v>
      </c>
      <c r="G155" s="14">
        <f>'PEMAKAIAN UNIT'!R149</f>
        <v>0</v>
      </c>
      <c r="H155" s="14">
        <f t="shared" si="7"/>
        <v>0</v>
      </c>
      <c r="I155" s="15">
        <f>'LPLPO GUDANG'!I155</f>
        <v>0</v>
      </c>
      <c r="J155" s="12"/>
      <c r="K155" s="12"/>
      <c r="L155" s="12"/>
      <c r="M155" s="12"/>
      <c r="N155" s="12"/>
      <c r="O155" s="12"/>
    </row>
    <row r="156" spans="1:15" ht="20.149999999999999" customHeight="1" x14ac:dyDescent="0.35">
      <c r="A156" s="84">
        <f t="shared" si="8"/>
        <v>142</v>
      </c>
      <c r="B156" s="141" t="s">
        <v>122</v>
      </c>
      <c r="C156" s="115" t="s">
        <v>108</v>
      </c>
      <c r="D156" s="14">
        <f>'SISA STOK UNIT'!D153</f>
        <v>0</v>
      </c>
      <c r="E156" s="14">
        <f>'LPLPO GUDANG'!E156</f>
        <v>0</v>
      </c>
      <c r="F156" s="14">
        <f t="shared" si="6"/>
        <v>0</v>
      </c>
      <c r="G156" s="14">
        <f>'PEMAKAIAN UNIT'!R150</f>
        <v>0</v>
      </c>
      <c r="H156" s="14">
        <f t="shared" si="7"/>
        <v>0</v>
      </c>
      <c r="I156" s="15">
        <f>'LPLPO GUDANG'!I156</f>
        <v>150</v>
      </c>
      <c r="J156" s="12"/>
      <c r="K156" s="12"/>
      <c r="L156" s="12"/>
      <c r="M156" s="12"/>
      <c r="N156" s="12"/>
      <c r="O156" s="12"/>
    </row>
    <row r="157" spans="1:15" ht="20.149999999999999" customHeight="1" x14ac:dyDescent="0.35">
      <c r="A157" s="84">
        <f t="shared" si="8"/>
        <v>143</v>
      </c>
      <c r="B157" s="141" t="s">
        <v>122</v>
      </c>
      <c r="C157" s="115" t="s">
        <v>108</v>
      </c>
      <c r="D157" s="14">
        <f>'SISA STOK UNIT'!D154</f>
        <v>0</v>
      </c>
      <c r="E157" s="14">
        <f>'LPLPO GUDANG'!E157</f>
        <v>0</v>
      </c>
      <c r="F157" s="14">
        <f t="shared" si="6"/>
        <v>0</v>
      </c>
      <c r="G157" s="14">
        <f>'PEMAKAIAN UNIT'!R151</f>
        <v>0</v>
      </c>
      <c r="H157" s="14">
        <f t="shared" si="7"/>
        <v>0</v>
      </c>
      <c r="I157" s="15">
        <f>'LPLPO GUDANG'!I157</f>
        <v>0</v>
      </c>
      <c r="J157" s="12"/>
      <c r="K157" s="12"/>
      <c r="L157" s="12"/>
      <c r="M157" s="12"/>
      <c r="N157" s="12"/>
      <c r="O157" s="12"/>
    </row>
    <row r="158" spans="1:15" ht="20.149999999999999" customHeight="1" x14ac:dyDescent="0.35">
      <c r="A158" s="84">
        <f t="shared" si="8"/>
        <v>144</v>
      </c>
      <c r="B158" s="141" t="s">
        <v>123</v>
      </c>
      <c r="C158" s="102" t="s">
        <v>108</v>
      </c>
      <c r="D158" s="14">
        <f>'SISA STOK UNIT'!D155</f>
        <v>0</v>
      </c>
      <c r="E158" s="14">
        <f>'LPLPO GUDANG'!E158</f>
        <v>50</v>
      </c>
      <c r="F158" s="14">
        <f t="shared" si="6"/>
        <v>50</v>
      </c>
      <c r="G158" s="14">
        <f>'PEMAKAIAN UNIT'!R152</f>
        <v>0</v>
      </c>
      <c r="H158" s="14">
        <f t="shared" si="7"/>
        <v>50</v>
      </c>
      <c r="I158" s="15">
        <f>'LPLPO GUDANG'!I158</f>
        <v>100</v>
      </c>
      <c r="J158" s="12"/>
      <c r="K158" s="12"/>
      <c r="L158" s="12"/>
      <c r="M158" s="12"/>
      <c r="N158" s="12"/>
      <c r="O158" s="12"/>
    </row>
    <row r="159" spans="1:15" ht="20.149999999999999" customHeight="1" x14ac:dyDescent="0.35">
      <c r="A159" s="84">
        <f t="shared" si="8"/>
        <v>145</v>
      </c>
      <c r="B159" s="141" t="s">
        <v>124</v>
      </c>
      <c r="C159" s="106" t="s">
        <v>108</v>
      </c>
      <c r="D159" s="14">
        <f>'SISA STOK UNIT'!D156</f>
        <v>0</v>
      </c>
      <c r="E159" s="14">
        <f>'LPLPO GUDANG'!E159</f>
        <v>0</v>
      </c>
      <c r="F159" s="14">
        <f t="shared" si="6"/>
        <v>0</v>
      </c>
      <c r="G159" s="14">
        <f>'PEMAKAIAN UNIT'!R153</f>
        <v>0</v>
      </c>
      <c r="H159" s="14">
        <f t="shared" si="7"/>
        <v>0</v>
      </c>
      <c r="I159" s="15">
        <f>'LPLPO GUDANG'!I159</f>
        <v>50</v>
      </c>
      <c r="J159" s="12"/>
      <c r="K159" s="12"/>
      <c r="L159" s="12"/>
      <c r="M159" s="12"/>
      <c r="N159" s="12"/>
      <c r="O159" s="12"/>
    </row>
    <row r="160" spans="1:15" ht="20.149999999999999" customHeight="1" x14ac:dyDescent="0.35">
      <c r="A160" s="84">
        <f t="shared" si="8"/>
        <v>146</v>
      </c>
      <c r="B160" s="141" t="s">
        <v>125</v>
      </c>
      <c r="C160" s="116" t="s">
        <v>126</v>
      </c>
      <c r="D160" s="14">
        <f>'SISA STOK UNIT'!D157</f>
        <v>0</v>
      </c>
      <c r="E160" s="14">
        <f>'LPLPO GUDANG'!E160</f>
        <v>0</v>
      </c>
      <c r="F160" s="14">
        <f t="shared" si="6"/>
        <v>0</v>
      </c>
      <c r="G160" s="14">
        <f>'PEMAKAIAN UNIT'!R154</f>
        <v>0</v>
      </c>
      <c r="H160" s="14">
        <f t="shared" si="7"/>
        <v>0</v>
      </c>
      <c r="I160" s="15">
        <f>'LPLPO GUDANG'!I160</f>
        <v>0</v>
      </c>
      <c r="J160" s="12"/>
      <c r="K160" s="12"/>
      <c r="L160" s="12"/>
      <c r="M160" s="12"/>
      <c r="N160" s="12"/>
      <c r="O160" s="12"/>
    </row>
    <row r="161" spans="1:15" ht="20.149999999999999" customHeight="1" x14ac:dyDescent="0.35">
      <c r="A161" s="84">
        <f t="shared" si="8"/>
        <v>147</v>
      </c>
      <c r="B161" s="141" t="s">
        <v>127</v>
      </c>
      <c r="C161" s="115" t="s">
        <v>255</v>
      </c>
      <c r="D161" s="14">
        <f>'SISA STOK UNIT'!D158</f>
        <v>0</v>
      </c>
      <c r="E161" s="14">
        <f>'LPLPO GUDANG'!E161</f>
        <v>0</v>
      </c>
      <c r="F161" s="14">
        <f t="shared" si="6"/>
        <v>0</v>
      </c>
      <c r="G161" s="14">
        <f>'PEMAKAIAN UNIT'!R155</f>
        <v>0</v>
      </c>
      <c r="H161" s="14">
        <f t="shared" si="7"/>
        <v>0</v>
      </c>
      <c r="I161" s="15">
        <f>'LPLPO GUDANG'!I161</f>
        <v>0</v>
      </c>
      <c r="J161" s="12"/>
      <c r="K161" s="12"/>
      <c r="L161" s="12"/>
      <c r="M161" s="12"/>
      <c r="N161" s="12"/>
      <c r="O161" s="12"/>
    </row>
    <row r="162" spans="1:15" ht="20.149999999999999" customHeight="1" x14ac:dyDescent="0.35">
      <c r="A162" s="84">
        <f t="shared" si="8"/>
        <v>148</v>
      </c>
      <c r="B162" s="141" t="s">
        <v>128</v>
      </c>
      <c r="C162" s="119" t="s">
        <v>126</v>
      </c>
      <c r="D162" s="14">
        <f>'SISA STOK UNIT'!D159</f>
        <v>0</v>
      </c>
      <c r="E162" s="14">
        <f>'LPLPO GUDANG'!E162</f>
        <v>2</v>
      </c>
      <c r="F162" s="14">
        <f t="shared" si="6"/>
        <v>2</v>
      </c>
      <c r="G162" s="14">
        <f>'PEMAKAIAN UNIT'!R156</f>
        <v>0</v>
      </c>
      <c r="H162" s="14">
        <f t="shared" si="7"/>
        <v>2</v>
      </c>
      <c r="I162" s="15">
        <f>'LPLPO GUDANG'!I162</f>
        <v>5</v>
      </c>
      <c r="J162" s="12"/>
      <c r="K162" s="12"/>
      <c r="L162" s="12"/>
      <c r="M162" s="12"/>
      <c r="N162" s="12"/>
      <c r="O162" s="12"/>
    </row>
    <row r="163" spans="1:15" ht="20.149999999999999" customHeight="1" x14ac:dyDescent="0.35">
      <c r="A163" s="84">
        <f t="shared" si="8"/>
        <v>149</v>
      </c>
      <c r="B163" s="141" t="s">
        <v>129</v>
      </c>
      <c r="C163" s="119" t="s">
        <v>126</v>
      </c>
      <c r="D163" s="14">
        <f>'SISA STOK UNIT'!D160</f>
        <v>0</v>
      </c>
      <c r="E163" s="14">
        <f>'LPLPO GUDANG'!E163</f>
        <v>50</v>
      </c>
      <c r="F163" s="14">
        <f t="shared" si="6"/>
        <v>50</v>
      </c>
      <c r="G163" s="14">
        <f>'PEMAKAIAN UNIT'!R157</f>
        <v>0</v>
      </c>
      <c r="H163" s="14">
        <f t="shared" si="7"/>
        <v>50</v>
      </c>
      <c r="I163" s="15">
        <f>'LPLPO GUDANG'!I163</f>
        <v>0</v>
      </c>
      <c r="J163" s="12"/>
      <c r="K163" s="12"/>
      <c r="L163" s="12"/>
      <c r="M163" s="12"/>
      <c r="N163" s="12"/>
      <c r="O163" s="12"/>
    </row>
    <row r="164" spans="1:15" ht="20.149999999999999" customHeight="1" x14ac:dyDescent="0.35">
      <c r="A164" s="84">
        <f t="shared" si="8"/>
        <v>150</v>
      </c>
      <c r="B164" s="141" t="s">
        <v>130</v>
      </c>
      <c r="C164" s="119" t="s">
        <v>323</v>
      </c>
      <c r="D164" s="14">
        <f>'SISA STOK UNIT'!D161</f>
        <v>0</v>
      </c>
      <c r="E164" s="14">
        <f>'LPLPO GUDANG'!E164</f>
        <v>0</v>
      </c>
      <c r="F164" s="14">
        <f t="shared" si="6"/>
        <v>0</v>
      </c>
      <c r="G164" s="14">
        <f>'PEMAKAIAN UNIT'!R158</f>
        <v>0</v>
      </c>
      <c r="H164" s="14">
        <f t="shared" si="7"/>
        <v>0</v>
      </c>
      <c r="I164" s="15">
        <f>'LPLPO GUDANG'!I164</f>
        <v>0</v>
      </c>
      <c r="J164" s="12"/>
      <c r="K164" s="12"/>
      <c r="L164" s="12"/>
      <c r="M164" s="12"/>
      <c r="N164" s="12"/>
      <c r="O164" s="12"/>
    </row>
    <row r="165" spans="1:15" ht="20.149999999999999" customHeight="1" x14ac:dyDescent="0.35">
      <c r="A165" s="84">
        <f t="shared" si="8"/>
        <v>151</v>
      </c>
      <c r="B165" s="141" t="s">
        <v>131</v>
      </c>
      <c r="C165" s="119" t="s">
        <v>256</v>
      </c>
      <c r="D165" s="14">
        <f>'SISA STOK UNIT'!D162</f>
        <v>0</v>
      </c>
      <c r="E165" s="14">
        <f>'LPLPO GUDANG'!E165</f>
        <v>0</v>
      </c>
      <c r="F165" s="14">
        <f t="shared" si="6"/>
        <v>0</v>
      </c>
      <c r="G165" s="14">
        <f>'PEMAKAIAN UNIT'!R159</f>
        <v>0</v>
      </c>
      <c r="H165" s="14">
        <f t="shared" si="7"/>
        <v>0</v>
      </c>
      <c r="I165" s="15">
        <f>'LPLPO GUDANG'!I165</f>
        <v>50</v>
      </c>
      <c r="J165" s="12"/>
      <c r="K165" s="12"/>
      <c r="L165" s="12"/>
      <c r="M165" s="12"/>
      <c r="N165" s="12"/>
      <c r="O165" s="12"/>
    </row>
    <row r="166" spans="1:15" ht="20.149999999999999" customHeight="1" x14ac:dyDescent="0.35">
      <c r="A166" s="84">
        <f t="shared" si="8"/>
        <v>152</v>
      </c>
      <c r="B166" s="141" t="s">
        <v>132</v>
      </c>
      <c r="C166" s="118" t="s">
        <v>256</v>
      </c>
      <c r="D166" s="14">
        <f>'SISA STOK UNIT'!D163</f>
        <v>0</v>
      </c>
      <c r="E166" s="14">
        <f>'LPLPO GUDANG'!E166</f>
        <v>0</v>
      </c>
      <c r="F166" s="14">
        <f t="shared" si="6"/>
        <v>0</v>
      </c>
      <c r="G166" s="14">
        <f>'PEMAKAIAN UNIT'!R160</f>
        <v>0</v>
      </c>
      <c r="H166" s="14">
        <f t="shared" si="7"/>
        <v>0</v>
      </c>
      <c r="I166" s="15">
        <f>'LPLPO GUDANG'!I166</f>
        <v>50</v>
      </c>
      <c r="J166" s="12"/>
      <c r="K166" s="12"/>
      <c r="L166" s="12"/>
      <c r="M166" s="12"/>
      <c r="N166" s="12"/>
      <c r="O166" s="12"/>
    </row>
    <row r="167" spans="1:15" ht="20.149999999999999" customHeight="1" x14ac:dyDescent="0.35">
      <c r="A167" s="84">
        <f t="shared" si="8"/>
        <v>153</v>
      </c>
      <c r="B167" s="141" t="s">
        <v>135</v>
      </c>
      <c r="C167" s="118" t="s">
        <v>108</v>
      </c>
      <c r="D167" s="14">
        <f>'SISA STOK UNIT'!D164</f>
        <v>0</v>
      </c>
      <c r="E167" s="14">
        <f>'LPLPO GUDANG'!E167</f>
        <v>0</v>
      </c>
      <c r="F167" s="14">
        <f t="shared" si="6"/>
        <v>0</v>
      </c>
      <c r="G167" s="14">
        <f>'PEMAKAIAN UNIT'!R161</f>
        <v>0</v>
      </c>
      <c r="H167" s="14">
        <f t="shared" si="7"/>
        <v>0</v>
      </c>
      <c r="I167" s="15">
        <f>'LPLPO GUDANG'!I167</f>
        <v>30</v>
      </c>
      <c r="J167" s="12"/>
      <c r="K167" s="12"/>
      <c r="L167" s="12"/>
      <c r="M167" s="12"/>
      <c r="N167" s="12"/>
      <c r="O167" s="12"/>
    </row>
    <row r="168" spans="1:15" ht="20.149999999999999" customHeight="1" x14ac:dyDescent="0.35">
      <c r="A168" s="84">
        <f t="shared" si="8"/>
        <v>154</v>
      </c>
      <c r="B168" s="141" t="s">
        <v>134</v>
      </c>
      <c r="C168" s="121" t="s">
        <v>108</v>
      </c>
      <c r="D168" s="14">
        <f>'SISA STOK UNIT'!D165</f>
        <v>0</v>
      </c>
      <c r="E168" s="14">
        <f>'LPLPO GUDANG'!E168</f>
        <v>0</v>
      </c>
      <c r="F168" s="14">
        <f t="shared" si="6"/>
        <v>0</v>
      </c>
      <c r="G168" s="14">
        <f>'PEMAKAIAN UNIT'!R162</f>
        <v>0</v>
      </c>
      <c r="H168" s="14">
        <f t="shared" si="7"/>
        <v>0</v>
      </c>
      <c r="I168" s="15">
        <f>'LPLPO GUDANG'!I168</f>
        <v>20</v>
      </c>
      <c r="J168" s="12"/>
      <c r="K168" s="12"/>
      <c r="L168" s="12"/>
      <c r="M168" s="12"/>
      <c r="N168" s="12"/>
      <c r="O168" s="12"/>
    </row>
    <row r="169" spans="1:15" ht="20.149999999999999" customHeight="1" x14ac:dyDescent="0.35">
      <c r="A169" s="84">
        <f t="shared" si="8"/>
        <v>155</v>
      </c>
      <c r="B169" s="141" t="s">
        <v>133</v>
      </c>
      <c r="C169" s="132" t="s">
        <v>108</v>
      </c>
      <c r="D169" s="14">
        <f>'SISA STOK UNIT'!D166</f>
        <v>0</v>
      </c>
      <c r="E169" s="14">
        <f>'LPLPO GUDANG'!E169</f>
        <v>0</v>
      </c>
      <c r="F169" s="14">
        <f t="shared" si="6"/>
        <v>0</v>
      </c>
      <c r="G169" s="14">
        <f>'PEMAKAIAN UNIT'!R163</f>
        <v>0</v>
      </c>
      <c r="H169" s="14">
        <f t="shared" si="7"/>
        <v>0</v>
      </c>
      <c r="I169" s="15">
        <f>'LPLPO GUDANG'!I169</f>
        <v>0</v>
      </c>
      <c r="J169" s="12"/>
      <c r="K169" s="12"/>
      <c r="L169" s="12"/>
      <c r="M169" s="12"/>
      <c r="N169" s="12"/>
      <c r="O169" s="12"/>
    </row>
    <row r="170" spans="1:15" ht="20.149999999999999" customHeight="1" x14ac:dyDescent="0.35">
      <c r="A170" s="84">
        <f t="shared" si="8"/>
        <v>156</v>
      </c>
      <c r="B170" s="141" t="s">
        <v>136</v>
      </c>
      <c r="C170" s="127" t="s">
        <v>126</v>
      </c>
      <c r="D170" s="14">
        <f>'SISA STOK UNIT'!D167</f>
        <v>0</v>
      </c>
      <c r="E170" s="14">
        <f>'LPLPO GUDANG'!E170</f>
        <v>0</v>
      </c>
      <c r="F170" s="14">
        <f t="shared" si="6"/>
        <v>0</v>
      </c>
      <c r="G170" s="14">
        <f>'PEMAKAIAN UNIT'!R164</f>
        <v>0</v>
      </c>
      <c r="H170" s="14">
        <f t="shared" si="7"/>
        <v>0</v>
      </c>
      <c r="I170" s="15">
        <f>'LPLPO GUDANG'!I170</f>
        <v>0</v>
      </c>
      <c r="J170" s="12"/>
      <c r="K170" s="12"/>
      <c r="L170" s="12"/>
      <c r="M170" s="12"/>
      <c r="N170" s="12"/>
      <c r="O170" s="12"/>
    </row>
    <row r="171" spans="1:15" ht="20.149999999999999" customHeight="1" x14ac:dyDescent="0.35">
      <c r="A171" s="84">
        <f t="shared" si="8"/>
        <v>157</v>
      </c>
      <c r="B171" s="141" t="s">
        <v>137</v>
      </c>
      <c r="C171" s="132" t="s">
        <v>48</v>
      </c>
      <c r="D171" s="14">
        <f>'SISA STOK UNIT'!D168</f>
        <v>0</v>
      </c>
      <c r="E171" s="14">
        <f>'LPLPO GUDANG'!E171</f>
        <v>0</v>
      </c>
      <c r="F171" s="14">
        <f t="shared" si="6"/>
        <v>0</v>
      </c>
      <c r="G171" s="14">
        <f>'PEMAKAIAN UNIT'!R165</f>
        <v>0</v>
      </c>
      <c r="H171" s="14">
        <f t="shared" si="7"/>
        <v>0</v>
      </c>
      <c r="I171" s="15">
        <f>'LPLPO GUDANG'!I171</f>
        <v>5</v>
      </c>
      <c r="J171" s="12"/>
      <c r="K171" s="12"/>
      <c r="L171" s="12"/>
      <c r="M171" s="12"/>
      <c r="N171" s="12"/>
      <c r="O171" s="12"/>
    </row>
    <row r="172" spans="1:15" ht="20.149999999999999" customHeight="1" x14ac:dyDescent="0.35">
      <c r="A172" s="84">
        <f t="shared" si="8"/>
        <v>158</v>
      </c>
      <c r="B172" s="141" t="s">
        <v>138</v>
      </c>
      <c r="C172" s="118" t="s">
        <v>108</v>
      </c>
      <c r="D172" s="14">
        <f>'SISA STOK UNIT'!D169</f>
        <v>0</v>
      </c>
      <c r="E172" s="14">
        <f>'LPLPO GUDANG'!E172</f>
        <v>12</v>
      </c>
      <c r="F172" s="14">
        <f t="shared" si="6"/>
        <v>12</v>
      </c>
      <c r="G172" s="14">
        <f>'PEMAKAIAN UNIT'!R166</f>
        <v>0</v>
      </c>
      <c r="H172" s="14">
        <f t="shared" si="7"/>
        <v>12</v>
      </c>
      <c r="I172" s="15">
        <f>'LPLPO GUDANG'!I172</f>
        <v>72</v>
      </c>
      <c r="J172" s="12"/>
      <c r="K172" s="12"/>
      <c r="L172" s="12"/>
      <c r="M172" s="12"/>
      <c r="N172" s="12"/>
      <c r="O172" s="12"/>
    </row>
    <row r="173" spans="1:15" ht="20.149999999999999" customHeight="1" x14ac:dyDescent="0.35">
      <c r="A173" s="84">
        <f t="shared" si="8"/>
        <v>159</v>
      </c>
      <c r="B173" s="141" t="s">
        <v>139</v>
      </c>
      <c r="C173" s="115" t="s">
        <v>108</v>
      </c>
      <c r="D173" s="14">
        <f>'SISA STOK UNIT'!D170</f>
        <v>0</v>
      </c>
      <c r="E173" s="14">
        <f>'LPLPO GUDANG'!E173</f>
        <v>0</v>
      </c>
      <c r="F173" s="14">
        <f t="shared" si="6"/>
        <v>0</v>
      </c>
      <c r="G173" s="14">
        <f>'PEMAKAIAN UNIT'!R167</f>
        <v>0</v>
      </c>
      <c r="H173" s="14">
        <f t="shared" si="7"/>
        <v>0</v>
      </c>
      <c r="I173" s="15">
        <f>'LPLPO GUDANG'!I173</f>
        <v>100</v>
      </c>
      <c r="J173" s="12"/>
      <c r="K173" s="12"/>
      <c r="L173" s="12"/>
      <c r="M173" s="12"/>
      <c r="N173" s="12"/>
      <c r="O173" s="12"/>
    </row>
    <row r="174" spans="1:15" ht="20.149999999999999" customHeight="1" x14ac:dyDescent="0.35">
      <c r="A174" s="84">
        <f t="shared" si="8"/>
        <v>160</v>
      </c>
      <c r="B174" s="141" t="s">
        <v>140</v>
      </c>
      <c r="C174" s="126" t="s">
        <v>108</v>
      </c>
      <c r="D174" s="14">
        <f>'SISA STOK UNIT'!D171</f>
        <v>0</v>
      </c>
      <c r="E174" s="14">
        <f>'LPLPO GUDANG'!E174</f>
        <v>0</v>
      </c>
      <c r="F174" s="14">
        <f t="shared" si="6"/>
        <v>0</v>
      </c>
      <c r="G174" s="14">
        <f>'PEMAKAIAN UNIT'!R168</f>
        <v>0</v>
      </c>
      <c r="H174" s="14">
        <f t="shared" si="7"/>
        <v>0</v>
      </c>
      <c r="I174" s="15">
        <f>'LPLPO GUDANG'!I174</f>
        <v>100</v>
      </c>
      <c r="J174" s="12"/>
      <c r="K174" s="12"/>
      <c r="L174" s="12"/>
      <c r="M174" s="12"/>
      <c r="N174" s="12"/>
      <c r="O174" s="12"/>
    </row>
    <row r="175" spans="1:15" ht="20.149999999999999" customHeight="1" x14ac:dyDescent="0.35">
      <c r="A175" s="84">
        <f t="shared" si="8"/>
        <v>161</v>
      </c>
      <c r="B175" s="141" t="s">
        <v>141</v>
      </c>
      <c r="C175" s="115" t="s">
        <v>108</v>
      </c>
      <c r="D175" s="14">
        <f>'SISA STOK UNIT'!D172</f>
        <v>0</v>
      </c>
      <c r="E175" s="14">
        <f>'LPLPO GUDANG'!E175</f>
        <v>0</v>
      </c>
      <c r="F175" s="14">
        <f t="shared" si="6"/>
        <v>0</v>
      </c>
      <c r="G175" s="14">
        <f>'PEMAKAIAN UNIT'!R169</f>
        <v>0</v>
      </c>
      <c r="H175" s="14">
        <f t="shared" si="7"/>
        <v>0</v>
      </c>
      <c r="I175" s="15">
        <f>'LPLPO GUDANG'!I175</f>
        <v>0</v>
      </c>
      <c r="J175" s="12"/>
      <c r="K175" s="12"/>
      <c r="L175" s="12"/>
      <c r="M175" s="12"/>
      <c r="N175" s="12"/>
      <c r="O175" s="12"/>
    </row>
    <row r="176" spans="1:15" ht="20.149999999999999" customHeight="1" x14ac:dyDescent="0.35">
      <c r="A176" s="84">
        <f t="shared" si="8"/>
        <v>162</v>
      </c>
      <c r="B176" s="141" t="s">
        <v>144</v>
      </c>
      <c r="C176" s="132" t="s">
        <v>108</v>
      </c>
      <c r="D176" s="14">
        <f>'SISA STOK UNIT'!D173</f>
        <v>0</v>
      </c>
      <c r="E176" s="14">
        <f>'LPLPO GUDANG'!E176</f>
        <v>0</v>
      </c>
      <c r="F176" s="14">
        <f t="shared" si="6"/>
        <v>0</v>
      </c>
      <c r="G176" s="14">
        <f>'PEMAKAIAN UNIT'!R170</f>
        <v>0</v>
      </c>
      <c r="H176" s="14">
        <f t="shared" si="7"/>
        <v>0</v>
      </c>
      <c r="I176" s="15">
        <f>'LPLPO GUDANG'!I176</f>
        <v>0</v>
      </c>
      <c r="J176" s="12"/>
      <c r="K176" s="12"/>
      <c r="L176" s="12"/>
      <c r="M176" s="12"/>
      <c r="N176" s="12"/>
      <c r="O176" s="12"/>
    </row>
    <row r="177" spans="1:39" ht="20.149999999999999" customHeight="1" x14ac:dyDescent="0.35">
      <c r="A177" s="84">
        <f t="shared" si="8"/>
        <v>163</v>
      </c>
      <c r="B177" s="141" t="s">
        <v>143</v>
      </c>
      <c r="C177" s="127" t="s">
        <v>108</v>
      </c>
      <c r="D177" s="14">
        <f>'SISA STOK UNIT'!D174</f>
        <v>0</v>
      </c>
      <c r="E177" s="14">
        <f>'LPLPO GUDANG'!E177</f>
        <v>1500</v>
      </c>
      <c r="F177" s="14">
        <f t="shared" si="6"/>
        <v>1500</v>
      </c>
      <c r="G177" s="14">
        <f>'PEMAKAIAN UNIT'!R171</f>
        <v>0</v>
      </c>
      <c r="H177" s="14">
        <f t="shared" si="7"/>
        <v>1500</v>
      </c>
      <c r="I177" s="15">
        <f>'LPLPO GUDANG'!I177</f>
        <v>2000</v>
      </c>
      <c r="J177" s="12"/>
      <c r="K177" s="12"/>
      <c r="L177" s="12"/>
      <c r="M177" s="12"/>
      <c r="N177" s="12"/>
      <c r="O177" s="12"/>
    </row>
    <row r="178" spans="1:39" ht="20.149999999999999" customHeight="1" x14ac:dyDescent="0.35">
      <c r="A178" s="84">
        <f t="shared" si="8"/>
        <v>164</v>
      </c>
      <c r="B178" s="141" t="s">
        <v>142</v>
      </c>
      <c r="C178" s="115" t="s">
        <v>108</v>
      </c>
      <c r="D178" s="14">
        <f>'SISA STOK UNIT'!D175</f>
        <v>0</v>
      </c>
      <c r="E178" s="14">
        <f>'LPLPO GUDANG'!E178</f>
        <v>1500</v>
      </c>
      <c r="F178" s="14">
        <f t="shared" si="6"/>
        <v>1500</v>
      </c>
      <c r="G178" s="14">
        <f>'PEMAKAIAN UNIT'!R172</f>
        <v>0</v>
      </c>
      <c r="H178" s="14">
        <f t="shared" si="7"/>
        <v>1500</v>
      </c>
      <c r="I178" s="15">
        <f>'LPLPO GUDANG'!I178</f>
        <v>2000</v>
      </c>
      <c r="J178" s="12"/>
      <c r="K178" s="12"/>
      <c r="L178" s="12"/>
      <c r="M178" s="12"/>
      <c r="N178" s="12"/>
      <c r="O178" s="12"/>
    </row>
    <row r="179" spans="1:39" ht="20.149999999999999" customHeight="1" x14ac:dyDescent="0.35">
      <c r="A179" s="84">
        <f t="shared" si="8"/>
        <v>165</v>
      </c>
      <c r="B179" s="141" t="s">
        <v>145</v>
      </c>
      <c r="C179" s="115" t="s">
        <v>212</v>
      </c>
      <c r="D179" s="14">
        <f>'SISA STOK UNIT'!D176</f>
        <v>0</v>
      </c>
      <c r="E179" s="14">
        <f>'LPLPO GUDANG'!E179</f>
        <v>1000</v>
      </c>
      <c r="F179" s="14">
        <f t="shared" si="6"/>
        <v>1000</v>
      </c>
      <c r="G179" s="14">
        <f>'PEMAKAIAN UNIT'!R173</f>
        <v>0</v>
      </c>
      <c r="H179" s="14">
        <f t="shared" si="7"/>
        <v>1000</v>
      </c>
      <c r="I179" s="15">
        <f>'LPLPO GUDANG'!I179</f>
        <v>2000</v>
      </c>
      <c r="J179" s="12"/>
      <c r="K179" s="12"/>
      <c r="L179" s="12"/>
      <c r="M179" s="12"/>
      <c r="N179" s="12"/>
      <c r="O179" s="12"/>
    </row>
    <row r="180" spans="1:39" ht="16.5" x14ac:dyDescent="0.35">
      <c r="A180" s="84">
        <f t="shared" si="8"/>
        <v>166</v>
      </c>
      <c r="B180" s="141" t="s">
        <v>146</v>
      </c>
      <c r="C180" s="115" t="s">
        <v>212</v>
      </c>
      <c r="D180" s="14">
        <f>'SISA STOK UNIT'!D177</f>
        <v>0</v>
      </c>
      <c r="E180" s="14">
        <f>'LPLPO GUDANG'!E180</f>
        <v>0</v>
      </c>
      <c r="F180" s="14">
        <f t="shared" si="6"/>
        <v>0</v>
      </c>
      <c r="G180" s="14">
        <f>'PEMAKAIAN UNIT'!R174</f>
        <v>0</v>
      </c>
      <c r="H180" s="14">
        <f t="shared" si="7"/>
        <v>0</v>
      </c>
      <c r="I180" s="15">
        <f>'LPLPO GUDANG'!I180</f>
        <v>0</v>
      </c>
      <c r="J180" s="12"/>
      <c r="K180" s="12"/>
      <c r="L180" s="12"/>
      <c r="M180" s="12"/>
      <c r="N180" s="12"/>
      <c r="O180" s="12"/>
    </row>
    <row r="181" spans="1:39" ht="16.5" x14ac:dyDescent="0.35">
      <c r="A181" s="84">
        <f t="shared" si="8"/>
        <v>167</v>
      </c>
      <c r="B181" s="142" t="s">
        <v>147</v>
      </c>
      <c r="C181" s="115" t="s">
        <v>212</v>
      </c>
      <c r="D181" s="14">
        <f>'SISA STOK UNIT'!D178</f>
        <v>0</v>
      </c>
      <c r="E181" s="14">
        <f>'LPLPO GUDANG'!E181</f>
        <v>0</v>
      </c>
      <c r="F181" s="14">
        <f t="shared" si="6"/>
        <v>0</v>
      </c>
      <c r="G181" s="14">
        <f>'PEMAKAIAN UNIT'!R175</f>
        <v>0</v>
      </c>
      <c r="H181" s="14">
        <f t="shared" si="7"/>
        <v>0</v>
      </c>
      <c r="I181" s="15">
        <f>'LPLPO GUDANG'!I181</f>
        <v>10</v>
      </c>
      <c r="J181" s="12"/>
      <c r="K181" s="12"/>
      <c r="L181" s="12"/>
      <c r="M181" s="12"/>
      <c r="N181" s="12"/>
      <c r="O181" s="12"/>
    </row>
    <row r="182" spans="1:39" s="38" customFormat="1" ht="18" x14ac:dyDescent="0.5">
      <c r="A182" s="50"/>
      <c r="B182" s="51"/>
      <c r="C182" s="52"/>
      <c r="D182" s="41"/>
      <c r="E182" s="41"/>
      <c r="F182" s="70"/>
      <c r="G182" s="41"/>
      <c r="H182" s="71"/>
      <c r="I182" s="41"/>
      <c r="J182" s="72"/>
      <c r="K182" s="72"/>
      <c r="L182" s="72"/>
      <c r="M182" s="72"/>
      <c r="N182" s="72"/>
      <c r="O182" s="72"/>
      <c r="P182" s="41"/>
      <c r="Q182" s="41"/>
      <c r="AB182" s="39"/>
    </row>
    <row r="183" spans="1:39" s="65" customFormat="1" ht="20.149999999999999" customHeight="1" x14ac:dyDescent="0.45">
      <c r="A183" s="73"/>
      <c r="B183" s="74"/>
      <c r="C183" s="326" t="s">
        <v>247</v>
      </c>
      <c r="D183" s="326" t="s">
        <v>248</v>
      </c>
      <c r="E183" s="326" t="s">
        <v>234</v>
      </c>
      <c r="F183" s="68"/>
      <c r="G183" s="68"/>
      <c r="H183" s="68"/>
      <c r="I183" s="68"/>
      <c r="J183" s="75"/>
      <c r="K183" s="75"/>
      <c r="L183" s="75"/>
      <c r="M183" s="75"/>
      <c r="N183" s="75"/>
      <c r="O183" s="75"/>
      <c r="P183" s="68"/>
      <c r="Q183" s="68"/>
      <c r="AB183" s="76"/>
    </row>
    <row r="184" spans="1:39" s="65" customFormat="1" ht="20.149999999999999" customHeight="1" x14ac:dyDescent="0.45">
      <c r="A184" s="77"/>
      <c r="B184" s="78"/>
      <c r="C184" s="326"/>
      <c r="D184" s="326"/>
      <c r="E184" s="326"/>
      <c r="F184" s="68"/>
      <c r="G184" s="68"/>
      <c r="H184" s="68"/>
      <c r="I184" s="68"/>
      <c r="J184" s="75"/>
      <c r="K184" s="75"/>
      <c r="L184" s="75"/>
      <c r="M184" s="75"/>
      <c r="N184" s="75"/>
      <c r="O184" s="75"/>
      <c r="P184" s="68"/>
      <c r="Q184" s="68"/>
      <c r="AB184" s="76"/>
    </row>
    <row r="185" spans="1:39" s="65" customFormat="1" ht="20.149999999999999" customHeight="1" x14ac:dyDescent="0.45">
      <c r="A185" s="77"/>
      <c r="B185" s="78"/>
      <c r="C185" s="327"/>
      <c r="D185" s="327"/>
      <c r="E185" s="327">
        <f>SUM(C185:D186)</f>
        <v>0</v>
      </c>
      <c r="F185" s="68"/>
      <c r="G185" s="68"/>
      <c r="H185" s="68"/>
      <c r="I185" s="68"/>
      <c r="J185" s="75"/>
      <c r="K185" s="75"/>
      <c r="L185" s="75"/>
      <c r="M185" s="75"/>
      <c r="N185" s="75"/>
      <c r="O185" s="75"/>
      <c r="P185" s="68"/>
      <c r="Q185" s="68"/>
      <c r="AB185" s="76"/>
    </row>
    <row r="186" spans="1:39" s="65" customFormat="1" ht="16.5" x14ac:dyDescent="0.45">
      <c r="A186" s="79"/>
      <c r="B186" s="80"/>
      <c r="C186" s="328"/>
      <c r="D186" s="328"/>
      <c r="E186" s="328"/>
      <c r="F186" s="68"/>
      <c r="G186" s="68"/>
      <c r="H186" s="68"/>
      <c r="I186" s="68"/>
      <c r="J186" s="75"/>
      <c r="K186" s="75"/>
      <c r="L186" s="75"/>
      <c r="M186" s="75"/>
      <c r="N186" s="75"/>
      <c r="O186" s="75"/>
      <c r="P186" s="68"/>
      <c r="Q186" s="68"/>
      <c r="AB186" s="76"/>
    </row>
    <row r="187" spans="1:39" s="38" customFormat="1" ht="20.149999999999999" customHeight="1" x14ac:dyDescent="0.5">
      <c r="A187" s="55"/>
      <c r="B187" s="56"/>
      <c r="C187" s="57"/>
      <c r="D187" s="53"/>
      <c r="E187" s="53"/>
      <c r="F187" s="53"/>
      <c r="G187" s="53"/>
      <c r="H187" s="54"/>
      <c r="I187" s="41"/>
      <c r="J187" s="41"/>
      <c r="K187" s="41"/>
      <c r="L187" s="41"/>
      <c r="M187" s="41"/>
      <c r="N187" s="41"/>
      <c r="O187" s="41"/>
      <c r="P187" s="41"/>
      <c r="Q187" s="41"/>
      <c r="AM187" s="39"/>
    </row>
    <row r="188" spans="1:39" s="38" customFormat="1" ht="20.149999999999999" customHeight="1" x14ac:dyDescent="0.5">
      <c r="B188" s="38" t="s">
        <v>249</v>
      </c>
      <c r="D188" s="54"/>
      <c r="E188" s="54"/>
      <c r="F188" s="54"/>
      <c r="G188" s="54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AM188" s="39"/>
    </row>
    <row r="189" spans="1:39" s="38" customFormat="1" ht="20.149999999999999" customHeight="1" x14ac:dyDescent="0.5">
      <c r="B189" s="38" t="s">
        <v>308</v>
      </c>
      <c r="D189" s="54"/>
      <c r="E189" s="54"/>
      <c r="F189" s="54"/>
      <c r="H189" s="41"/>
      <c r="I189" s="41"/>
      <c r="J189" s="41"/>
      <c r="K189" s="38" t="s">
        <v>311</v>
      </c>
      <c r="M189" s="41"/>
      <c r="N189" s="41"/>
      <c r="O189" s="41"/>
      <c r="P189" s="41"/>
      <c r="Q189" s="41"/>
      <c r="AM189" s="39"/>
    </row>
    <row r="190" spans="1:39" s="38" customFormat="1" ht="20.149999999999999" customHeight="1" x14ac:dyDescent="0.5">
      <c r="D190" s="54"/>
      <c r="E190" s="54"/>
      <c r="F190" s="54"/>
      <c r="H190" s="41"/>
      <c r="I190" s="41"/>
      <c r="J190" s="41"/>
      <c r="M190" s="41"/>
      <c r="N190" s="41"/>
      <c r="O190" s="41"/>
      <c r="P190" s="41"/>
      <c r="Q190" s="41"/>
      <c r="AM190" s="39"/>
    </row>
    <row r="191" spans="1:39" s="38" customFormat="1" ht="20.149999999999999" customHeight="1" x14ac:dyDescent="0.5">
      <c r="D191" s="54"/>
      <c r="E191" s="54"/>
      <c r="F191" s="54"/>
      <c r="H191" s="41"/>
      <c r="I191" s="41"/>
      <c r="J191" s="41"/>
      <c r="M191" s="41"/>
      <c r="N191" s="41"/>
      <c r="O191" s="41"/>
      <c r="P191" s="41"/>
      <c r="Q191" s="41"/>
      <c r="AM191" s="39"/>
    </row>
    <row r="192" spans="1:39" s="38" customFormat="1" ht="20.149999999999999" customHeight="1" x14ac:dyDescent="0.5">
      <c r="D192" s="41"/>
      <c r="E192" s="41"/>
      <c r="F192" s="41"/>
      <c r="H192" s="41"/>
      <c r="J192" s="41"/>
      <c r="M192" s="41"/>
      <c r="N192" s="41"/>
      <c r="O192" s="41"/>
      <c r="P192" s="41"/>
      <c r="Q192" s="41"/>
      <c r="AM192" s="39"/>
    </row>
    <row r="193" spans="1:39" s="38" customFormat="1" ht="20.149999999999999" customHeight="1" x14ac:dyDescent="0.5">
      <c r="J193" s="41"/>
      <c r="K193" s="41"/>
      <c r="M193" s="41"/>
      <c r="N193" s="41"/>
      <c r="O193" s="41"/>
      <c r="P193" s="41"/>
      <c r="Q193" s="41"/>
      <c r="AM193" s="39"/>
    </row>
    <row r="194" spans="1:39" s="38" customFormat="1" ht="18" x14ac:dyDescent="0.5">
      <c r="B194" s="58" t="s">
        <v>415</v>
      </c>
      <c r="J194" s="41"/>
      <c r="K194" s="58" t="s">
        <v>383</v>
      </c>
      <c r="M194" s="41"/>
      <c r="N194" s="41"/>
      <c r="O194" s="41"/>
      <c r="P194" s="41"/>
      <c r="Q194" s="41"/>
      <c r="AM194" s="39"/>
    </row>
    <row r="195" spans="1:39" s="38" customFormat="1" ht="18" x14ac:dyDescent="0.5">
      <c r="B195" s="38" t="s">
        <v>416</v>
      </c>
      <c r="J195" s="41"/>
      <c r="K195" s="38" t="s">
        <v>310</v>
      </c>
      <c r="M195" s="41"/>
      <c r="N195" s="41"/>
      <c r="O195" s="41"/>
      <c r="P195" s="41"/>
      <c r="Q195" s="41"/>
    </row>
    <row r="196" spans="1:39" s="38" customFormat="1" ht="18" x14ac:dyDescent="0.5">
      <c r="A196" s="62"/>
      <c r="B196" s="65"/>
      <c r="C196" s="40"/>
      <c r="F196" s="40"/>
      <c r="G196" s="41"/>
      <c r="H196" s="62"/>
      <c r="J196" s="82"/>
      <c r="K196" s="82"/>
      <c r="L196" s="65"/>
      <c r="M196" s="65"/>
      <c r="N196" s="82"/>
      <c r="O196" s="82"/>
      <c r="P196" s="41"/>
      <c r="Q196" s="41"/>
      <c r="AB196" s="39"/>
    </row>
  </sheetData>
  <mergeCells count="29">
    <mergeCell ref="C183:C184"/>
    <mergeCell ref="D183:D184"/>
    <mergeCell ref="E183:E184"/>
    <mergeCell ref="C185:C186"/>
    <mergeCell ref="D185:D186"/>
    <mergeCell ref="E185:E186"/>
    <mergeCell ref="H12:H13"/>
    <mergeCell ref="I12:I13"/>
    <mergeCell ref="B12:B13"/>
    <mergeCell ref="C12:C13"/>
    <mergeCell ref="D12:D13"/>
    <mergeCell ref="E12:E13"/>
    <mergeCell ref="G12:G13"/>
    <mergeCell ref="J12:N12"/>
    <mergeCell ref="A6:B6"/>
    <mergeCell ref="A1:O1"/>
    <mergeCell ref="A2:O2"/>
    <mergeCell ref="A3:B3"/>
    <mergeCell ref="A4:B4"/>
    <mergeCell ref="A5:B5"/>
    <mergeCell ref="O12:O13"/>
    <mergeCell ref="F12:F13"/>
    <mergeCell ref="A7:B7"/>
    <mergeCell ref="A8:B8"/>
    <mergeCell ref="A9:B9"/>
    <mergeCell ref="K9:L9"/>
    <mergeCell ref="A10:B10"/>
    <mergeCell ref="K10:L10"/>
    <mergeCell ref="A12:A13"/>
  </mergeCells>
  <pageMargins left="0.59055118110236204" right="0.23622047244094499" top="0.74803149606299202" bottom="0.74803149606299202" header="0.31496062992126" footer="0.31496062992126"/>
  <pageSetup paperSize="5" scale="90" orientation="landscape" horizontalDpi="4294967293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173"/>
  <sheetViews>
    <sheetView topLeftCell="A9" workbookViewId="0">
      <selection activeCell="F20" sqref="F20"/>
    </sheetView>
  </sheetViews>
  <sheetFormatPr defaultRowHeight="14.5" x14ac:dyDescent="0.35"/>
  <cols>
    <col min="1" max="1" width="4.7265625" customWidth="1"/>
    <col min="2" max="2" width="42.7265625" customWidth="1"/>
    <col min="3" max="3" width="17.7265625" customWidth="1"/>
    <col min="4" max="5" width="9.7265625" customWidth="1"/>
    <col min="6" max="6" width="10.26953125" customWidth="1"/>
    <col min="7" max="9" width="9.7265625" customWidth="1"/>
    <col min="10" max="15" width="7.7265625" customWidth="1"/>
    <col min="16" max="16" width="7.7265625" style="21" customWidth="1"/>
  </cols>
  <sheetData>
    <row r="1" spans="1:64" s="2" customFormat="1" ht="17.5" x14ac:dyDescent="0.5">
      <c r="A1" s="372" t="s">
        <v>149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221"/>
      <c r="BL1" s="3"/>
    </row>
    <row r="2" spans="1:64" s="2" customFormat="1" ht="17.5" x14ac:dyDescent="0.5">
      <c r="A2" s="372" t="s">
        <v>150</v>
      </c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221"/>
      <c r="BL2" s="3"/>
    </row>
    <row r="3" spans="1:64" s="2" customFormat="1" ht="15" x14ac:dyDescent="0.3">
      <c r="A3" s="373"/>
      <c r="B3" s="373"/>
      <c r="C3" s="4"/>
      <c r="F3" s="4"/>
      <c r="G3" s="5"/>
      <c r="H3" s="6"/>
      <c r="P3" s="5"/>
      <c r="BL3" s="3"/>
    </row>
    <row r="4" spans="1:64" s="2" customFormat="1" ht="19.5" x14ac:dyDescent="0.6">
      <c r="A4" s="314" t="s">
        <v>151</v>
      </c>
      <c r="B4" s="314"/>
      <c r="C4" s="42" t="s">
        <v>238</v>
      </c>
      <c r="D4" s="38"/>
      <c r="E4" s="38"/>
      <c r="F4" s="40"/>
      <c r="G4" s="41"/>
      <c r="H4" s="62"/>
      <c r="I4" s="38"/>
      <c r="J4" s="38"/>
      <c r="K4" s="38"/>
      <c r="L4" s="38"/>
      <c r="M4" s="38"/>
      <c r="N4" s="38"/>
      <c r="O4" s="38"/>
      <c r="P4" s="41"/>
      <c r="BL4" s="3"/>
    </row>
    <row r="5" spans="1:64" s="2" customFormat="1" ht="19.5" x14ac:dyDescent="0.6">
      <c r="A5" s="314" t="s">
        <v>153</v>
      </c>
      <c r="B5" s="314"/>
      <c r="C5" s="42" t="s">
        <v>482</v>
      </c>
      <c r="D5" s="38"/>
      <c r="E5" s="38"/>
      <c r="F5" s="40"/>
      <c r="G5" s="41"/>
      <c r="H5" s="62"/>
      <c r="I5" s="38"/>
      <c r="J5" s="38"/>
      <c r="K5" s="38"/>
      <c r="L5" s="38"/>
      <c r="M5" s="38"/>
      <c r="N5" s="38"/>
      <c r="O5" s="38"/>
      <c r="P5" s="41"/>
      <c r="BL5" s="3"/>
    </row>
    <row r="6" spans="1:64" s="2" customFormat="1" ht="19.5" x14ac:dyDescent="0.6">
      <c r="A6" s="314" t="s">
        <v>154</v>
      </c>
      <c r="B6" s="314"/>
      <c r="C6" s="42" t="s">
        <v>482</v>
      </c>
      <c r="D6" s="38"/>
      <c r="E6" s="38"/>
      <c r="F6" s="40"/>
      <c r="G6" s="41"/>
      <c r="H6" s="62"/>
      <c r="I6" s="38"/>
      <c r="J6" s="38"/>
      <c r="K6" s="38"/>
      <c r="L6" s="38"/>
      <c r="M6" s="38"/>
      <c r="N6" s="38"/>
      <c r="O6" s="38"/>
      <c r="P6" s="41"/>
      <c r="BL6" s="3"/>
    </row>
    <row r="7" spans="1:64" s="2" customFormat="1" ht="19.5" x14ac:dyDescent="0.6">
      <c r="A7" s="314" t="s">
        <v>155</v>
      </c>
      <c r="B7" s="314"/>
      <c r="C7" s="42" t="s">
        <v>156</v>
      </c>
      <c r="D7" s="38"/>
      <c r="E7" s="38"/>
      <c r="F7" s="40"/>
      <c r="G7" s="41"/>
      <c r="H7" s="62"/>
      <c r="I7" s="38"/>
      <c r="J7" s="38"/>
      <c r="K7" s="38"/>
      <c r="L7" s="38"/>
      <c r="M7" s="38"/>
      <c r="N7" s="38"/>
      <c r="O7" s="38"/>
      <c r="P7" s="41"/>
      <c r="BL7" s="3"/>
    </row>
    <row r="8" spans="1:64" s="2" customFormat="1" ht="19.5" x14ac:dyDescent="0.6">
      <c r="A8" s="314" t="s">
        <v>157</v>
      </c>
      <c r="B8" s="314"/>
      <c r="C8" s="42" t="s">
        <v>158</v>
      </c>
      <c r="D8" s="38"/>
      <c r="E8" s="38"/>
      <c r="F8" s="40"/>
      <c r="G8" s="41"/>
      <c r="H8" s="62"/>
      <c r="I8" s="38"/>
      <c r="J8" s="38"/>
      <c r="K8" s="38"/>
      <c r="L8" s="38"/>
      <c r="M8" s="38"/>
      <c r="N8" s="38"/>
      <c r="O8" s="38"/>
      <c r="P8" s="41"/>
      <c r="BL8" s="3"/>
    </row>
    <row r="9" spans="1:64" s="2" customFormat="1" ht="19.5" x14ac:dyDescent="0.6">
      <c r="A9" s="313"/>
      <c r="B9" s="313"/>
      <c r="C9" s="40"/>
      <c r="D9" s="38"/>
      <c r="E9" s="38"/>
      <c r="F9" s="40"/>
      <c r="G9" s="41"/>
      <c r="H9" s="62"/>
      <c r="I9" s="38"/>
      <c r="J9" s="38"/>
      <c r="K9" s="314" t="s">
        <v>159</v>
      </c>
      <c r="L9" s="314"/>
      <c r="M9" s="43" t="str">
        <f>'LPLPO REKAPAN'!M10</f>
        <v>BULAN</v>
      </c>
      <c r="N9" s="38"/>
      <c r="O9" s="38"/>
      <c r="P9" s="41"/>
      <c r="BL9" s="3"/>
    </row>
    <row r="10" spans="1:64" s="2" customFormat="1" ht="19.5" x14ac:dyDescent="0.6">
      <c r="A10" s="314"/>
      <c r="B10" s="314"/>
      <c r="C10" s="40"/>
      <c r="D10" s="38"/>
      <c r="E10" s="38"/>
      <c r="F10" s="40"/>
      <c r="G10" s="41"/>
      <c r="H10" s="62"/>
      <c r="I10" s="38"/>
      <c r="J10" s="38"/>
      <c r="K10" s="314" t="s">
        <v>160</v>
      </c>
      <c r="L10" s="314"/>
      <c r="M10" s="43" t="str">
        <f>'LPLPO REKAPAN'!M11</f>
        <v>TAHUN</v>
      </c>
      <c r="N10" s="38"/>
      <c r="O10" s="38"/>
      <c r="P10" s="41"/>
      <c r="R10" s="2">
        <v>6</v>
      </c>
      <c r="T10" s="2">
        <v>6</v>
      </c>
      <c r="AK10" s="2">
        <v>12</v>
      </c>
      <c r="BL10" s="3"/>
    </row>
    <row r="11" spans="1:64" ht="19.5" x14ac:dyDescent="0.35">
      <c r="A11" s="329" t="s">
        <v>0</v>
      </c>
      <c r="B11" s="330" t="s">
        <v>1</v>
      </c>
      <c r="C11" s="294" t="s">
        <v>2</v>
      </c>
      <c r="D11" s="292" t="s">
        <v>161</v>
      </c>
      <c r="E11" s="292" t="s">
        <v>162</v>
      </c>
      <c r="F11" s="292" t="s">
        <v>163</v>
      </c>
      <c r="G11" s="292" t="s">
        <v>164</v>
      </c>
      <c r="H11" s="292" t="s">
        <v>165</v>
      </c>
      <c r="I11" s="292" t="s">
        <v>166</v>
      </c>
      <c r="J11" s="292" t="s">
        <v>167</v>
      </c>
      <c r="K11" s="292"/>
      <c r="L11" s="292"/>
      <c r="M11" s="292"/>
      <c r="N11" s="292"/>
      <c r="O11" s="292" t="s">
        <v>168</v>
      </c>
      <c r="P11" s="225"/>
      <c r="R11" s="12" t="s">
        <v>218</v>
      </c>
      <c r="S11" s="12"/>
      <c r="T11" s="12"/>
      <c r="U11" s="12"/>
      <c r="V11" s="12"/>
    </row>
    <row r="12" spans="1:64" ht="39" x14ac:dyDescent="0.35">
      <c r="A12" s="329"/>
      <c r="B12" s="330"/>
      <c r="C12" s="294"/>
      <c r="D12" s="292"/>
      <c r="E12" s="292"/>
      <c r="F12" s="292"/>
      <c r="G12" s="292"/>
      <c r="H12" s="292"/>
      <c r="I12" s="292"/>
      <c r="J12" s="175" t="s">
        <v>169</v>
      </c>
      <c r="K12" s="175" t="s">
        <v>170</v>
      </c>
      <c r="L12" s="175" t="s">
        <v>171</v>
      </c>
      <c r="M12" s="175" t="s">
        <v>172</v>
      </c>
      <c r="N12" s="175" t="s">
        <v>173</v>
      </c>
      <c r="O12" s="292"/>
      <c r="P12" s="225"/>
      <c r="R12" s="12"/>
      <c r="S12" s="12"/>
      <c r="T12" s="12"/>
      <c r="U12" s="12"/>
      <c r="V12" s="12" t="s">
        <v>219</v>
      </c>
    </row>
    <row r="13" spans="1:64" ht="19" x14ac:dyDescent="0.35">
      <c r="A13" s="44">
        <v>1</v>
      </c>
      <c r="B13" s="44">
        <v>2</v>
      </c>
      <c r="C13" s="44">
        <v>4</v>
      </c>
      <c r="D13" s="44">
        <v>5</v>
      </c>
      <c r="E13" s="44">
        <v>6</v>
      </c>
      <c r="F13" s="44">
        <v>7</v>
      </c>
      <c r="G13" s="44">
        <v>8</v>
      </c>
      <c r="H13" s="44">
        <v>9</v>
      </c>
      <c r="I13" s="44">
        <v>10</v>
      </c>
      <c r="J13" s="44">
        <v>11</v>
      </c>
      <c r="K13" s="44">
        <v>12</v>
      </c>
      <c r="L13" s="44">
        <v>13</v>
      </c>
      <c r="M13" s="44">
        <v>14</v>
      </c>
      <c r="N13" s="44">
        <v>15</v>
      </c>
      <c r="O13" s="44">
        <v>16</v>
      </c>
      <c r="P13" s="97"/>
      <c r="R13" s="12"/>
      <c r="S13" s="12"/>
      <c r="T13" s="12"/>
      <c r="U13" s="12"/>
      <c r="V13" s="12">
        <v>0</v>
      </c>
    </row>
    <row r="14" spans="1:64" ht="20.149999999999999" customHeight="1" x14ac:dyDescent="0.5">
      <c r="A14" s="187">
        <v>1</v>
      </c>
      <c r="B14" s="145" t="s">
        <v>309</v>
      </c>
      <c r="C14" s="14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41"/>
      <c r="R14" s="12"/>
      <c r="S14" s="12"/>
      <c r="T14" s="12"/>
      <c r="U14" s="12"/>
      <c r="V14" s="12"/>
    </row>
    <row r="15" spans="1:64" ht="20.149999999999999" customHeight="1" x14ac:dyDescent="0.5">
      <c r="A15" s="11">
        <v>2</v>
      </c>
      <c r="B15" s="178" t="s">
        <v>148</v>
      </c>
      <c r="C15" s="144" t="s">
        <v>177</v>
      </c>
      <c r="D15" s="214">
        <f>'SISA STOK UNIT'!D186</f>
        <v>0</v>
      </c>
      <c r="E15" s="214">
        <f>'LPLPO PROGRAM'!E15</f>
        <v>0</v>
      </c>
      <c r="F15" s="214">
        <f>D15+E15</f>
        <v>0</v>
      </c>
      <c r="G15" s="214">
        <f>'PEMAKAIAN UNIT'!R183</f>
        <v>0</v>
      </c>
      <c r="H15" s="214">
        <f>F15-G15</f>
        <v>0</v>
      </c>
      <c r="I15" s="220">
        <f>'LPLPO PROGRAM'!I15</f>
        <v>0</v>
      </c>
      <c r="J15" s="222" t="e">
        <f>H15-'SISA STOK UNIT'!AE192</f>
        <v>#REF!</v>
      </c>
      <c r="K15" s="148"/>
      <c r="L15" s="148"/>
      <c r="M15" s="148"/>
      <c r="N15" s="148"/>
      <c r="O15" s="148"/>
      <c r="P15" s="41"/>
      <c r="R15" s="12"/>
      <c r="S15" s="12"/>
      <c r="T15" s="12"/>
      <c r="U15" s="12"/>
      <c r="V15" s="12"/>
    </row>
    <row r="16" spans="1:64" ht="20.149999999999999" customHeight="1" x14ac:dyDescent="0.5">
      <c r="A16" s="11">
        <v>3</v>
      </c>
      <c r="B16" s="178" t="s">
        <v>391</v>
      </c>
      <c r="C16" s="144" t="s">
        <v>48</v>
      </c>
      <c r="D16" s="214">
        <f>'SISA STOK UNIT'!D187</f>
        <v>0</v>
      </c>
      <c r="E16" s="214">
        <f>'LPLPO PROGRAM'!E16</f>
        <v>0</v>
      </c>
      <c r="F16" s="214">
        <f t="shared" ref="F16:F23" si="0">D16+E16</f>
        <v>0</v>
      </c>
      <c r="G16" s="214">
        <f>'PEMAKAIAN UNIT'!R184</f>
        <v>0</v>
      </c>
      <c r="H16" s="214">
        <f t="shared" ref="H16:H23" si="1">F16-G16</f>
        <v>0</v>
      </c>
      <c r="I16" s="220">
        <f>'LPLPO PROGRAM'!I16</f>
        <v>0</v>
      </c>
      <c r="J16" s="222" t="e">
        <f>H16-'SISA STOK UNIT'!AE193</f>
        <v>#REF!</v>
      </c>
      <c r="K16" s="148"/>
      <c r="L16" s="148"/>
      <c r="M16" s="148"/>
      <c r="N16" s="148"/>
      <c r="O16" s="148"/>
      <c r="P16" s="41"/>
      <c r="R16" s="12"/>
      <c r="S16" s="12"/>
      <c r="T16" s="12"/>
      <c r="U16" s="12"/>
      <c r="V16" s="12"/>
    </row>
    <row r="17" spans="1:22" ht="20.149999999999999" customHeight="1" x14ac:dyDescent="0.5">
      <c r="A17" s="11">
        <v>4</v>
      </c>
      <c r="B17" s="178" t="s">
        <v>283</v>
      </c>
      <c r="C17" s="144" t="s">
        <v>6</v>
      </c>
      <c r="D17" s="214">
        <f>'SISA STOK UNIT'!D188</f>
        <v>0</v>
      </c>
      <c r="E17" s="214">
        <f>'LPLPO PROGRAM'!E17</f>
        <v>20000</v>
      </c>
      <c r="F17" s="214">
        <f t="shared" si="0"/>
        <v>20000</v>
      </c>
      <c r="G17" s="214">
        <f>'PEMAKAIAN UNIT'!R185</f>
        <v>0</v>
      </c>
      <c r="H17" s="214">
        <f t="shared" si="1"/>
        <v>20000</v>
      </c>
      <c r="I17" s="220">
        <f>'LPLPO PROGRAM'!I17</f>
        <v>0</v>
      </c>
      <c r="J17" s="222" t="e">
        <f>H17-'SISA STOK UNIT'!AE194</f>
        <v>#REF!</v>
      </c>
      <c r="K17" s="148"/>
      <c r="L17" s="148"/>
      <c r="M17" s="148"/>
      <c r="N17" s="148"/>
      <c r="O17" s="148"/>
      <c r="P17" s="41"/>
      <c r="R17" s="12"/>
      <c r="S17" s="12"/>
      <c r="T17" s="12"/>
      <c r="U17" s="12"/>
      <c r="V17" s="12"/>
    </row>
    <row r="18" spans="1:22" ht="20.149999999999999" customHeight="1" x14ac:dyDescent="0.5">
      <c r="A18" s="11">
        <v>5</v>
      </c>
      <c r="B18" s="178" t="s">
        <v>392</v>
      </c>
      <c r="C18" s="144" t="s">
        <v>177</v>
      </c>
      <c r="D18" s="214">
        <f>'SISA STOK UNIT'!D189</f>
        <v>0</v>
      </c>
      <c r="E18" s="214">
        <f>'LPLPO PROGRAM'!E18</f>
        <v>0</v>
      </c>
      <c r="F18" s="214">
        <f t="shared" si="0"/>
        <v>0</v>
      </c>
      <c r="G18" s="214">
        <f>'PEMAKAIAN UNIT'!R186</f>
        <v>0</v>
      </c>
      <c r="H18" s="214">
        <f t="shared" si="1"/>
        <v>0</v>
      </c>
      <c r="I18" s="220">
        <f>'LPLPO PROGRAM'!I18</f>
        <v>0</v>
      </c>
      <c r="J18" s="222">
        <f>H18-'SISA STOK UNIT'!AE195</f>
        <v>0</v>
      </c>
      <c r="K18" s="148"/>
      <c r="L18" s="148"/>
      <c r="M18" s="148"/>
      <c r="N18" s="148"/>
      <c r="O18" s="148"/>
      <c r="P18" s="41"/>
      <c r="R18" s="12"/>
      <c r="S18" s="12"/>
      <c r="T18" s="12"/>
      <c r="U18" s="12"/>
      <c r="V18" s="12"/>
    </row>
    <row r="19" spans="1:22" ht="20.149999999999999" customHeight="1" x14ac:dyDescent="0.5">
      <c r="A19" s="11">
        <v>6</v>
      </c>
      <c r="B19" s="178" t="s">
        <v>176</v>
      </c>
      <c r="C19" s="144" t="s">
        <v>33</v>
      </c>
      <c r="D19" s="214">
        <f>'SISA STOK UNIT'!D190</f>
        <v>0</v>
      </c>
      <c r="E19" s="214">
        <f>'LPLPO PROGRAM'!E19</f>
        <v>0</v>
      </c>
      <c r="F19" s="214">
        <f t="shared" si="0"/>
        <v>0</v>
      </c>
      <c r="G19" s="214">
        <f>'PEMAKAIAN UNIT'!R187</f>
        <v>0</v>
      </c>
      <c r="H19" s="214">
        <f t="shared" si="1"/>
        <v>0</v>
      </c>
      <c r="I19" s="220">
        <f>'LPLPO PROGRAM'!I19</f>
        <v>0</v>
      </c>
      <c r="J19" s="222" t="e">
        <f>H19-'SISA STOK UNIT'!AE196</f>
        <v>#REF!</v>
      </c>
      <c r="K19" s="148"/>
      <c r="L19" s="148"/>
      <c r="M19" s="148"/>
      <c r="N19" s="148"/>
      <c r="O19" s="148"/>
      <c r="P19" s="41"/>
      <c r="R19" s="12"/>
      <c r="S19" s="12"/>
      <c r="T19" s="12"/>
      <c r="U19" s="12"/>
      <c r="V19" s="12"/>
    </row>
    <row r="20" spans="1:22" ht="20.149999999999999" customHeight="1" x14ac:dyDescent="0.5">
      <c r="A20" s="11">
        <v>7</v>
      </c>
      <c r="B20" s="181" t="s">
        <v>175</v>
      </c>
      <c r="C20" s="144" t="s">
        <v>33</v>
      </c>
      <c r="D20" s="214">
        <f>'SISA STOK UNIT'!D191</f>
        <v>0</v>
      </c>
      <c r="E20" s="214">
        <f>'LPLPO PROGRAM'!E20</f>
        <v>0</v>
      </c>
      <c r="F20" s="214">
        <f t="shared" si="0"/>
        <v>0</v>
      </c>
      <c r="G20" s="214">
        <f>'PEMAKAIAN UNIT'!R188</f>
        <v>0</v>
      </c>
      <c r="H20" s="214">
        <f t="shared" si="1"/>
        <v>0</v>
      </c>
      <c r="I20" s="220">
        <f>'LPLPO PROGRAM'!I20</f>
        <v>0</v>
      </c>
      <c r="J20" s="222" t="e">
        <f>H20-'SISA STOK UNIT'!AE197</f>
        <v>#REF!</v>
      </c>
      <c r="K20" s="148"/>
      <c r="L20" s="148"/>
      <c r="M20" s="148"/>
      <c r="N20" s="148"/>
      <c r="O20" s="148"/>
      <c r="P20" s="41"/>
      <c r="R20" s="12"/>
      <c r="S20" s="12"/>
      <c r="T20" s="12"/>
      <c r="U20" s="12"/>
      <c r="V20" s="12"/>
    </row>
    <row r="21" spans="1:22" ht="20.149999999999999" customHeight="1" x14ac:dyDescent="0.5">
      <c r="A21" s="11">
        <v>8</v>
      </c>
      <c r="B21" s="178"/>
      <c r="C21" s="144"/>
      <c r="D21" s="214">
        <f>'SISA STOK UNIT'!D192</f>
        <v>0</v>
      </c>
      <c r="E21" s="214">
        <f>'LPLPO PROGRAM'!E21</f>
        <v>0</v>
      </c>
      <c r="F21" s="214">
        <f t="shared" si="0"/>
        <v>0</v>
      </c>
      <c r="G21" s="214">
        <f>'PEMAKAIAN UNIT'!R189</f>
        <v>0</v>
      </c>
      <c r="H21" s="214">
        <f t="shared" si="1"/>
        <v>0</v>
      </c>
      <c r="I21" s="220">
        <f>'LPLPO PROGRAM'!I21</f>
        <v>0</v>
      </c>
      <c r="J21" s="222" t="e">
        <f>H21-'SISA STOK UNIT'!AE198</f>
        <v>#REF!</v>
      </c>
      <c r="K21" s="148"/>
      <c r="L21" s="148"/>
      <c r="M21" s="148"/>
      <c r="N21" s="148"/>
      <c r="O21" s="148"/>
      <c r="P21" s="41"/>
      <c r="R21" s="12"/>
      <c r="S21" s="12"/>
      <c r="T21" s="12"/>
      <c r="U21" s="12"/>
      <c r="V21" s="12"/>
    </row>
    <row r="22" spans="1:22" ht="20.149999999999999" customHeight="1" x14ac:dyDescent="0.5">
      <c r="A22" s="11">
        <v>9</v>
      </c>
      <c r="B22" s="178"/>
      <c r="C22" s="144"/>
      <c r="D22" s="214">
        <f>'SISA STOK UNIT'!D193</f>
        <v>0</v>
      </c>
      <c r="E22" s="214">
        <f>'LPLPO PROGRAM'!E22</f>
        <v>0</v>
      </c>
      <c r="F22" s="214">
        <f t="shared" si="0"/>
        <v>0</v>
      </c>
      <c r="G22" s="214">
        <f>'PEMAKAIAN UNIT'!R190</f>
        <v>0</v>
      </c>
      <c r="H22" s="214">
        <f t="shared" si="1"/>
        <v>0</v>
      </c>
      <c r="I22" s="220">
        <f>'LPLPO PROGRAM'!I22</f>
        <v>0</v>
      </c>
      <c r="J22" s="222" t="e">
        <f>H22-'SISA STOK UNIT'!AE199</f>
        <v>#REF!</v>
      </c>
      <c r="K22" s="148"/>
      <c r="L22" s="148"/>
      <c r="M22" s="148"/>
      <c r="N22" s="148"/>
      <c r="O22" s="148"/>
      <c r="P22" s="41"/>
      <c r="R22" s="12"/>
      <c r="S22" s="12"/>
      <c r="T22" s="12"/>
      <c r="U22" s="12"/>
      <c r="V22" s="12"/>
    </row>
    <row r="23" spans="1:22" ht="20.149999999999999" customHeight="1" x14ac:dyDescent="0.5">
      <c r="A23" s="11">
        <v>10</v>
      </c>
      <c r="B23" s="178"/>
      <c r="C23" s="144"/>
      <c r="D23" s="214">
        <f>'SISA STOK UNIT'!D194</f>
        <v>0</v>
      </c>
      <c r="E23" s="214">
        <f>'LPLPO PROGRAM'!E23</f>
        <v>0</v>
      </c>
      <c r="F23" s="214">
        <f t="shared" si="0"/>
        <v>0</v>
      </c>
      <c r="G23" s="214">
        <f>'PEMAKAIAN UNIT'!R191</f>
        <v>0</v>
      </c>
      <c r="H23" s="214">
        <f t="shared" si="1"/>
        <v>0</v>
      </c>
      <c r="I23" s="220">
        <f>'LPLPO PROGRAM'!I23</f>
        <v>0</v>
      </c>
      <c r="J23" s="222" t="e">
        <f>H23-'SISA STOK UNIT'!AE200</f>
        <v>#REF!</v>
      </c>
      <c r="K23" s="148"/>
      <c r="L23" s="148"/>
      <c r="M23" s="148"/>
      <c r="N23" s="148"/>
      <c r="O23" s="148"/>
      <c r="P23" s="41"/>
      <c r="R23" s="12"/>
      <c r="S23" s="12"/>
      <c r="T23" s="12"/>
      <c r="U23" s="12"/>
      <c r="V23" s="12"/>
    </row>
    <row r="24" spans="1:22" ht="20.149999999999999" customHeight="1" x14ac:dyDescent="0.5">
      <c r="A24" s="187">
        <v>11</v>
      </c>
      <c r="B24" s="188" t="s">
        <v>178</v>
      </c>
      <c r="C24" s="146"/>
      <c r="D24" s="215"/>
      <c r="E24" s="215"/>
      <c r="F24" s="215"/>
      <c r="G24" s="215"/>
      <c r="H24" s="215"/>
      <c r="I24" s="216"/>
      <c r="J24" s="216"/>
      <c r="K24" s="216"/>
      <c r="L24" s="216"/>
      <c r="M24" s="216"/>
      <c r="N24" s="216"/>
      <c r="O24" s="216"/>
      <c r="P24" s="41"/>
      <c r="R24" s="12"/>
      <c r="S24" s="12"/>
      <c r="T24" s="12"/>
      <c r="U24" s="12"/>
      <c r="V24" s="12"/>
    </row>
    <row r="25" spans="1:22" ht="20.149999999999999" customHeight="1" x14ac:dyDescent="0.5">
      <c r="A25" s="11">
        <v>12</v>
      </c>
      <c r="B25" s="182" t="s">
        <v>179</v>
      </c>
      <c r="C25" s="144" t="s">
        <v>4</v>
      </c>
      <c r="D25" s="214">
        <f>'SISA STOK UNIT'!D196</f>
        <v>0</v>
      </c>
      <c r="E25" s="214">
        <f>'LPLPO PROGRAM'!E25</f>
        <v>0</v>
      </c>
      <c r="F25" s="214">
        <f t="shared" ref="F25:F39" si="2">D25+E25</f>
        <v>0</v>
      </c>
      <c r="G25" s="214">
        <f>'PEMAKAIAN UNIT'!R193</f>
        <v>0</v>
      </c>
      <c r="H25" s="214">
        <f t="shared" ref="H25:H39" si="3">F25-G25</f>
        <v>0</v>
      </c>
      <c r="I25" s="220">
        <f>'LPLPO PROGRAM'!I25</f>
        <v>0</v>
      </c>
      <c r="J25" s="222" t="e">
        <f>H25-'SISA STOK UNIT'!AE202</f>
        <v>#REF!</v>
      </c>
      <c r="K25" s="148"/>
      <c r="L25" s="148"/>
      <c r="M25" s="148"/>
      <c r="N25" s="148"/>
      <c r="O25" s="148"/>
      <c r="P25" s="41"/>
      <c r="R25" s="12"/>
      <c r="S25" s="12"/>
      <c r="T25" s="12"/>
      <c r="U25" s="12"/>
      <c r="V25" s="12"/>
    </row>
    <row r="26" spans="1:22" ht="20.149999999999999" customHeight="1" x14ac:dyDescent="0.5">
      <c r="A26" s="11">
        <v>13</v>
      </c>
      <c r="B26" s="183" t="s">
        <v>181</v>
      </c>
      <c r="C26" s="144" t="s">
        <v>182</v>
      </c>
      <c r="D26" s="214">
        <f>'SISA STOK UNIT'!D197</f>
        <v>0</v>
      </c>
      <c r="E26" s="214">
        <f>'LPLPO PROGRAM'!E26</f>
        <v>0</v>
      </c>
      <c r="F26" s="214">
        <f t="shared" si="2"/>
        <v>0</v>
      </c>
      <c r="G26" s="214">
        <f>'PEMAKAIAN UNIT'!R194</f>
        <v>0</v>
      </c>
      <c r="H26" s="214">
        <f t="shared" si="3"/>
        <v>0</v>
      </c>
      <c r="I26" s="220">
        <f>'LPLPO PROGRAM'!I26</f>
        <v>0</v>
      </c>
      <c r="J26" s="222" t="e">
        <f>H26-'SISA STOK UNIT'!AE203</f>
        <v>#REF!</v>
      </c>
      <c r="K26" s="148"/>
      <c r="L26" s="148"/>
      <c r="M26" s="148"/>
      <c r="N26" s="148"/>
      <c r="O26" s="148"/>
      <c r="P26" s="41"/>
      <c r="R26" s="12"/>
      <c r="S26" s="12"/>
      <c r="T26" s="12"/>
      <c r="U26" s="12"/>
      <c r="V26" s="12"/>
    </row>
    <row r="27" spans="1:22" ht="20.149999999999999" customHeight="1" x14ac:dyDescent="0.5">
      <c r="A27" s="11">
        <v>14</v>
      </c>
      <c r="B27" s="183" t="s">
        <v>184</v>
      </c>
      <c r="C27" s="144" t="s">
        <v>4</v>
      </c>
      <c r="D27" s="214">
        <f>'SISA STOK UNIT'!D198</f>
        <v>0</v>
      </c>
      <c r="E27" s="214">
        <f>'LPLPO PROGRAM'!E27</f>
        <v>0</v>
      </c>
      <c r="F27" s="214">
        <f t="shared" si="2"/>
        <v>0</v>
      </c>
      <c r="G27" s="214">
        <f>'PEMAKAIAN UNIT'!R195</f>
        <v>0</v>
      </c>
      <c r="H27" s="214">
        <f t="shared" si="3"/>
        <v>0</v>
      </c>
      <c r="I27" s="220">
        <f>'LPLPO PROGRAM'!I27</f>
        <v>0</v>
      </c>
      <c r="J27" s="222" t="e">
        <f>H27-'SISA STOK UNIT'!AE204</f>
        <v>#REF!</v>
      </c>
      <c r="K27" s="148"/>
      <c r="L27" s="148"/>
      <c r="M27" s="148"/>
      <c r="N27" s="148"/>
      <c r="O27" s="148"/>
      <c r="P27" s="41"/>
      <c r="R27" s="12"/>
      <c r="S27" s="12"/>
      <c r="T27" s="12"/>
      <c r="U27" s="12"/>
      <c r="V27" s="12"/>
    </row>
    <row r="28" spans="1:22" ht="20.149999999999999" customHeight="1" x14ac:dyDescent="0.5">
      <c r="A28" s="11">
        <v>15</v>
      </c>
      <c r="B28" s="183" t="s">
        <v>353</v>
      </c>
      <c r="C28" s="144" t="s">
        <v>48</v>
      </c>
      <c r="D28" s="214">
        <f>'SISA STOK UNIT'!D199</f>
        <v>0</v>
      </c>
      <c r="E28" s="214">
        <f>'LPLPO PROGRAM'!E28</f>
        <v>0</v>
      </c>
      <c r="F28" s="214">
        <f t="shared" si="2"/>
        <v>0</v>
      </c>
      <c r="G28" s="214">
        <f>'PEMAKAIAN UNIT'!R196</f>
        <v>0</v>
      </c>
      <c r="H28" s="214">
        <f t="shared" si="3"/>
        <v>0</v>
      </c>
      <c r="I28" s="220">
        <f>'LPLPO PROGRAM'!I28</f>
        <v>0</v>
      </c>
      <c r="J28" s="222" t="e">
        <f>H28-'SISA STOK UNIT'!AE205</f>
        <v>#REF!</v>
      </c>
      <c r="K28" s="148"/>
      <c r="L28" s="148"/>
      <c r="M28" s="148"/>
      <c r="N28" s="148"/>
      <c r="O28" s="148"/>
      <c r="P28" s="41"/>
      <c r="R28" s="12"/>
      <c r="S28" s="12"/>
      <c r="T28" s="12"/>
      <c r="U28" s="12"/>
      <c r="V28" s="12"/>
    </row>
    <row r="29" spans="1:22" ht="20.149999999999999" customHeight="1" x14ac:dyDescent="0.5">
      <c r="A29" s="11">
        <v>16</v>
      </c>
      <c r="B29" s="178" t="s">
        <v>183</v>
      </c>
      <c r="C29" s="144" t="s">
        <v>4</v>
      </c>
      <c r="D29" s="214">
        <f>'SISA STOK UNIT'!D200</f>
        <v>0</v>
      </c>
      <c r="E29" s="214">
        <f>'LPLPO PROGRAM'!E29</f>
        <v>0</v>
      </c>
      <c r="F29" s="214">
        <f t="shared" si="2"/>
        <v>0</v>
      </c>
      <c r="G29" s="214">
        <f>'PEMAKAIAN UNIT'!R197</f>
        <v>0</v>
      </c>
      <c r="H29" s="214">
        <f t="shared" si="3"/>
        <v>0</v>
      </c>
      <c r="I29" s="220">
        <f>'LPLPO PROGRAM'!I29</f>
        <v>0</v>
      </c>
      <c r="J29" s="222" t="e">
        <f>H29-'SISA STOK UNIT'!AE206</f>
        <v>#REF!</v>
      </c>
      <c r="K29" s="148"/>
      <c r="L29" s="148"/>
      <c r="M29" s="148"/>
      <c r="N29" s="148"/>
      <c r="O29" s="148"/>
      <c r="P29" s="41"/>
      <c r="R29" s="12"/>
      <c r="S29" s="12"/>
      <c r="T29" s="12"/>
      <c r="U29" s="12"/>
      <c r="V29" s="12"/>
    </row>
    <row r="30" spans="1:22" ht="20.149999999999999" customHeight="1" x14ac:dyDescent="0.5">
      <c r="A30" s="11">
        <v>17</v>
      </c>
      <c r="B30" s="178" t="s">
        <v>180</v>
      </c>
      <c r="C30" s="144" t="s">
        <v>4</v>
      </c>
      <c r="D30" s="214">
        <f>'SISA STOK UNIT'!D201</f>
        <v>0</v>
      </c>
      <c r="E30" s="214">
        <f>'LPLPO PROGRAM'!E30</f>
        <v>0</v>
      </c>
      <c r="F30" s="214">
        <f t="shared" si="2"/>
        <v>0</v>
      </c>
      <c r="G30" s="214">
        <f>'PEMAKAIAN UNIT'!R198</f>
        <v>0</v>
      </c>
      <c r="H30" s="214">
        <f t="shared" si="3"/>
        <v>0</v>
      </c>
      <c r="I30" s="220">
        <f>'LPLPO PROGRAM'!I30</f>
        <v>0</v>
      </c>
      <c r="J30" s="222" t="e">
        <f>H30-'SISA STOK UNIT'!AE207</f>
        <v>#REF!</v>
      </c>
      <c r="K30" s="148"/>
      <c r="L30" s="148"/>
      <c r="M30" s="148"/>
      <c r="N30" s="148"/>
      <c r="O30" s="148"/>
      <c r="P30" s="41"/>
      <c r="R30" s="12"/>
      <c r="S30" s="12"/>
      <c r="T30" s="12"/>
      <c r="U30" s="12"/>
      <c r="V30" s="12"/>
    </row>
    <row r="31" spans="1:22" ht="20.149999999999999" customHeight="1" x14ac:dyDescent="0.5">
      <c r="A31" s="11">
        <v>18</v>
      </c>
      <c r="B31" s="178" t="s">
        <v>185</v>
      </c>
      <c r="C31" s="144" t="s">
        <v>4</v>
      </c>
      <c r="D31" s="214">
        <f>'SISA STOK UNIT'!D202</f>
        <v>0</v>
      </c>
      <c r="E31" s="214">
        <f>'LPLPO PROGRAM'!E31</f>
        <v>0</v>
      </c>
      <c r="F31" s="214">
        <f t="shared" si="2"/>
        <v>0</v>
      </c>
      <c r="G31" s="214">
        <f>'PEMAKAIAN UNIT'!R199</f>
        <v>0</v>
      </c>
      <c r="H31" s="214">
        <f t="shared" si="3"/>
        <v>0</v>
      </c>
      <c r="I31" s="220">
        <f>'LPLPO PROGRAM'!I31</f>
        <v>0</v>
      </c>
      <c r="J31" s="222" t="e">
        <f>H31-'SISA STOK UNIT'!AE208</f>
        <v>#REF!</v>
      </c>
      <c r="K31" s="148"/>
      <c r="L31" s="148"/>
      <c r="M31" s="148"/>
      <c r="N31" s="148"/>
      <c r="O31" s="148"/>
      <c r="P31" s="41"/>
      <c r="R31" s="12"/>
      <c r="S31" s="12"/>
      <c r="T31" s="12"/>
      <c r="U31" s="12"/>
      <c r="V31" s="12"/>
    </row>
    <row r="32" spans="1:22" ht="20.149999999999999" customHeight="1" x14ac:dyDescent="0.5">
      <c r="A32" s="11">
        <v>19</v>
      </c>
      <c r="B32" s="178" t="s">
        <v>267</v>
      </c>
      <c r="C32" s="144" t="s">
        <v>4</v>
      </c>
      <c r="D32" s="214">
        <f>'SISA STOK UNIT'!D203</f>
        <v>0</v>
      </c>
      <c r="E32" s="214">
        <f>'LPLPO PROGRAM'!E32</f>
        <v>0</v>
      </c>
      <c r="F32" s="214">
        <f t="shared" si="2"/>
        <v>0</v>
      </c>
      <c r="G32" s="214">
        <f>'PEMAKAIAN UNIT'!R200</f>
        <v>0</v>
      </c>
      <c r="H32" s="214">
        <f t="shared" si="3"/>
        <v>0</v>
      </c>
      <c r="I32" s="220">
        <f>'LPLPO PROGRAM'!I32</f>
        <v>0</v>
      </c>
      <c r="J32" s="222" t="e">
        <f>H32-'SISA STOK UNIT'!AE209</f>
        <v>#REF!</v>
      </c>
      <c r="K32" s="148"/>
      <c r="L32" s="148"/>
      <c r="M32" s="148"/>
      <c r="N32" s="148"/>
      <c r="O32" s="148"/>
      <c r="P32" s="41"/>
      <c r="R32" s="12"/>
      <c r="S32" s="12"/>
      <c r="T32" s="12"/>
      <c r="U32" s="12"/>
      <c r="V32" s="12"/>
    </row>
    <row r="33" spans="1:22" ht="20.149999999999999" customHeight="1" x14ac:dyDescent="0.5">
      <c r="A33" s="11">
        <v>20</v>
      </c>
      <c r="B33" s="178" t="s">
        <v>186</v>
      </c>
      <c r="C33" s="144" t="s">
        <v>4</v>
      </c>
      <c r="D33" s="214">
        <f>'SISA STOK UNIT'!D204</f>
        <v>0</v>
      </c>
      <c r="E33" s="214">
        <f>'LPLPO PROGRAM'!E33</f>
        <v>0</v>
      </c>
      <c r="F33" s="214">
        <f t="shared" si="2"/>
        <v>0</v>
      </c>
      <c r="G33" s="214">
        <f>'PEMAKAIAN UNIT'!R201</f>
        <v>0</v>
      </c>
      <c r="H33" s="214">
        <f t="shared" si="3"/>
        <v>0</v>
      </c>
      <c r="I33" s="220">
        <f>'LPLPO PROGRAM'!I33</f>
        <v>0</v>
      </c>
      <c r="J33" s="222" t="e">
        <f>H33-'SISA STOK UNIT'!AE210</f>
        <v>#REF!</v>
      </c>
      <c r="K33" s="148"/>
      <c r="L33" s="148"/>
      <c r="M33" s="148"/>
      <c r="N33" s="148"/>
      <c r="O33" s="148"/>
      <c r="P33" s="41"/>
      <c r="R33" s="12"/>
      <c r="S33" s="12"/>
      <c r="T33" s="12"/>
      <c r="U33" s="12"/>
      <c r="V33" s="12"/>
    </row>
    <row r="34" spans="1:22" ht="20.149999999999999" customHeight="1" x14ac:dyDescent="0.5">
      <c r="A34" s="11">
        <v>21</v>
      </c>
      <c r="B34" s="178" t="s">
        <v>266</v>
      </c>
      <c r="C34" s="144" t="s">
        <v>4</v>
      </c>
      <c r="D34" s="214">
        <f>'SISA STOK UNIT'!D205</f>
        <v>0</v>
      </c>
      <c r="E34" s="214">
        <f>'LPLPO PROGRAM'!E34</f>
        <v>50</v>
      </c>
      <c r="F34" s="214">
        <f t="shared" si="2"/>
        <v>50</v>
      </c>
      <c r="G34" s="214">
        <f>'PEMAKAIAN UNIT'!R202</f>
        <v>0</v>
      </c>
      <c r="H34" s="214">
        <f t="shared" si="3"/>
        <v>50</v>
      </c>
      <c r="I34" s="220">
        <f>'LPLPO PROGRAM'!I34</f>
        <v>0</v>
      </c>
      <c r="J34" s="222" t="e">
        <f>H34-'SISA STOK UNIT'!AE211</f>
        <v>#REF!</v>
      </c>
      <c r="K34" s="148"/>
      <c r="L34" s="148"/>
      <c r="M34" s="148"/>
      <c r="N34" s="148"/>
      <c r="O34" s="148"/>
      <c r="P34" s="41"/>
      <c r="R34" s="12"/>
      <c r="S34" s="12"/>
      <c r="T34" s="12"/>
      <c r="U34" s="12"/>
      <c r="V34" s="12"/>
    </row>
    <row r="35" spans="1:22" ht="20.149999999999999" customHeight="1" x14ac:dyDescent="0.5">
      <c r="A35" s="11">
        <v>22</v>
      </c>
      <c r="B35" s="178" t="s">
        <v>187</v>
      </c>
      <c r="C35" s="144" t="s">
        <v>188</v>
      </c>
      <c r="D35" s="214">
        <f>'SISA STOK UNIT'!D206</f>
        <v>0</v>
      </c>
      <c r="E35" s="214">
        <f>'LPLPO PROGRAM'!E35</f>
        <v>0</v>
      </c>
      <c r="F35" s="214">
        <f t="shared" si="2"/>
        <v>0</v>
      </c>
      <c r="G35" s="214">
        <f>'PEMAKAIAN UNIT'!R203</f>
        <v>0</v>
      </c>
      <c r="H35" s="214">
        <f t="shared" si="3"/>
        <v>0</v>
      </c>
      <c r="I35" s="220">
        <f>'LPLPO PROGRAM'!I35</f>
        <v>0</v>
      </c>
      <c r="J35" s="222">
        <f>H35-'SISA STOK UNIT'!AE212</f>
        <v>0</v>
      </c>
      <c r="K35" s="148"/>
      <c r="L35" s="148"/>
      <c r="M35" s="148"/>
      <c r="N35" s="148"/>
      <c r="O35" s="148"/>
      <c r="P35" s="41"/>
      <c r="R35" s="12"/>
      <c r="S35" s="12"/>
      <c r="T35" s="12"/>
      <c r="U35" s="12"/>
      <c r="V35" s="12"/>
    </row>
    <row r="36" spans="1:22" ht="20.149999999999999" customHeight="1" x14ac:dyDescent="0.5">
      <c r="A36" s="11">
        <v>23</v>
      </c>
      <c r="B36" s="178" t="s">
        <v>393</v>
      </c>
      <c r="C36" s="144"/>
      <c r="D36" s="214">
        <f>'SISA STOK UNIT'!D207</f>
        <v>0</v>
      </c>
      <c r="E36" s="214">
        <f>'LPLPO PROGRAM'!E36</f>
        <v>0</v>
      </c>
      <c r="F36" s="214">
        <f t="shared" si="2"/>
        <v>0</v>
      </c>
      <c r="G36" s="214">
        <f>'PEMAKAIAN UNIT'!R204</f>
        <v>0</v>
      </c>
      <c r="H36" s="214">
        <f t="shared" si="3"/>
        <v>0</v>
      </c>
      <c r="I36" s="220">
        <f>'LPLPO PROGRAM'!I36</f>
        <v>0</v>
      </c>
      <c r="J36" s="222" t="e">
        <f>H36-'SISA STOK UNIT'!AE213</f>
        <v>#REF!</v>
      </c>
      <c r="K36" s="148"/>
      <c r="L36" s="148"/>
      <c r="M36" s="148"/>
      <c r="N36" s="148"/>
      <c r="O36" s="148"/>
      <c r="P36" s="41"/>
      <c r="R36" s="12"/>
      <c r="S36" s="12"/>
      <c r="T36" s="12"/>
      <c r="U36" s="12"/>
      <c r="V36" s="12"/>
    </row>
    <row r="37" spans="1:22" ht="20.149999999999999" customHeight="1" x14ac:dyDescent="0.5">
      <c r="A37" s="11">
        <v>24</v>
      </c>
      <c r="B37" s="183" t="s">
        <v>428</v>
      </c>
      <c r="C37" s="144" t="s">
        <v>6</v>
      </c>
      <c r="D37" s="214">
        <f>'SISA STOK UNIT'!D208</f>
        <v>0</v>
      </c>
      <c r="E37" s="214">
        <f>'LPLPO PROGRAM'!E37</f>
        <v>0</v>
      </c>
      <c r="F37" s="214">
        <f t="shared" si="2"/>
        <v>0</v>
      </c>
      <c r="G37" s="214">
        <f>'PEMAKAIAN UNIT'!R205</f>
        <v>0</v>
      </c>
      <c r="H37" s="214">
        <f t="shared" si="3"/>
        <v>0</v>
      </c>
      <c r="I37" s="220">
        <f>'LPLPO PROGRAM'!I37</f>
        <v>0</v>
      </c>
      <c r="J37" s="222" t="e">
        <f>H37-'SISA STOK UNIT'!AE214</f>
        <v>#REF!</v>
      </c>
      <c r="K37" s="148"/>
      <c r="L37" s="148"/>
      <c r="M37" s="148"/>
      <c r="N37" s="148"/>
      <c r="O37" s="148"/>
      <c r="P37" s="41"/>
      <c r="R37" s="12"/>
      <c r="S37" s="12"/>
      <c r="T37" s="12"/>
      <c r="U37" s="12"/>
      <c r="V37" s="12"/>
    </row>
    <row r="38" spans="1:22" ht="20.149999999999999" customHeight="1" x14ac:dyDescent="0.5">
      <c r="A38" s="11">
        <v>25</v>
      </c>
      <c r="B38" s="183" t="s">
        <v>429</v>
      </c>
      <c r="C38" s="144" t="s">
        <v>48</v>
      </c>
      <c r="D38" s="214">
        <f>'SISA STOK UNIT'!D209</f>
        <v>0</v>
      </c>
      <c r="E38" s="214">
        <f>'LPLPO PROGRAM'!E38</f>
        <v>409</v>
      </c>
      <c r="F38" s="214">
        <f t="shared" si="2"/>
        <v>409</v>
      </c>
      <c r="G38" s="214">
        <f>'PEMAKAIAN UNIT'!R206</f>
        <v>0</v>
      </c>
      <c r="H38" s="214">
        <f t="shared" si="3"/>
        <v>409</v>
      </c>
      <c r="I38" s="220">
        <f>'LPLPO PROGRAM'!I38</f>
        <v>0</v>
      </c>
      <c r="J38" s="222" t="e">
        <f>H38-'SISA STOK UNIT'!AE215</f>
        <v>#REF!</v>
      </c>
      <c r="K38" s="148"/>
      <c r="L38" s="148"/>
      <c r="M38" s="148"/>
      <c r="N38" s="148"/>
      <c r="O38" s="148"/>
      <c r="P38" s="41"/>
      <c r="R38" s="12"/>
      <c r="S38" s="12"/>
      <c r="T38" s="12"/>
      <c r="U38" s="12"/>
      <c r="V38" s="12"/>
    </row>
    <row r="39" spans="1:22" ht="20.149999999999999" customHeight="1" x14ac:dyDescent="0.5">
      <c r="A39" s="11">
        <v>26</v>
      </c>
      <c r="B39" s="178" t="s">
        <v>430</v>
      </c>
      <c r="C39" s="144" t="s">
        <v>188</v>
      </c>
      <c r="D39" s="214">
        <f>'SISA STOK UNIT'!D210</f>
        <v>0</v>
      </c>
      <c r="E39" s="214">
        <f>'LPLPO PROGRAM'!E39</f>
        <v>0</v>
      </c>
      <c r="F39" s="214">
        <f t="shared" si="2"/>
        <v>0</v>
      </c>
      <c r="G39" s="214">
        <f>'PEMAKAIAN UNIT'!R207</f>
        <v>0</v>
      </c>
      <c r="H39" s="214">
        <f t="shared" si="3"/>
        <v>0</v>
      </c>
      <c r="I39" s="220">
        <f>'LPLPO PROGRAM'!I39</f>
        <v>0</v>
      </c>
      <c r="J39" s="222" t="e">
        <f>H39-'SISA STOK UNIT'!AE216</f>
        <v>#REF!</v>
      </c>
      <c r="K39" s="148"/>
      <c r="L39" s="148"/>
      <c r="M39" s="148"/>
      <c r="N39" s="148"/>
      <c r="O39" s="148"/>
      <c r="P39" s="41"/>
      <c r="R39" s="12"/>
      <c r="S39" s="12"/>
      <c r="T39" s="12"/>
      <c r="U39" s="12"/>
      <c r="V39" s="12"/>
    </row>
    <row r="40" spans="1:22" ht="20.149999999999999" customHeight="1" x14ac:dyDescent="0.5">
      <c r="A40" s="11">
        <v>27</v>
      </c>
      <c r="B40" s="184"/>
      <c r="C40" s="144"/>
      <c r="D40" s="148"/>
      <c r="E40" s="148"/>
      <c r="F40" s="148"/>
      <c r="G40" s="148"/>
      <c r="H40" s="148"/>
      <c r="I40" s="220">
        <f>'LPLPO PROGRAM'!I40</f>
        <v>0</v>
      </c>
      <c r="J40" s="222" t="e">
        <f>H40-'SISA STOK UNIT'!AE217</f>
        <v>#REF!</v>
      </c>
      <c r="K40" s="148"/>
      <c r="L40" s="148"/>
      <c r="M40" s="148"/>
      <c r="N40" s="148"/>
      <c r="O40" s="148"/>
      <c r="P40" s="41"/>
      <c r="R40" s="12"/>
      <c r="S40" s="12"/>
      <c r="T40" s="12"/>
      <c r="U40" s="12"/>
      <c r="V40" s="12"/>
    </row>
    <row r="41" spans="1:22" ht="20.149999999999999" customHeight="1" x14ac:dyDescent="0.6">
      <c r="A41" s="187">
        <v>28</v>
      </c>
      <c r="B41" s="189" t="s">
        <v>189</v>
      </c>
      <c r="C41" s="146"/>
      <c r="D41" s="217"/>
      <c r="E41" s="217"/>
      <c r="F41" s="217"/>
      <c r="G41" s="217"/>
      <c r="H41" s="217"/>
      <c r="I41" s="216"/>
      <c r="J41" s="216"/>
      <c r="K41" s="217"/>
      <c r="L41" s="217"/>
      <c r="M41" s="217"/>
      <c r="N41" s="217"/>
      <c r="O41" s="217"/>
      <c r="P41" s="202"/>
      <c r="R41" s="12"/>
      <c r="S41" s="12"/>
      <c r="T41" s="12"/>
      <c r="U41" s="12"/>
      <c r="V41" s="12"/>
    </row>
    <row r="42" spans="1:22" ht="20.149999999999999" customHeight="1" x14ac:dyDescent="0.5">
      <c r="A42" s="11">
        <v>29</v>
      </c>
      <c r="B42" s="183" t="s">
        <v>268</v>
      </c>
      <c r="C42" s="144" t="s">
        <v>6</v>
      </c>
      <c r="D42" s="214">
        <f>'SISA STOK UNIT'!D213</f>
        <v>0</v>
      </c>
      <c r="E42" s="214">
        <f>'LPLPO PROGRAM'!E42</f>
        <v>0</v>
      </c>
      <c r="F42" s="214">
        <f t="shared" ref="F42:F53" si="4">D42+E42</f>
        <v>0</v>
      </c>
      <c r="G42" s="214">
        <f>'PEMAKAIAN UNIT'!R210</f>
        <v>0</v>
      </c>
      <c r="H42" s="214">
        <f t="shared" ref="H42:H53" si="5">F42-G42</f>
        <v>0</v>
      </c>
      <c r="I42" s="220">
        <f>'LPLPO PROGRAM'!I42</f>
        <v>0</v>
      </c>
      <c r="J42" s="222" t="e">
        <f>H42-'SISA STOK UNIT'!AE219</f>
        <v>#REF!</v>
      </c>
      <c r="K42" s="148"/>
      <c r="L42" s="148"/>
      <c r="M42" s="148"/>
      <c r="N42" s="148"/>
      <c r="O42" s="148"/>
      <c r="P42" s="41"/>
      <c r="R42" s="12"/>
      <c r="S42" s="12"/>
      <c r="T42" s="12"/>
      <c r="U42" s="12"/>
      <c r="V42" s="12"/>
    </row>
    <row r="43" spans="1:22" ht="20.149999999999999" customHeight="1" x14ac:dyDescent="0.5">
      <c r="A43" s="11">
        <v>30</v>
      </c>
      <c r="B43" s="178" t="s">
        <v>269</v>
      </c>
      <c r="C43" s="144" t="s">
        <v>182</v>
      </c>
      <c r="D43" s="214">
        <f>'SISA STOK UNIT'!D214</f>
        <v>0</v>
      </c>
      <c r="E43" s="214">
        <f>'LPLPO PROGRAM'!E43</f>
        <v>0</v>
      </c>
      <c r="F43" s="214">
        <f t="shared" si="4"/>
        <v>0</v>
      </c>
      <c r="G43" s="214">
        <f>'PEMAKAIAN UNIT'!R211</f>
        <v>0</v>
      </c>
      <c r="H43" s="214">
        <f t="shared" si="5"/>
        <v>0</v>
      </c>
      <c r="I43" s="220">
        <f>'LPLPO PROGRAM'!I43</f>
        <v>0</v>
      </c>
      <c r="J43" s="222" t="e">
        <f>H43-'SISA STOK UNIT'!AE220</f>
        <v>#REF!</v>
      </c>
      <c r="K43" s="148"/>
      <c r="L43" s="148"/>
      <c r="M43" s="148"/>
      <c r="N43" s="148"/>
      <c r="O43" s="148"/>
      <c r="P43" s="41"/>
      <c r="R43" s="12"/>
      <c r="S43" s="12"/>
      <c r="T43" s="12"/>
      <c r="U43" s="12"/>
      <c r="V43" s="12"/>
    </row>
    <row r="44" spans="1:22" ht="20.149999999999999" customHeight="1" x14ac:dyDescent="0.5">
      <c r="A44" s="11">
        <v>31</v>
      </c>
      <c r="B44" s="178" t="s">
        <v>284</v>
      </c>
      <c r="C44" s="144" t="s">
        <v>48</v>
      </c>
      <c r="D44" s="214">
        <f>'SISA STOK UNIT'!D215</f>
        <v>0</v>
      </c>
      <c r="E44" s="214">
        <f>'LPLPO PROGRAM'!E44</f>
        <v>0</v>
      </c>
      <c r="F44" s="214">
        <f t="shared" si="4"/>
        <v>0</v>
      </c>
      <c r="G44" s="214">
        <f>'PEMAKAIAN UNIT'!R212</f>
        <v>0</v>
      </c>
      <c r="H44" s="214">
        <f t="shared" si="5"/>
        <v>0</v>
      </c>
      <c r="I44" s="220">
        <f>'LPLPO PROGRAM'!I44</f>
        <v>0</v>
      </c>
      <c r="J44" s="222" t="e">
        <f>H44-'SISA STOK UNIT'!AE221</f>
        <v>#REF!</v>
      </c>
      <c r="K44" s="148"/>
      <c r="L44" s="148"/>
      <c r="M44" s="148"/>
      <c r="N44" s="148"/>
      <c r="O44" s="148"/>
      <c r="P44" s="41"/>
      <c r="R44" s="12"/>
      <c r="S44" s="12"/>
      <c r="T44" s="12"/>
      <c r="U44" s="12"/>
      <c r="V44" s="12"/>
    </row>
    <row r="45" spans="1:22" ht="20.149999999999999" customHeight="1" x14ac:dyDescent="0.5">
      <c r="A45" s="11">
        <v>32</v>
      </c>
      <c r="B45" s="178" t="s">
        <v>190</v>
      </c>
      <c r="C45" s="144" t="s">
        <v>6</v>
      </c>
      <c r="D45" s="214">
        <f>'SISA STOK UNIT'!D216</f>
        <v>0</v>
      </c>
      <c r="E45" s="214">
        <f>'LPLPO PROGRAM'!E45</f>
        <v>0</v>
      </c>
      <c r="F45" s="214">
        <f t="shared" si="4"/>
        <v>0</v>
      </c>
      <c r="G45" s="214">
        <f>'PEMAKAIAN UNIT'!R213</f>
        <v>0</v>
      </c>
      <c r="H45" s="214">
        <f t="shared" si="5"/>
        <v>0</v>
      </c>
      <c r="I45" s="220">
        <f>'LPLPO PROGRAM'!I45</f>
        <v>0</v>
      </c>
      <c r="J45" s="222" t="e">
        <f>H45-'SISA STOK UNIT'!AE222</f>
        <v>#REF!</v>
      </c>
      <c r="K45" s="148"/>
      <c r="L45" s="148"/>
      <c r="M45" s="148"/>
      <c r="N45" s="148"/>
      <c r="O45" s="148"/>
      <c r="P45" s="41"/>
      <c r="R45" s="12"/>
      <c r="S45" s="12"/>
      <c r="T45" s="12"/>
      <c r="U45" s="12"/>
      <c r="V45" s="12"/>
    </row>
    <row r="46" spans="1:22" ht="20.149999999999999" customHeight="1" x14ac:dyDescent="0.5">
      <c r="A46" s="11">
        <v>33</v>
      </c>
      <c r="B46" s="178" t="s">
        <v>357</v>
      </c>
      <c r="C46" s="144" t="s">
        <v>108</v>
      </c>
      <c r="D46" s="214">
        <f>'SISA STOK UNIT'!D217</f>
        <v>0</v>
      </c>
      <c r="E46" s="214">
        <f>'LPLPO PROGRAM'!E46</f>
        <v>0</v>
      </c>
      <c r="F46" s="214">
        <f t="shared" si="4"/>
        <v>0</v>
      </c>
      <c r="G46" s="214">
        <f>'PEMAKAIAN UNIT'!R214</f>
        <v>0</v>
      </c>
      <c r="H46" s="214">
        <f t="shared" si="5"/>
        <v>0</v>
      </c>
      <c r="I46" s="220">
        <f>'LPLPO PROGRAM'!I46</f>
        <v>0</v>
      </c>
      <c r="J46" s="222" t="e">
        <f>H46-'SISA STOK UNIT'!AE223</f>
        <v>#REF!</v>
      </c>
      <c r="K46" s="148"/>
      <c r="L46" s="148"/>
      <c r="M46" s="148"/>
      <c r="N46" s="148"/>
      <c r="O46" s="148"/>
      <c r="P46" s="41"/>
      <c r="R46" s="12"/>
      <c r="S46" s="12"/>
      <c r="T46" s="12"/>
      <c r="U46" s="12"/>
      <c r="V46" s="12"/>
    </row>
    <row r="47" spans="1:22" ht="20.149999999999999" customHeight="1" x14ac:dyDescent="0.5">
      <c r="A47" s="11">
        <v>34</v>
      </c>
      <c r="B47" s="178" t="s">
        <v>358</v>
      </c>
      <c r="C47" s="144" t="s">
        <v>108</v>
      </c>
      <c r="D47" s="214">
        <f>'SISA STOK UNIT'!D218</f>
        <v>0</v>
      </c>
      <c r="E47" s="214">
        <f>'LPLPO PROGRAM'!E47</f>
        <v>0</v>
      </c>
      <c r="F47" s="214">
        <f t="shared" si="4"/>
        <v>0</v>
      </c>
      <c r="G47" s="214">
        <f>'PEMAKAIAN UNIT'!R215</f>
        <v>0</v>
      </c>
      <c r="H47" s="214">
        <f t="shared" si="5"/>
        <v>0</v>
      </c>
      <c r="I47" s="220">
        <f>'LPLPO PROGRAM'!I47</f>
        <v>0</v>
      </c>
      <c r="J47" s="222" t="e">
        <f>H47-'SISA STOK UNIT'!AE224</f>
        <v>#REF!</v>
      </c>
      <c r="K47" s="148"/>
      <c r="L47" s="148"/>
      <c r="M47" s="148"/>
      <c r="N47" s="148"/>
      <c r="O47" s="148"/>
      <c r="P47" s="41"/>
      <c r="R47" s="12"/>
      <c r="S47" s="12"/>
      <c r="T47" s="12"/>
      <c r="U47" s="12"/>
      <c r="V47" s="12"/>
    </row>
    <row r="48" spans="1:22" ht="20.149999999999999" customHeight="1" x14ac:dyDescent="0.5">
      <c r="A48" s="11">
        <v>35</v>
      </c>
      <c r="B48" s="178" t="s">
        <v>356</v>
      </c>
      <c r="C48" s="144" t="s">
        <v>108</v>
      </c>
      <c r="D48" s="214">
        <f>'SISA STOK UNIT'!D219</f>
        <v>0</v>
      </c>
      <c r="E48" s="214">
        <f>'LPLPO PROGRAM'!E48</f>
        <v>0</v>
      </c>
      <c r="F48" s="214">
        <f t="shared" si="4"/>
        <v>0</v>
      </c>
      <c r="G48" s="214">
        <f>'PEMAKAIAN UNIT'!R216</f>
        <v>0</v>
      </c>
      <c r="H48" s="214">
        <f t="shared" si="5"/>
        <v>0</v>
      </c>
      <c r="I48" s="220">
        <f>'LPLPO PROGRAM'!I48</f>
        <v>0</v>
      </c>
      <c r="J48" s="222">
        <f>H48-'SISA STOK UNIT'!AE225</f>
        <v>0</v>
      </c>
      <c r="K48" s="148"/>
      <c r="L48" s="148"/>
      <c r="M48" s="148"/>
      <c r="N48" s="148"/>
      <c r="O48" s="148"/>
      <c r="P48" s="41"/>
      <c r="R48" s="12"/>
      <c r="S48" s="12"/>
      <c r="T48" s="12"/>
      <c r="U48" s="12"/>
      <c r="V48" s="12"/>
    </row>
    <row r="49" spans="1:22" ht="20.149999999999999" customHeight="1" x14ac:dyDescent="0.5">
      <c r="A49" s="11">
        <v>36</v>
      </c>
      <c r="B49" s="178" t="s">
        <v>354</v>
      </c>
      <c r="C49" s="144" t="s">
        <v>355</v>
      </c>
      <c r="D49" s="214">
        <f>'SISA STOK UNIT'!D220</f>
        <v>0</v>
      </c>
      <c r="E49" s="214">
        <f>'LPLPO PROGRAM'!E49</f>
        <v>0</v>
      </c>
      <c r="F49" s="214">
        <f t="shared" si="4"/>
        <v>0</v>
      </c>
      <c r="G49" s="214">
        <f>'PEMAKAIAN UNIT'!R217</f>
        <v>0</v>
      </c>
      <c r="H49" s="214">
        <f t="shared" si="5"/>
        <v>0</v>
      </c>
      <c r="I49" s="220">
        <f>'LPLPO PROGRAM'!I49</f>
        <v>0</v>
      </c>
      <c r="J49" s="222" t="e">
        <f>H49-'SISA STOK UNIT'!AE226</f>
        <v>#REF!</v>
      </c>
      <c r="K49" s="148"/>
      <c r="L49" s="148"/>
      <c r="M49" s="148"/>
      <c r="N49" s="148"/>
      <c r="O49" s="148"/>
      <c r="P49" s="41"/>
      <c r="R49" s="12"/>
      <c r="S49" s="12"/>
      <c r="T49" s="12"/>
      <c r="U49" s="12"/>
      <c r="V49" s="12"/>
    </row>
    <row r="50" spans="1:22" ht="20.149999999999999" customHeight="1" x14ac:dyDescent="0.5">
      <c r="A50" s="11">
        <v>37</v>
      </c>
      <c r="B50" s="178" t="s">
        <v>394</v>
      </c>
      <c r="C50" s="144" t="s">
        <v>395</v>
      </c>
      <c r="D50" s="214">
        <f>'SISA STOK UNIT'!D221</f>
        <v>0</v>
      </c>
      <c r="E50" s="214">
        <f>'LPLPO PROGRAM'!E50</f>
        <v>0</v>
      </c>
      <c r="F50" s="214">
        <f t="shared" si="4"/>
        <v>0</v>
      </c>
      <c r="G50" s="214">
        <f>'PEMAKAIAN UNIT'!R218</f>
        <v>0</v>
      </c>
      <c r="H50" s="214">
        <f t="shared" si="5"/>
        <v>0</v>
      </c>
      <c r="I50" s="220">
        <f>'LPLPO PROGRAM'!I50</f>
        <v>0</v>
      </c>
      <c r="J50" s="222" t="e">
        <f>H50-'SISA STOK UNIT'!AE227</f>
        <v>#REF!</v>
      </c>
      <c r="K50" s="148"/>
      <c r="L50" s="148"/>
      <c r="M50" s="148"/>
      <c r="N50" s="148"/>
      <c r="O50" s="148"/>
      <c r="P50" s="41"/>
      <c r="R50" s="12"/>
      <c r="S50" s="12"/>
      <c r="T50" s="12"/>
      <c r="U50" s="12"/>
      <c r="V50" s="12"/>
    </row>
    <row r="51" spans="1:22" ht="20.149999999999999" customHeight="1" x14ac:dyDescent="0.5">
      <c r="A51" s="11">
        <v>38</v>
      </c>
      <c r="B51" s="183" t="s">
        <v>431</v>
      </c>
      <c r="C51" s="144" t="s">
        <v>48</v>
      </c>
      <c r="D51" s="214">
        <f>'SISA STOK UNIT'!D222</f>
        <v>0</v>
      </c>
      <c r="E51" s="214">
        <f>'LPLPO PROGRAM'!E51</f>
        <v>0</v>
      </c>
      <c r="F51" s="214">
        <f t="shared" si="4"/>
        <v>0</v>
      </c>
      <c r="G51" s="214">
        <f>'PEMAKAIAN UNIT'!R219</f>
        <v>0</v>
      </c>
      <c r="H51" s="214">
        <f t="shared" si="5"/>
        <v>0</v>
      </c>
      <c r="I51" s="220">
        <f>'LPLPO PROGRAM'!I51</f>
        <v>0</v>
      </c>
      <c r="J51" s="222" t="e">
        <f>H51-'SISA STOK UNIT'!AE228</f>
        <v>#REF!</v>
      </c>
      <c r="K51" s="148"/>
      <c r="L51" s="148"/>
      <c r="M51" s="148"/>
      <c r="N51" s="148"/>
      <c r="O51" s="148"/>
      <c r="P51" s="41"/>
      <c r="R51" s="12"/>
      <c r="S51" s="12"/>
      <c r="T51" s="12"/>
      <c r="U51" s="12"/>
      <c r="V51" s="12"/>
    </row>
    <row r="52" spans="1:22" ht="20.149999999999999" customHeight="1" x14ac:dyDescent="0.5">
      <c r="A52" s="11">
        <v>39</v>
      </c>
      <c r="B52" s="178"/>
      <c r="C52" s="144"/>
      <c r="D52" s="214">
        <f>'SISA STOK UNIT'!D223</f>
        <v>0</v>
      </c>
      <c r="E52" s="214">
        <f>'LPLPO PROGRAM'!E52</f>
        <v>0</v>
      </c>
      <c r="F52" s="214">
        <f t="shared" si="4"/>
        <v>0</v>
      </c>
      <c r="G52" s="214">
        <f>'PEMAKAIAN UNIT'!R220</f>
        <v>0</v>
      </c>
      <c r="H52" s="214">
        <f t="shared" si="5"/>
        <v>0</v>
      </c>
      <c r="I52" s="220">
        <f>'LPLPO PROGRAM'!I52</f>
        <v>0</v>
      </c>
      <c r="J52" s="222" t="e">
        <f>H52-'SISA STOK UNIT'!AE229</f>
        <v>#REF!</v>
      </c>
      <c r="K52" s="148"/>
      <c r="L52" s="148"/>
      <c r="M52" s="148"/>
      <c r="N52" s="148"/>
      <c r="O52" s="148"/>
      <c r="P52" s="41"/>
      <c r="R52" s="12"/>
      <c r="S52" s="12"/>
      <c r="T52" s="12"/>
      <c r="U52" s="12"/>
      <c r="V52" s="12"/>
    </row>
    <row r="53" spans="1:22" ht="20.149999999999999" customHeight="1" x14ac:dyDescent="0.5">
      <c r="A53" s="11">
        <v>40</v>
      </c>
      <c r="B53" s="178"/>
      <c r="C53" s="144"/>
      <c r="D53" s="214">
        <f>'SISA STOK UNIT'!D224</f>
        <v>0</v>
      </c>
      <c r="E53" s="214">
        <f>'LPLPO PROGRAM'!E53</f>
        <v>0</v>
      </c>
      <c r="F53" s="214">
        <f t="shared" si="4"/>
        <v>0</v>
      </c>
      <c r="G53" s="214">
        <f>'PEMAKAIAN UNIT'!R221</f>
        <v>0</v>
      </c>
      <c r="H53" s="214">
        <f t="shared" si="5"/>
        <v>0</v>
      </c>
      <c r="I53" s="220">
        <f>'LPLPO PROGRAM'!I53</f>
        <v>0</v>
      </c>
      <c r="J53" s="222" t="e">
        <f>H53-'SISA STOK UNIT'!AE230</f>
        <v>#REF!</v>
      </c>
      <c r="K53" s="148"/>
      <c r="L53" s="148"/>
      <c r="M53" s="148"/>
      <c r="N53" s="148"/>
      <c r="O53" s="148"/>
      <c r="P53" s="41"/>
      <c r="R53" s="12"/>
      <c r="S53" s="12"/>
      <c r="T53" s="12"/>
      <c r="U53" s="12"/>
      <c r="V53" s="12"/>
    </row>
    <row r="54" spans="1:22" ht="20.149999999999999" customHeight="1" x14ac:dyDescent="0.6">
      <c r="A54" s="187">
        <v>41</v>
      </c>
      <c r="B54" s="188" t="s">
        <v>191</v>
      </c>
      <c r="C54" s="146"/>
      <c r="D54" s="215"/>
      <c r="E54" s="215"/>
      <c r="F54" s="215"/>
      <c r="G54" s="215"/>
      <c r="H54" s="217"/>
      <c r="I54" s="216"/>
      <c r="J54" s="216"/>
      <c r="K54" s="216"/>
      <c r="L54" s="216"/>
      <c r="M54" s="216"/>
      <c r="N54" s="216"/>
      <c r="O54" s="216"/>
      <c r="P54" s="41"/>
      <c r="R54" s="12"/>
      <c r="S54" s="12"/>
      <c r="T54" s="12"/>
      <c r="U54" s="12"/>
      <c r="V54" s="12"/>
    </row>
    <row r="55" spans="1:22" ht="20.149999999999999" customHeight="1" x14ac:dyDescent="0.5">
      <c r="A55" s="11">
        <v>42</v>
      </c>
      <c r="B55" s="178" t="s">
        <v>192</v>
      </c>
      <c r="C55" s="144" t="s">
        <v>6</v>
      </c>
      <c r="D55" s="214">
        <f>'SISA STOK UNIT'!D226</f>
        <v>0</v>
      </c>
      <c r="E55" s="214">
        <f>'LPLPO PROGRAM'!E55</f>
        <v>0</v>
      </c>
      <c r="F55" s="214">
        <f t="shared" ref="F55:F60" si="6">D55+E55</f>
        <v>0</v>
      </c>
      <c r="G55" s="214">
        <f>'PEMAKAIAN UNIT'!R223</f>
        <v>0</v>
      </c>
      <c r="H55" s="214">
        <f t="shared" ref="H55:H60" si="7">F55-G55</f>
        <v>0</v>
      </c>
      <c r="I55" s="220">
        <f>'LPLPO PROGRAM'!I55</f>
        <v>0</v>
      </c>
      <c r="J55" s="222">
        <f>H55-'SISA STOK UNIT'!AE232</f>
        <v>0</v>
      </c>
      <c r="K55" s="148"/>
      <c r="L55" s="148"/>
      <c r="M55" s="148"/>
      <c r="N55" s="148"/>
      <c r="O55" s="148"/>
      <c r="P55" s="41"/>
      <c r="R55" s="12"/>
      <c r="S55" s="12"/>
      <c r="T55" s="12"/>
      <c r="U55" s="12"/>
      <c r="V55" s="12"/>
    </row>
    <row r="56" spans="1:22" ht="20.149999999999999" customHeight="1" x14ac:dyDescent="0.5">
      <c r="A56" s="11">
        <v>43</v>
      </c>
      <c r="B56" s="178" t="s">
        <v>285</v>
      </c>
      <c r="C56" s="144" t="s">
        <v>48</v>
      </c>
      <c r="D56" s="214">
        <f>'SISA STOK UNIT'!D227</f>
        <v>0</v>
      </c>
      <c r="E56" s="214">
        <f>'LPLPO PROGRAM'!E56</f>
        <v>0</v>
      </c>
      <c r="F56" s="214">
        <f t="shared" si="6"/>
        <v>0</v>
      </c>
      <c r="G56" s="214">
        <f>'PEMAKAIAN UNIT'!R224</f>
        <v>0</v>
      </c>
      <c r="H56" s="214">
        <f t="shared" si="7"/>
        <v>0</v>
      </c>
      <c r="I56" s="220">
        <f>'LPLPO PROGRAM'!I56</f>
        <v>0</v>
      </c>
      <c r="J56" s="222" t="e">
        <f>H56-'SISA STOK UNIT'!AE233</f>
        <v>#REF!</v>
      </c>
      <c r="K56" s="148"/>
      <c r="L56" s="148"/>
      <c r="M56" s="148"/>
      <c r="N56" s="148"/>
      <c r="O56" s="148"/>
      <c r="P56" s="41"/>
      <c r="R56" s="12"/>
      <c r="S56" s="12"/>
      <c r="T56" s="12"/>
      <c r="U56" s="12"/>
      <c r="V56" s="12"/>
    </row>
    <row r="57" spans="1:22" ht="20.149999999999999" customHeight="1" x14ac:dyDescent="0.5">
      <c r="A57" s="11">
        <v>44</v>
      </c>
      <c r="B57" s="178" t="s">
        <v>359</v>
      </c>
      <c r="C57" s="144" t="s">
        <v>48</v>
      </c>
      <c r="D57" s="214">
        <f>'SISA STOK UNIT'!D228</f>
        <v>0</v>
      </c>
      <c r="E57" s="214">
        <f>'LPLPO PROGRAM'!E57</f>
        <v>0</v>
      </c>
      <c r="F57" s="214">
        <f t="shared" si="6"/>
        <v>0</v>
      </c>
      <c r="G57" s="214">
        <f>'PEMAKAIAN UNIT'!R225</f>
        <v>0</v>
      </c>
      <c r="H57" s="214">
        <f t="shared" si="7"/>
        <v>0</v>
      </c>
      <c r="I57" s="220">
        <f>'LPLPO PROGRAM'!I57</f>
        <v>0</v>
      </c>
      <c r="J57" s="222" t="e">
        <f>H57-'SISA STOK UNIT'!AE234</f>
        <v>#REF!</v>
      </c>
      <c r="K57" s="148"/>
      <c r="L57" s="148"/>
      <c r="M57" s="148"/>
      <c r="N57" s="148"/>
      <c r="O57" s="148"/>
      <c r="P57" s="41"/>
      <c r="R57" s="12"/>
      <c r="S57" s="12"/>
      <c r="T57" s="12"/>
      <c r="U57" s="12"/>
      <c r="V57" s="12"/>
    </row>
    <row r="58" spans="1:22" ht="20.149999999999999" customHeight="1" x14ac:dyDescent="0.5">
      <c r="A58" s="11">
        <v>45</v>
      </c>
      <c r="B58" s="178"/>
      <c r="C58" s="144"/>
      <c r="D58" s="214">
        <f>'SISA STOK UNIT'!D229</f>
        <v>0</v>
      </c>
      <c r="E58" s="214">
        <f>'LPLPO PROGRAM'!E58</f>
        <v>0</v>
      </c>
      <c r="F58" s="214">
        <f t="shared" si="6"/>
        <v>0</v>
      </c>
      <c r="G58" s="214">
        <f>'PEMAKAIAN UNIT'!R226</f>
        <v>0</v>
      </c>
      <c r="H58" s="214">
        <f t="shared" si="7"/>
        <v>0</v>
      </c>
      <c r="I58" s="220">
        <f>'LPLPO PROGRAM'!I58</f>
        <v>0</v>
      </c>
      <c r="J58" s="222" t="e">
        <f>H58-'SISA STOK UNIT'!AE235</f>
        <v>#REF!</v>
      </c>
      <c r="K58" s="148"/>
      <c r="L58" s="148"/>
      <c r="M58" s="148"/>
      <c r="N58" s="148"/>
      <c r="O58" s="148"/>
      <c r="P58" s="41"/>
      <c r="R58" s="12"/>
      <c r="S58" s="12"/>
      <c r="T58" s="12"/>
      <c r="U58" s="12"/>
      <c r="V58" s="12"/>
    </row>
    <row r="59" spans="1:22" ht="20.149999999999999" customHeight="1" x14ac:dyDescent="0.5">
      <c r="A59" s="11">
        <v>46</v>
      </c>
      <c r="B59" s="178"/>
      <c r="C59" s="144"/>
      <c r="D59" s="214">
        <f>'SISA STOK UNIT'!D230</f>
        <v>0</v>
      </c>
      <c r="E59" s="214">
        <f>'LPLPO PROGRAM'!E59</f>
        <v>0</v>
      </c>
      <c r="F59" s="214">
        <f t="shared" si="6"/>
        <v>0</v>
      </c>
      <c r="G59" s="214">
        <f>'PEMAKAIAN UNIT'!R227</f>
        <v>0</v>
      </c>
      <c r="H59" s="214">
        <f t="shared" si="7"/>
        <v>0</v>
      </c>
      <c r="I59" s="220">
        <f>'LPLPO PROGRAM'!I59</f>
        <v>0</v>
      </c>
      <c r="J59" s="222" t="e">
        <f>H59-'SISA STOK UNIT'!AE236</f>
        <v>#REF!</v>
      </c>
      <c r="K59" s="148"/>
      <c r="L59" s="148"/>
      <c r="M59" s="148"/>
      <c r="N59" s="148"/>
      <c r="O59" s="148"/>
      <c r="P59" s="41"/>
      <c r="R59" s="12"/>
      <c r="S59" s="12"/>
      <c r="T59" s="12"/>
      <c r="U59" s="12"/>
      <c r="V59" s="12"/>
    </row>
    <row r="60" spans="1:22" ht="20.149999999999999" customHeight="1" x14ac:dyDescent="0.5">
      <c r="A60" s="11">
        <v>47</v>
      </c>
      <c r="B60" s="178"/>
      <c r="C60" s="144"/>
      <c r="D60" s="214">
        <f>'SISA STOK UNIT'!D231</f>
        <v>0</v>
      </c>
      <c r="E60" s="214">
        <f>'LPLPO PROGRAM'!E60</f>
        <v>0</v>
      </c>
      <c r="F60" s="214">
        <f t="shared" si="6"/>
        <v>0</v>
      </c>
      <c r="G60" s="214">
        <f>'PEMAKAIAN UNIT'!R228</f>
        <v>0</v>
      </c>
      <c r="H60" s="214">
        <f t="shared" si="7"/>
        <v>0</v>
      </c>
      <c r="I60" s="220">
        <f>'LPLPO PROGRAM'!I60</f>
        <v>0</v>
      </c>
      <c r="J60" s="222" t="e">
        <f>H60-'SISA STOK UNIT'!AE237</f>
        <v>#REF!</v>
      </c>
      <c r="K60" s="148"/>
      <c r="L60" s="148"/>
      <c r="M60" s="148"/>
      <c r="N60" s="148"/>
      <c r="O60" s="148"/>
      <c r="P60" s="41"/>
      <c r="R60" s="12"/>
      <c r="S60" s="12"/>
      <c r="T60" s="12"/>
      <c r="U60" s="12"/>
      <c r="V60" s="12"/>
    </row>
    <row r="61" spans="1:22" ht="20.149999999999999" customHeight="1" x14ac:dyDescent="0.6">
      <c r="A61" s="187">
        <v>48</v>
      </c>
      <c r="B61" s="188" t="s">
        <v>193</v>
      </c>
      <c r="C61" s="146"/>
      <c r="D61" s="219"/>
      <c r="E61" s="219"/>
      <c r="F61" s="219"/>
      <c r="G61" s="219"/>
      <c r="H61" s="217"/>
      <c r="I61" s="216"/>
      <c r="J61" s="216"/>
      <c r="K61" s="217"/>
      <c r="L61" s="217"/>
      <c r="M61" s="217"/>
      <c r="N61" s="217"/>
      <c r="O61" s="217"/>
      <c r="P61" s="202"/>
      <c r="R61" s="12"/>
      <c r="S61" s="12"/>
      <c r="T61" s="12"/>
      <c r="U61" s="12"/>
      <c r="V61" s="12"/>
    </row>
    <row r="62" spans="1:22" ht="20.149999999999999" customHeight="1" x14ac:dyDescent="0.5">
      <c r="A62" s="11">
        <v>49</v>
      </c>
      <c r="B62" s="178" t="s">
        <v>194</v>
      </c>
      <c r="C62" s="144" t="s">
        <v>6</v>
      </c>
      <c r="D62" s="214">
        <f>'SISA STOK UNIT'!D233</f>
        <v>0</v>
      </c>
      <c r="E62" s="214">
        <f>'LPLPO PROGRAM'!E62</f>
        <v>0</v>
      </c>
      <c r="F62" s="214">
        <f t="shared" ref="F62:F69" si="8">D62+E62</f>
        <v>0</v>
      </c>
      <c r="G62" s="214">
        <f>'PEMAKAIAN UNIT'!R230</f>
        <v>0</v>
      </c>
      <c r="H62" s="214">
        <f t="shared" ref="H62:H69" si="9">F62-G62</f>
        <v>0</v>
      </c>
      <c r="I62" s="220">
        <f>'LPLPO PROGRAM'!I62</f>
        <v>0</v>
      </c>
      <c r="J62" s="222" t="e">
        <f>H62-'SISA STOK UNIT'!AE239</f>
        <v>#REF!</v>
      </c>
      <c r="K62" s="148"/>
      <c r="L62" s="148"/>
      <c r="M62" s="148"/>
      <c r="N62" s="148"/>
      <c r="O62" s="148"/>
      <c r="P62" s="41"/>
      <c r="R62" s="12"/>
      <c r="S62" s="12"/>
      <c r="T62" s="12"/>
      <c r="U62" s="12"/>
      <c r="V62" s="12"/>
    </row>
    <row r="63" spans="1:22" ht="20.149999999999999" customHeight="1" x14ac:dyDescent="0.5">
      <c r="A63" s="11">
        <v>50</v>
      </c>
      <c r="B63" s="178" t="s">
        <v>195</v>
      </c>
      <c r="C63" s="144" t="s">
        <v>6</v>
      </c>
      <c r="D63" s="214">
        <f>'SISA STOK UNIT'!D234</f>
        <v>0</v>
      </c>
      <c r="E63" s="214">
        <f>'LPLPO PROGRAM'!E63</f>
        <v>0</v>
      </c>
      <c r="F63" s="214">
        <f t="shared" si="8"/>
        <v>0</v>
      </c>
      <c r="G63" s="214">
        <f>'PEMAKAIAN UNIT'!R231</f>
        <v>0</v>
      </c>
      <c r="H63" s="214">
        <f t="shared" si="9"/>
        <v>0</v>
      </c>
      <c r="I63" s="220">
        <f>'LPLPO PROGRAM'!I63</f>
        <v>0</v>
      </c>
      <c r="J63" s="222" t="e">
        <f>H63-'SISA STOK UNIT'!AE240</f>
        <v>#REF!</v>
      </c>
      <c r="K63" s="148"/>
      <c r="L63" s="148"/>
      <c r="M63" s="148"/>
      <c r="N63" s="148"/>
      <c r="O63" s="148"/>
      <c r="P63" s="41"/>
      <c r="R63" s="12"/>
      <c r="S63" s="12"/>
      <c r="T63" s="12"/>
      <c r="U63" s="12"/>
      <c r="V63" s="12"/>
    </row>
    <row r="64" spans="1:22" ht="20.149999999999999" customHeight="1" x14ac:dyDescent="0.5">
      <c r="A64" s="11">
        <v>51</v>
      </c>
      <c r="B64" s="178" t="s">
        <v>196</v>
      </c>
      <c r="C64" s="144" t="s">
        <v>6</v>
      </c>
      <c r="D64" s="214">
        <f>'SISA STOK UNIT'!D235</f>
        <v>0</v>
      </c>
      <c r="E64" s="214">
        <f>'LPLPO PROGRAM'!E64</f>
        <v>0</v>
      </c>
      <c r="F64" s="214">
        <f t="shared" si="8"/>
        <v>0</v>
      </c>
      <c r="G64" s="214">
        <f>'PEMAKAIAN UNIT'!R232</f>
        <v>0</v>
      </c>
      <c r="H64" s="214">
        <f t="shared" si="9"/>
        <v>0</v>
      </c>
      <c r="I64" s="220">
        <f>'LPLPO PROGRAM'!I64</f>
        <v>0</v>
      </c>
      <c r="J64" s="222" t="e">
        <f>H64-'SISA STOK UNIT'!AE241</f>
        <v>#REF!</v>
      </c>
      <c r="K64" s="148"/>
      <c r="L64" s="148"/>
      <c r="M64" s="148"/>
      <c r="N64" s="148"/>
      <c r="O64" s="148"/>
      <c r="P64" s="41"/>
      <c r="R64" s="12"/>
      <c r="S64" s="12"/>
      <c r="T64" s="12"/>
      <c r="U64" s="12"/>
      <c r="V64" s="12"/>
    </row>
    <row r="65" spans="1:22" ht="20.149999999999999" customHeight="1" x14ac:dyDescent="0.5">
      <c r="A65" s="11">
        <v>52</v>
      </c>
      <c r="B65" s="184" t="s">
        <v>361</v>
      </c>
      <c r="C65" s="144" t="s">
        <v>6</v>
      </c>
      <c r="D65" s="214">
        <f>'SISA STOK UNIT'!D236</f>
        <v>0</v>
      </c>
      <c r="E65" s="214">
        <f>'LPLPO PROGRAM'!E65</f>
        <v>0</v>
      </c>
      <c r="F65" s="214">
        <f t="shared" si="8"/>
        <v>0</v>
      </c>
      <c r="G65" s="214">
        <f>'PEMAKAIAN UNIT'!R233</f>
        <v>0</v>
      </c>
      <c r="H65" s="214">
        <f t="shared" si="9"/>
        <v>0</v>
      </c>
      <c r="I65" s="220">
        <f>'LPLPO PROGRAM'!I65</f>
        <v>0</v>
      </c>
      <c r="J65" s="222" t="e">
        <f>H65-'SISA STOK UNIT'!AE242</f>
        <v>#REF!</v>
      </c>
      <c r="K65" s="148"/>
      <c r="L65" s="148"/>
      <c r="M65" s="148"/>
      <c r="N65" s="148"/>
      <c r="O65" s="148"/>
      <c r="P65" s="41"/>
      <c r="R65" s="12"/>
      <c r="S65" s="12"/>
      <c r="T65" s="12"/>
      <c r="U65" s="12"/>
      <c r="V65" s="12"/>
    </row>
    <row r="66" spans="1:22" ht="20.149999999999999" customHeight="1" x14ac:dyDescent="0.5">
      <c r="A66" s="11">
        <v>53</v>
      </c>
      <c r="B66" s="184" t="s">
        <v>270</v>
      </c>
      <c r="C66" s="144" t="s">
        <v>198</v>
      </c>
      <c r="D66" s="214">
        <f>'SISA STOK UNIT'!D237</f>
        <v>0</v>
      </c>
      <c r="E66" s="214">
        <f>'LPLPO PROGRAM'!E66</f>
        <v>0</v>
      </c>
      <c r="F66" s="214">
        <f t="shared" si="8"/>
        <v>0</v>
      </c>
      <c r="G66" s="214">
        <f>'PEMAKAIAN UNIT'!R234</f>
        <v>0</v>
      </c>
      <c r="H66" s="214">
        <f t="shared" si="9"/>
        <v>0</v>
      </c>
      <c r="I66" s="220">
        <f>'LPLPO PROGRAM'!I66</f>
        <v>0</v>
      </c>
      <c r="J66" s="222">
        <f>H66-'SISA STOK UNIT'!AE243</f>
        <v>0</v>
      </c>
      <c r="K66" s="148"/>
      <c r="L66" s="148"/>
      <c r="M66" s="148"/>
      <c r="N66" s="148"/>
      <c r="O66" s="148"/>
      <c r="P66" s="41"/>
      <c r="R66" s="12"/>
      <c r="S66" s="12"/>
      <c r="T66" s="12"/>
      <c r="U66" s="12"/>
      <c r="V66" s="12"/>
    </row>
    <row r="67" spans="1:22" ht="20.149999999999999" customHeight="1" x14ac:dyDescent="0.5">
      <c r="A67" s="11">
        <v>54</v>
      </c>
      <c r="B67" s="184" t="s">
        <v>360</v>
      </c>
      <c r="C67" s="144" t="s">
        <v>6</v>
      </c>
      <c r="D67" s="214">
        <f>'SISA STOK UNIT'!D238</f>
        <v>0</v>
      </c>
      <c r="E67" s="214">
        <f>'LPLPO PROGRAM'!E67</f>
        <v>0</v>
      </c>
      <c r="F67" s="214">
        <f t="shared" si="8"/>
        <v>0</v>
      </c>
      <c r="G67" s="214">
        <f>'PEMAKAIAN UNIT'!R235</f>
        <v>0</v>
      </c>
      <c r="H67" s="214">
        <f t="shared" si="9"/>
        <v>0</v>
      </c>
      <c r="I67" s="220">
        <f>'LPLPO PROGRAM'!I67</f>
        <v>0</v>
      </c>
      <c r="J67" s="222" t="e">
        <f>H67-'SISA STOK UNIT'!AE244</f>
        <v>#REF!</v>
      </c>
      <c r="K67" s="148"/>
      <c r="L67" s="148"/>
      <c r="M67" s="148"/>
      <c r="N67" s="148"/>
      <c r="O67" s="148"/>
      <c r="P67" s="41"/>
      <c r="R67" s="12"/>
      <c r="S67" s="12"/>
      <c r="T67" s="12"/>
      <c r="U67" s="12"/>
      <c r="V67" s="12"/>
    </row>
    <row r="68" spans="1:22" ht="20.149999999999999" customHeight="1" x14ac:dyDescent="0.5">
      <c r="A68" s="11">
        <v>55</v>
      </c>
      <c r="B68" s="184" t="s">
        <v>197</v>
      </c>
      <c r="C68" s="144" t="s">
        <v>6</v>
      </c>
      <c r="D68" s="214">
        <f>'SISA STOK UNIT'!D239</f>
        <v>0</v>
      </c>
      <c r="E68" s="214">
        <f>'LPLPO PROGRAM'!E68</f>
        <v>0</v>
      </c>
      <c r="F68" s="214">
        <f t="shared" si="8"/>
        <v>0</v>
      </c>
      <c r="G68" s="214">
        <f>'PEMAKAIAN UNIT'!R236</f>
        <v>0</v>
      </c>
      <c r="H68" s="214">
        <f t="shared" si="9"/>
        <v>0</v>
      </c>
      <c r="I68" s="220">
        <f>'LPLPO PROGRAM'!I68</f>
        <v>0</v>
      </c>
      <c r="J68" s="222" t="e">
        <f>H68-'SISA STOK UNIT'!AE245</f>
        <v>#REF!</v>
      </c>
      <c r="K68" s="148"/>
      <c r="L68" s="148"/>
      <c r="M68" s="148"/>
      <c r="N68" s="148"/>
      <c r="O68" s="148"/>
      <c r="P68" s="41"/>
      <c r="R68" s="12"/>
      <c r="S68" s="12"/>
      <c r="T68" s="12"/>
      <c r="U68" s="12"/>
      <c r="V68" s="12"/>
    </row>
    <row r="69" spans="1:22" ht="20.149999999999999" customHeight="1" x14ac:dyDescent="0.5">
      <c r="A69" s="11">
        <v>56</v>
      </c>
      <c r="B69" s="184"/>
      <c r="C69" s="144"/>
      <c r="D69" s="214">
        <f>'SISA STOK UNIT'!D240</f>
        <v>0</v>
      </c>
      <c r="E69" s="214">
        <f>'LPLPO PROGRAM'!E69</f>
        <v>0</v>
      </c>
      <c r="F69" s="214">
        <f t="shared" si="8"/>
        <v>0</v>
      </c>
      <c r="G69" s="214">
        <f>'PEMAKAIAN UNIT'!R237</f>
        <v>0</v>
      </c>
      <c r="H69" s="214">
        <f t="shared" si="9"/>
        <v>0</v>
      </c>
      <c r="I69" s="220">
        <f>'LPLPO PROGRAM'!I69</f>
        <v>0</v>
      </c>
      <c r="J69" s="222" t="e">
        <f>H69-'SISA STOK UNIT'!AE246</f>
        <v>#REF!</v>
      </c>
      <c r="K69" s="148"/>
      <c r="L69" s="148"/>
      <c r="M69" s="148"/>
      <c r="N69" s="148"/>
      <c r="O69" s="148"/>
      <c r="P69" s="41"/>
      <c r="R69" s="12"/>
      <c r="S69" s="12"/>
      <c r="T69" s="12"/>
      <c r="U69" s="12"/>
      <c r="V69" s="12"/>
    </row>
    <row r="70" spans="1:22" ht="20.149999999999999" customHeight="1" x14ac:dyDescent="0.5">
      <c r="A70" s="11">
        <v>57</v>
      </c>
      <c r="B70" s="184"/>
      <c r="C70" s="144"/>
      <c r="D70" s="148"/>
      <c r="E70" s="148"/>
      <c r="F70" s="148"/>
      <c r="G70" s="148"/>
      <c r="H70" s="148"/>
      <c r="I70" s="220">
        <f>'LPLPO PROGRAM'!I70</f>
        <v>0</v>
      </c>
      <c r="J70" s="222" t="e">
        <f>H70-'SISA STOK UNIT'!AE247</f>
        <v>#REF!</v>
      </c>
      <c r="K70" s="148"/>
      <c r="L70" s="148"/>
      <c r="M70" s="148"/>
      <c r="N70" s="148"/>
      <c r="O70" s="148"/>
      <c r="P70" s="41"/>
      <c r="R70" s="12"/>
      <c r="S70" s="12"/>
      <c r="T70" s="12"/>
      <c r="U70" s="12"/>
      <c r="V70" s="12"/>
    </row>
    <row r="71" spans="1:22" ht="20.149999999999999" customHeight="1" x14ac:dyDescent="0.5">
      <c r="A71" s="11">
        <v>58</v>
      </c>
      <c r="B71" s="184"/>
      <c r="C71" s="144"/>
      <c r="D71" s="148"/>
      <c r="E71" s="148"/>
      <c r="F71" s="148"/>
      <c r="G71" s="148"/>
      <c r="H71" s="148"/>
      <c r="I71" s="220">
        <f>'LPLPO PROGRAM'!I71</f>
        <v>0</v>
      </c>
      <c r="J71" s="222" t="e">
        <f>H71-'SISA STOK UNIT'!AE248</f>
        <v>#REF!</v>
      </c>
      <c r="K71" s="148"/>
      <c r="L71" s="148"/>
      <c r="M71" s="148"/>
      <c r="N71" s="148"/>
      <c r="O71" s="148"/>
      <c r="P71" s="41"/>
      <c r="R71" s="12"/>
      <c r="S71" s="12"/>
      <c r="T71" s="12"/>
      <c r="U71" s="12"/>
      <c r="V71" s="12"/>
    </row>
    <row r="72" spans="1:22" ht="20.149999999999999" customHeight="1" x14ac:dyDescent="0.6">
      <c r="A72" s="187">
        <v>59</v>
      </c>
      <c r="B72" s="189" t="s">
        <v>199</v>
      </c>
      <c r="C72" s="146"/>
      <c r="D72" s="217"/>
      <c r="E72" s="217"/>
      <c r="F72" s="217"/>
      <c r="G72" s="217"/>
      <c r="H72" s="217"/>
      <c r="I72" s="216"/>
      <c r="J72" s="216"/>
      <c r="K72" s="217"/>
      <c r="L72" s="217"/>
      <c r="M72" s="217"/>
      <c r="N72" s="217"/>
      <c r="O72" s="217"/>
      <c r="P72" s="202"/>
      <c r="R72" s="12"/>
      <c r="S72" s="12"/>
      <c r="T72" s="12"/>
      <c r="U72" s="12"/>
      <c r="V72" s="12"/>
    </row>
    <row r="73" spans="1:22" ht="20.149999999999999" customHeight="1" x14ac:dyDescent="0.5">
      <c r="A73" s="11">
        <v>60</v>
      </c>
      <c r="B73" s="184" t="s">
        <v>367</v>
      </c>
      <c r="C73" s="144" t="s">
        <v>363</v>
      </c>
      <c r="D73" s="214">
        <f>'SISA STOK UNIT'!D244</f>
        <v>0</v>
      </c>
      <c r="E73" s="214">
        <f>'LPLPO PROGRAM'!E73</f>
        <v>0</v>
      </c>
      <c r="F73" s="214">
        <f t="shared" ref="F73:F91" si="10">D73+E73</f>
        <v>0</v>
      </c>
      <c r="G73" s="214">
        <f>'PEMAKAIAN UNIT'!R241</f>
        <v>0</v>
      </c>
      <c r="H73" s="214">
        <f t="shared" ref="H73:H91" si="11">F73-G73</f>
        <v>0</v>
      </c>
      <c r="I73" s="220">
        <f>'LPLPO PROGRAM'!I73</f>
        <v>0</v>
      </c>
      <c r="J73" s="222" t="e">
        <f>H73-'SISA STOK UNIT'!AE250</f>
        <v>#REF!</v>
      </c>
      <c r="K73" s="148"/>
      <c r="L73" s="148"/>
      <c r="M73" s="148"/>
      <c r="N73" s="148"/>
      <c r="O73" s="148"/>
      <c r="P73" s="41"/>
      <c r="R73" s="12"/>
      <c r="S73" s="12"/>
      <c r="T73" s="12"/>
      <c r="U73" s="12"/>
      <c r="V73" s="12"/>
    </row>
    <row r="74" spans="1:22" ht="20.149999999999999" customHeight="1" x14ac:dyDescent="0.5">
      <c r="A74" s="11">
        <v>61</v>
      </c>
      <c r="B74" s="184" t="s">
        <v>302</v>
      </c>
      <c r="C74" s="144" t="s">
        <v>294</v>
      </c>
      <c r="D74" s="214">
        <f>'SISA STOK UNIT'!D245</f>
        <v>0</v>
      </c>
      <c r="E74" s="214">
        <f>'LPLPO PROGRAM'!E74</f>
        <v>0</v>
      </c>
      <c r="F74" s="214">
        <f t="shared" si="10"/>
        <v>0</v>
      </c>
      <c r="G74" s="214">
        <f>'PEMAKAIAN UNIT'!R242</f>
        <v>0</v>
      </c>
      <c r="H74" s="214">
        <f t="shared" si="11"/>
        <v>0</v>
      </c>
      <c r="I74" s="220">
        <f>'LPLPO PROGRAM'!I74</f>
        <v>0</v>
      </c>
      <c r="J74" s="222" t="e">
        <f>H74-'SISA STOK UNIT'!AE251</f>
        <v>#REF!</v>
      </c>
      <c r="K74" s="148"/>
      <c r="L74" s="148"/>
      <c r="M74" s="148"/>
      <c r="N74" s="148"/>
      <c r="O74" s="148"/>
      <c r="P74" s="41"/>
      <c r="R74" s="12"/>
      <c r="S74" s="12"/>
      <c r="T74" s="12"/>
      <c r="U74" s="12"/>
      <c r="V74" s="12"/>
    </row>
    <row r="75" spans="1:22" ht="20.149999999999999" customHeight="1" x14ac:dyDescent="0.5">
      <c r="A75" s="11">
        <v>62</v>
      </c>
      <c r="B75" s="184" t="s">
        <v>364</v>
      </c>
      <c r="C75" s="144" t="s">
        <v>6</v>
      </c>
      <c r="D75" s="214">
        <f>'SISA STOK UNIT'!D246</f>
        <v>0</v>
      </c>
      <c r="E75" s="214">
        <f>'LPLPO PROGRAM'!E75</f>
        <v>0</v>
      </c>
      <c r="F75" s="214">
        <f t="shared" si="10"/>
        <v>0</v>
      </c>
      <c r="G75" s="214">
        <f>'PEMAKAIAN UNIT'!R243</f>
        <v>0</v>
      </c>
      <c r="H75" s="214">
        <f t="shared" si="11"/>
        <v>0</v>
      </c>
      <c r="I75" s="220">
        <f>'LPLPO PROGRAM'!I75</f>
        <v>0</v>
      </c>
      <c r="J75" s="222" t="e">
        <f>H75-'SISA STOK UNIT'!AE252</f>
        <v>#REF!</v>
      </c>
      <c r="K75" s="148"/>
      <c r="L75" s="148"/>
      <c r="M75" s="148"/>
      <c r="N75" s="148"/>
      <c r="O75" s="148"/>
      <c r="P75" s="41"/>
      <c r="R75" s="12"/>
      <c r="S75" s="12"/>
      <c r="T75" s="12"/>
      <c r="U75" s="12"/>
      <c r="V75" s="12"/>
    </row>
    <row r="76" spans="1:22" ht="20.149999999999999" customHeight="1" x14ac:dyDescent="0.5">
      <c r="A76" s="11">
        <v>63</v>
      </c>
      <c r="B76" s="184" t="s">
        <v>307</v>
      </c>
      <c r="C76" s="144" t="s">
        <v>6</v>
      </c>
      <c r="D76" s="214">
        <f>'SISA STOK UNIT'!D247</f>
        <v>0</v>
      </c>
      <c r="E76" s="214">
        <f>'LPLPO PROGRAM'!E76</f>
        <v>0</v>
      </c>
      <c r="F76" s="214">
        <f t="shared" si="10"/>
        <v>0</v>
      </c>
      <c r="G76" s="214">
        <f>'PEMAKAIAN UNIT'!R244</f>
        <v>0</v>
      </c>
      <c r="H76" s="214">
        <f t="shared" si="11"/>
        <v>0</v>
      </c>
      <c r="I76" s="220">
        <f>'LPLPO PROGRAM'!I76</f>
        <v>0</v>
      </c>
      <c r="J76" s="222" t="e">
        <f>H76-'SISA STOK UNIT'!AE253</f>
        <v>#REF!</v>
      </c>
      <c r="K76" s="148"/>
      <c r="L76" s="148"/>
      <c r="M76" s="148"/>
      <c r="N76" s="148"/>
      <c r="O76" s="148"/>
      <c r="P76" s="41"/>
      <c r="R76" s="12"/>
      <c r="S76" s="12"/>
      <c r="T76" s="12"/>
      <c r="U76" s="12"/>
      <c r="V76" s="12"/>
    </row>
    <row r="77" spans="1:22" ht="20.149999999999999" customHeight="1" x14ac:dyDescent="0.5">
      <c r="A77" s="11">
        <v>64</v>
      </c>
      <c r="B77" s="184" t="s">
        <v>366</v>
      </c>
      <c r="C77" s="144" t="s">
        <v>6</v>
      </c>
      <c r="D77" s="214">
        <f>'SISA STOK UNIT'!D248</f>
        <v>0</v>
      </c>
      <c r="E77" s="214">
        <f>'LPLPO PROGRAM'!E77</f>
        <v>0</v>
      </c>
      <c r="F77" s="214">
        <f t="shared" si="10"/>
        <v>0</v>
      </c>
      <c r="G77" s="214">
        <f>'PEMAKAIAN UNIT'!R245</f>
        <v>0</v>
      </c>
      <c r="H77" s="214">
        <f t="shared" si="11"/>
        <v>0</v>
      </c>
      <c r="I77" s="220">
        <f>'LPLPO PROGRAM'!I77</f>
        <v>0</v>
      </c>
      <c r="J77" s="222" t="e">
        <f>H77-'SISA STOK UNIT'!AE254</f>
        <v>#REF!</v>
      </c>
      <c r="K77" s="148"/>
      <c r="L77" s="148"/>
      <c r="M77" s="148"/>
      <c r="N77" s="148"/>
      <c r="O77" s="148"/>
      <c r="P77" s="41"/>
      <c r="R77" s="12"/>
      <c r="S77" s="12"/>
      <c r="T77" s="12"/>
      <c r="U77" s="12"/>
      <c r="V77" s="12"/>
    </row>
    <row r="78" spans="1:22" ht="20.149999999999999" customHeight="1" x14ac:dyDescent="0.5">
      <c r="A78" s="11">
        <v>65</v>
      </c>
      <c r="B78" s="184" t="s">
        <v>362</v>
      </c>
      <c r="C78" s="144" t="s">
        <v>363</v>
      </c>
      <c r="D78" s="214">
        <f>'SISA STOK UNIT'!D249</f>
        <v>0</v>
      </c>
      <c r="E78" s="214">
        <f>'LPLPO PROGRAM'!E78</f>
        <v>0</v>
      </c>
      <c r="F78" s="214">
        <f t="shared" si="10"/>
        <v>0</v>
      </c>
      <c r="G78" s="214">
        <f>'PEMAKAIAN UNIT'!R246</f>
        <v>0</v>
      </c>
      <c r="H78" s="214">
        <f t="shared" si="11"/>
        <v>0</v>
      </c>
      <c r="I78" s="220">
        <f>'LPLPO PROGRAM'!I78</f>
        <v>0</v>
      </c>
      <c r="J78" s="222" t="e">
        <f>H78-'SISA STOK UNIT'!AE255</f>
        <v>#REF!</v>
      </c>
      <c r="K78" s="148"/>
      <c r="L78" s="148"/>
      <c r="M78" s="148"/>
      <c r="N78" s="148"/>
      <c r="O78" s="148"/>
      <c r="P78" s="41"/>
      <c r="R78" s="12"/>
      <c r="S78" s="12"/>
      <c r="T78" s="12"/>
      <c r="U78" s="12"/>
      <c r="V78" s="12"/>
    </row>
    <row r="79" spans="1:22" ht="20.149999999999999" customHeight="1" x14ac:dyDescent="0.5">
      <c r="A79" s="11">
        <v>66</v>
      </c>
      <c r="B79" s="184" t="s">
        <v>368</v>
      </c>
      <c r="C79" s="144" t="s">
        <v>363</v>
      </c>
      <c r="D79" s="214">
        <f>'SISA STOK UNIT'!D250</f>
        <v>0</v>
      </c>
      <c r="E79" s="214">
        <f>'LPLPO PROGRAM'!E79</f>
        <v>0</v>
      </c>
      <c r="F79" s="214">
        <f t="shared" si="10"/>
        <v>0</v>
      </c>
      <c r="G79" s="214">
        <f>'PEMAKAIAN UNIT'!R247</f>
        <v>0</v>
      </c>
      <c r="H79" s="214">
        <f t="shared" si="11"/>
        <v>0</v>
      </c>
      <c r="I79" s="220">
        <f>'LPLPO PROGRAM'!I79</f>
        <v>0</v>
      </c>
      <c r="J79" s="222" t="e">
        <f>H79-'SISA STOK UNIT'!AE256</f>
        <v>#REF!</v>
      </c>
      <c r="K79" s="148"/>
      <c r="L79" s="148"/>
      <c r="M79" s="148"/>
      <c r="N79" s="148"/>
      <c r="O79" s="148"/>
      <c r="P79" s="41"/>
      <c r="R79" s="12"/>
      <c r="S79" s="12"/>
      <c r="T79" s="12"/>
      <c r="U79" s="12"/>
      <c r="V79" s="12"/>
    </row>
    <row r="80" spans="1:22" ht="20.149999999999999" customHeight="1" x14ac:dyDescent="0.5">
      <c r="A80" s="11">
        <v>67</v>
      </c>
      <c r="B80" s="178" t="s">
        <v>370</v>
      </c>
      <c r="C80" s="144" t="s">
        <v>363</v>
      </c>
      <c r="D80" s="214">
        <f>'SISA STOK UNIT'!D251</f>
        <v>0</v>
      </c>
      <c r="E80" s="214">
        <f>'LPLPO PROGRAM'!E80</f>
        <v>0</v>
      </c>
      <c r="F80" s="214">
        <f t="shared" si="10"/>
        <v>0</v>
      </c>
      <c r="G80" s="214">
        <f>'PEMAKAIAN UNIT'!R248</f>
        <v>0</v>
      </c>
      <c r="H80" s="214">
        <f t="shared" si="11"/>
        <v>0</v>
      </c>
      <c r="I80" s="220">
        <f>'LPLPO PROGRAM'!I80</f>
        <v>0</v>
      </c>
      <c r="J80" s="222" t="e">
        <f>H80-'SISA STOK UNIT'!AE257</f>
        <v>#REF!</v>
      </c>
      <c r="K80" s="148"/>
      <c r="L80" s="148"/>
      <c r="M80" s="148"/>
      <c r="N80" s="148"/>
      <c r="O80" s="148"/>
      <c r="P80" s="41"/>
      <c r="R80" s="12"/>
      <c r="S80" s="12"/>
      <c r="T80" s="12"/>
      <c r="U80" s="12"/>
      <c r="V80" s="12"/>
    </row>
    <row r="81" spans="1:22" ht="20.149999999999999" customHeight="1" x14ac:dyDescent="0.5">
      <c r="A81" s="11">
        <v>68</v>
      </c>
      <c r="B81" s="178" t="s">
        <v>369</v>
      </c>
      <c r="C81" s="144" t="s">
        <v>363</v>
      </c>
      <c r="D81" s="214">
        <f>'SISA STOK UNIT'!D252</f>
        <v>0</v>
      </c>
      <c r="E81" s="214">
        <f>'LPLPO PROGRAM'!E81</f>
        <v>0</v>
      </c>
      <c r="F81" s="214">
        <f t="shared" si="10"/>
        <v>0</v>
      </c>
      <c r="G81" s="214">
        <f>'PEMAKAIAN UNIT'!R249</f>
        <v>0</v>
      </c>
      <c r="H81" s="214">
        <f t="shared" si="11"/>
        <v>0</v>
      </c>
      <c r="I81" s="220">
        <f>'LPLPO PROGRAM'!I81</f>
        <v>0</v>
      </c>
      <c r="J81" s="222" t="e">
        <f>H81-'SISA STOK UNIT'!AE258</f>
        <v>#REF!</v>
      </c>
      <c r="K81" s="148"/>
      <c r="L81" s="148"/>
      <c r="M81" s="148"/>
      <c r="N81" s="148"/>
      <c r="O81" s="148"/>
      <c r="P81" s="41"/>
      <c r="R81" s="12"/>
      <c r="S81" s="12"/>
      <c r="T81" s="12"/>
      <c r="U81" s="12"/>
      <c r="V81" s="12"/>
    </row>
    <row r="82" spans="1:22" ht="20.149999999999999" customHeight="1" x14ac:dyDescent="0.5">
      <c r="A82" s="11">
        <v>69</v>
      </c>
      <c r="B82" s="183" t="s">
        <v>200</v>
      </c>
      <c r="C82" s="144" t="s">
        <v>201</v>
      </c>
      <c r="D82" s="214">
        <f>'SISA STOK UNIT'!D253</f>
        <v>0</v>
      </c>
      <c r="E82" s="214">
        <f>'LPLPO PROGRAM'!E82</f>
        <v>0</v>
      </c>
      <c r="F82" s="214">
        <f t="shared" si="10"/>
        <v>0</v>
      </c>
      <c r="G82" s="214">
        <f>'PEMAKAIAN UNIT'!R250</f>
        <v>0</v>
      </c>
      <c r="H82" s="214">
        <f t="shared" si="11"/>
        <v>0</v>
      </c>
      <c r="I82" s="220">
        <f>'LPLPO PROGRAM'!I82</f>
        <v>0</v>
      </c>
      <c r="J82" s="222" t="e">
        <f>H82-'SISA STOK UNIT'!AE259</f>
        <v>#REF!</v>
      </c>
      <c r="K82" s="148"/>
      <c r="L82" s="148"/>
      <c r="M82" s="148"/>
      <c r="N82" s="148"/>
      <c r="O82" s="148"/>
      <c r="P82" s="41"/>
      <c r="R82" s="12"/>
      <c r="S82" s="12"/>
      <c r="T82" s="12"/>
      <c r="U82" s="12"/>
      <c r="V82" s="12"/>
    </row>
    <row r="83" spans="1:22" ht="20.149999999999999" customHeight="1" x14ac:dyDescent="0.5">
      <c r="A83" s="11">
        <v>70</v>
      </c>
      <c r="B83" s="178" t="s">
        <v>279</v>
      </c>
      <c r="C83" s="144" t="s">
        <v>201</v>
      </c>
      <c r="D83" s="214">
        <f>'SISA STOK UNIT'!D254</f>
        <v>0</v>
      </c>
      <c r="E83" s="214">
        <f>'LPLPO PROGRAM'!E83</f>
        <v>0</v>
      </c>
      <c r="F83" s="214">
        <f t="shared" si="10"/>
        <v>0</v>
      </c>
      <c r="G83" s="214">
        <f>'PEMAKAIAN UNIT'!R251</f>
        <v>0</v>
      </c>
      <c r="H83" s="214">
        <f t="shared" si="11"/>
        <v>0</v>
      </c>
      <c r="I83" s="220">
        <f>'LPLPO PROGRAM'!I83</f>
        <v>0</v>
      </c>
      <c r="J83" s="222" t="e">
        <f>H83-'SISA STOK UNIT'!AE260</f>
        <v>#REF!</v>
      </c>
      <c r="K83" s="148"/>
      <c r="L83" s="148"/>
      <c r="M83" s="148"/>
      <c r="N83" s="148"/>
      <c r="O83" s="148"/>
      <c r="P83" s="41"/>
      <c r="R83" s="12"/>
      <c r="S83" s="12"/>
      <c r="T83" s="12"/>
      <c r="U83" s="12"/>
      <c r="V83" s="12"/>
    </row>
    <row r="84" spans="1:22" ht="20.149999999999999" customHeight="1" x14ac:dyDescent="0.5">
      <c r="A84" s="11">
        <v>71</v>
      </c>
      <c r="B84" s="183" t="s">
        <v>365</v>
      </c>
      <c r="C84" s="144" t="s">
        <v>6</v>
      </c>
      <c r="D84" s="214">
        <f>'SISA STOK UNIT'!D255</f>
        <v>0</v>
      </c>
      <c r="E84" s="214">
        <f>'LPLPO PROGRAM'!E84</f>
        <v>0</v>
      </c>
      <c r="F84" s="214">
        <f t="shared" si="10"/>
        <v>0</v>
      </c>
      <c r="G84" s="214">
        <f>'PEMAKAIAN UNIT'!R252</f>
        <v>0</v>
      </c>
      <c r="H84" s="214">
        <f t="shared" si="11"/>
        <v>0</v>
      </c>
      <c r="I84" s="220">
        <f>'LPLPO PROGRAM'!I84</f>
        <v>0</v>
      </c>
      <c r="J84" s="222" t="e">
        <f>H84-'SISA STOK UNIT'!AE261</f>
        <v>#REF!</v>
      </c>
      <c r="K84" s="148"/>
      <c r="L84" s="148"/>
      <c r="M84" s="148"/>
      <c r="N84" s="148"/>
      <c r="O84" s="148"/>
      <c r="P84" s="41"/>
      <c r="R84" s="12"/>
      <c r="S84" s="12"/>
      <c r="T84" s="12"/>
      <c r="U84" s="12"/>
      <c r="V84" s="12"/>
    </row>
    <row r="85" spans="1:22" ht="20.149999999999999" customHeight="1" x14ac:dyDescent="0.5">
      <c r="A85" s="11">
        <v>72</v>
      </c>
      <c r="B85" s="183" t="s">
        <v>271</v>
      </c>
      <c r="C85" s="144" t="s">
        <v>204</v>
      </c>
      <c r="D85" s="214">
        <f>'SISA STOK UNIT'!D256</f>
        <v>0</v>
      </c>
      <c r="E85" s="214">
        <f>'LPLPO PROGRAM'!E85</f>
        <v>0</v>
      </c>
      <c r="F85" s="214">
        <f t="shared" si="10"/>
        <v>0</v>
      </c>
      <c r="G85" s="214">
        <f>'PEMAKAIAN UNIT'!R253</f>
        <v>0</v>
      </c>
      <c r="H85" s="214">
        <f t="shared" si="11"/>
        <v>0</v>
      </c>
      <c r="I85" s="220">
        <f>'LPLPO PROGRAM'!I85</f>
        <v>0</v>
      </c>
      <c r="J85" s="222" t="e">
        <f>H85-'SISA STOK UNIT'!AE262</f>
        <v>#REF!</v>
      </c>
      <c r="K85" s="148"/>
      <c r="L85" s="148"/>
      <c r="M85" s="148"/>
      <c r="N85" s="148"/>
      <c r="O85" s="148"/>
      <c r="P85" s="41"/>
      <c r="R85" s="12"/>
      <c r="S85" s="12"/>
      <c r="T85" s="12"/>
      <c r="U85" s="12"/>
      <c r="V85" s="12"/>
    </row>
    <row r="86" spans="1:22" ht="20.149999999999999" customHeight="1" x14ac:dyDescent="0.5">
      <c r="A86" s="11">
        <v>73</v>
      </c>
      <c r="B86" s="182" t="s">
        <v>306</v>
      </c>
      <c r="C86" s="144" t="s">
        <v>48</v>
      </c>
      <c r="D86" s="214">
        <f>'SISA STOK UNIT'!D257</f>
        <v>0</v>
      </c>
      <c r="E86" s="214">
        <f>'LPLPO PROGRAM'!E86</f>
        <v>0</v>
      </c>
      <c r="F86" s="214">
        <f t="shared" si="10"/>
        <v>0</v>
      </c>
      <c r="G86" s="214">
        <f>'PEMAKAIAN UNIT'!R254</f>
        <v>0</v>
      </c>
      <c r="H86" s="214">
        <f t="shared" si="11"/>
        <v>0</v>
      </c>
      <c r="I86" s="220">
        <f>'LPLPO PROGRAM'!I86</f>
        <v>0</v>
      </c>
      <c r="J86" s="222" t="e">
        <f>H86-'SISA STOK UNIT'!AE263</f>
        <v>#REF!</v>
      </c>
      <c r="K86" s="148"/>
      <c r="L86" s="148"/>
      <c r="M86" s="148"/>
      <c r="N86" s="148"/>
      <c r="O86" s="148"/>
      <c r="P86" s="41"/>
      <c r="R86" s="12"/>
      <c r="S86" s="12"/>
      <c r="T86" s="12"/>
      <c r="U86" s="12"/>
      <c r="V86" s="12"/>
    </row>
    <row r="87" spans="1:22" ht="20.149999999999999" customHeight="1" x14ac:dyDescent="0.5">
      <c r="A87" s="11">
        <v>74</v>
      </c>
      <c r="B87" s="178" t="s">
        <v>396</v>
      </c>
      <c r="C87" s="144" t="s">
        <v>33</v>
      </c>
      <c r="D87" s="214">
        <f>'SISA STOK UNIT'!D258</f>
        <v>0</v>
      </c>
      <c r="E87" s="214">
        <f>'LPLPO PROGRAM'!E87</f>
        <v>0</v>
      </c>
      <c r="F87" s="214">
        <f t="shared" si="10"/>
        <v>0</v>
      </c>
      <c r="G87" s="214">
        <f>'PEMAKAIAN UNIT'!R255</f>
        <v>0</v>
      </c>
      <c r="H87" s="214">
        <f t="shared" si="11"/>
        <v>0</v>
      </c>
      <c r="I87" s="220">
        <f>'LPLPO PROGRAM'!I87</f>
        <v>0</v>
      </c>
      <c r="J87" s="222" t="e">
        <f>H87-'SISA STOK UNIT'!AE264</f>
        <v>#REF!</v>
      </c>
      <c r="K87" s="148"/>
      <c r="L87" s="148"/>
      <c r="M87" s="148"/>
      <c r="N87" s="148"/>
      <c r="O87" s="148"/>
      <c r="P87" s="41"/>
      <c r="R87" s="12"/>
      <c r="S87" s="12"/>
      <c r="T87" s="12"/>
      <c r="U87" s="12"/>
      <c r="V87" s="12"/>
    </row>
    <row r="88" spans="1:22" ht="20.149999999999999" customHeight="1" x14ac:dyDescent="0.5">
      <c r="A88" s="11">
        <v>75</v>
      </c>
      <c r="B88" s="183" t="s">
        <v>432</v>
      </c>
      <c r="C88" s="144" t="s">
        <v>6</v>
      </c>
      <c r="D88" s="214">
        <f>'SISA STOK UNIT'!D259</f>
        <v>0</v>
      </c>
      <c r="E88" s="214">
        <f>'LPLPO PROGRAM'!E88</f>
        <v>0</v>
      </c>
      <c r="F88" s="214">
        <f t="shared" si="10"/>
        <v>0</v>
      </c>
      <c r="G88" s="214">
        <f>'PEMAKAIAN UNIT'!R256</f>
        <v>0</v>
      </c>
      <c r="H88" s="214">
        <f t="shared" si="11"/>
        <v>0</v>
      </c>
      <c r="I88" s="220">
        <f>'LPLPO PROGRAM'!I88</f>
        <v>0</v>
      </c>
      <c r="J88" s="222" t="e">
        <f>H88-'SISA STOK UNIT'!AE265</f>
        <v>#REF!</v>
      </c>
      <c r="K88" s="148"/>
      <c r="L88" s="148"/>
      <c r="M88" s="148"/>
      <c r="N88" s="148"/>
      <c r="O88" s="148"/>
      <c r="P88" s="41"/>
      <c r="R88" s="12"/>
      <c r="S88" s="12"/>
      <c r="T88" s="12"/>
      <c r="U88" s="12"/>
      <c r="V88" s="12"/>
    </row>
    <row r="89" spans="1:22" ht="20.149999999999999" customHeight="1" x14ac:dyDescent="0.5">
      <c r="A89" s="11">
        <v>76</v>
      </c>
      <c r="B89" s="183" t="s">
        <v>305</v>
      </c>
      <c r="C89" s="144" t="s">
        <v>6</v>
      </c>
      <c r="D89" s="214">
        <f>'SISA STOK UNIT'!D260</f>
        <v>0</v>
      </c>
      <c r="E89" s="214">
        <f>'LPLPO PROGRAM'!E89</f>
        <v>0</v>
      </c>
      <c r="F89" s="214">
        <f t="shared" si="10"/>
        <v>0</v>
      </c>
      <c r="G89" s="214">
        <f>'PEMAKAIAN UNIT'!R257</f>
        <v>0</v>
      </c>
      <c r="H89" s="214">
        <f t="shared" si="11"/>
        <v>0</v>
      </c>
      <c r="I89" s="220">
        <f>'LPLPO PROGRAM'!I89</f>
        <v>0</v>
      </c>
      <c r="J89" s="222" t="e">
        <f>H89-'SISA STOK UNIT'!AE266</f>
        <v>#REF!</v>
      </c>
      <c r="K89" s="148"/>
      <c r="L89" s="148"/>
      <c r="M89" s="148"/>
      <c r="N89" s="148"/>
      <c r="O89" s="148"/>
      <c r="P89" s="41"/>
      <c r="R89" s="12"/>
      <c r="S89" s="12"/>
      <c r="T89" s="12"/>
      <c r="U89" s="12"/>
      <c r="V89" s="12"/>
    </row>
    <row r="90" spans="1:22" ht="20.149999999999999" customHeight="1" x14ac:dyDescent="0.5">
      <c r="A90" s="11">
        <v>77</v>
      </c>
      <c r="B90" s="183" t="s">
        <v>303</v>
      </c>
      <c r="C90" s="144" t="s">
        <v>6</v>
      </c>
      <c r="D90" s="214">
        <f>'SISA STOK UNIT'!D261</f>
        <v>0</v>
      </c>
      <c r="E90" s="214">
        <f>'LPLPO PROGRAM'!E90</f>
        <v>0</v>
      </c>
      <c r="F90" s="214">
        <f t="shared" si="10"/>
        <v>0</v>
      </c>
      <c r="G90" s="214">
        <f>'PEMAKAIAN UNIT'!R258</f>
        <v>0</v>
      </c>
      <c r="H90" s="214">
        <f t="shared" si="11"/>
        <v>0</v>
      </c>
      <c r="I90" s="220">
        <f>'LPLPO PROGRAM'!I90</f>
        <v>0</v>
      </c>
      <c r="J90" s="222" t="e">
        <f>H90-'SISA STOK UNIT'!AE267</f>
        <v>#REF!</v>
      </c>
      <c r="K90" s="148"/>
      <c r="L90" s="148"/>
      <c r="M90" s="148"/>
      <c r="N90" s="148"/>
      <c r="O90" s="148"/>
      <c r="P90" s="41"/>
      <c r="R90" s="12"/>
      <c r="S90" s="12"/>
      <c r="T90" s="12"/>
      <c r="U90" s="12"/>
      <c r="V90" s="12"/>
    </row>
    <row r="91" spans="1:22" ht="20.149999999999999" customHeight="1" x14ac:dyDescent="0.5">
      <c r="A91" s="11">
        <v>78</v>
      </c>
      <c r="B91" s="178" t="s">
        <v>304</v>
      </c>
      <c r="C91" s="144" t="s">
        <v>182</v>
      </c>
      <c r="D91" s="214">
        <f>'SISA STOK UNIT'!D262</f>
        <v>0</v>
      </c>
      <c r="E91" s="214">
        <f>'LPLPO PROGRAM'!E91</f>
        <v>0</v>
      </c>
      <c r="F91" s="214">
        <f t="shared" si="10"/>
        <v>0</v>
      </c>
      <c r="G91" s="214">
        <f>'PEMAKAIAN UNIT'!R259</f>
        <v>0</v>
      </c>
      <c r="H91" s="214">
        <f t="shared" si="11"/>
        <v>0</v>
      </c>
      <c r="I91" s="220">
        <f>'LPLPO PROGRAM'!I91</f>
        <v>0</v>
      </c>
      <c r="J91" s="222">
        <f>H91-'SISA STOK UNIT'!AE268</f>
        <v>0</v>
      </c>
      <c r="K91" s="148"/>
      <c r="L91" s="148"/>
      <c r="M91" s="148"/>
      <c r="N91" s="148"/>
      <c r="O91" s="148"/>
      <c r="P91" s="41"/>
      <c r="R91" s="12"/>
      <c r="S91" s="12"/>
      <c r="T91" s="12"/>
      <c r="U91" s="12"/>
      <c r="V91" s="12"/>
    </row>
    <row r="92" spans="1:22" ht="20.149999999999999" customHeight="1" x14ac:dyDescent="0.5">
      <c r="A92" s="11">
        <v>79</v>
      </c>
      <c r="B92" s="178" t="s">
        <v>202</v>
      </c>
      <c r="C92" s="144" t="s">
        <v>201</v>
      </c>
      <c r="D92" s="214"/>
      <c r="E92" s="214"/>
      <c r="F92" s="214"/>
      <c r="G92" s="214"/>
      <c r="H92" s="214"/>
      <c r="I92" s="220">
        <f>'LPLPO PROGRAM'!I92</f>
        <v>0</v>
      </c>
      <c r="J92" s="223"/>
      <c r="K92" s="148"/>
      <c r="L92" s="148"/>
      <c r="M92" s="148"/>
      <c r="N92" s="148"/>
      <c r="O92" s="148"/>
      <c r="P92" s="41"/>
      <c r="R92" s="12"/>
      <c r="S92" s="12"/>
      <c r="T92" s="12"/>
      <c r="U92" s="12"/>
      <c r="V92" s="12"/>
    </row>
    <row r="93" spans="1:22" ht="20.149999999999999" customHeight="1" x14ac:dyDescent="0.5">
      <c r="A93" s="11">
        <v>80</v>
      </c>
      <c r="B93" s="178" t="s">
        <v>433</v>
      </c>
      <c r="C93" s="144" t="s">
        <v>203</v>
      </c>
      <c r="D93" s="214"/>
      <c r="E93" s="214"/>
      <c r="F93" s="214"/>
      <c r="G93" s="214"/>
      <c r="H93" s="214"/>
      <c r="I93" s="220">
        <f>'LPLPO PROGRAM'!I93</f>
        <v>0</v>
      </c>
      <c r="J93" s="223"/>
      <c r="K93" s="148"/>
      <c r="L93" s="148"/>
      <c r="M93" s="148"/>
      <c r="N93" s="148"/>
      <c r="O93" s="148"/>
      <c r="P93" s="41"/>
      <c r="R93" s="12"/>
      <c r="S93" s="12"/>
      <c r="T93" s="12"/>
      <c r="U93" s="12"/>
      <c r="V93" s="12"/>
    </row>
    <row r="94" spans="1:22" ht="20.149999999999999" customHeight="1" x14ac:dyDescent="0.5">
      <c r="A94" s="11">
        <v>81</v>
      </c>
      <c r="B94" s="178"/>
      <c r="C94" s="144"/>
      <c r="D94" s="214"/>
      <c r="E94" s="214"/>
      <c r="F94" s="214"/>
      <c r="G94" s="214"/>
      <c r="H94" s="214"/>
      <c r="I94" s="220">
        <f>'LPLPO PROGRAM'!I94</f>
        <v>0</v>
      </c>
      <c r="J94" s="223"/>
      <c r="K94" s="148"/>
      <c r="L94" s="148"/>
      <c r="M94" s="148"/>
      <c r="N94" s="148"/>
      <c r="O94" s="148"/>
      <c r="P94" s="41"/>
      <c r="R94" s="12"/>
      <c r="S94" s="12"/>
      <c r="T94" s="12"/>
      <c r="U94" s="12"/>
      <c r="V94" s="12"/>
    </row>
    <row r="95" spans="1:22" ht="20.149999999999999" customHeight="1" x14ac:dyDescent="0.5">
      <c r="A95" s="11">
        <v>82</v>
      </c>
      <c r="B95" s="178"/>
      <c r="C95" s="144"/>
      <c r="D95" s="214"/>
      <c r="E95" s="214"/>
      <c r="F95" s="214"/>
      <c r="G95" s="214"/>
      <c r="H95" s="214"/>
      <c r="I95" s="220">
        <f>'LPLPO PROGRAM'!I95</f>
        <v>0</v>
      </c>
      <c r="J95" s="223"/>
      <c r="K95" s="148"/>
      <c r="L95" s="148"/>
      <c r="M95" s="148"/>
      <c r="N95" s="148"/>
      <c r="O95" s="148"/>
      <c r="P95" s="41"/>
      <c r="R95" s="12"/>
      <c r="S95" s="12"/>
      <c r="T95" s="12"/>
      <c r="U95" s="12"/>
      <c r="V95" s="12"/>
    </row>
    <row r="96" spans="1:22" ht="20.149999999999999" customHeight="1" x14ac:dyDescent="0.5">
      <c r="A96" s="11">
        <v>83</v>
      </c>
      <c r="B96" s="178"/>
      <c r="C96" s="144"/>
      <c r="D96" s="214"/>
      <c r="E96" s="214"/>
      <c r="F96" s="214"/>
      <c r="G96" s="214"/>
      <c r="H96" s="214"/>
      <c r="I96" s="220">
        <f>'LPLPO PROGRAM'!I96</f>
        <v>0</v>
      </c>
      <c r="J96" s="223"/>
      <c r="K96" s="148"/>
      <c r="L96" s="148"/>
      <c r="M96" s="148"/>
      <c r="N96" s="148"/>
      <c r="O96" s="148"/>
      <c r="P96" s="41"/>
      <c r="R96" s="12"/>
      <c r="S96" s="12"/>
      <c r="T96" s="12"/>
      <c r="U96" s="12"/>
      <c r="V96" s="12"/>
    </row>
    <row r="97" spans="1:22" ht="20.149999999999999" customHeight="1" x14ac:dyDescent="0.6">
      <c r="A97" s="187">
        <v>84</v>
      </c>
      <c r="B97" s="190" t="s">
        <v>205</v>
      </c>
      <c r="C97" s="146"/>
      <c r="D97" s="219"/>
      <c r="E97" s="219"/>
      <c r="F97" s="219"/>
      <c r="G97" s="219"/>
      <c r="H97" s="217"/>
      <c r="I97" s="216"/>
      <c r="J97" s="216"/>
      <c r="K97" s="217"/>
      <c r="L97" s="217"/>
      <c r="M97" s="217"/>
      <c r="N97" s="217"/>
      <c r="O97" s="217"/>
      <c r="P97" s="202"/>
      <c r="R97" s="12"/>
      <c r="S97" s="12"/>
      <c r="T97" s="12"/>
      <c r="U97" s="12"/>
      <c r="V97" s="12"/>
    </row>
    <row r="98" spans="1:22" ht="20.149999999999999" customHeight="1" x14ac:dyDescent="0.5">
      <c r="A98" s="11">
        <v>85</v>
      </c>
      <c r="B98" s="184" t="s">
        <v>206</v>
      </c>
      <c r="C98" s="144" t="s">
        <v>177</v>
      </c>
      <c r="D98" s="214">
        <f>'SISA STOK UNIT'!D269</f>
        <v>0</v>
      </c>
      <c r="E98" s="214">
        <f>'LPLPO PROGRAM'!E98</f>
        <v>200</v>
      </c>
      <c r="F98" s="214">
        <f t="shared" ref="F98:F100" si="12">D98+E98</f>
        <v>200</v>
      </c>
      <c r="G98" s="214">
        <f>'PEMAKAIAN UNIT'!R266</f>
        <v>0</v>
      </c>
      <c r="H98" s="214">
        <f t="shared" ref="H98:H100" si="13">F98-G98</f>
        <v>200</v>
      </c>
      <c r="I98" s="220">
        <f>'LPLPO PROGRAM'!I98</f>
        <v>0</v>
      </c>
      <c r="J98" s="222">
        <f>H98-'SISA STOK UNIT'!AE275</f>
        <v>200</v>
      </c>
      <c r="K98" s="148"/>
      <c r="L98" s="148"/>
      <c r="M98" s="148"/>
      <c r="N98" s="148"/>
      <c r="O98" s="148"/>
      <c r="P98" s="41"/>
      <c r="R98" s="12"/>
      <c r="S98" s="12"/>
      <c r="T98" s="12"/>
      <c r="U98" s="12"/>
      <c r="V98" s="12"/>
    </row>
    <row r="99" spans="1:22" ht="20.149999999999999" customHeight="1" x14ac:dyDescent="0.5">
      <c r="A99" s="11">
        <v>86</v>
      </c>
      <c r="B99" s="178" t="s">
        <v>257</v>
      </c>
      <c r="C99" s="144" t="s">
        <v>48</v>
      </c>
      <c r="D99" s="214">
        <f>'SISA STOK UNIT'!D270</f>
        <v>0</v>
      </c>
      <c r="E99" s="214">
        <f>'LPLPO PROGRAM'!E99</f>
        <v>0</v>
      </c>
      <c r="F99" s="214">
        <f t="shared" si="12"/>
        <v>0</v>
      </c>
      <c r="G99" s="214">
        <f>'PEMAKAIAN UNIT'!R267</f>
        <v>0</v>
      </c>
      <c r="H99" s="214">
        <f t="shared" si="13"/>
        <v>0</v>
      </c>
      <c r="I99" s="220">
        <f>'LPLPO PROGRAM'!I99</f>
        <v>0</v>
      </c>
      <c r="J99" s="222" t="e">
        <f>H99-'SISA STOK UNIT'!AE276</f>
        <v>#REF!</v>
      </c>
      <c r="K99" s="148"/>
      <c r="L99" s="148"/>
      <c r="M99" s="148"/>
      <c r="N99" s="148"/>
      <c r="O99" s="148"/>
      <c r="P99" s="41"/>
      <c r="R99" s="12"/>
      <c r="S99" s="12"/>
      <c r="T99" s="12"/>
      <c r="U99" s="12"/>
      <c r="V99" s="12"/>
    </row>
    <row r="100" spans="1:22" ht="20.149999999999999" customHeight="1" x14ac:dyDescent="0.5">
      <c r="A100" s="11">
        <v>87</v>
      </c>
      <c r="B100" s="184" t="s">
        <v>272</v>
      </c>
      <c r="C100" s="144" t="s">
        <v>198</v>
      </c>
      <c r="D100" s="214">
        <f>'SISA STOK UNIT'!D271</f>
        <v>0</v>
      </c>
      <c r="E100" s="214">
        <f>'LPLPO PROGRAM'!E100</f>
        <v>0</v>
      </c>
      <c r="F100" s="214">
        <f t="shared" si="12"/>
        <v>0</v>
      </c>
      <c r="G100" s="214">
        <f>'PEMAKAIAN UNIT'!R268</f>
        <v>0</v>
      </c>
      <c r="H100" s="214">
        <f t="shared" si="13"/>
        <v>0</v>
      </c>
      <c r="I100" s="220">
        <f>'LPLPO PROGRAM'!I100</f>
        <v>0</v>
      </c>
      <c r="J100" s="222" t="e">
        <f>H100-'SISA STOK UNIT'!AE277</f>
        <v>#REF!</v>
      </c>
      <c r="K100" s="148"/>
      <c r="L100" s="148"/>
      <c r="M100" s="148"/>
      <c r="N100" s="148"/>
      <c r="O100" s="148"/>
      <c r="P100" s="41"/>
      <c r="R100" s="12"/>
      <c r="S100" s="12"/>
      <c r="T100" s="12"/>
      <c r="U100" s="12"/>
      <c r="V100" s="12"/>
    </row>
    <row r="101" spans="1:22" ht="20.149999999999999" customHeight="1" x14ac:dyDescent="0.5">
      <c r="A101" s="11">
        <v>88</v>
      </c>
      <c r="B101" s="180"/>
      <c r="C101" s="144"/>
      <c r="D101" s="214"/>
      <c r="E101" s="214"/>
      <c r="F101" s="214"/>
      <c r="G101" s="214"/>
      <c r="H101" s="214"/>
      <c r="I101" s="220">
        <f>'LPLPO PROGRAM'!I101</f>
        <v>0</v>
      </c>
      <c r="J101" s="222" t="e">
        <f>H101-'SISA STOK UNIT'!AE278</f>
        <v>#REF!</v>
      </c>
      <c r="K101" s="148"/>
      <c r="L101" s="148"/>
      <c r="M101" s="148"/>
      <c r="N101" s="148"/>
      <c r="O101" s="148"/>
      <c r="P101" s="41"/>
      <c r="R101" s="12"/>
      <c r="S101" s="12"/>
      <c r="T101" s="12"/>
      <c r="U101" s="12"/>
      <c r="V101" s="12"/>
    </row>
    <row r="102" spans="1:22" ht="20.149999999999999" customHeight="1" x14ac:dyDescent="0.5">
      <c r="A102" s="11">
        <v>89</v>
      </c>
      <c r="B102" s="185"/>
      <c r="C102" s="144"/>
      <c r="D102" s="214"/>
      <c r="E102" s="214"/>
      <c r="F102" s="214"/>
      <c r="G102" s="214"/>
      <c r="H102" s="214"/>
      <c r="I102" s="220">
        <f>'LPLPO PROGRAM'!I102</f>
        <v>0</v>
      </c>
      <c r="J102" s="222" t="e">
        <f>H102-'SISA STOK UNIT'!AE279</f>
        <v>#REF!</v>
      </c>
      <c r="K102" s="148"/>
      <c r="L102" s="148"/>
      <c r="M102" s="148"/>
      <c r="N102" s="148"/>
      <c r="O102" s="148"/>
      <c r="P102" s="41"/>
      <c r="R102" s="12"/>
      <c r="S102" s="12"/>
      <c r="T102" s="12"/>
      <c r="U102" s="12"/>
      <c r="V102" s="12"/>
    </row>
    <row r="103" spans="1:22" ht="20.149999999999999" customHeight="1" x14ac:dyDescent="0.5">
      <c r="A103" s="11">
        <v>90</v>
      </c>
      <c r="B103" s="185"/>
      <c r="C103" s="144"/>
      <c r="D103" s="214"/>
      <c r="E103" s="214"/>
      <c r="F103" s="214"/>
      <c r="G103" s="214"/>
      <c r="H103" s="214"/>
      <c r="I103" s="220">
        <f>'LPLPO PROGRAM'!I103</f>
        <v>0</v>
      </c>
      <c r="J103" s="222" t="e">
        <f>H103-'SISA STOK UNIT'!AE280</f>
        <v>#REF!</v>
      </c>
      <c r="K103" s="148"/>
      <c r="L103" s="148"/>
      <c r="M103" s="148"/>
      <c r="N103" s="148"/>
      <c r="O103" s="148"/>
      <c r="P103" s="41"/>
      <c r="R103" s="12"/>
      <c r="S103" s="12"/>
      <c r="T103" s="12"/>
      <c r="U103" s="12"/>
      <c r="V103" s="12"/>
    </row>
    <row r="104" spans="1:22" ht="20.149999999999999" customHeight="1" x14ac:dyDescent="0.6">
      <c r="A104" s="187">
        <v>91</v>
      </c>
      <c r="B104" s="189" t="s">
        <v>207</v>
      </c>
      <c r="C104" s="146"/>
      <c r="D104" s="219"/>
      <c r="E104" s="219"/>
      <c r="F104" s="219"/>
      <c r="G104" s="219"/>
      <c r="H104" s="217"/>
      <c r="I104" s="216"/>
      <c r="J104" s="216"/>
      <c r="K104" s="217"/>
      <c r="L104" s="217"/>
      <c r="M104" s="217"/>
      <c r="N104" s="217"/>
      <c r="O104" s="217"/>
      <c r="P104" s="202"/>
      <c r="R104" s="12"/>
      <c r="S104" s="12"/>
      <c r="T104" s="12"/>
      <c r="U104" s="12"/>
      <c r="V104" s="12"/>
    </row>
    <row r="105" spans="1:22" ht="20.149999999999999" customHeight="1" x14ac:dyDescent="0.5">
      <c r="A105" s="11">
        <v>92</v>
      </c>
      <c r="B105" s="186" t="s">
        <v>208</v>
      </c>
      <c r="C105" s="144" t="s">
        <v>209</v>
      </c>
      <c r="D105" s="214">
        <f>'SISA STOK UNIT'!D276</f>
        <v>0</v>
      </c>
      <c r="E105" s="214">
        <f>'LPLPO PROGRAM'!E105</f>
        <v>0</v>
      </c>
      <c r="F105" s="214">
        <f t="shared" ref="F105:F106" si="14">D105+E105</f>
        <v>0</v>
      </c>
      <c r="G105" s="214">
        <f>'PEMAKAIAN UNIT'!R273</f>
        <v>0</v>
      </c>
      <c r="H105" s="214">
        <f t="shared" ref="H105:H106" si="15">F105-G105</f>
        <v>0</v>
      </c>
      <c r="I105" s="220">
        <f>'LPLPO PROGRAM'!I105</f>
        <v>0</v>
      </c>
      <c r="J105" s="222" t="e">
        <f>H105-'SISA STOK UNIT'!AE282</f>
        <v>#REF!</v>
      </c>
      <c r="K105" s="148"/>
      <c r="L105" s="148"/>
      <c r="M105" s="148"/>
      <c r="N105" s="148"/>
      <c r="O105" s="148"/>
      <c r="P105" s="41"/>
      <c r="R105" s="12"/>
      <c r="S105" s="12"/>
      <c r="T105" s="12"/>
      <c r="U105" s="12"/>
      <c r="V105" s="12"/>
    </row>
    <row r="106" spans="1:22" ht="20.149999999999999" customHeight="1" x14ac:dyDescent="0.5">
      <c r="A106" s="11">
        <v>93</v>
      </c>
      <c r="B106" s="184" t="s">
        <v>286</v>
      </c>
      <c r="C106" s="144" t="s">
        <v>209</v>
      </c>
      <c r="D106" s="214">
        <f>'SISA STOK UNIT'!D277</f>
        <v>0</v>
      </c>
      <c r="E106" s="214">
        <f>'LPLPO PROGRAM'!E106</f>
        <v>0</v>
      </c>
      <c r="F106" s="214">
        <f t="shared" si="14"/>
        <v>0</v>
      </c>
      <c r="G106" s="214">
        <f>'PEMAKAIAN UNIT'!R274</f>
        <v>0</v>
      </c>
      <c r="H106" s="214">
        <f t="shared" si="15"/>
        <v>0</v>
      </c>
      <c r="I106" s="220">
        <f>'LPLPO PROGRAM'!I106</f>
        <v>0</v>
      </c>
      <c r="J106" s="222" t="e">
        <f>H106-'SISA STOK UNIT'!AE283</f>
        <v>#REF!</v>
      </c>
      <c r="K106" s="148"/>
      <c r="L106" s="148"/>
      <c r="M106" s="148"/>
      <c r="N106" s="148"/>
      <c r="O106" s="148"/>
      <c r="P106" s="41"/>
      <c r="R106" s="12"/>
      <c r="S106" s="12"/>
      <c r="T106" s="12"/>
      <c r="U106" s="12"/>
      <c r="V106" s="12"/>
    </row>
    <row r="107" spans="1:22" ht="20.149999999999999" customHeight="1" x14ac:dyDescent="0.5">
      <c r="A107" s="11">
        <v>94</v>
      </c>
      <c r="B107" s="184"/>
      <c r="C107" s="144"/>
      <c r="D107" s="148"/>
      <c r="E107" s="148"/>
      <c r="F107" s="148"/>
      <c r="G107" s="148"/>
      <c r="H107" s="148"/>
      <c r="I107" s="220">
        <f>'LPLPO PROGRAM'!I107</f>
        <v>0</v>
      </c>
      <c r="J107" s="223"/>
      <c r="K107" s="148"/>
      <c r="L107" s="148"/>
      <c r="M107" s="148"/>
      <c r="N107" s="148"/>
      <c r="O107" s="148"/>
      <c r="P107" s="41"/>
      <c r="R107" s="12"/>
      <c r="S107" s="12"/>
      <c r="T107" s="12"/>
      <c r="U107" s="12"/>
      <c r="V107" s="12"/>
    </row>
    <row r="108" spans="1:22" ht="20.149999999999999" customHeight="1" x14ac:dyDescent="0.5">
      <c r="A108" s="11">
        <v>95</v>
      </c>
      <c r="B108" s="184"/>
      <c r="C108" s="144"/>
      <c r="D108" s="214"/>
      <c r="E108" s="214"/>
      <c r="F108" s="214"/>
      <c r="G108" s="214"/>
      <c r="H108" s="214"/>
      <c r="I108" s="220">
        <f>'LPLPO PROGRAM'!I108</f>
        <v>0</v>
      </c>
      <c r="J108" s="223"/>
      <c r="K108" s="148"/>
      <c r="L108" s="148"/>
      <c r="M108" s="148"/>
      <c r="N108" s="148"/>
      <c r="O108" s="148"/>
      <c r="P108" s="41"/>
      <c r="R108" s="12"/>
      <c r="S108" s="12"/>
      <c r="T108" s="12"/>
      <c r="U108" s="12"/>
      <c r="V108" s="12"/>
    </row>
    <row r="109" spans="1:22" ht="20.149999999999999" customHeight="1" x14ac:dyDescent="0.5">
      <c r="A109" s="11">
        <v>96</v>
      </c>
      <c r="B109" s="180"/>
      <c r="C109" s="144"/>
      <c r="D109" s="214"/>
      <c r="E109" s="214"/>
      <c r="F109" s="214"/>
      <c r="G109" s="214"/>
      <c r="H109" s="214"/>
      <c r="I109" s="220">
        <f>'LPLPO PROGRAM'!I109</f>
        <v>0</v>
      </c>
      <c r="J109" s="223"/>
      <c r="K109" s="148"/>
      <c r="L109" s="148"/>
      <c r="M109" s="148"/>
      <c r="N109" s="148"/>
      <c r="O109" s="148"/>
      <c r="P109" s="41"/>
      <c r="R109" s="12"/>
      <c r="S109" s="12"/>
      <c r="T109" s="12"/>
      <c r="U109" s="12"/>
      <c r="V109" s="12"/>
    </row>
    <row r="110" spans="1:22" ht="20.149999999999999" customHeight="1" x14ac:dyDescent="0.6">
      <c r="A110" s="187">
        <v>97</v>
      </c>
      <c r="B110" s="191" t="s">
        <v>210</v>
      </c>
      <c r="C110" s="146"/>
      <c r="D110" s="215"/>
      <c r="E110" s="215"/>
      <c r="F110" s="215"/>
      <c r="G110" s="215"/>
      <c r="H110" s="217"/>
      <c r="I110" s="216"/>
      <c r="J110" s="216"/>
      <c r="K110" s="216"/>
      <c r="L110" s="216"/>
      <c r="M110" s="216"/>
      <c r="N110" s="216"/>
      <c r="O110" s="216"/>
      <c r="P110" s="41"/>
      <c r="R110" s="12"/>
      <c r="S110" s="12"/>
      <c r="T110" s="12"/>
      <c r="U110" s="12"/>
      <c r="V110" s="12"/>
    </row>
    <row r="111" spans="1:22" ht="20.149999999999999" customHeight="1" x14ac:dyDescent="0.5">
      <c r="A111" s="11">
        <v>98</v>
      </c>
      <c r="B111" s="180" t="s">
        <v>213</v>
      </c>
      <c r="C111" s="144" t="s">
        <v>212</v>
      </c>
      <c r="D111" s="214">
        <f>'SISA STOK UNIT'!D282</f>
        <v>0</v>
      </c>
      <c r="E111" s="214">
        <f>'LPLPO PROGRAM'!E111</f>
        <v>0</v>
      </c>
      <c r="F111" s="214">
        <f t="shared" ref="F111:F114" si="16">D111+E111</f>
        <v>0</v>
      </c>
      <c r="G111" s="214">
        <f>'PEMAKAIAN UNIT'!R279</f>
        <v>0</v>
      </c>
      <c r="H111" s="214">
        <f t="shared" ref="H111:H114" si="17">F111-G111</f>
        <v>0</v>
      </c>
      <c r="I111" s="220">
        <f>'LPLPO PROGRAM'!I111</f>
        <v>200</v>
      </c>
      <c r="J111" s="222" t="e">
        <f>H111-'SISA STOK UNIT'!AE288</f>
        <v>#REF!</v>
      </c>
      <c r="K111" s="148"/>
      <c r="L111" s="148"/>
      <c r="M111" s="148"/>
      <c r="N111" s="148"/>
      <c r="O111" s="148"/>
      <c r="P111" s="41"/>
      <c r="R111" s="12"/>
      <c r="S111" s="12"/>
      <c r="T111" s="12"/>
      <c r="U111" s="12"/>
      <c r="V111" s="12"/>
    </row>
    <row r="112" spans="1:22" ht="20.149999999999999" customHeight="1" x14ac:dyDescent="0.5">
      <c r="A112" s="11">
        <v>99</v>
      </c>
      <c r="B112" s="184" t="s">
        <v>211</v>
      </c>
      <c r="C112" s="144" t="s">
        <v>212</v>
      </c>
      <c r="D112" s="214">
        <f>'SISA STOK UNIT'!D283</f>
        <v>0</v>
      </c>
      <c r="E112" s="214">
        <f>'LPLPO PROGRAM'!E112</f>
        <v>0</v>
      </c>
      <c r="F112" s="214">
        <f t="shared" si="16"/>
        <v>0</v>
      </c>
      <c r="G112" s="214">
        <f>'PEMAKAIAN UNIT'!R280</f>
        <v>0</v>
      </c>
      <c r="H112" s="214">
        <f t="shared" si="17"/>
        <v>0</v>
      </c>
      <c r="I112" s="220">
        <f>'LPLPO PROGRAM'!I112</f>
        <v>1600</v>
      </c>
      <c r="J112" s="222">
        <f>H112-'SISA STOK UNIT'!AE289</f>
        <v>0</v>
      </c>
      <c r="K112" s="148"/>
      <c r="L112" s="148"/>
      <c r="M112" s="148"/>
      <c r="N112" s="148"/>
      <c r="O112" s="148"/>
      <c r="P112" s="41"/>
      <c r="R112" s="12"/>
      <c r="S112" s="12"/>
      <c r="T112" s="12"/>
      <c r="U112" s="12"/>
      <c r="V112" s="12"/>
    </row>
    <row r="113" spans="1:22" ht="20.149999999999999" customHeight="1" x14ac:dyDescent="0.5">
      <c r="A113" s="11">
        <v>100</v>
      </c>
      <c r="B113" s="180" t="s">
        <v>214</v>
      </c>
      <c r="C113" s="144" t="s">
        <v>212</v>
      </c>
      <c r="D113" s="214">
        <f>'SISA STOK UNIT'!D284</f>
        <v>0</v>
      </c>
      <c r="E113" s="214">
        <f>'LPLPO PROGRAM'!E113</f>
        <v>0</v>
      </c>
      <c r="F113" s="214">
        <f t="shared" si="16"/>
        <v>0</v>
      </c>
      <c r="G113" s="214">
        <f>'PEMAKAIAN UNIT'!R281</f>
        <v>0</v>
      </c>
      <c r="H113" s="214">
        <f t="shared" si="17"/>
        <v>0</v>
      </c>
      <c r="I113" s="220">
        <f>'LPLPO PROGRAM'!I113</f>
        <v>0</v>
      </c>
      <c r="J113" s="222" t="e">
        <f>H113-'SISA STOK UNIT'!AE290</f>
        <v>#REF!</v>
      </c>
      <c r="K113" s="148"/>
      <c r="L113" s="148"/>
      <c r="M113" s="148"/>
      <c r="N113" s="148"/>
      <c r="O113" s="148"/>
      <c r="P113" s="41"/>
      <c r="R113" s="12"/>
      <c r="S113" s="12"/>
      <c r="T113" s="12"/>
      <c r="U113" s="12"/>
      <c r="V113" s="12"/>
    </row>
    <row r="114" spans="1:22" ht="20.149999999999999" customHeight="1" x14ac:dyDescent="0.5">
      <c r="A114" s="11">
        <v>101</v>
      </c>
      <c r="B114" s="180" t="s">
        <v>215</v>
      </c>
      <c r="C114" s="144" t="s">
        <v>212</v>
      </c>
      <c r="D114" s="214">
        <f>'SISA STOK UNIT'!D285</f>
        <v>0</v>
      </c>
      <c r="E114" s="214">
        <f>'LPLPO PROGRAM'!E114</f>
        <v>0</v>
      </c>
      <c r="F114" s="214">
        <f t="shared" si="16"/>
        <v>0</v>
      </c>
      <c r="G114" s="214">
        <f>'PEMAKAIAN UNIT'!R282</f>
        <v>0</v>
      </c>
      <c r="H114" s="214">
        <f t="shared" si="17"/>
        <v>0</v>
      </c>
      <c r="I114" s="220">
        <f>'LPLPO PROGRAM'!I114</f>
        <v>0</v>
      </c>
      <c r="J114" s="222" t="e">
        <f>H114-'SISA STOK UNIT'!AE291</f>
        <v>#REF!</v>
      </c>
      <c r="K114" s="148"/>
      <c r="L114" s="148"/>
      <c r="M114" s="148"/>
      <c r="N114" s="148"/>
      <c r="O114" s="148"/>
      <c r="P114" s="41"/>
      <c r="R114" s="12"/>
      <c r="S114" s="12"/>
      <c r="T114" s="12"/>
      <c r="U114" s="12"/>
      <c r="V114" s="12"/>
    </row>
    <row r="115" spans="1:22" ht="16.5" customHeight="1" x14ac:dyDescent="0.5">
      <c r="A115" s="11">
        <v>102</v>
      </c>
      <c r="B115" s="180"/>
      <c r="C115" s="144"/>
      <c r="D115" s="148"/>
      <c r="E115" s="148"/>
      <c r="F115" s="148"/>
      <c r="G115" s="148"/>
      <c r="H115" s="148"/>
      <c r="I115" s="220">
        <f>'LPLPO PROGRAM'!I115</f>
        <v>0</v>
      </c>
      <c r="J115" s="223"/>
      <c r="K115" s="148"/>
      <c r="L115" s="148"/>
      <c r="M115" s="148"/>
      <c r="N115" s="148"/>
      <c r="O115" s="148"/>
      <c r="P115" s="41"/>
    </row>
    <row r="116" spans="1:22" ht="18" x14ac:dyDescent="0.5">
      <c r="A116" s="11">
        <v>103</v>
      </c>
      <c r="B116" s="180"/>
      <c r="C116" s="144"/>
      <c r="D116" s="148"/>
      <c r="E116" s="148"/>
      <c r="F116" s="148"/>
      <c r="G116" s="148"/>
      <c r="H116" s="148"/>
      <c r="I116" s="220">
        <f>'LPLPO PROGRAM'!I116</f>
        <v>0</v>
      </c>
      <c r="J116" s="223"/>
      <c r="K116" s="148"/>
      <c r="L116" s="148"/>
      <c r="M116" s="148"/>
      <c r="N116" s="148"/>
      <c r="O116" s="148"/>
      <c r="P116" s="41"/>
    </row>
    <row r="117" spans="1:22" ht="18" x14ac:dyDescent="0.5">
      <c r="A117" s="11">
        <v>104</v>
      </c>
      <c r="B117" s="180"/>
      <c r="C117" s="144"/>
      <c r="D117" s="148"/>
      <c r="E117" s="148"/>
      <c r="F117" s="148"/>
      <c r="G117" s="148"/>
      <c r="H117" s="148"/>
      <c r="I117" s="220">
        <f>'LPLPO PROGRAM'!I117</f>
        <v>0</v>
      </c>
      <c r="J117" s="223"/>
      <c r="K117" s="148"/>
      <c r="L117" s="148"/>
      <c r="M117" s="148"/>
      <c r="N117" s="148"/>
      <c r="O117" s="148"/>
      <c r="P117" s="41"/>
    </row>
    <row r="118" spans="1:22" ht="19.5" x14ac:dyDescent="0.6">
      <c r="A118" s="187">
        <v>105</v>
      </c>
      <c r="B118" s="189" t="s">
        <v>216</v>
      </c>
      <c r="C118" s="146"/>
      <c r="D118" s="217"/>
      <c r="E118" s="217"/>
      <c r="F118" s="217"/>
      <c r="G118" s="217"/>
      <c r="H118" s="217"/>
      <c r="I118" s="216"/>
      <c r="J118" s="216"/>
      <c r="K118" s="217"/>
      <c r="L118" s="217"/>
      <c r="M118" s="217"/>
      <c r="N118" s="217"/>
      <c r="O118" s="217"/>
      <c r="P118" s="202"/>
    </row>
    <row r="119" spans="1:22" ht="18" x14ac:dyDescent="0.5">
      <c r="A119" s="11">
        <v>106</v>
      </c>
      <c r="B119" s="184" t="s">
        <v>397</v>
      </c>
      <c r="C119" s="144" t="s">
        <v>48</v>
      </c>
      <c r="D119" s="214">
        <f>'SISA STOK UNIT'!D290</f>
        <v>0</v>
      </c>
      <c r="E119" s="214">
        <f>'LPLPO PROGRAM'!E119</f>
        <v>0</v>
      </c>
      <c r="F119" s="214">
        <f t="shared" ref="F119:F149" si="18">D119+E119</f>
        <v>0</v>
      </c>
      <c r="G119" s="214">
        <f>'PEMAKAIAN UNIT'!R287</f>
        <v>0</v>
      </c>
      <c r="H119" s="214">
        <f t="shared" ref="H119:H149" si="19">F119-G119</f>
        <v>0</v>
      </c>
      <c r="I119" s="220">
        <f>'LPLPO PROGRAM'!I119</f>
        <v>0</v>
      </c>
      <c r="J119" s="222" t="e">
        <f>H119-'SISA STOK UNIT'!AE296</f>
        <v>#REF!</v>
      </c>
      <c r="K119" s="148"/>
      <c r="L119" s="148"/>
      <c r="M119" s="148"/>
      <c r="N119" s="148"/>
      <c r="O119" s="148"/>
      <c r="P119" s="41"/>
    </row>
    <row r="120" spans="1:22" ht="18" x14ac:dyDescent="0.5">
      <c r="A120" s="11">
        <v>107</v>
      </c>
      <c r="B120" s="184" t="s">
        <v>398</v>
      </c>
      <c r="C120" s="144" t="s">
        <v>48</v>
      </c>
      <c r="D120" s="214">
        <f>'SISA STOK UNIT'!D291</f>
        <v>0</v>
      </c>
      <c r="E120" s="214">
        <f>'LPLPO PROGRAM'!E120</f>
        <v>0</v>
      </c>
      <c r="F120" s="214">
        <f t="shared" si="18"/>
        <v>0</v>
      </c>
      <c r="G120" s="214">
        <f>'PEMAKAIAN UNIT'!R288</f>
        <v>0</v>
      </c>
      <c r="H120" s="214">
        <f t="shared" si="19"/>
        <v>0</v>
      </c>
      <c r="I120" s="220">
        <f>'LPLPO PROGRAM'!I120</f>
        <v>0</v>
      </c>
      <c r="J120" s="222" t="e">
        <f>H120-'SISA STOK UNIT'!AE297</f>
        <v>#REF!</v>
      </c>
      <c r="K120" s="148"/>
      <c r="L120" s="148"/>
      <c r="M120" s="148"/>
      <c r="N120" s="148"/>
      <c r="O120" s="148"/>
      <c r="P120" s="41"/>
    </row>
    <row r="121" spans="1:22" ht="18" x14ac:dyDescent="0.5">
      <c r="A121" s="11">
        <v>108</v>
      </c>
      <c r="B121" s="184" t="s">
        <v>295</v>
      </c>
      <c r="C121" s="144" t="s">
        <v>201</v>
      </c>
      <c r="D121" s="214">
        <f>'SISA STOK UNIT'!D292</f>
        <v>0</v>
      </c>
      <c r="E121" s="214">
        <f>'LPLPO PROGRAM'!E121</f>
        <v>0</v>
      </c>
      <c r="F121" s="214">
        <f t="shared" si="18"/>
        <v>0</v>
      </c>
      <c r="G121" s="214">
        <f>'PEMAKAIAN UNIT'!R289</f>
        <v>0</v>
      </c>
      <c r="H121" s="214">
        <f t="shared" si="19"/>
        <v>0</v>
      </c>
      <c r="I121" s="220">
        <f>'LPLPO PROGRAM'!I121</f>
        <v>0</v>
      </c>
      <c r="J121" s="222" t="e">
        <f>H121-'SISA STOK UNIT'!AE298</f>
        <v>#REF!</v>
      </c>
      <c r="K121" s="148"/>
      <c r="L121" s="148"/>
      <c r="M121" s="148"/>
      <c r="N121" s="148"/>
      <c r="O121" s="148"/>
      <c r="P121" s="41"/>
    </row>
    <row r="122" spans="1:22" ht="18" x14ac:dyDescent="0.5">
      <c r="A122" s="11">
        <v>109</v>
      </c>
      <c r="B122" s="184" t="s">
        <v>296</v>
      </c>
      <c r="C122" s="144" t="s">
        <v>201</v>
      </c>
      <c r="D122" s="214">
        <f>'SISA STOK UNIT'!D293</f>
        <v>0</v>
      </c>
      <c r="E122" s="214">
        <f>'LPLPO PROGRAM'!E122</f>
        <v>0</v>
      </c>
      <c r="F122" s="214">
        <f t="shared" si="18"/>
        <v>0</v>
      </c>
      <c r="G122" s="214">
        <f>'PEMAKAIAN UNIT'!R290</f>
        <v>0</v>
      </c>
      <c r="H122" s="214">
        <f t="shared" si="19"/>
        <v>0</v>
      </c>
      <c r="I122" s="220">
        <f>'LPLPO PROGRAM'!I122</f>
        <v>0</v>
      </c>
      <c r="J122" s="222" t="e">
        <f>H122-'SISA STOK UNIT'!AE299</f>
        <v>#REF!</v>
      </c>
      <c r="K122" s="148"/>
      <c r="L122" s="148"/>
      <c r="M122" s="148"/>
      <c r="N122" s="148"/>
      <c r="O122" s="148"/>
      <c r="P122" s="41"/>
    </row>
    <row r="123" spans="1:22" ht="18" x14ac:dyDescent="0.5">
      <c r="A123" s="11">
        <v>110</v>
      </c>
      <c r="B123" s="184" t="s">
        <v>374</v>
      </c>
      <c r="C123" s="144" t="s">
        <v>6</v>
      </c>
      <c r="D123" s="214">
        <f>'SISA STOK UNIT'!D294</f>
        <v>0</v>
      </c>
      <c r="E123" s="214">
        <f>'LPLPO PROGRAM'!E123</f>
        <v>0</v>
      </c>
      <c r="F123" s="214">
        <f t="shared" si="18"/>
        <v>0</v>
      </c>
      <c r="G123" s="214">
        <f>'PEMAKAIAN UNIT'!R291</f>
        <v>0</v>
      </c>
      <c r="H123" s="214">
        <f t="shared" si="19"/>
        <v>0</v>
      </c>
      <c r="I123" s="220">
        <f>'LPLPO PROGRAM'!I123</f>
        <v>0</v>
      </c>
      <c r="J123" s="222" t="e">
        <f>H123-'SISA STOK UNIT'!AE300</f>
        <v>#REF!</v>
      </c>
      <c r="K123" s="148"/>
      <c r="L123" s="148"/>
      <c r="M123" s="148"/>
      <c r="N123" s="148"/>
      <c r="O123" s="148"/>
      <c r="P123" s="41"/>
    </row>
    <row r="124" spans="1:22" ht="18" x14ac:dyDescent="0.5">
      <c r="A124" s="11">
        <v>111</v>
      </c>
      <c r="B124" s="184" t="s">
        <v>399</v>
      </c>
      <c r="C124" s="144" t="s">
        <v>289</v>
      </c>
      <c r="D124" s="214">
        <f>'SISA STOK UNIT'!D295</f>
        <v>0</v>
      </c>
      <c r="E124" s="214">
        <f>'LPLPO PROGRAM'!E124</f>
        <v>0</v>
      </c>
      <c r="F124" s="214">
        <f t="shared" si="18"/>
        <v>0</v>
      </c>
      <c r="G124" s="214">
        <f>'PEMAKAIAN UNIT'!R292</f>
        <v>0</v>
      </c>
      <c r="H124" s="214">
        <f t="shared" si="19"/>
        <v>0</v>
      </c>
      <c r="I124" s="220">
        <f>'LPLPO PROGRAM'!I124</f>
        <v>0</v>
      </c>
      <c r="J124" s="222" t="e">
        <f>H124-'SISA STOK UNIT'!AE301</f>
        <v>#REF!</v>
      </c>
      <c r="K124" s="148"/>
      <c r="L124" s="148"/>
      <c r="M124" s="148"/>
      <c r="N124" s="148"/>
      <c r="O124" s="148"/>
      <c r="P124" s="41"/>
    </row>
    <row r="125" spans="1:22" ht="18" x14ac:dyDescent="0.5">
      <c r="A125" s="11">
        <v>112</v>
      </c>
      <c r="B125" s="184" t="s">
        <v>400</v>
      </c>
      <c r="C125" s="144" t="s">
        <v>273</v>
      </c>
      <c r="D125" s="214">
        <f>'SISA STOK UNIT'!D296</f>
        <v>0</v>
      </c>
      <c r="E125" s="214">
        <f>'LPLPO PROGRAM'!E125</f>
        <v>0</v>
      </c>
      <c r="F125" s="214">
        <f t="shared" si="18"/>
        <v>0</v>
      </c>
      <c r="G125" s="214">
        <f>'PEMAKAIAN UNIT'!R293</f>
        <v>0</v>
      </c>
      <c r="H125" s="214">
        <f t="shared" si="19"/>
        <v>0</v>
      </c>
      <c r="I125" s="220">
        <f>'LPLPO PROGRAM'!I125</f>
        <v>0</v>
      </c>
      <c r="J125" s="222" t="e">
        <f>H125-'SISA STOK UNIT'!AE302</f>
        <v>#REF!</v>
      </c>
      <c r="K125" s="148"/>
      <c r="L125" s="148"/>
      <c r="M125" s="148"/>
      <c r="N125" s="148"/>
      <c r="O125" s="148"/>
      <c r="P125" s="41"/>
    </row>
    <row r="126" spans="1:22" ht="18" x14ac:dyDescent="0.5">
      <c r="A126" s="11">
        <v>113</v>
      </c>
      <c r="B126" s="184" t="s">
        <v>373</v>
      </c>
      <c r="C126" s="144" t="s">
        <v>6</v>
      </c>
      <c r="D126" s="214">
        <f>'SISA STOK UNIT'!D297</f>
        <v>0</v>
      </c>
      <c r="E126" s="214">
        <f>'LPLPO PROGRAM'!E126</f>
        <v>0</v>
      </c>
      <c r="F126" s="214">
        <f t="shared" si="18"/>
        <v>0</v>
      </c>
      <c r="G126" s="214">
        <f>'PEMAKAIAN UNIT'!R294</f>
        <v>0</v>
      </c>
      <c r="H126" s="214">
        <f t="shared" si="19"/>
        <v>0</v>
      </c>
      <c r="I126" s="220">
        <f>'LPLPO PROGRAM'!I126</f>
        <v>0</v>
      </c>
      <c r="J126" s="222" t="e">
        <f>H126-'SISA STOK UNIT'!AE303</f>
        <v>#REF!</v>
      </c>
      <c r="K126" s="148"/>
      <c r="L126" s="148"/>
      <c r="M126" s="148"/>
      <c r="N126" s="148"/>
      <c r="O126" s="148"/>
      <c r="P126" s="41"/>
    </row>
    <row r="127" spans="1:22" ht="18" x14ac:dyDescent="0.5">
      <c r="A127" s="11">
        <v>114</v>
      </c>
      <c r="B127" s="184" t="s">
        <v>378</v>
      </c>
      <c r="C127" s="144" t="s">
        <v>4</v>
      </c>
      <c r="D127" s="214">
        <f>'SISA STOK UNIT'!D298</f>
        <v>0</v>
      </c>
      <c r="E127" s="214">
        <f>'LPLPO PROGRAM'!E127</f>
        <v>0</v>
      </c>
      <c r="F127" s="214">
        <f t="shared" si="18"/>
        <v>0</v>
      </c>
      <c r="G127" s="214">
        <f>'PEMAKAIAN UNIT'!R295</f>
        <v>0</v>
      </c>
      <c r="H127" s="214">
        <f t="shared" si="19"/>
        <v>0</v>
      </c>
      <c r="I127" s="220">
        <f>'LPLPO PROGRAM'!I127</f>
        <v>0</v>
      </c>
      <c r="J127" s="222" t="e">
        <f>H127-'SISA STOK UNIT'!AE304</f>
        <v>#REF!</v>
      </c>
      <c r="K127" s="148"/>
      <c r="L127" s="148"/>
      <c r="M127" s="148"/>
      <c r="N127" s="148"/>
      <c r="O127" s="148"/>
      <c r="P127" s="41"/>
    </row>
    <row r="128" spans="1:22" ht="18" x14ac:dyDescent="0.5">
      <c r="A128" s="11">
        <v>115</v>
      </c>
      <c r="B128" s="184" t="s">
        <v>301</v>
      </c>
      <c r="C128" s="144" t="s">
        <v>6</v>
      </c>
      <c r="D128" s="214">
        <f>'SISA STOK UNIT'!D299</f>
        <v>0</v>
      </c>
      <c r="E128" s="214">
        <f>'LPLPO PROGRAM'!E128</f>
        <v>0</v>
      </c>
      <c r="F128" s="214">
        <f t="shared" si="18"/>
        <v>0</v>
      </c>
      <c r="G128" s="214">
        <f>'PEMAKAIAN UNIT'!R296</f>
        <v>0</v>
      </c>
      <c r="H128" s="214">
        <f t="shared" si="19"/>
        <v>0</v>
      </c>
      <c r="I128" s="220">
        <f>'LPLPO PROGRAM'!I128</f>
        <v>0</v>
      </c>
      <c r="J128" s="222" t="e">
        <f>H128-'SISA STOK UNIT'!AE305</f>
        <v>#REF!</v>
      </c>
      <c r="K128" s="148"/>
      <c r="L128" s="148"/>
      <c r="M128" s="148"/>
      <c r="N128" s="148"/>
      <c r="O128" s="148"/>
      <c r="P128" s="41"/>
    </row>
    <row r="129" spans="1:16" ht="18" x14ac:dyDescent="0.5">
      <c r="A129" s="11">
        <v>116</v>
      </c>
      <c r="B129" s="184" t="s">
        <v>375</v>
      </c>
      <c r="C129" s="144" t="s">
        <v>212</v>
      </c>
      <c r="D129" s="214">
        <f>'SISA STOK UNIT'!D300</f>
        <v>0</v>
      </c>
      <c r="E129" s="214">
        <f>'LPLPO PROGRAM'!E129</f>
        <v>0</v>
      </c>
      <c r="F129" s="214">
        <f t="shared" si="18"/>
        <v>0</v>
      </c>
      <c r="G129" s="214">
        <f>'PEMAKAIAN UNIT'!R297</f>
        <v>0</v>
      </c>
      <c r="H129" s="214">
        <f t="shared" si="19"/>
        <v>0</v>
      </c>
      <c r="I129" s="220">
        <f>'LPLPO PROGRAM'!I129</f>
        <v>0</v>
      </c>
      <c r="J129" s="222" t="e">
        <f>H129-'SISA STOK UNIT'!AE306</f>
        <v>#REF!</v>
      </c>
      <c r="K129" s="148"/>
      <c r="L129" s="148"/>
      <c r="M129" s="148"/>
      <c r="N129" s="148"/>
      <c r="O129" s="148"/>
      <c r="P129" s="41"/>
    </row>
    <row r="130" spans="1:16" ht="18" x14ac:dyDescent="0.5">
      <c r="A130" s="11">
        <v>117</v>
      </c>
      <c r="B130" s="180" t="s">
        <v>297</v>
      </c>
      <c r="C130" s="144" t="s">
        <v>6</v>
      </c>
      <c r="D130" s="214">
        <f>'SISA STOK UNIT'!D301</f>
        <v>0</v>
      </c>
      <c r="E130" s="214">
        <f>'LPLPO PROGRAM'!E130</f>
        <v>0</v>
      </c>
      <c r="F130" s="214">
        <f t="shared" si="18"/>
        <v>0</v>
      </c>
      <c r="G130" s="214">
        <f>'PEMAKAIAN UNIT'!R298</f>
        <v>0</v>
      </c>
      <c r="H130" s="214">
        <f t="shared" si="19"/>
        <v>0</v>
      </c>
      <c r="I130" s="220">
        <f>'LPLPO PROGRAM'!I130</f>
        <v>0</v>
      </c>
      <c r="J130" s="222" t="e">
        <f>H130-'SISA STOK UNIT'!AE307</f>
        <v>#REF!</v>
      </c>
      <c r="K130" s="148"/>
      <c r="L130" s="148"/>
      <c r="M130" s="148"/>
      <c r="N130" s="148"/>
      <c r="O130" s="148"/>
      <c r="P130" s="41"/>
    </row>
    <row r="131" spans="1:16" ht="18" x14ac:dyDescent="0.5">
      <c r="A131" s="11">
        <v>118</v>
      </c>
      <c r="B131" s="178" t="s">
        <v>290</v>
      </c>
      <c r="C131" s="144" t="s">
        <v>274</v>
      </c>
      <c r="D131" s="214">
        <f>'SISA STOK UNIT'!D302</f>
        <v>0</v>
      </c>
      <c r="E131" s="214">
        <f>'LPLPO PROGRAM'!E131</f>
        <v>0</v>
      </c>
      <c r="F131" s="214">
        <f t="shared" si="18"/>
        <v>0</v>
      </c>
      <c r="G131" s="214">
        <f>'PEMAKAIAN UNIT'!R299</f>
        <v>0</v>
      </c>
      <c r="H131" s="214">
        <f t="shared" si="19"/>
        <v>0</v>
      </c>
      <c r="I131" s="220">
        <f>'LPLPO PROGRAM'!I131</f>
        <v>0</v>
      </c>
      <c r="J131" s="222" t="e">
        <f>H131-'SISA STOK UNIT'!AE308</f>
        <v>#REF!</v>
      </c>
      <c r="K131" s="148"/>
      <c r="L131" s="148"/>
      <c r="M131" s="148"/>
      <c r="N131" s="148"/>
      <c r="O131" s="148"/>
      <c r="P131" s="41"/>
    </row>
    <row r="132" spans="1:16" ht="18" x14ac:dyDescent="0.5">
      <c r="A132" s="11">
        <v>119</v>
      </c>
      <c r="B132" s="184" t="s">
        <v>292</v>
      </c>
      <c r="C132" s="144" t="s">
        <v>293</v>
      </c>
      <c r="D132" s="214">
        <f>'SISA STOK UNIT'!D303</f>
        <v>0</v>
      </c>
      <c r="E132" s="214">
        <f>'LPLPO PROGRAM'!E132</f>
        <v>0</v>
      </c>
      <c r="F132" s="214">
        <f t="shared" si="18"/>
        <v>0</v>
      </c>
      <c r="G132" s="214">
        <f>'PEMAKAIAN UNIT'!R300</f>
        <v>0</v>
      </c>
      <c r="H132" s="214">
        <f t="shared" si="19"/>
        <v>0</v>
      </c>
      <c r="I132" s="220">
        <f>'LPLPO PROGRAM'!I132</f>
        <v>0</v>
      </c>
      <c r="J132" s="222" t="e">
        <f>H132-'SISA STOK UNIT'!AE309</f>
        <v>#REF!</v>
      </c>
      <c r="K132" s="148"/>
      <c r="L132" s="148"/>
      <c r="M132" s="148"/>
      <c r="N132" s="148"/>
      <c r="O132" s="148"/>
      <c r="P132" s="41"/>
    </row>
    <row r="133" spans="1:16" ht="18" x14ac:dyDescent="0.5">
      <c r="A133" s="11">
        <v>120</v>
      </c>
      <c r="B133" s="184" t="s">
        <v>376</v>
      </c>
      <c r="C133" s="144" t="s">
        <v>108</v>
      </c>
      <c r="D133" s="214">
        <f>'SISA STOK UNIT'!D304</f>
        <v>0</v>
      </c>
      <c r="E133" s="214">
        <f>'LPLPO PROGRAM'!E133</f>
        <v>0</v>
      </c>
      <c r="F133" s="214">
        <f t="shared" si="18"/>
        <v>0</v>
      </c>
      <c r="G133" s="214">
        <f>'PEMAKAIAN UNIT'!R301</f>
        <v>0</v>
      </c>
      <c r="H133" s="214">
        <f t="shared" si="19"/>
        <v>0</v>
      </c>
      <c r="I133" s="220">
        <f>'LPLPO PROGRAM'!I133</f>
        <v>0</v>
      </c>
      <c r="J133" s="222" t="e">
        <f>H133-'SISA STOK UNIT'!AE310</f>
        <v>#REF!</v>
      </c>
      <c r="K133" s="148"/>
      <c r="L133" s="148"/>
      <c r="M133" s="148"/>
      <c r="N133" s="148"/>
      <c r="O133" s="148"/>
      <c r="P133" s="41"/>
    </row>
    <row r="134" spans="1:16" ht="18" x14ac:dyDescent="0.5">
      <c r="A134" s="11">
        <v>121</v>
      </c>
      <c r="B134" s="184" t="s">
        <v>298</v>
      </c>
      <c r="C134" s="144" t="s">
        <v>299</v>
      </c>
      <c r="D134" s="214">
        <f>'SISA STOK UNIT'!D305</f>
        <v>0</v>
      </c>
      <c r="E134" s="214">
        <f>'LPLPO PROGRAM'!E134</f>
        <v>0</v>
      </c>
      <c r="F134" s="214">
        <f t="shared" si="18"/>
        <v>0</v>
      </c>
      <c r="G134" s="214">
        <f>'PEMAKAIAN UNIT'!R302</f>
        <v>0</v>
      </c>
      <c r="H134" s="214">
        <f t="shared" si="19"/>
        <v>0</v>
      </c>
      <c r="I134" s="220">
        <f>'LPLPO PROGRAM'!I134</f>
        <v>0</v>
      </c>
      <c r="J134" s="222" t="e">
        <f>H134-'SISA STOK UNIT'!AE311</f>
        <v>#REF!</v>
      </c>
      <c r="K134" s="148"/>
      <c r="L134" s="148"/>
      <c r="M134" s="148"/>
      <c r="N134" s="148"/>
      <c r="O134" s="148"/>
      <c r="P134" s="41"/>
    </row>
    <row r="135" spans="1:16" ht="18" x14ac:dyDescent="0.5">
      <c r="A135" s="11">
        <v>122</v>
      </c>
      <c r="B135" s="184" t="s">
        <v>401</v>
      </c>
      <c r="C135" s="179" t="s">
        <v>274</v>
      </c>
      <c r="D135" s="214">
        <f>'SISA STOK UNIT'!D306</f>
        <v>0</v>
      </c>
      <c r="E135" s="214">
        <f>'LPLPO PROGRAM'!E135</f>
        <v>1</v>
      </c>
      <c r="F135" s="214">
        <f t="shared" si="18"/>
        <v>1</v>
      </c>
      <c r="G135" s="214">
        <f>'PEMAKAIAN UNIT'!R303</f>
        <v>0</v>
      </c>
      <c r="H135" s="214">
        <f t="shared" si="19"/>
        <v>1</v>
      </c>
      <c r="I135" s="220">
        <f>'LPLPO PROGRAM'!I135</f>
        <v>0</v>
      </c>
      <c r="J135" s="222" t="e">
        <f>H135-'SISA STOK UNIT'!AE312</f>
        <v>#REF!</v>
      </c>
      <c r="K135" s="148"/>
      <c r="L135" s="148"/>
      <c r="M135" s="148"/>
      <c r="N135" s="148"/>
      <c r="O135" s="148"/>
      <c r="P135" s="41"/>
    </row>
    <row r="136" spans="1:16" ht="18" x14ac:dyDescent="0.5">
      <c r="A136" s="11">
        <v>123</v>
      </c>
      <c r="B136" s="184" t="s">
        <v>300</v>
      </c>
      <c r="C136" s="179" t="s">
        <v>6</v>
      </c>
      <c r="D136" s="214">
        <f>'SISA STOK UNIT'!D307</f>
        <v>0</v>
      </c>
      <c r="E136" s="214">
        <f>'LPLPO PROGRAM'!E136</f>
        <v>0</v>
      </c>
      <c r="F136" s="214">
        <f t="shared" si="18"/>
        <v>0</v>
      </c>
      <c r="G136" s="214">
        <f>'PEMAKAIAN UNIT'!R304</f>
        <v>0</v>
      </c>
      <c r="H136" s="214">
        <f t="shared" si="19"/>
        <v>0</v>
      </c>
      <c r="I136" s="220">
        <f>'LPLPO PROGRAM'!I136</f>
        <v>0</v>
      </c>
      <c r="J136" s="222" t="e">
        <f>H136-'SISA STOK UNIT'!AE313</f>
        <v>#REF!</v>
      </c>
      <c r="K136" s="148"/>
      <c r="L136" s="148"/>
      <c r="M136" s="148"/>
      <c r="N136" s="148"/>
      <c r="O136" s="148"/>
      <c r="P136" s="41"/>
    </row>
    <row r="137" spans="1:16" ht="18" x14ac:dyDescent="0.5">
      <c r="A137" s="11">
        <v>124</v>
      </c>
      <c r="B137" s="184" t="s">
        <v>402</v>
      </c>
      <c r="C137" s="179" t="s">
        <v>203</v>
      </c>
      <c r="D137" s="214">
        <f>'SISA STOK UNIT'!D308</f>
        <v>0</v>
      </c>
      <c r="E137" s="214">
        <f>'LPLPO PROGRAM'!E137</f>
        <v>0</v>
      </c>
      <c r="F137" s="214">
        <f t="shared" si="18"/>
        <v>0</v>
      </c>
      <c r="G137" s="214">
        <f>'PEMAKAIAN UNIT'!R305</f>
        <v>0</v>
      </c>
      <c r="H137" s="214">
        <f t="shared" si="19"/>
        <v>0</v>
      </c>
      <c r="I137" s="220">
        <f>'LPLPO PROGRAM'!I137</f>
        <v>0</v>
      </c>
      <c r="J137" s="222" t="e">
        <f>H137-'SISA STOK UNIT'!AE314</f>
        <v>#REF!</v>
      </c>
      <c r="K137" s="148"/>
      <c r="L137" s="148"/>
      <c r="M137" s="148"/>
      <c r="N137" s="148"/>
      <c r="O137" s="148"/>
      <c r="P137" s="41"/>
    </row>
    <row r="138" spans="1:16" ht="18" x14ac:dyDescent="0.5">
      <c r="A138" s="11">
        <v>125</v>
      </c>
      <c r="B138" s="184" t="s">
        <v>403</v>
      </c>
      <c r="C138" s="179" t="s">
        <v>203</v>
      </c>
      <c r="D138" s="214">
        <f>'SISA STOK UNIT'!D309</f>
        <v>0</v>
      </c>
      <c r="E138" s="214">
        <f>'LPLPO PROGRAM'!E138</f>
        <v>0</v>
      </c>
      <c r="F138" s="214">
        <f t="shared" si="18"/>
        <v>0</v>
      </c>
      <c r="G138" s="214">
        <f>'PEMAKAIAN UNIT'!R306</f>
        <v>0</v>
      </c>
      <c r="H138" s="214">
        <f t="shared" si="19"/>
        <v>0</v>
      </c>
      <c r="I138" s="220">
        <f>'LPLPO PROGRAM'!I138</f>
        <v>100</v>
      </c>
      <c r="J138" s="222" t="e">
        <f>H138-'SISA STOK UNIT'!AE315</f>
        <v>#REF!</v>
      </c>
      <c r="K138" s="148"/>
      <c r="L138" s="148"/>
      <c r="M138" s="148"/>
      <c r="N138" s="148"/>
      <c r="O138" s="148"/>
      <c r="P138" s="41"/>
    </row>
    <row r="139" spans="1:16" ht="18" x14ac:dyDescent="0.5">
      <c r="A139" s="11">
        <v>126</v>
      </c>
      <c r="B139" s="184" t="s">
        <v>404</v>
      </c>
      <c r="C139" s="179" t="s">
        <v>294</v>
      </c>
      <c r="D139" s="214">
        <f>'SISA STOK UNIT'!D310</f>
        <v>0</v>
      </c>
      <c r="E139" s="214">
        <f>'LPLPO PROGRAM'!E139</f>
        <v>0</v>
      </c>
      <c r="F139" s="214">
        <f t="shared" si="18"/>
        <v>0</v>
      </c>
      <c r="G139" s="214">
        <f>'PEMAKAIAN UNIT'!R307</f>
        <v>0</v>
      </c>
      <c r="H139" s="214">
        <f t="shared" si="19"/>
        <v>0</v>
      </c>
      <c r="I139" s="220">
        <f>'LPLPO PROGRAM'!I139</f>
        <v>0</v>
      </c>
      <c r="J139" s="222" t="e">
        <f>H139-'SISA STOK UNIT'!AE316</f>
        <v>#REF!</v>
      </c>
      <c r="K139" s="148"/>
      <c r="L139" s="148"/>
      <c r="M139" s="148"/>
      <c r="N139" s="148"/>
      <c r="O139" s="148"/>
      <c r="P139" s="41"/>
    </row>
    <row r="140" spans="1:16" ht="18" x14ac:dyDescent="0.5">
      <c r="A140" s="11">
        <v>127</v>
      </c>
      <c r="B140" s="184" t="s">
        <v>372</v>
      </c>
      <c r="C140" s="179" t="s">
        <v>371</v>
      </c>
      <c r="D140" s="214">
        <f>'SISA STOK UNIT'!D311</f>
        <v>0</v>
      </c>
      <c r="E140" s="214">
        <f>'LPLPO PROGRAM'!E140</f>
        <v>0</v>
      </c>
      <c r="F140" s="214">
        <f t="shared" si="18"/>
        <v>0</v>
      </c>
      <c r="G140" s="214">
        <f>'PEMAKAIAN UNIT'!R308</f>
        <v>0</v>
      </c>
      <c r="H140" s="214">
        <f t="shared" si="19"/>
        <v>0</v>
      </c>
      <c r="I140" s="220">
        <f>'LPLPO PROGRAM'!I140</f>
        <v>0</v>
      </c>
      <c r="J140" s="222" t="e">
        <f>H140-'SISA STOK UNIT'!AE317</f>
        <v>#REF!</v>
      </c>
      <c r="K140" s="148"/>
      <c r="L140" s="148"/>
      <c r="M140" s="148"/>
      <c r="N140" s="148"/>
      <c r="O140" s="148"/>
      <c r="P140" s="41"/>
    </row>
    <row r="141" spans="1:16" ht="18" x14ac:dyDescent="0.5">
      <c r="A141" s="11">
        <v>128</v>
      </c>
      <c r="B141" s="184" t="s">
        <v>377</v>
      </c>
      <c r="C141" s="179" t="s">
        <v>212</v>
      </c>
      <c r="D141" s="214">
        <f>'SISA STOK UNIT'!D312</f>
        <v>0</v>
      </c>
      <c r="E141" s="214">
        <f>'LPLPO PROGRAM'!E141</f>
        <v>0</v>
      </c>
      <c r="F141" s="214">
        <f t="shared" si="18"/>
        <v>0</v>
      </c>
      <c r="G141" s="214">
        <f>'PEMAKAIAN UNIT'!R309</f>
        <v>0</v>
      </c>
      <c r="H141" s="214">
        <f t="shared" si="19"/>
        <v>0</v>
      </c>
      <c r="I141" s="220">
        <f>'LPLPO PROGRAM'!I141</f>
        <v>0</v>
      </c>
      <c r="J141" s="222" t="e">
        <f>H141-'SISA STOK UNIT'!AE318</f>
        <v>#REF!</v>
      </c>
      <c r="K141" s="148"/>
      <c r="L141" s="148"/>
      <c r="M141" s="148"/>
      <c r="N141" s="148"/>
      <c r="O141" s="148"/>
      <c r="P141" s="41"/>
    </row>
    <row r="142" spans="1:16" ht="30" customHeight="1" x14ac:dyDescent="0.5">
      <c r="A142" s="11">
        <v>129</v>
      </c>
      <c r="B142" s="180" t="s">
        <v>288</v>
      </c>
      <c r="C142" s="179" t="s">
        <v>273</v>
      </c>
      <c r="D142" s="214">
        <f>'SISA STOK UNIT'!D313</f>
        <v>0</v>
      </c>
      <c r="E142" s="214">
        <f>'LPLPO PROGRAM'!E142</f>
        <v>6</v>
      </c>
      <c r="F142" s="214">
        <f t="shared" si="18"/>
        <v>6</v>
      </c>
      <c r="G142" s="214">
        <f>'PEMAKAIAN UNIT'!R310</f>
        <v>0</v>
      </c>
      <c r="H142" s="214">
        <f t="shared" si="19"/>
        <v>6</v>
      </c>
      <c r="I142" s="220">
        <f>'LPLPO PROGRAM'!I142</f>
        <v>6</v>
      </c>
      <c r="J142" s="222" t="e">
        <f>H142-'SISA STOK UNIT'!AE319</f>
        <v>#REF!</v>
      </c>
      <c r="K142" s="148"/>
      <c r="L142" s="148"/>
      <c r="M142" s="148"/>
      <c r="N142" s="148"/>
      <c r="O142" s="148"/>
      <c r="P142" s="41"/>
    </row>
    <row r="143" spans="1:16" ht="30" customHeight="1" x14ac:dyDescent="0.5">
      <c r="A143" s="11">
        <v>130</v>
      </c>
      <c r="B143" s="180" t="s">
        <v>287</v>
      </c>
      <c r="C143" s="179" t="s">
        <v>274</v>
      </c>
      <c r="D143" s="214">
        <f>'SISA STOK UNIT'!D314</f>
        <v>0</v>
      </c>
      <c r="E143" s="214">
        <f>'LPLPO PROGRAM'!E143</f>
        <v>5</v>
      </c>
      <c r="F143" s="214">
        <f t="shared" si="18"/>
        <v>5</v>
      </c>
      <c r="G143" s="214">
        <f>'PEMAKAIAN UNIT'!R311</f>
        <v>0</v>
      </c>
      <c r="H143" s="214">
        <f t="shared" si="19"/>
        <v>5</v>
      </c>
      <c r="I143" s="220">
        <f>'LPLPO PROGRAM'!I143</f>
        <v>5</v>
      </c>
      <c r="J143" s="222" t="e">
        <f>H143-'SISA STOK UNIT'!AE320</f>
        <v>#REF!</v>
      </c>
      <c r="K143" s="148"/>
      <c r="L143" s="148"/>
      <c r="M143" s="148"/>
      <c r="N143" s="148"/>
      <c r="O143" s="148"/>
      <c r="P143" s="41"/>
    </row>
    <row r="144" spans="1:16" ht="18" x14ac:dyDescent="0.5">
      <c r="A144" s="11">
        <v>131</v>
      </c>
      <c r="B144" s="184" t="s">
        <v>291</v>
      </c>
      <c r="C144" s="179" t="s">
        <v>273</v>
      </c>
      <c r="D144" s="214">
        <f>'SISA STOK UNIT'!D315</f>
        <v>0</v>
      </c>
      <c r="E144" s="214">
        <f>'LPLPO PROGRAM'!E144</f>
        <v>0</v>
      </c>
      <c r="F144" s="214">
        <f t="shared" si="18"/>
        <v>0</v>
      </c>
      <c r="G144" s="214">
        <f>'PEMAKAIAN UNIT'!R312</f>
        <v>0</v>
      </c>
      <c r="H144" s="214">
        <f t="shared" si="19"/>
        <v>0</v>
      </c>
      <c r="I144" s="220">
        <f>'LPLPO PROGRAM'!I144</f>
        <v>0</v>
      </c>
      <c r="J144" s="222" t="e">
        <f>H144-'SISA STOK UNIT'!AE321</f>
        <v>#REF!</v>
      </c>
      <c r="K144" s="148"/>
      <c r="L144" s="148"/>
      <c r="M144" s="148"/>
      <c r="N144" s="148"/>
      <c r="O144" s="148"/>
      <c r="P144" s="41"/>
    </row>
    <row r="145" spans="1:16" ht="18" x14ac:dyDescent="0.5">
      <c r="A145" s="11">
        <v>132</v>
      </c>
      <c r="B145" s="184" t="s">
        <v>405</v>
      </c>
      <c r="C145" s="179" t="s">
        <v>203</v>
      </c>
      <c r="D145" s="214">
        <f>'SISA STOK UNIT'!D316</f>
        <v>0</v>
      </c>
      <c r="E145" s="214">
        <f>'LPLPO PROGRAM'!E145</f>
        <v>0</v>
      </c>
      <c r="F145" s="214">
        <f t="shared" si="18"/>
        <v>0</v>
      </c>
      <c r="G145" s="214">
        <f>'PEMAKAIAN UNIT'!R313</f>
        <v>0</v>
      </c>
      <c r="H145" s="214">
        <f t="shared" si="19"/>
        <v>0</v>
      </c>
      <c r="I145" s="220">
        <f>'LPLPO PROGRAM'!I145</f>
        <v>0</v>
      </c>
      <c r="J145" s="222" t="e">
        <f>H145-'SISA STOK UNIT'!AE322</f>
        <v>#REF!</v>
      </c>
      <c r="K145" s="148"/>
      <c r="L145" s="148"/>
      <c r="M145" s="148"/>
      <c r="N145" s="148"/>
      <c r="O145" s="148"/>
      <c r="P145" s="41"/>
    </row>
    <row r="146" spans="1:16" ht="18" x14ac:dyDescent="0.5">
      <c r="A146" s="11">
        <v>133</v>
      </c>
      <c r="B146" s="184" t="s">
        <v>406</v>
      </c>
      <c r="C146" s="179" t="s">
        <v>201</v>
      </c>
      <c r="D146" s="214">
        <f>'SISA STOK UNIT'!D317</f>
        <v>0</v>
      </c>
      <c r="E146" s="214">
        <f>'LPLPO PROGRAM'!E146</f>
        <v>0</v>
      </c>
      <c r="F146" s="214">
        <f t="shared" si="18"/>
        <v>0</v>
      </c>
      <c r="G146" s="214">
        <f>'PEMAKAIAN UNIT'!R314</f>
        <v>0</v>
      </c>
      <c r="H146" s="214">
        <f t="shared" si="19"/>
        <v>0</v>
      </c>
      <c r="I146" s="220">
        <f>'LPLPO PROGRAM'!I146</f>
        <v>0</v>
      </c>
      <c r="J146" s="222" t="e">
        <f>H146-'SISA STOK UNIT'!AE323</f>
        <v>#REF!</v>
      </c>
      <c r="K146" s="148"/>
      <c r="L146" s="148"/>
      <c r="M146" s="148"/>
      <c r="N146" s="148"/>
      <c r="O146" s="148"/>
      <c r="P146" s="41"/>
    </row>
    <row r="147" spans="1:16" ht="18" x14ac:dyDescent="0.5">
      <c r="A147" s="11">
        <v>134</v>
      </c>
      <c r="B147" s="184" t="s">
        <v>407</v>
      </c>
      <c r="C147" s="179" t="s">
        <v>273</v>
      </c>
      <c r="D147" s="214">
        <f>'SISA STOK UNIT'!D318</f>
        <v>0</v>
      </c>
      <c r="E147" s="214">
        <f>'LPLPO PROGRAM'!E147</f>
        <v>0</v>
      </c>
      <c r="F147" s="214">
        <f t="shared" si="18"/>
        <v>0</v>
      </c>
      <c r="G147" s="214">
        <f>'PEMAKAIAN UNIT'!R315</f>
        <v>0</v>
      </c>
      <c r="H147" s="214">
        <f t="shared" si="19"/>
        <v>0</v>
      </c>
      <c r="I147" s="220">
        <f>'LPLPO PROGRAM'!I147</f>
        <v>0</v>
      </c>
      <c r="J147" s="222" t="e">
        <f>H147-'SISA STOK UNIT'!AE324</f>
        <v>#REF!</v>
      </c>
      <c r="K147" s="148"/>
      <c r="L147" s="148"/>
      <c r="M147" s="148"/>
      <c r="N147" s="148"/>
      <c r="O147" s="148"/>
      <c r="P147" s="41"/>
    </row>
    <row r="148" spans="1:16" ht="30" customHeight="1" x14ac:dyDescent="0.5">
      <c r="A148" s="11">
        <v>135</v>
      </c>
      <c r="B148" s="184" t="s">
        <v>408</v>
      </c>
      <c r="C148" s="179" t="s">
        <v>274</v>
      </c>
      <c r="D148" s="214">
        <f>'SISA STOK UNIT'!D319</f>
        <v>0</v>
      </c>
      <c r="E148" s="214">
        <f>'LPLPO PROGRAM'!E148</f>
        <v>1</v>
      </c>
      <c r="F148" s="214">
        <f t="shared" si="18"/>
        <v>1</v>
      </c>
      <c r="G148" s="214">
        <f>'PEMAKAIAN UNIT'!R316</f>
        <v>0</v>
      </c>
      <c r="H148" s="214">
        <f t="shared" si="19"/>
        <v>1</v>
      </c>
      <c r="I148" s="220">
        <f>'LPLPO PROGRAM'!I148</f>
        <v>2</v>
      </c>
      <c r="J148" s="222">
        <f>H148-'SISA STOK UNIT'!AE325</f>
        <v>1</v>
      </c>
      <c r="K148" s="148"/>
      <c r="L148" s="148"/>
      <c r="M148" s="148"/>
      <c r="N148" s="148"/>
      <c r="O148" s="148"/>
      <c r="P148" s="41"/>
    </row>
    <row r="149" spans="1:16" ht="18" x14ac:dyDescent="0.5">
      <c r="A149" s="11">
        <v>136</v>
      </c>
      <c r="B149" s="184" t="s">
        <v>409</v>
      </c>
      <c r="C149" s="179" t="s">
        <v>48</v>
      </c>
      <c r="D149" s="214">
        <f>'SISA STOK UNIT'!D320</f>
        <v>0</v>
      </c>
      <c r="E149" s="214">
        <f>'LPLPO PROGRAM'!E149</f>
        <v>0</v>
      </c>
      <c r="F149" s="214">
        <f t="shared" si="18"/>
        <v>0</v>
      </c>
      <c r="G149" s="214">
        <f>'PEMAKAIAN UNIT'!R317</f>
        <v>0</v>
      </c>
      <c r="H149" s="214">
        <f t="shared" si="19"/>
        <v>0</v>
      </c>
      <c r="I149" s="220">
        <f>'LPLPO PROGRAM'!I149</f>
        <v>0</v>
      </c>
      <c r="J149" s="222" t="e">
        <f>H149-'SISA STOK UNIT'!AE326</f>
        <v>#REF!</v>
      </c>
      <c r="K149" s="148"/>
      <c r="L149" s="148"/>
      <c r="M149" s="148"/>
      <c r="N149" s="148"/>
      <c r="O149" s="148"/>
      <c r="P149" s="41"/>
    </row>
    <row r="150" spans="1:16" ht="18" x14ac:dyDescent="0.5">
      <c r="A150" s="11">
        <v>137</v>
      </c>
      <c r="B150" s="184" t="s">
        <v>434</v>
      </c>
      <c r="C150" s="179" t="s">
        <v>212</v>
      </c>
      <c r="D150" s="148"/>
      <c r="E150" s="148"/>
      <c r="F150" s="148"/>
      <c r="G150" s="148"/>
      <c r="H150" s="148"/>
      <c r="I150" s="220">
        <f>'LPLPO PROGRAM'!I150</f>
        <v>0</v>
      </c>
      <c r="J150" s="223"/>
      <c r="K150" s="148"/>
      <c r="L150" s="148"/>
      <c r="M150" s="148"/>
      <c r="N150" s="148"/>
      <c r="O150" s="148"/>
      <c r="P150" s="41"/>
    </row>
    <row r="151" spans="1:16" ht="18" x14ac:dyDescent="0.5">
      <c r="A151" s="11">
        <v>138</v>
      </c>
      <c r="B151" s="184"/>
      <c r="C151" s="179"/>
      <c r="D151" s="148"/>
      <c r="E151" s="148"/>
      <c r="F151" s="148"/>
      <c r="G151" s="148"/>
      <c r="H151" s="148"/>
      <c r="I151" s="220">
        <f>'LPLPO PROGRAM'!I151</f>
        <v>0</v>
      </c>
      <c r="J151" s="223"/>
      <c r="K151" s="148"/>
      <c r="L151" s="148"/>
      <c r="M151" s="148"/>
      <c r="N151" s="148"/>
      <c r="O151" s="148"/>
      <c r="P151" s="41"/>
    </row>
    <row r="152" spans="1:16" ht="18" x14ac:dyDescent="0.5">
      <c r="A152" s="11">
        <v>139</v>
      </c>
      <c r="B152" s="184"/>
      <c r="C152" s="179"/>
      <c r="D152" s="148"/>
      <c r="E152" s="148"/>
      <c r="F152" s="148"/>
      <c r="G152" s="148"/>
      <c r="H152" s="148"/>
      <c r="I152" s="220">
        <f>'LPLPO PROGRAM'!I152</f>
        <v>0</v>
      </c>
      <c r="J152" s="223"/>
      <c r="K152" s="148"/>
      <c r="L152" s="148"/>
      <c r="M152" s="148"/>
      <c r="N152" s="148"/>
      <c r="O152" s="148"/>
      <c r="P152" s="41"/>
    </row>
    <row r="153" spans="1:16" ht="18" x14ac:dyDescent="0.5">
      <c r="A153" s="11">
        <v>140</v>
      </c>
      <c r="B153" s="184"/>
      <c r="C153" s="179"/>
      <c r="D153" s="148"/>
      <c r="E153" s="148"/>
      <c r="F153" s="148"/>
      <c r="G153" s="148"/>
      <c r="H153" s="148"/>
      <c r="I153" s="220">
        <f>'LPLPO PROGRAM'!I153</f>
        <v>0</v>
      </c>
      <c r="J153" s="223"/>
      <c r="K153" s="148"/>
      <c r="L153" s="148"/>
      <c r="M153" s="148"/>
      <c r="N153" s="148"/>
      <c r="O153" s="148"/>
      <c r="P153" s="41"/>
    </row>
    <row r="154" spans="1:16" ht="19.5" x14ac:dyDescent="0.6">
      <c r="A154" s="187">
        <v>141</v>
      </c>
      <c r="B154" s="189" t="s">
        <v>275</v>
      </c>
      <c r="C154" s="146"/>
      <c r="D154" s="217"/>
      <c r="E154" s="217"/>
      <c r="F154" s="217"/>
      <c r="G154" s="217"/>
      <c r="H154" s="217"/>
      <c r="I154" s="216"/>
      <c r="J154" s="216"/>
      <c r="K154" s="217"/>
      <c r="L154" s="217"/>
      <c r="M154" s="217"/>
      <c r="N154" s="217"/>
      <c r="O154" s="217"/>
      <c r="P154" s="202"/>
    </row>
    <row r="155" spans="1:16" ht="18" x14ac:dyDescent="0.5">
      <c r="A155" s="11">
        <v>142</v>
      </c>
      <c r="B155" s="184" t="s">
        <v>380</v>
      </c>
      <c r="C155" s="179" t="s">
        <v>294</v>
      </c>
      <c r="D155" s="214">
        <f>'SISA STOK UNIT'!D326</f>
        <v>0</v>
      </c>
      <c r="E155" s="214">
        <f>'LPLPO PROGRAM'!E155</f>
        <v>0</v>
      </c>
      <c r="F155" s="214">
        <f t="shared" ref="F155:F158" si="20">D155+E155</f>
        <v>0</v>
      </c>
      <c r="G155" s="214">
        <f>'PEMAKAIAN UNIT'!R323</f>
        <v>0</v>
      </c>
      <c r="H155" s="214">
        <f t="shared" ref="H155:H158" si="21">F155-G155</f>
        <v>0</v>
      </c>
      <c r="I155" s="220">
        <f>'LPLPO PROGRAM'!I155</f>
        <v>0</v>
      </c>
      <c r="J155" s="222">
        <f>H155-'SISA STOK UNIT'!AE332</f>
        <v>0</v>
      </c>
      <c r="K155" s="148"/>
      <c r="L155" s="148"/>
      <c r="M155" s="148"/>
      <c r="N155" s="148"/>
      <c r="O155" s="148"/>
      <c r="P155" s="41"/>
    </row>
    <row r="156" spans="1:16" ht="18" x14ac:dyDescent="0.5">
      <c r="A156" s="11">
        <v>143</v>
      </c>
      <c r="B156" s="184" t="s">
        <v>381</v>
      </c>
      <c r="C156" s="179" t="s">
        <v>382</v>
      </c>
      <c r="D156" s="214">
        <f>'SISA STOK UNIT'!D327</f>
        <v>0</v>
      </c>
      <c r="E156" s="214">
        <f>'LPLPO PROGRAM'!E156</f>
        <v>0</v>
      </c>
      <c r="F156" s="214">
        <f t="shared" si="20"/>
        <v>0</v>
      </c>
      <c r="G156" s="214">
        <f>'PEMAKAIAN UNIT'!R324</f>
        <v>0</v>
      </c>
      <c r="H156" s="214">
        <f t="shared" si="21"/>
        <v>0</v>
      </c>
      <c r="I156" s="220">
        <f>'LPLPO PROGRAM'!I156</f>
        <v>0</v>
      </c>
      <c r="J156" s="222" t="e">
        <f>H156-'SISA STOK UNIT'!AE333</f>
        <v>#REF!</v>
      </c>
      <c r="K156" s="148"/>
      <c r="L156" s="148"/>
      <c r="M156" s="148"/>
      <c r="N156" s="148"/>
      <c r="O156" s="148"/>
      <c r="P156" s="41"/>
    </row>
    <row r="157" spans="1:16" ht="18" x14ac:dyDescent="0.5">
      <c r="A157" s="11">
        <v>144</v>
      </c>
      <c r="B157" s="184" t="s">
        <v>276</v>
      </c>
      <c r="C157" s="179" t="s">
        <v>212</v>
      </c>
      <c r="D157" s="214">
        <f>'SISA STOK UNIT'!D328</f>
        <v>0</v>
      </c>
      <c r="E157" s="214">
        <f>'LPLPO PROGRAM'!E157</f>
        <v>150</v>
      </c>
      <c r="F157" s="214">
        <f t="shared" si="20"/>
        <v>150</v>
      </c>
      <c r="G157" s="214">
        <f>'PEMAKAIAN UNIT'!R325</f>
        <v>0</v>
      </c>
      <c r="H157" s="214">
        <f t="shared" si="21"/>
        <v>150</v>
      </c>
      <c r="I157" s="220">
        <f>'LPLPO PROGRAM'!I157</f>
        <v>0</v>
      </c>
      <c r="J157" s="222" t="e">
        <f>H157-'SISA STOK UNIT'!AE334</f>
        <v>#REF!</v>
      </c>
      <c r="K157" s="148"/>
      <c r="L157" s="148"/>
      <c r="M157" s="148"/>
      <c r="N157" s="148"/>
      <c r="O157" s="148"/>
      <c r="P157" s="41"/>
    </row>
    <row r="158" spans="1:16" ht="18" x14ac:dyDescent="0.5">
      <c r="A158" s="11">
        <v>145</v>
      </c>
      <c r="B158" s="184" t="s">
        <v>379</v>
      </c>
      <c r="C158" s="179" t="s">
        <v>212</v>
      </c>
      <c r="D158" s="214">
        <f>'SISA STOK UNIT'!D329</f>
        <v>0</v>
      </c>
      <c r="E158" s="214">
        <f>'LPLPO PROGRAM'!E158</f>
        <v>0</v>
      </c>
      <c r="F158" s="214">
        <f t="shared" si="20"/>
        <v>0</v>
      </c>
      <c r="G158" s="214">
        <f>'PEMAKAIAN UNIT'!R326</f>
        <v>0</v>
      </c>
      <c r="H158" s="214">
        <f t="shared" si="21"/>
        <v>0</v>
      </c>
      <c r="I158" s="220">
        <f>'LPLPO PROGRAM'!I158</f>
        <v>0</v>
      </c>
      <c r="J158" s="222" t="e">
        <f>H158-'SISA STOK UNIT'!AE335</f>
        <v>#REF!</v>
      </c>
      <c r="K158" s="148"/>
      <c r="L158" s="148"/>
      <c r="M158" s="148"/>
      <c r="N158" s="148"/>
      <c r="O158" s="148"/>
      <c r="P158" s="41"/>
    </row>
    <row r="159" spans="1:16" ht="18" x14ac:dyDescent="0.5">
      <c r="A159" s="11">
        <v>146</v>
      </c>
      <c r="B159" s="184"/>
      <c r="C159" s="179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41"/>
    </row>
    <row r="160" spans="1:16" ht="18" x14ac:dyDescent="0.5">
      <c r="A160" s="11">
        <v>147</v>
      </c>
      <c r="B160" s="184"/>
      <c r="C160" s="179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41"/>
    </row>
    <row r="161" spans="1:53" s="38" customFormat="1" ht="18" x14ac:dyDescent="0.5">
      <c r="A161" s="148">
        <v>148</v>
      </c>
      <c r="B161" s="148" t="s">
        <v>435</v>
      </c>
      <c r="C161" s="148"/>
      <c r="D161" s="41"/>
      <c r="E161" s="41"/>
      <c r="F161" s="70"/>
      <c r="G161" s="41"/>
      <c r="H161" s="71"/>
      <c r="I161" s="41"/>
      <c r="J161" s="72"/>
      <c r="K161" s="72"/>
      <c r="L161" s="72"/>
      <c r="M161" s="72"/>
      <c r="N161" s="72"/>
      <c r="O161" s="72"/>
      <c r="P161" s="72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P161" s="39"/>
    </row>
    <row r="162" spans="1:53" s="65" customFormat="1" ht="20.149999999999999" customHeight="1" x14ac:dyDescent="0.5">
      <c r="A162" s="148">
        <v>149</v>
      </c>
      <c r="B162" s="148" t="s">
        <v>436</v>
      </c>
      <c r="C162" s="148" t="s">
        <v>6</v>
      </c>
      <c r="D162" s="326" t="s">
        <v>248</v>
      </c>
      <c r="E162" s="326" t="s">
        <v>234</v>
      </c>
      <c r="F162" s="68"/>
      <c r="G162" s="68"/>
      <c r="H162" s="68"/>
      <c r="I162" s="68"/>
      <c r="J162" s="75"/>
      <c r="K162" s="75"/>
      <c r="L162" s="75"/>
      <c r="M162" s="75"/>
      <c r="N162" s="75"/>
      <c r="O162" s="75"/>
      <c r="P162" s="75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P162" s="76"/>
    </row>
    <row r="163" spans="1:53" s="65" customFormat="1" ht="20.149999999999999" customHeight="1" x14ac:dyDescent="0.5">
      <c r="A163" s="148">
        <v>150</v>
      </c>
      <c r="B163" s="148" t="s">
        <v>437</v>
      </c>
      <c r="C163" s="148" t="s">
        <v>6</v>
      </c>
      <c r="D163" s="326"/>
      <c r="E163" s="326"/>
      <c r="F163" s="68"/>
      <c r="G163" s="68"/>
      <c r="H163" s="68"/>
      <c r="I163" s="68"/>
      <c r="J163" s="75"/>
      <c r="K163" s="75"/>
      <c r="L163" s="75"/>
      <c r="M163" s="75"/>
      <c r="N163" s="75"/>
      <c r="O163" s="75"/>
      <c r="P163" s="75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P163" s="76"/>
    </row>
    <row r="164" spans="1:53" s="65" customFormat="1" ht="20.149999999999999" customHeight="1" x14ac:dyDescent="0.5">
      <c r="A164" s="148">
        <v>151</v>
      </c>
      <c r="B164" s="148" t="s">
        <v>438</v>
      </c>
      <c r="C164" s="148" t="s">
        <v>6</v>
      </c>
      <c r="D164" s="327"/>
      <c r="E164" s="327">
        <f>SUM(C164:D165)</f>
        <v>0</v>
      </c>
      <c r="F164" s="68"/>
      <c r="G164" s="68"/>
      <c r="H164" s="68"/>
      <c r="I164" s="68"/>
      <c r="J164" s="75"/>
      <c r="K164" s="75"/>
      <c r="L164" s="75"/>
      <c r="M164" s="75"/>
      <c r="N164" s="75"/>
      <c r="O164" s="75"/>
      <c r="P164" s="75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P164" s="76"/>
    </row>
    <row r="165" spans="1:53" s="65" customFormat="1" ht="18" x14ac:dyDescent="0.5">
      <c r="A165" s="148">
        <v>152</v>
      </c>
      <c r="B165" s="148" t="s">
        <v>439</v>
      </c>
      <c r="C165" s="148" t="s">
        <v>6</v>
      </c>
      <c r="D165" s="328"/>
      <c r="E165" s="328"/>
      <c r="F165" s="68"/>
      <c r="G165" s="68"/>
      <c r="H165" s="68"/>
      <c r="I165" s="68"/>
      <c r="J165" s="75"/>
      <c r="K165" s="75"/>
      <c r="L165" s="75"/>
      <c r="M165" s="75"/>
      <c r="N165" s="75"/>
      <c r="O165" s="75"/>
      <c r="P165" s="75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P165" s="76"/>
    </row>
    <row r="166" spans="1:53" s="38" customFormat="1" ht="20.149999999999999" customHeight="1" x14ac:dyDescent="0.5">
      <c r="A166" s="148">
        <v>153</v>
      </c>
      <c r="B166" s="148" t="s">
        <v>440</v>
      </c>
      <c r="C166" s="148" t="s">
        <v>6</v>
      </c>
      <c r="D166" s="53"/>
      <c r="E166" s="53"/>
      <c r="F166" s="53"/>
      <c r="G166" s="53"/>
      <c r="H166" s="54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BA166" s="39"/>
    </row>
    <row r="167" spans="1:53" s="38" customFormat="1" ht="20.149999999999999" customHeight="1" x14ac:dyDescent="0.5">
      <c r="A167" s="148">
        <v>154</v>
      </c>
      <c r="B167" s="148" t="s">
        <v>441</v>
      </c>
      <c r="C167" s="148" t="s">
        <v>6</v>
      </c>
      <c r="D167" s="54"/>
      <c r="E167" s="54"/>
      <c r="F167" s="54"/>
      <c r="G167" s="54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BA167" s="39"/>
    </row>
    <row r="168" spans="1:53" s="38" customFormat="1" ht="20.149999999999999" customHeight="1" x14ac:dyDescent="0.5">
      <c r="A168" s="148">
        <v>155</v>
      </c>
      <c r="B168" s="148" t="s">
        <v>442</v>
      </c>
      <c r="C168" s="148" t="s">
        <v>6</v>
      </c>
      <c r="D168" s="54"/>
      <c r="E168" s="54"/>
      <c r="F168" s="54"/>
      <c r="H168" s="41"/>
      <c r="I168" s="41"/>
      <c r="J168" s="41"/>
      <c r="K168" s="38" t="s">
        <v>311</v>
      </c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BA168" s="39"/>
    </row>
    <row r="169" spans="1:53" s="38" customFormat="1" ht="20.149999999999999" customHeight="1" x14ac:dyDescent="0.5">
      <c r="A169" s="148">
        <v>156</v>
      </c>
      <c r="B169" s="148"/>
      <c r="C169" s="148"/>
      <c r="D169" s="41"/>
      <c r="E169" s="41"/>
      <c r="F169" s="41"/>
      <c r="H169" s="41"/>
      <c r="J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BA169" s="39"/>
    </row>
    <row r="170" spans="1:53" s="38" customFormat="1" ht="20.149999999999999" customHeight="1" x14ac:dyDescent="0.5">
      <c r="A170" s="148">
        <v>157</v>
      </c>
      <c r="B170" s="148"/>
      <c r="C170" s="148"/>
      <c r="D170" s="41"/>
      <c r="E170" s="41"/>
      <c r="F170" s="41"/>
      <c r="H170" s="41"/>
      <c r="J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BA170" s="39"/>
    </row>
    <row r="171" spans="1:53" s="38" customFormat="1" ht="20.149999999999999" customHeight="1" x14ac:dyDescent="0.5">
      <c r="A171" s="148">
        <v>158</v>
      </c>
      <c r="B171" s="148"/>
      <c r="C171" s="148"/>
      <c r="J171" s="41"/>
      <c r="K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BA171" s="39"/>
    </row>
    <row r="172" spans="1:53" s="38" customFormat="1" ht="18" x14ac:dyDescent="0.5">
      <c r="A172" s="148">
        <v>159</v>
      </c>
      <c r="B172" s="148"/>
      <c r="C172" s="148"/>
      <c r="J172" s="41"/>
      <c r="K172" s="58" t="s">
        <v>383</v>
      </c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BA172" s="39"/>
    </row>
    <row r="173" spans="1:53" s="38" customFormat="1" ht="18" x14ac:dyDescent="0.5">
      <c r="B173" s="38" t="s">
        <v>416</v>
      </c>
      <c r="J173" s="41"/>
      <c r="K173" s="38" t="s">
        <v>310</v>
      </c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</sheetData>
  <mergeCells count="27">
    <mergeCell ref="D162:D163"/>
    <mergeCell ref="E162:E163"/>
    <mergeCell ref="D164:D165"/>
    <mergeCell ref="E164:E165"/>
    <mergeCell ref="H11:H12"/>
    <mergeCell ref="I11:I12"/>
    <mergeCell ref="B11:B12"/>
    <mergeCell ref="C11:C12"/>
    <mergeCell ref="D11:D12"/>
    <mergeCell ref="E11:E12"/>
    <mergeCell ref="G11:G12"/>
    <mergeCell ref="J11:N11"/>
    <mergeCell ref="A6:B6"/>
    <mergeCell ref="A1:O1"/>
    <mergeCell ref="A2:O2"/>
    <mergeCell ref="A3:B3"/>
    <mergeCell ref="A4:B4"/>
    <mergeCell ref="A5:B5"/>
    <mergeCell ref="O11:O12"/>
    <mergeCell ref="F11:F12"/>
    <mergeCell ref="A7:B7"/>
    <mergeCell ref="A8:B8"/>
    <mergeCell ref="A9:B9"/>
    <mergeCell ref="K9:L9"/>
    <mergeCell ref="A10:B10"/>
    <mergeCell ref="K10:L10"/>
    <mergeCell ref="A11:A12"/>
  </mergeCells>
  <pageMargins left="0.70866141732283505" right="0.70866141732283505" top="0.74803149606299202" bottom="0.74803149606299202" header="0.31496062992126" footer="0.31496062992126"/>
  <pageSetup paperSize="5" scale="85" orientation="landscape" horizontalDpi="4294967293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174"/>
  <sheetViews>
    <sheetView workbookViewId="0">
      <selection activeCell="G8" sqref="G8"/>
    </sheetView>
  </sheetViews>
  <sheetFormatPr defaultColWidth="9.1796875" defaultRowHeight="16.5" x14ac:dyDescent="0.45"/>
  <cols>
    <col min="1" max="1" width="5.453125" style="65" customWidth="1"/>
    <col min="2" max="2" width="43.7265625" style="65" customWidth="1"/>
    <col min="3" max="7" width="17.7265625" style="65" customWidth="1"/>
    <col min="8" max="8" width="20.7265625" style="65" customWidth="1"/>
    <col min="9" max="9" width="9.54296875" style="68" bestFit="1" customWidth="1"/>
    <col min="10" max="17" width="9.1796875" style="68"/>
    <col min="18" max="16384" width="9.1796875" style="65"/>
  </cols>
  <sheetData>
    <row r="1" spans="1:56" s="38" customFormat="1" ht="18" x14ac:dyDescent="0.5">
      <c r="A1" s="317" t="s">
        <v>315</v>
      </c>
      <c r="B1" s="317"/>
      <c r="C1" s="317"/>
      <c r="D1" s="317"/>
      <c r="E1" s="317"/>
      <c r="F1" s="317"/>
      <c r="G1" s="317"/>
      <c r="H1" s="317"/>
      <c r="I1" s="41"/>
      <c r="J1" s="41"/>
      <c r="K1" s="41"/>
      <c r="L1" s="41"/>
      <c r="M1" s="41"/>
      <c r="N1" s="41"/>
      <c r="O1" s="41"/>
      <c r="P1" s="41"/>
      <c r="Q1" s="41"/>
      <c r="AF1" s="39"/>
    </row>
    <row r="2" spans="1:56" s="38" customFormat="1" ht="18" x14ac:dyDescent="0.5">
      <c r="A2" s="317" t="s">
        <v>451</v>
      </c>
      <c r="B2" s="317"/>
      <c r="C2" s="317"/>
      <c r="D2" s="317"/>
      <c r="E2" s="317"/>
      <c r="F2" s="317"/>
      <c r="G2" s="317"/>
      <c r="H2" s="317"/>
      <c r="I2" s="41"/>
      <c r="J2" s="41"/>
      <c r="K2" s="41"/>
      <c r="L2" s="41"/>
      <c r="M2" s="41"/>
      <c r="N2" s="41"/>
      <c r="O2" s="41"/>
      <c r="P2" s="41"/>
      <c r="Q2" s="41"/>
      <c r="AF2" s="39"/>
    </row>
    <row r="3" spans="1:56" s="38" customFormat="1" ht="19.5" x14ac:dyDescent="0.6">
      <c r="A3" s="314"/>
      <c r="B3" s="314"/>
      <c r="C3" s="40"/>
      <c r="D3" s="40"/>
      <c r="E3" s="40"/>
      <c r="F3" s="40"/>
      <c r="G3" s="40"/>
      <c r="H3" s="62"/>
      <c r="I3" s="41"/>
      <c r="J3" s="41"/>
      <c r="K3" s="41"/>
      <c r="L3" s="41"/>
      <c r="M3" s="41"/>
      <c r="N3" s="41"/>
      <c r="O3" s="41"/>
      <c r="P3" s="41"/>
      <c r="Q3" s="41"/>
      <c r="AF3" s="39"/>
    </row>
    <row r="4" spans="1:56" s="38" customFormat="1" ht="19.5" x14ac:dyDescent="0.6">
      <c r="A4" s="63" t="s">
        <v>444</v>
      </c>
      <c r="B4" s="63"/>
      <c r="C4" s="40"/>
      <c r="D4" s="40"/>
      <c r="E4" s="40"/>
      <c r="F4" s="40"/>
      <c r="G4" s="40"/>
      <c r="H4" s="62"/>
      <c r="I4" s="41"/>
      <c r="J4" s="41"/>
      <c r="K4" s="41"/>
      <c r="L4" s="41"/>
      <c r="M4" s="41"/>
      <c r="N4" s="41"/>
      <c r="O4" s="41"/>
      <c r="P4" s="41"/>
      <c r="Q4" s="41"/>
      <c r="AF4" s="39"/>
    </row>
    <row r="5" spans="1:56" ht="19.5" customHeight="1" x14ac:dyDescent="0.45">
      <c r="A5" s="292" t="s">
        <v>0</v>
      </c>
      <c r="B5" s="293" t="s">
        <v>1</v>
      </c>
      <c r="C5" s="294" t="s">
        <v>2</v>
      </c>
      <c r="D5" s="377" t="s">
        <v>161</v>
      </c>
      <c r="E5" s="377" t="s">
        <v>162</v>
      </c>
      <c r="F5" s="377" t="s">
        <v>163</v>
      </c>
      <c r="G5" s="377" t="s">
        <v>164</v>
      </c>
      <c r="H5" s="318" t="s">
        <v>445</v>
      </c>
    </row>
    <row r="6" spans="1:56" ht="16.5" customHeight="1" x14ac:dyDescent="0.45">
      <c r="A6" s="292"/>
      <c r="B6" s="293"/>
      <c r="C6" s="294"/>
      <c r="D6" s="378"/>
      <c r="E6" s="378"/>
      <c r="F6" s="378"/>
      <c r="G6" s="378"/>
      <c r="H6" s="319"/>
    </row>
    <row r="7" spans="1:56" ht="19" x14ac:dyDescent="0.45">
      <c r="A7" s="99">
        <v>1</v>
      </c>
      <c r="B7" s="99">
        <v>2</v>
      </c>
      <c r="C7" s="99">
        <v>3</v>
      </c>
      <c r="D7" s="99"/>
      <c r="E7" s="99"/>
      <c r="F7" s="99"/>
      <c r="G7" s="99"/>
      <c r="H7" s="99">
        <v>4</v>
      </c>
    </row>
    <row r="8" spans="1:56" ht="20.149999999999999" customHeight="1" x14ac:dyDescent="0.45">
      <c r="A8" s="59">
        <v>1</v>
      </c>
      <c r="B8" s="141" t="s">
        <v>3</v>
      </c>
      <c r="C8" s="143" t="s">
        <v>4</v>
      </c>
      <c r="D8" s="143"/>
      <c r="E8" s="143"/>
      <c r="F8" s="143"/>
      <c r="G8" s="143"/>
      <c r="H8" s="46">
        <f>'LPLPO GUDANG'!H15</f>
        <v>0</v>
      </c>
      <c r="I8" s="86"/>
    </row>
    <row r="9" spans="1:56" ht="20.149999999999999" customHeight="1" x14ac:dyDescent="0.45">
      <c r="A9" s="59">
        <f>A8+1</f>
        <v>2</v>
      </c>
      <c r="B9" s="141" t="s">
        <v>5</v>
      </c>
      <c r="C9" s="143" t="s">
        <v>327</v>
      </c>
      <c r="D9" s="143"/>
      <c r="E9" s="143"/>
      <c r="F9" s="143"/>
      <c r="G9" s="143"/>
      <c r="H9" s="46">
        <f>'LPLPO GUDANG'!H16</f>
        <v>500</v>
      </c>
      <c r="I9" s="86"/>
    </row>
    <row r="10" spans="1:56" s="68" customFormat="1" ht="20.149999999999999" customHeight="1" x14ac:dyDescent="0.45">
      <c r="A10" s="59">
        <f t="shared" ref="A10:A73" si="0">A9+1</f>
        <v>3</v>
      </c>
      <c r="B10" s="141" t="s">
        <v>262</v>
      </c>
      <c r="C10" s="143" t="s">
        <v>48</v>
      </c>
      <c r="D10" s="143"/>
      <c r="E10" s="143"/>
      <c r="F10" s="143"/>
      <c r="G10" s="143"/>
      <c r="H10" s="46">
        <f>'LPLPO GUDANG'!H17</f>
        <v>15</v>
      </c>
      <c r="I10" s="86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</row>
    <row r="11" spans="1:56" s="68" customFormat="1" ht="20.149999999999999" customHeight="1" x14ac:dyDescent="0.45">
      <c r="A11" s="59">
        <f t="shared" si="0"/>
        <v>4</v>
      </c>
      <c r="B11" s="141" t="s">
        <v>7</v>
      </c>
      <c r="C11" s="143" t="s">
        <v>328</v>
      </c>
      <c r="D11" s="143"/>
      <c r="E11" s="143"/>
      <c r="F11" s="143"/>
      <c r="G11" s="143"/>
      <c r="H11" s="46">
        <f>'LPLPO GUDANG'!H18</f>
        <v>1800</v>
      </c>
      <c r="I11" s="86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</row>
    <row r="12" spans="1:56" s="68" customFormat="1" ht="20.149999999999999" customHeight="1" x14ac:dyDescent="0.45">
      <c r="A12" s="59">
        <f t="shared" si="0"/>
        <v>5</v>
      </c>
      <c r="B12" s="141" t="s">
        <v>317</v>
      </c>
      <c r="C12" s="143" t="s">
        <v>6</v>
      </c>
      <c r="D12" s="143"/>
      <c r="E12" s="143"/>
      <c r="F12" s="143"/>
      <c r="G12" s="143"/>
      <c r="H12" s="46">
        <f>'LPLPO GUDANG'!H19</f>
        <v>1800</v>
      </c>
      <c r="I12" s="86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</row>
    <row r="13" spans="1:56" s="68" customFormat="1" ht="20.149999999999999" customHeight="1" x14ac:dyDescent="0.45">
      <c r="A13" s="59">
        <f t="shared" si="0"/>
        <v>6</v>
      </c>
      <c r="B13" s="141" t="s">
        <v>8</v>
      </c>
      <c r="C13" s="143" t="s">
        <v>48</v>
      </c>
      <c r="D13" s="143"/>
      <c r="E13" s="143"/>
      <c r="F13" s="143"/>
      <c r="G13" s="143"/>
      <c r="H13" s="46">
        <f>'LPLPO GUDANG'!H20</f>
        <v>135</v>
      </c>
      <c r="I13" s="86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</row>
    <row r="14" spans="1:56" s="68" customFormat="1" ht="20.149999999999999" customHeight="1" x14ac:dyDescent="0.45">
      <c r="A14" s="59">
        <f t="shared" si="0"/>
        <v>7</v>
      </c>
      <c r="B14" s="141" t="s">
        <v>9</v>
      </c>
      <c r="C14" s="143" t="s">
        <v>329</v>
      </c>
      <c r="D14" s="143"/>
      <c r="E14" s="143"/>
      <c r="F14" s="143"/>
      <c r="G14" s="143"/>
      <c r="H14" s="46">
        <f>'LPLPO GUDANG'!H21</f>
        <v>3100</v>
      </c>
      <c r="I14" s="86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</row>
    <row r="15" spans="1:56" s="68" customFormat="1" ht="20.149999999999999" customHeight="1" x14ac:dyDescent="0.45">
      <c r="A15" s="59">
        <f t="shared" si="0"/>
        <v>8</v>
      </c>
      <c r="B15" s="141" t="s">
        <v>250</v>
      </c>
      <c r="C15" s="143" t="s">
        <v>4</v>
      </c>
      <c r="D15" s="143"/>
      <c r="E15" s="143"/>
      <c r="F15" s="143"/>
      <c r="G15" s="143"/>
      <c r="H15" s="46">
        <f>'LPLPO GUDANG'!H22</f>
        <v>0</v>
      </c>
      <c r="I15" s="86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</row>
    <row r="16" spans="1:56" s="68" customFormat="1" ht="30" x14ac:dyDescent="0.45">
      <c r="A16" s="59">
        <f t="shared" si="0"/>
        <v>9</v>
      </c>
      <c r="B16" s="141" t="s">
        <v>10</v>
      </c>
      <c r="C16" s="143" t="s">
        <v>319</v>
      </c>
      <c r="D16" s="143"/>
      <c r="E16" s="143"/>
      <c r="F16" s="143"/>
      <c r="G16" s="143"/>
      <c r="H16" s="46">
        <f>'LPLPO GUDANG'!H23</f>
        <v>80</v>
      </c>
      <c r="I16" s="86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</row>
    <row r="17" spans="1:56" s="68" customFormat="1" ht="30" x14ac:dyDescent="0.45">
      <c r="A17" s="59">
        <f t="shared" si="0"/>
        <v>10</v>
      </c>
      <c r="B17" s="141" t="s">
        <v>10</v>
      </c>
      <c r="C17" s="143" t="s">
        <v>327</v>
      </c>
      <c r="D17" s="143"/>
      <c r="E17" s="143"/>
      <c r="F17" s="143"/>
      <c r="G17" s="143"/>
      <c r="H17" s="46">
        <f>'LPLPO GUDANG'!H24</f>
        <v>1900</v>
      </c>
      <c r="I17" s="86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</row>
    <row r="18" spans="1:56" s="68" customFormat="1" ht="18" x14ac:dyDescent="0.45">
      <c r="A18" s="59">
        <f t="shared" si="0"/>
        <v>11</v>
      </c>
      <c r="B18" s="141" t="s">
        <v>259</v>
      </c>
      <c r="C18" s="143" t="s">
        <v>4</v>
      </c>
      <c r="D18" s="143"/>
      <c r="E18" s="143"/>
      <c r="F18" s="143"/>
      <c r="G18" s="143"/>
      <c r="H18" s="46">
        <f>'LPLPO GUDANG'!H25</f>
        <v>0</v>
      </c>
      <c r="I18" s="86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</row>
    <row r="19" spans="1:56" s="68" customFormat="1" ht="45" x14ac:dyDescent="0.45">
      <c r="A19" s="59">
        <f t="shared" si="0"/>
        <v>12</v>
      </c>
      <c r="B19" s="141" t="s">
        <v>11</v>
      </c>
      <c r="C19" s="143" t="s">
        <v>330</v>
      </c>
      <c r="D19" s="143"/>
      <c r="E19" s="143"/>
      <c r="F19" s="143"/>
      <c r="G19" s="143"/>
      <c r="H19" s="46">
        <f>'LPLPO GUDANG'!H26</f>
        <v>20</v>
      </c>
      <c r="I19" s="86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</row>
    <row r="20" spans="1:56" s="68" customFormat="1" ht="20.149999999999999" customHeight="1" x14ac:dyDescent="0.45">
      <c r="A20" s="59">
        <f t="shared" si="0"/>
        <v>13</v>
      </c>
      <c r="B20" s="141" t="s">
        <v>12</v>
      </c>
      <c r="C20" s="143" t="s">
        <v>327</v>
      </c>
      <c r="D20" s="143"/>
      <c r="E20" s="143"/>
      <c r="F20" s="143"/>
      <c r="G20" s="143"/>
      <c r="H20" s="46">
        <f>'LPLPO GUDANG'!H27</f>
        <v>0</v>
      </c>
      <c r="I20" s="86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</row>
    <row r="21" spans="1:56" s="68" customFormat="1" ht="20.149999999999999" customHeight="1" x14ac:dyDescent="0.45">
      <c r="A21" s="59">
        <f t="shared" si="0"/>
        <v>14</v>
      </c>
      <c r="B21" s="141" t="s">
        <v>277</v>
      </c>
      <c r="C21" s="143" t="s">
        <v>327</v>
      </c>
      <c r="D21" s="143"/>
      <c r="E21" s="143"/>
      <c r="F21" s="143"/>
      <c r="G21" s="143"/>
      <c r="H21" s="46">
        <f>'LPLPO GUDANG'!H28</f>
        <v>0</v>
      </c>
      <c r="I21" s="86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spans="1:56" s="68" customFormat="1" ht="20.149999999999999" customHeight="1" x14ac:dyDescent="0.45">
      <c r="A22" s="59">
        <f t="shared" si="0"/>
        <v>15</v>
      </c>
      <c r="B22" s="141" t="s">
        <v>13</v>
      </c>
      <c r="C22" s="143" t="s">
        <v>327</v>
      </c>
      <c r="D22" s="143"/>
      <c r="E22" s="143"/>
      <c r="F22" s="143"/>
      <c r="G22" s="143"/>
      <c r="H22" s="46">
        <f>'LPLPO GUDANG'!H29</f>
        <v>0</v>
      </c>
      <c r="I22" s="86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</row>
    <row r="23" spans="1:56" s="68" customFormat="1" ht="20.149999999999999" customHeight="1" x14ac:dyDescent="0.45">
      <c r="A23" s="59">
        <f t="shared" si="0"/>
        <v>16</v>
      </c>
      <c r="B23" s="141" t="s">
        <v>14</v>
      </c>
      <c r="C23" s="143" t="s">
        <v>327</v>
      </c>
      <c r="D23" s="143"/>
      <c r="E23" s="143"/>
      <c r="F23" s="143"/>
      <c r="G23" s="143"/>
      <c r="H23" s="46">
        <f>'LPLPO GUDANG'!H30</f>
        <v>1000</v>
      </c>
      <c r="I23" s="86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</row>
    <row r="24" spans="1:56" s="68" customFormat="1" ht="20.149999999999999" customHeight="1" x14ac:dyDescent="0.45">
      <c r="A24" s="59">
        <f t="shared" si="0"/>
        <v>17</v>
      </c>
      <c r="B24" s="141" t="s">
        <v>15</v>
      </c>
      <c r="C24" s="143" t="s">
        <v>4</v>
      </c>
      <c r="D24" s="143"/>
      <c r="E24" s="143"/>
      <c r="F24" s="143"/>
      <c r="G24" s="143"/>
      <c r="H24" s="46">
        <f>'LPLPO GUDANG'!H31</f>
        <v>0</v>
      </c>
      <c r="I24" s="86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</row>
    <row r="25" spans="1:56" s="68" customFormat="1" ht="20.149999999999999" customHeight="1" x14ac:dyDescent="0.45">
      <c r="A25" s="59">
        <f t="shared" si="0"/>
        <v>18</v>
      </c>
      <c r="B25" s="141" t="s">
        <v>320</v>
      </c>
      <c r="C25" s="143" t="s">
        <v>331</v>
      </c>
      <c r="D25" s="143"/>
      <c r="E25" s="143"/>
      <c r="F25" s="143"/>
      <c r="G25" s="143"/>
      <c r="H25" s="46">
        <f>'LPLPO GUDANG'!H32</f>
        <v>25</v>
      </c>
      <c r="I25" s="86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spans="1:56" s="68" customFormat="1" ht="20.149999999999999" customHeight="1" x14ac:dyDescent="0.45">
      <c r="A26" s="59">
        <f t="shared" si="0"/>
        <v>19</v>
      </c>
      <c r="B26" s="141" t="s">
        <v>17</v>
      </c>
      <c r="C26" s="143" t="s">
        <v>332</v>
      </c>
      <c r="D26" s="143"/>
      <c r="E26" s="143"/>
      <c r="F26" s="143"/>
      <c r="G26" s="143"/>
      <c r="H26" s="46">
        <f>'LPLPO GUDANG'!H33</f>
        <v>1000</v>
      </c>
      <c r="I26" s="86"/>
    </row>
    <row r="27" spans="1:56" s="68" customFormat="1" ht="20.149999999999999" customHeight="1" x14ac:dyDescent="0.45">
      <c r="A27" s="59">
        <f t="shared" si="0"/>
        <v>20</v>
      </c>
      <c r="B27" s="141" t="s">
        <v>18</v>
      </c>
      <c r="C27" s="143" t="s">
        <v>333</v>
      </c>
      <c r="D27" s="143"/>
      <c r="E27" s="143"/>
      <c r="F27" s="143"/>
      <c r="G27" s="143"/>
      <c r="H27" s="46">
        <f>'LPLPO GUDANG'!H34</f>
        <v>800</v>
      </c>
      <c r="I27" s="86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</row>
    <row r="28" spans="1:56" s="68" customFormat="1" ht="20.149999999999999" customHeight="1" x14ac:dyDescent="0.45">
      <c r="A28" s="59">
        <f t="shared" si="0"/>
        <v>21</v>
      </c>
      <c r="B28" s="60" t="s">
        <v>412</v>
      </c>
      <c r="C28" s="213" t="s">
        <v>6</v>
      </c>
      <c r="D28" s="213"/>
      <c r="E28" s="213"/>
      <c r="F28" s="213"/>
      <c r="G28" s="213"/>
      <c r="H28" s="46">
        <f>'LPLPO GUDANG'!H35</f>
        <v>3000</v>
      </c>
      <c r="I28" s="86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</row>
    <row r="29" spans="1:56" s="68" customFormat="1" ht="20.149999999999999" customHeight="1" x14ac:dyDescent="0.45">
      <c r="A29" s="59">
        <f t="shared" si="0"/>
        <v>22</v>
      </c>
      <c r="B29" s="141" t="s">
        <v>19</v>
      </c>
      <c r="C29" s="143" t="s">
        <v>4</v>
      </c>
      <c r="D29" s="143"/>
      <c r="E29" s="143"/>
      <c r="F29" s="143"/>
      <c r="G29" s="143"/>
      <c r="H29" s="46">
        <f>'LPLPO GUDANG'!H36</f>
        <v>0</v>
      </c>
      <c r="I29" s="86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</row>
    <row r="30" spans="1:56" s="68" customFormat="1" ht="20.149999999999999" customHeight="1" x14ac:dyDescent="0.45">
      <c r="A30" s="59">
        <f t="shared" si="0"/>
        <v>23</v>
      </c>
      <c r="B30" s="141" t="s">
        <v>260</v>
      </c>
      <c r="C30" s="143" t="s">
        <v>254</v>
      </c>
      <c r="D30" s="143"/>
      <c r="E30" s="143"/>
      <c r="F30" s="143"/>
      <c r="G30" s="143"/>
      <c r="H30" s="46">
        <f>'LPLPO GUDANG'!H37</f>
        <v>0</v>
      </c>
      <c r="I30" s="86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</row>
    <row r="31" spans="1:56" s="68" customFormat="1" ht="20.149999999999999" customHeight="1" x14ac:dyDescent="0.45">
      <c r="A31" s="59">
        <f t="shared" si="0"/>
        <v>24</v>
      </c>
      <c r="B31" s="141" t="s">
        <v>104</v>
      </c>
      <c r="C31" s="143" t="s">
        <v>334</v>
      </c>
      <c r="D31" s="143"/>
      <c r="E31" s="143"/>
      <c r="F31" s="143"/>
      <c r="G31" s="143"/>
      <c r="H31" s="46">
        <f>'LPLPO GUDANG'!H38</f>
        <v>0</v>
      </c>
      <c r="I31" s="86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</row>
    <row r="32" spans="1:56" s="68" customFormat="1" ht="20.149999999999999" customHeight="1" x14ac:dyDescent="0.45">
      <c r="A32" s="59">
        <f t="shared" si="0"/>
        <v>25</v>
      </c>
      <c r="B32" s="141" t="s">
        <v>20</v>
      </c>
      <c r="C32" s="143" t="s">
        <v>335</v>
      </c>
      <c r="D32" s="143"/>
      <c r="E32" s="143"/>
      <c r="F32" s="143"/>
      <c r="G32" s="143"/>
      <c r="H32" s="46">
        <f>'LPLPO GUDANG'!H39</f>
        <v>60</v>
      </c>
      <c r="I32" s="86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</row>
    <row r="33" spans="1:56" s="68" customFormat="1" ht="20.149999999999999" customHeight="1" x14ac:dyDescent="0.45">
      <c r="A33" s="59">
        <f t="shared" si="0"/>
        <v>26</v>
      </c>
      <c r="B33" s="141" t="s">
        <v>22</v>
      </c>
      <c r="C33" s="143" t="s">
        <v>330</v>
      </c>
      <c r="D33" s="143"/>
      <c r="E33" s="143"/>
      <c r="F33" s="143"/>
      <c r="G33" s="143"/>
      <c r="H33" s="46">
        <f>'LPLPO GUDANG'!H40</f>
        <v>0</v>
      </c>
      <c r="I33" s="86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</row>
    <row r="34" spans="1:56" s="68" customFormat="1" ht="20.149999999999999" customHeight="1" x14ac:dyDescent="0.45">
      <c r="A34" s="59">
        <f t="shared" si="0"/>
        <v>27</v>
      </c>
      <c r="B34" s="141" t="s">
        <v>21</v>
      </c>
      <c r="C34" s="143" t="s">
        <v>330</v>
      </c>
      <c r="D34" s="143"/>
      <c r="E34" s="143"/>
      <c r="F34" s="143"/>
      <c r="G34" s="143"/>
      <c r="H34" s="46">
        <f>'LPLPO GUDANG'!H41</f>
        <v>0</v>
      </c>
      <c r="I34" s="86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</row>
    <row r="35" spans="1:56" s="68" customFormat="1" ht="20.149999999999999" customHeight="1" x14ac:dyDescent="0.45">
      <c r="A35" s="59">
        <f t="shared" si="0"/>
        <v>28</v>
      </c>
      <c r="B35" s="141" t="s">
        <v>23</v>
      </c>
      <c r="C35" s="143" t="s">
        <v>336</v>
      </c>
      <c r="D35" s="143"/>
      <c r="E35" s="143"/>
      <c r="F35" s="143"/>
      <c r="G35" s="143"/>
      <c r="H35" s="46">
        <f>'LPLPO GUDANG'!H42</f>
        <v>0</v>
      </c>
      <c r="I35" s="86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</row>
    <row r="36" spans="1:56" s="68" customFormat="1" ht="20.149999999999999" customHeight="1" x14ac:dyDescent="0.45">
      <c r="A36" s="59">
        <f t="shared" si="0"/>
        <v>29</v>
      </c>
      <c r="B36" s="141" t="s">
        <v>25</v>
      </c>
      <c r="C36" s="143" t="s">
        <v>327</v>
      </c>
      <c r="D36" s="143"/>
      <c r="E36" s="143"/>
      <c r="F36" s="143"/>
      <c r="G36" s="143"/>
      <c r="H36" s="46">
        <f>'LPLPO GUDANG'!H43</f>
        <v>0</v>
      </c>
      <c r="I36" s="86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</row>
    <row r="37" spans="1:56" s="68" customFormat="1" ht="20.149999999999999" customHeight="1" x14ac:dyDescent="0.45">
      <c r="A37" s="59">
        <f t="shared" si="0"/>
        <v>30</v>
      </c>
      <c r="B37" s="141" t="s">
        <v>24</v>
      </c>
      <c r="C37" s="143" t="s">
        <v>4</v>
      </c>
      <c r="D37" s="143"/>
      <c r="E37" s="143"/>
      <c r="F37" s="143"/>
      <c r="G37" s="143"/>
      <c r="H37" s="46">
        <f>'LPLPO GUDANG'!H44</f>
        <v>100</v>
      </c>
      <c r="I37" s="86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</row>
    <row r="38" spans="1:56" s="68" customFormat="1" ht="20.149999999999999" customHeight="1" x14ac:dyDescent="0.45">
      <c r="A38" s="59">
        <f t="shared" si="0"/>
        <v>31</v>
      </c>
      <c r="B38" s="141" t="s">
        <v>26</v>
      </c>
      <c r="C38" s="143" t="s">
        <v>48</v>
      </c>
      <c r="D38" s="143"/>
      <c r="E38" s="143"/>
      <c r="F38" s="143"/>
      <c r="G38" s="143"/>
      <c r="H38" s="46">
        <f>'LPLPO GUDANG'!H45</f>
        <v>0</v>
      </c>
      <c r="I38" s="86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</row>
    <row r="39" spans="1:56" s="68" customFormat="1" ht="20.149999999999999" customHeight="1" x14ac:dyDescent="0.45">
      <c r="A39" s="59">
        <f t="shared" si="0"/>
        <v>32</v>
      </c>
      <c r="B39" s="141" t="s">
        <v>27</v>
      </c>
      <c r="C39" s="143" t="s">
        <v>337</v>
      </c>
      <c r="D39" s="143"/>
      <c r="E39" s="143"/>
      <c r="F39" s="143"/>
      <c r="G39" s="143"/>
      <c r="H39" s="46">
        <f>'LPLPO GUDANG'!H46</f>
        <v>5</v>
      </c>
      <c r="I39" s="86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</row>
    <row r="40" spans="1:56" s="68" customFormat="1" ht="20.149999999999999" customHeight="1" x14ac:dyDescent="0.45">
      <c r="A40" s="59">
        <f t="shared" si="0"/>
        <v>33</v>
      </c>
      <c r="B40" s="141" t="s">
        <v>28</v>
      </c>
      <c r="C40" s="143" t="s">
        <v>338</v>
      </c>
      <c r="D40" s="143"/>
      <c r="E40" s="143"/>
      <c r="F40" s="143"/>
      <c r="G40" s="143"/>
      <c r="H40" s="46">
        <f>'LPLPO GUDANG'!H47</f>
        <v>0</v>
      </c>
      <c r="I40" s="86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</row>
    <row r="41" spans="1:56" s="68" customFormat="1" ht="20.149999999999999" customHeight="1" x14ac:dyDescent="0.45">
      <c r="A41" s="59">
        <f t="shared" si="0"/>
        <v>34</v>
      </c>
      <c r="B41" s="141" t="s">
        <v>29</v>
      </c>
      <c r="C41" s="143" t="s">
        <v>339</v>
      </c>
      <c r="D41" s="143"/>
      <c r="E41" s="143"/>
      <c r="F41" s="143"/>
      <c r="G41" s="143"/>
      <c r="H41" s="46">
        <f>'LPLPO GUDANG'!H48</f>
        <v>0</v>
      </c>
      <c r="I41" s="86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</row>
    <row r="42" spans="1:56" s="68" customFormat="1" ht="20.149999999999999" customHeight="1" x14ac:dyDescent="0.45">
      <c r="A42" s="59">
        <f t="shared" si="0"/>
        <v>35</v>
      </c>
      <c r="B42" s="141" t="s">
        <v>30</v>
      </c>
      <c r="C42" s="143" t="s">
        <v>337</v>
      </c>
      <c r="D42" s="143"/>
      <c r="E42" s="143"/>
      <c r="F42" s="143"/>
      <c r="G42" s="143"/>
      <c r="H42" s="46">
        <f>'LPLPO GUDANG'!H49</f>
        <v>20</v>
      </c>
      <c r="I42" s="86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</row>
    <row r="43" spans="1:56" s="68" customFormat="1" ht="20.149999999999999" customHeight="1" x14ac:dyDescent="0.45">
      <c r="A43" s="59">
        <f t="shared" si="0"/>
        <v>36</v>
      </c>
      <c r="B43" s="141" t="s">
        <v>31</v>
      </c>
      <c r="C43" s="143" t="s">
        <v>327</v>
      </c>
      <c r="D43" s="143"/>
      <c r="E43" s="143"/>
      <c r="F43" s="143"/>
      <c r="G43" s="143"/>
      <c r="H43" s="46">
        <f>'LPLPO GUDANG'!H50</f>
        <v>0</v>
      </c>
      <c r="I43" s="86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</row>
    <row r="44" spans="1:56" s="68" customFormat="1" ht="20.149999999999999" customHeight="1" x14ac:dyDescent="0.45">
      <c r="A44" s="59">
        <f t="shared" si="0"/>
        <v>37</v>
      </c>
      <c r="B44" s="141" t="s">
        <v>32</v>
      </c>
      <c r="C44" s="143" t="s">
        <v>340</v>
      </c>
      <c r="D44" s="143"/>
      <c r="E44" s="143"/>
      <c r="F44" s="143"/>
      <c r="G44" s="143"/>
      <c r="H44" s="46">
        <f>'LPLPO GUDANG'!H51</f>
        <v>200</v>
      </c>
      <c r="I44" s="86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</row>
    <row r="45" spans="1:56" s="68" customFormat="1" ht="20.149999999999999" customHeight="1" x14ac:dyDescent="0.45">
      <c r="A45" s="59">
        <f t="shared" si="0"/>
        <v>38</v>
      </c>
      <c r="B45" s="141" t="s">
        <v>34</v>
      </c>
      <c r="C45" s="143" t="s">
        <v>48</v>
      </c>
      <c r="D45" s="143"/>
      <c r="E45" s="143"/>
      <c r="F45" s="143"/>
      <c r="G45" s="143"/>
      <c r="H45" s="46">
        <f>'LPLPO GUDANG'!H52</f>
        <v>85</v>
      </c>
      <c r="I45" s="86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</row>
    <row r="46" spans="1:56" s="68" customFormat="1" ht="20.149999999999999" customHeight="1" x14ac:dyDescent="0.45">
      <c r="A46" s="59">
        <f t="shared" si="0"/>
        <v>39</v>
      </c>
      <c r="B46" s="141" t="s">
        <v>35</v>
      </c>
      <c r="C46" s="143" t="s">
        <v>4</v>
      </c>
      <c r="D46" s="143"/>
      <c r="E46" s="143"/>
      <c r="F46" s="143"/>
      <c r="G46" s="143"/>
      <c r="H46" s="46">
        <f>'LPLPO GUDANG'!H53</f>
        <v>15</v>
      </c>
      <c r="I46" s="86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</row>
    <row r="47" spans="1:56" s="68" customFormat="1" ht="20.149999999999999" customHeight="1" x14ac:dyDescent="0.45">
      <c r="A47" s="59">
        <f t="shared" si="0"/>
        <v>40</v>
      </c>
      <c r="B47" s="141" t="s">
        <v>282</v>
      </c>
      <c r="C47" s="143" t="s">
        <v>48</v>
      </c>
      <c r="D47" s="143"/>
      <c r="E47" s="143"/>
      <c r="F47" s="143"/>
      <c r="G47" s="143"/>
      <c r="H47" s="46">
        <f>'LPLPO GUDANG'!H54</f>
        <v>0</v>
      </c>
      <c r="I47" s="86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</row>
    <row r="48" spans="1:56" s="68" customFormat="1" ht="20.149999999999999" customHeight="1" x14ac:dyDescent="0.45">
      <c r="A48" s="59">
        <f t="shared" si="0"/>
        <v>41</v>
      </c>
      <c r="B48" s="141" t="s">
        <v>36</v>
      </c>
      <c r="C48" s="143" t="s">
        <v>341</v>
      </c>
      <c r="D48" s="143"/>
      <c r="E48" s="143"/>
      <c r="F48" s="143"/>
      <c r="G48" s="143"/>
      <c r="H48" s="46">
        <f>'LPLPO GUDANG'!H55</f>
        <v>0</v>
      </c>
      <c r="I48" s="86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</row>
    <row r="49" spans="1:56" s="68" customFormat="1" ht="20.149999999999999" customHeight="1" x14ac:dyDescent="0.45">
      <c r="A49" s="59">
        <f t="shared" si="0"/>
        <v>42</v>
      </c>
      <c r="B49" s="141" t="s">
        <v>38</v>
      </c>
      <c r="C49" s="143" t="s">
        <v>337</v>
      </c>
      <c r="D49" s="143"/>
      <c r="E49" s="143"/>
      <c r="F49" s="143"/>
      <c r="G49" s="143"/>
      <c r="H49" s="46">
        <f>'LPLPO GUDANG'!H56</f>
        <v>0</v>
      </c>
      <c r="I49" s="86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</row>
    <row r="50" spans="1:56" s="68" customFormat="1" ht="20.149999999999999" customHeight="1" x14ac:dyDescent="0.45">
      <c r="A50" s="59">
        <f t="shared" si="0"/>
        <v>43</v>
      </c>
      <c r="B50" s="141" t="s">
        <v>37</v>
      </c>
      <c r="C50" s="143" t="s">
        <v>327</v>
      </c>
      <c r="D50" s="143"/>
      <c r="E50" s="143"/>
      <c r="F50" s="143"/>
      <c r="G50" s="143"/>
      <c r="H50" s="46">
        <f>'LPLPO GUDANG'!H57</f>
        <v>500</v>
      </c>
      <c r="I50" s="86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</row>
    <row r="51" spans="1:56" s="68" customFormat="1" ht="20.149999999999999" customHeight="1" x14ac:dyDescent="0.45">
      <c r="A51" s="59">
        <f t="shared" si="0"/>
        <v>44</v>
      </c>
      <c r="B51" s="141" t="s">
        <v>261</v>
      </c>
      <c r="C51" s="143" t="s">
        <v>337</v>
      </c>
      <c r="D51" s="143"/>
      <c r="E51" s="143"/>
      <c r="F51" s="143"/>
      <c r="G51" s="143"/>
      <c r="H51" s="46">
        <f>'LPLPO GUDANG'!H58</f>
        <v>0</v>
      </c>
      <c r="I51" s="86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</row>
    <row r="52" spans="1:56" s="68" customFormat="1" ht="20.149999999999999" customHeight="1" x14ac:dyDescent="0.45">
      <c r="A52" s="59">
        <f t="shared" si="0"/>
        <v>45</v>
      </c>
      <c r="B52" s="141" t="s">
        <v>39</v>
      </c>
      <c r="C52" s="143" t="s">
        <v>342</v>
      </c>
      <c r="D52" s="143"/>
      <c r="E52" s="143"/>
      <c r="F52" s="143"/>
      <c r="G52" s="143"/>
      <c r="H52" s="46">
        <f>'LPLPO GUDANG'!H59</f>
        <v>0</v>
      </c>
      <c r="I52" s="86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</row>
    <row r="53" spans="1:56" s="68" customFormat="1" ht="20.149999999999999" customHeight="1" x14ac:dyDescent="0.45">
      <c r="A53" s="59">
        <f t="shared" si="0"/>
        <v>46</v>
      </c>
      <c r="B53" s="141" t="s">
        <v>40</v>
      </c>
      <c r="C53" s="143" t="s">
        <v>177</v>
      </c>
      <c r="D53" s="143"/>
      <c r="E53" s="143"/>
      <c r="F53" s="143"/>
      <c r="G53" s="143"/>
      <c r="H53" s="46">
        <f>'LPLPO GUDANG'!H60</f>
        <v>0</v>
      </c>
      <c r="I53" s="86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</row>
    <row r="54" spans="1:56" s="68" customFormat="1" ht="20.149999999999999" customHeight="1" x14ac:dyDescent="0.45">
      <c r="A54" s="59">
        <f t="shared" si="0"/>
        <v>47</v>
      </c>
      <c r="B54" s="141" t="s">
        <v>265</v>
      </c>
      <c r="C54" s="143" t="s">
        <v>343</v>
      </c>
      <c r="D54" s="143"/>
      <c r="E54" s="143"/>
      <c r="F54" s="143"/>
      <c r="G54" s="143"/>
      <c r="H54" s="46">
        <f>'LPLPO GUDANG'!H61</f>
        <v>0</v>
      </c>
      <c r="I54" s="86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</row>
    <row r="55" spans="1:56" s="68" customFormat="1" ht="18" x14ac:dyDescent="0.45">
      <c r="A55" s="59">
        <f t="shared" si="0"/>
        <v>48</v>
      </c>
      <c r="B55" s="141" t="s">
        <v>41</v>
      </c>
      <c r="C55" s="143" t="s">
        <v>327</v>
      </c>
      <c r="D55" s="143"/>
      <c r="E55" s="143"/>
      <c r="F55" s="143"/>
      <c r="G55" s="143"/>
      <c r="H55" s="46">
        <f>'LPLPO GUDANG'!H62</f>
        <v>500</v>
      </c>
      <c r="I55" s="86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</row>
    <row r="56" spans="1:56" s="68" customFormat="1" ht="20.149999999999999" customHeight="1" x14ac:dyDescent="0.45">
      <c r="A56" s="59">
        <f t="shared" si="0"/>
        <v>49</v>
      </c>
      <c r="B56" s="141" t="s">
        <v>105</v>
      </c>
      <c r="C56" s="143" t="s">
        <v>327</v>
      </c>
      <c r="D56" s="143"/>
      <c r="E56" s="143"/>
      <c r="F56" s="143"/>
      <c r="G56" s="143"/>
      <c r="H56" s="46">
        <f>'LPLPO GUDANG'!H63</f>
        <v>0</v>
      </c>
      <c r="I56" s="86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</row>
    <row r="57" spans="1:56" s="68" customFormat="1" ht="20.149999999999999" customHeight="1" x14ac:dyDescent="0.45">
      <c r="A57" s="59">
        <f t="shared" si="0"/>
        <v>50</v>
      </c>
      <c r="B57" s="141" t="s">
        <v>42</v>
      </c>
      <c r="C57" s="143" t="s">
        <v>321</v>
      </c>
      <c r="D57" s="143"/>
      <c r="E57" s="143"/>
      <c r="F57" s="143"/>
      <c r="G57" s="143"/>
      <c r="H57" s="46">
        <f>'LPLPO GUDANG'!H64</f>
        <v>40</v>
      </c>
      <c r="I57" s="86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</row>
    <row r="58" spans="1:56" s="68" customFormat="1" ht="20.149999999999999" customHeight="1" x14ac:dyDescent="0.45">
      <c r="A58" s="59">
        <f t="shared" si="0"/>
        <v>51</v>
      </c>
      <c r="B58" s="141" t="s">
        <v>43</v>
      </c>
      <c r="C58" s="143" t="s">
        <v>327</v>
      </c>
      <c r="D58" s="143"/>
      <c r="E58" s="143"/>
      <c r="F58" s="143"/>
      <c r="G58" s="143"/>
      <c r="H58" s="46">
        <f>'LPLPO GUDANG'!H65</f>
        <v>1000</v>
      </c>
      <c r="I58" s="86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</row>
    <row r="59" spans="1:56" s="68" customFormat="1" ht="20.149999999999999" customHeight="1" x14ac:dyDescent="0.45">
      <c r="A59" s="59">
        <f t="shared" si="0"/>
        <v>52</v>
      </c>
      <c r="B59" s="141" t="s">
        <v>44</v>
      </c>
      <c r="C59" s="143" t="s">
        <v>327</v>
      </c>
      <c r="D59" s="143"/>
      <c r="E59" s="143"/>
      <c r="F59" s="143"/>
      <c r="G59" s="143"/>
      <c r="H59" s="46">
        <f>'LPLPO GUDANG'!H66</f>
        <v>0</v>
      </c>
      <c r="I59" s="86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</row>
    <row r="60" spans="1:56" s="68" customFormat="1" ht="20.149999999999999" customHeight="1" x14ac:dyDescent="0.45">
      <c r="A60" s="59">
        <f t="shared" si="0"/>
        <v>53</v>
      </c>
      <c r="B60" s="141" t="s">
        <v>45</v>
      </c>
      <c r="C60" s="143" t="s">
        <v>335</v>
      </c>
      <c r="D60" s="143"/>
      <c r="E60" s="143"/>
      <c r="F60" s="143"/>
      <c r="G60" s="143"/>
      <c r="H60" s="46">
        <f>'LPLPO GUDANG'!H67</f>
        <v>72</v>
      </c>
      <c r="I60" s="86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</row>
    <row r="61" spans="1:56" s="68" customFormat="1" ht="20.149999999999999" customHeight="1" x14ac:dyDescent="0.45">
      <c r="A61" s="59">
        <f t="shared" si="0"/>
        <v>54</v>
      </c>
      <c r="B61" s="141" t="s">
        <v>46</v>
      </c>
      <c r="C61" s="143" t="s">
        <v>344</v>
      </c>
      <c r="D61" s="143"/>
      <c r="E61" s="143"/>
      <c r="F61" s="143"/>
      <c r="G61" s="143"/>
      <c r="H61" s="46">
        <f>'LPLPO GUDANG'!H68</f>
        <v>0</v>
      </c>
      <c r="I61" s="86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</row>
    <row r="62" spans="1:56" s="68" customFormat="1" ht="18" x14ac:dyDescent="0.45">
      <c r="A62" s="59">
        <f t="shared" si="0"/>
        <v>55</v>
      </c>
      <c r="B62" s="141" t="s">
        <v>47</v>
      </c>
      <c r="C62" s="143" t="s">
        <v>48</v>
      </c>
      <c r="D62" s="143"/>
      <c r="E62" s="143"/>
      <c r="F62" s="143"/>
      <c r="G62" s="143"/>
      <c r="H62" s="46">
        <f>'LPLPO GUDANG'!H69</f>
        <v>90</v>
      </c>
      <c r="I62" s="86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</row>
    <row r="63" spans="1:56" s="68" customFormat="1" ht="20.149999999999999" customHeight="1" x14ac:dyDescent="0.45">
      <c r="A63" s="59">
        <f t="shared" si="0"/>
        <v>56</v>
      </c>
      <c r="B63" s="141" t="s">
        <v>49</v>
      </c>
      <c r="C63" s="143" t="s">
        <v>341</v>
      </c>
      <c r="D63" s="143"/>
      <c r="E63" s="143"/>
      <c r="F63" s="143"/>
      <c r="G63" s="143"/>
      <c r="H63" s="46">
        <f>'LPLPO GUDANG'!H70</f>
        <v>500</v>
      </c>
      <c r="I63" s="86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</row>
    <row r="64" spans="1:56" s="68" customFormat="1" ht="20.149999999999999" customHeight="1" x14ac:dyDescent="0.45">
      <c r="A64" s="59">
        <f t="shared" si="0"/>
        <v>57</v>
      </c>
      <c r="B64" s="141" t="s">
        <v>50</v>
      </c>
      <c r="C64" s="143" t="s">
        <v>327</v>
      </c>
      <c r="D64" s="143"/>
      <c r="E64" s="143"/>
      <c r="F64" s="143"/>
      <c r="G64" s="143"/>
      <c r="H64" s="46">
        <f>'LPLPO GUDANG'!H71</f>
        <v>0</v>
      </c>
      <c r="I64" s="86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</row>
    <row r="65" spans="1:56" s="68" customFormat="1" ht="20.149999999999999" customHeight="1" x14ac:dyDescent="0.45">
      <c r="A65" s="59">
        <f t="shared" si="0"/>
        <v>58</v>
      </c>
      <c r="B65" s="141" t="s">
        <v>51</v>
      </c>
      <c r="C65" s="143" t="s">
        <v>327</v>
      </c>
      <c r="D65" s="143"/>
      <c r="E65" s="143"/>
      <c r="F65" s="143"/>
      <c r="G65" s="143"/>
      <c r="H65" s="46">
        <f>'LPLPO GUDANG'!H72</f>
        <v>0</v>
      </c>
      <c r="I65" s="86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</row>
    <row r="66" spans="1:56" s="68" customFormat="1" ht="20.149999999999999" customHeight="1" x14ac:dyDescent="0.45">
      <c r="A66" s="59">
        <f t="shared" si="0"/>
        <v>59</v>
      </c>
      <c r="B66" s="141" t="s">
        <v>251</v>
      </c>
      <c r="C66" s="143" t="s">
        <v>327</v>
      </c>
      <c r="D66" s="143"/>
      <c r="E66" s="143"/>
      <c r="F66" s="143"/>
      <c r="G66" s="143"/>
      <c r="H66" s="46">
        <f>'LPLPO GUDANG'!H73</f>
        <v>0</v>
      </c>
      <c r="I66" s="86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</row>
    <row r="67" spans="1:56" s="68" customFormat="1" ht="20.149999999999999" customHeight="1" x14ac:dyDescent="0.45">
      <c r="A67" s="59">
        <f t="shared" si="0"/>
        <v>60</v>
      </c>
      <c r="B67" s="141" t="s">
        <v>52</v>
      </c>
      <c r="C67" s="143" t="s">
        <v>327</v>
      </c>
      <c r="D67" s="143"/>
      <c r="E67" s="143"/>
      <c r="F67" s="143"/>
      <c r="G67" s="143"/>
      <c r="H67" s="46">
        <f>'LPLPO GUDANG'!H74</f>
        <v>500</v>
      </c>
      <c r="I67" s="86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</row>
    <row r="68" spans="1:56" s="68" customFormat="1" ht="20.149999999999999" customHeight="1" x14ac:dyDescent="0.45">
      <c r="A68" s="59">
        <f t="shared" si="0"/>
        <v>61</v>
      </c>
      <c r="B68" s="141" t="s">
        <v>53</v>
      </c>
      <c r="C68" s="143" t="s">
        <v>48</v>
      </c>
      <c r="D68" s="143"/>
      <c r="E68" s="143"/>
      <c r="F68" s="143"/>
      <c r="G68" s="143"/>
      <c r="H68" s="46">
        <f>'LPLPO GUDANG'!H75</f>
        <v>24</v>
      </c>
      <c r="I68" s="86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</row>
    <row r="69" spans="1:56" s="68" customFormat="1" ht="18" x14ac:dyDescent="0.45">
      <c r="A69" s="59">
        <f t="shared" si="0"/>
        <v>62</v>
      </c>
      <c r="B69" s="141" t="s">
        <v>54</v>
      </c>
      <c r="C69" s="143" t="s">
        <v>332</v>
      </c>
      <c r="D69" s="143"/>
      <c r="E69" s="143"/>
      <c r="F69" s="143"/>
      <c r="G69" s="143"/>
      <c r="H69" s="46">
        <f>'LPLPO GUDANG'!H76</f>
        <v>400</v>
      </c>
      <c r="I69" s="86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</row>
    <row r="70" spans="1:56" s="68" customFormat="1" ht="20.149999999999999" customHeight="1" x14ac:dyDescent="0.45">
      <c r="A70" s="59">
        <f t="shared" si="0"/>
        <v>63</v>
      </c>
      <c r="B70" s="141" t="s">
        <v>252</v>
      </c>
      <c r="C70" s="143" t="s">
        <v>340</v>
      </c>
      <c r="D70" s="143"/>
      <c r="E70" s="143"/>
      <c r="F70" s="143"/>
      <c r="G70" s="143"/>
      <c r="H70" s="46">
        <f>'LPLPO GUDANG'!H77</f>
        <v>200</v>
      </c>
      <c r="I70" s="86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</row>
    <row r="71" spans="1:56" s="68" customFormat="1" ht="20.149999999999999" customHeight="1" x14ac:dyDescent="0.45">
      <c r="A71" s="59">
        <f t="shared" si="0"/>
        <v>64</v>
      </c>
      <c r="B71" s="141" t="s">
        <v>55</v>
      </c>
      <c r="C71" s="143" t="s">
        <v>346</v>
      </c>
      <c r="D71" s="143"/>
      <c r="E71" s="143"/>
      <c r="F71" s="143"/>
      <c r="G71" s="143"/>
      <c r="H71" s="46">
        <f>'LPLPO GUDANG'!H78</f>
        <v>65</v>
      </c>
      <c r="I71" s="86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</row>
    <row r="72" spans="1:56" s="68" customFormat="1" ht="18" x14ac:dyDescent="0.45">
      <c r="A72" s="59">
        <f t="shared" si="0"/>
        <v>65</v>
      </c>
      <c r="B72" s="141" t="s">
        <v>56</v>
      </c>
      <c r="C72" s="143" t="s">
        <v>347</v>
      </c>
      <c r="D72" s="143"/>
      <c r="E72" s="143"/>
      <c r="F72" s="143"/>
      <c r="G72" s="143"/>
      <c r="H72" s="46">
        <f>'LPLPO GUDANG'!H79</f>
        <v>24</v>
      </c>
      <c r="I72" s="86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</row>
    <row r="73" spans="1:56" s="68" customFormat="1" ht="18" x14ac:dyDescent="0.45">
      <c r="A73" s="59">
        <f t="shared" si="0"/>
        <v>66</v>
      </c>
      <c r="B73" s="141" t="s">
        <v>57</v>
      </c>
      <c r="C73" s="143" t="s">
        <v>48</v>
      </c>
      <c r="D73" s="143"/>
      <c r="E73" s="143"/>
      <c r="F73" s="143"/>
      <c r="G73" s="143"/>
      <c r="H73" s="46">
        <f>'LPLPO GUDANG'!H80</f>
        <v>0</v>
      </c>
      <c r="I73" s="86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</row>
    <row r="74" spans="1:56" s="68" customFormat="1" ht="18" x14ac:dyDescent="0.45">
      <c r="A74" s="59">
        <f t="shared" ref="A74:A137" si="1">A73+1</f>
        <v>67</v>
      </c>
      <c r="B74" s="141" t="s">
        <v>59</v>
      </c>
      <c r="C74" s="143" t="s">
        <v>48</v>
      </c>
      <c r="D74" s="143"/>
      <c r="E74" s="143"/>
      <c r="F74" s="143"/>
      <c r="G74" s="143"/>
      <c r="H74" s="46">
        <f>'LPLPO GUDANG'!H81</f>
        <v>0</v>
      </c>
      <c r="I74" s="86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</row>
    <row r="75" spans="1:56" s="68" customFormat="1" ht="20.149999999999999" customHeight="1" x14ac:dyDescent="0.45">
      <c r="A75" s="59">
        <f t="shared" si="1"/>
        <v>68</v>
      </c>
      <c r="B75" s="141" t="s">
        <v>58</v>
      </c>
      <c r="C75" s="143" t="s">
        <v>48</v>
      </c>
      <c r="D75" s="143"/>
      <c r="E75" s="143"/>
      <c r="F75" s="143"/>
      <c r="G75" s="143"/>
      <c r="H75" s="46">
        <f>'LPLPO GUDANG'!H82</f>
        <v>0</v>
      </c>
      <c r="I75" s="86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</row>
    <row r="76" spans="1:56" s="68" customFormat="1" ht="18" x14ac:dyDescent="0.45">
      <c r="A76" s="59">
        <f t="shared" si="1"/>
        <v>69</v>
      </c>
      <c r="B76" s="141" t="s">
        <v>60</v>
      </c>
      <c r="C76" s="143" t="s">
        <v>327</v>
      </c>
      <c r="D76" s="143"/>
      <c r="E76" s="143"/>
      <c r="F76" s="143"/>
      <c r="G76" s="143"/>
      <c r="H76" s="46">
        <f>'LPLPO GUDANG'!H83</f>
        <v>1000</v>
      </c>
      <c r="I76" s="86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</row>
    <row r="77" spans="1:56" s="68" customFormat="1" ht="18" x14ac:dyDescent="0.45">
      <c r="A77" s="59">
        <f t="shared" si="1"/>
        <v>70</v>
      </c>
      <c r="B77" s="141" t="s">
        <v>280</v>
      </c>
      <c r="C77" s="143" t="s">
        <v>327</v>
      </c>
      <c r="D77" s="143"/>
      <c r="E77" s="143"/>
      <c r="F77" s="143"/>
      <c r="G77" s="143"/>
      <c r="H77" s="46">
        <f>'LPLPO GUDANG'!H84</f>
        <v>1000</v>
      </c>
      <c r="I77" s="86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</row>
    <row r="78" spans="1:56" s="68" customFormat="1" ht="20.149999999999999" customHeight="1" x14ac:dyDescent="0.45">
      <c r="A78" s="59">
        <f t="shared" si="1"/>
        <v>71</v>
      </c>
      <c r="B78" s="141" t="s">
        <v>61</v>
      </c>
      <c r="C78" s="143" t="s">
        <v>327</v>
      </c>
      <c r="D78" s="143"/>
      <c r="E78" s="143"/>
      <c r="F78" s="143"/>
      <c r="G78" s="143"/>
      <c r="H78" s="46">
        <f>'LPLPO GUDANG'!H85</f>
        <v>0</v>
      </c>
      <c r="I78" s="86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</row>
    <row r="79" spans="1:56" s="68" customFormat="1" ht="20.149999999999999" customHeight="1" x14ac:dyDescent="0.45">
      <c r="A79" s="59">
        <f t="shared" si="1"/>
        <v>72</v>
      </c>
      <c r="B79" s="141" t="s">
        <v>253</v>
      </c>
      <c r="C79" s="143" t="s">
        <v>327</v>
      </c>
      <c r="D79" s="143"/>
      <c r="E79" s="143"/>
      <c r="F79" s="143"/>
      <c r="G79" s="143"/>
      <c r="H79" s="46">
        <f>'LPLPO GUDANG'!H86</f>
        <v>500</v>
      </c>
      <c r="I79" s="86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</row>
    <row r="80" spans="1:56" s="68" customFormat="1" ht="20.149999999999999" customHeight="1" x14ac:dyDescent="0.45">
      <c r="A80" s="59">
        <f t="shared" si="1"/>
        <v>73</v>
      </c>
      <c r="B80" s="141" t="s">
        <v>62</v>
      </c>
      <c r="C80" s="143" t="s">
        <v>319</v>
      </c>
      <c r="D80" s="143"/>
      <c r="E80" s="143"/>
      <c r="F80" s="143"/>
      <c r="G80" s="143"/>
      <c r="H80" s="46">
        <f>'LPLPO GUDANG'!H87</f>
        <v>30</v>
      </c>
      <c r="I80" s="86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</row>
    <row r="81" spans="1:56" s="68" customFormat="1" ht="20.149999999999999" customHeight="1" x14ac:dyDescent="0.45">
      <c r="A81" s="59">
        <f t="shared" si="1"/>
        <v>74</v>
      </c>
      <c r="B81" s="141" t="s">
        <v>63</v>
      </c>
      <c r="C81" s="143" t="s">
        <v>348</v>
      </c>
      <c r="D81" s="143"/>
      <c r="E81" s="143"/>
      <c r="F81" s="143"/>
      <c r="G81" s="143"/>
      <c r="H81" s="46">
        <f>'LPLPO GUDANG'!H88</f>
        <v>85</v>
      </c>
      <c r="I81" s="86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</row>
    <row r="82" spans="1:56" s="68" customFormat="1" ht="18" x14ac:dyDescent="0.45">
      <c r="A82" s="59">
        <f t="shared" si="1"/>
        <v>75</v>
      </c>
      <c r="B82" s="141" t="s">
        <v>106</v>
      </c>
      <c r="C82" s="143" t="s">
        <v>4</v>
      </c>
      <c r="D82" s="143"/>
      <c r="E82" s="143"/>
      <c r="F82" s="143"/>
      <c r="G82" s="143"/>
      <c r="H82" s="46">
        <f>'LPLPO GUDANG'!H89</f>
        <v>0</v>
      </c>
      <c r="I82" s="86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</row>
    <row r="83" spans="1:56" s="68" customFormat="1" ht="18" x14ac:dyDescent="0.45">
      <c r="A83" s="59">
        <f t="shared" si="1"/>
        <v>76</v>
      </c>
      <c r="B83" s="141" t="s">
        <v>65</v>
      </c>
      <c r="C83" s="143" t="s">
        <v>344</v>
      </c>
      <c r="D83" s="143"/>
      <c r="E83" s="143"/>
      <c r="F83" s="143"/>
      <c r="G83" s="143"/>
      <c r="H83" s="46">
        <f>'LPLPO GUDANG'!H90</f>
        <v>0</v>
      </c>
      <c r="I83" s="86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</row>
    <row r="84" spans="1:56" s="68" customFormat="1" ht="18" x14ac:dyDescent="0.45">
      <c r="A84" s="59">
        <f t="shared" si="1"/>
        <v>77</v>
      </c>
      <c r="B84" s="141" t="s">
        <v>264</v>
      </c>
      <c r="C84" s="143" t="s">
        <v>4</v>
      </c>
      <c r="D84" s="143"/>
      <c r="E84" s="143"/>
      <c r="F84" s="143"/>
      <c r="G84" s="143"/>
      <c r="H84" s="46">
        <f>'LPLPO GUDANG'!H91</f>
        <v>0</v>
      </c>
      <c r="I84" s="86"/>
    </row>
    <row r="85" spans="1:56" s="68" customFormat="1" ht="18" x14ac:dyDescent="0.45">
      <c r="A85" s="59">
        <f t="shared" si="1"/>
        <v>78</v>
      </c>
      <c r="B85" s="141" t="s">
        <v>66</v>
      </c>
      <c r="C85" s="143" t="s">
        <v>327</v>
      </c>
      <c r="D85" s="143"/>
      <c r="E85" s="143"/>
      <c r="F85" s="143"/>
      <c r="G85" s="143"/>
      <c r="H85" s="46">
        <f>'LPLPO GUDANG'!H92</f>
        <v>400</v>
      </c>
      <c r="I85" s="86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</row>
    <row r="86" spans="1:56" s="68" customFormat="1" ht="20.149999999999999" customHeight="1" x14ac:dyDescent="0.45">
      <c r="A86" s="59">
        <f t="shared" si="1"/>
        <v>79</v>
      </c>
      <c r="B86" s="141" t="s">
        <v>67</v>
      </c>
      <c r="C86" s="143" t="s">
        <v>327</v>
      </c>
      <c r="D86" s="143"/>
      <c r="E86" s="143"/>
      <c r="F86" s="143"/>
      <c r="G86" s="143"/>
      <c r="H86" s="46">
        <f>'LPLPO GUDANG'!H93</f>
        <v>500</v>
      </c>
      <c r="I86" s="86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</row>
    <row r="87" spans="1:56" s="68" customFormat="1" ht="20.149999999999999" customHeight="1" x14ac:dyDescent="0.45">
      <c r="A87" s="59">
        <f t="shared" si="1"/>
        <v>80</v>
      </c>
      <c r="B87" s="141" t="s">
        <v>68</v>
      </c>
      <c r="C87" s="143" t="s">
        <v>327</v>
      </c>
      <c r="D87" s="143"/>
      <c r="E87" s="143"/>
      <c r="F87" s="143"/>
      <c r="G87" s="143"/>
      <c r="H87" s="46">
        <f>'LPLPO GUDANG'!H94</f>
        <v>0</v>
      </c>
      <c r="I87" s="86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</row>
    <row r="88" spans="1:56" s="68" customFormat="1" ht="20.149999999999999" customHeight="1" x14ac:dyDescent="0.45">
      <c r="A88" s="59">
        <f t="shared" si="1"/>
        <v>81</v>
      </c>
      <c r="B88" s="141" t="s">
        <v>69</v>
      </c>
      <c r="C88" s="143" t="s">
        <v>327</v>
      </c>
      <c r="D88" s="143"/>
      <c r="E88" s="143"/>
      <c r="F88" s="143"/>
      <c r="G88" s="143"/>
      <c r="H88" s="46">
        <f>'LPLPO GUDANG'!H95</f>
        <v>500</v>
      </c>
      <c r="I88" s="86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</row>
    <row r="89" spans="1:56" s="68" customFormat="1" ht="20.149999999999999" customHeight="1" x14ac:dyDescent="0.45">
      <c r="A89" s="59">
        <f t="shared" si="1"/>
        <v>82</v>
      </c>
      <c r="B89" s="141" t="s">
        <v>257</v>
      </c>
      <c r="C89" s="143" t="s">
        <v>48</v>
      </c>
      <c r="D89" s="143"/>
      <c r="E89" s="143"/>
      <c r="F89" s="143"/>
      <c r="G89" s="143"/>
      <c r="H89" s="46">
        <f>'LPLPO GUDANG'!H96</f>
        <v>0</v>
      </c>
      <c r="I89" s="86"/>
    </row>
    <row r="90" spans="1:56" s="68" customFormat="1" ht="20.149999999999999" customHeight="1" x14ac:dyDescent="0.45">
      <c r="A90" s="59">
        <f t="shared" si="1"/>
        <v>83</v>
      </c>
      <c r="B90" s="141" t="s">
        <v>70</v>
      </c>
      <c r="C90" s="143" t="s">
        <v>349</v>
      </c>
      <c r="D90" s="143"/>
      <c r="E90" s="143"/>
      <c r="F90" s="143"/>
      <c r="G90" s="143"/>
      <c r="H90" s="46">
        <f>'LPLPO GUDANG'!H97</f>
        <v>40</v>
      </c>
      <c r="I90" s="86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</row>
    <row r="91" spans="1:56" s="68" customFormat="1" ht="20.149999999999999" customHeight="1" x14ac:dyDescent="0.45">
      <c r="A91" s="59">
        <f t="shared" si="1"/>
        <v>84</v>
      </c>
      <c r="B91" s="141" t="s">
        <v>72</v>
      </c>
      <c r="C91" s="143" t="s">
        <v>321</v>
      </c>
      <c r="D91" s="143"/>
      <c r="E91" s="143"/>
      <c r="F91" s="143"/>
      <c r="G91" s="143"/>
      <c r="H91" s="46">
        <f>'LPLPO GUDANG'!H98</f>
        <v>0</v>
      </c>
      <c r="I91" s="86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</row>
    <row r="92" spans="1:56" s="68" customFormat="1" ht="20.149999999999999" customHeight="1" x14ac:dyDescent="0.45">
      <c r="A92" s="59">
        <f t="shared" si="1"/>
        <v>85</v>
      </c>
      <c r="B92" s="141" t="s">
        <v>71</v>
      </c>
      <c r="C92" s="143" t="s">
        <v>340</v>
      </c>
      <c r="D92" s="143"/>
      <c r="E92" s="143"/>
      <c r="F92" s="143"/>
      <c r="G92" s="143"/>
      <c r="H92" s="46">
        <f>'LPLPO GUDANG'!H99</f>
        <v>1000</v>
      </c>
      <c r="I92" s="86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</row>
    <row r="93" spans="1:56" s="68" customFormat="1" ht="20.149999999999999" customHeight="1" x14ac:dyDescent="0.45">
      <c r="A93" s="59">
        <f t="shared" si="1"/>
        <v>86</v>
      </c>
      <c r="B93" s="141" t="s">
        <v>73</v>
      </c>
      <c r="C93" s="143" t="s">
        <v>332</v>
      </c>
      <c r="D93" s="143"/>
      <c r="E93" s="143"/>
      <c r="F93" s="143"/>
      <c r="G93" s="143"/>
      <c r="H93" s="46">
        <f>'LPLPO GUDANG'!H100</f>
        <v>800</v>
      </c>
      <c r="I93" s="86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</row>
    <row r="94" spans="1:56" s="68" customFormat="1" ht="20.149999999999999" customHeight="1" x14ac:dyDescent="0.45">
      <c r="A94" s="59">
        <f t="shared" si="1"/>
        <v>87</v>
      </c>
      <c r="B94" s="141" t="s">
        <v>74</v>
      </c>
      <c r="C94" s="143" t="s">
        <v>327</v>
      </c>
      <c r="D94" s="143"/>
      <c r="E94" s="143"/>
      <c r="F94" s="143"/>
      <c r="G94" s="143"/>
      <c r="H94" s="46">
        <f>'LPLPO GUDANG'!H101</f>
        <v>300</v>
      </c>
      <c r="I94" s="86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</row>
    <row r="95" spans="1:56" s="68" customFormat="1" ht="20.149999999999999" customHeight="1" x14ac:dyDescent="0.45">
      <c r="A95" s="59">
        <f t="shared" si="1"/>
        <v>88</v>
      </c>
      <c r="B95" s="141" t="s">
        <v>75</v>
      </c>
      <c r="C95" s="143" t="s">
        <v>327</v>
      </c>
      <c r="D95" s="143"/>
      <c r="E95" s="143"/>
      <c r="F95" s="143"/>
      <c r="G95" s="143"/>
      <c r="H95" s="46">
        <f>'LPLPO GUDANG'!H102</f>
        <v>0</v>
      </c>
      <c r="I95" s="86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</row>
    <row r="96" spans="1:56" s="68" customFormat="1" ht="20.149999999999999" customHeight="1" x14ac:dyDescent="0.45">
      <c r="A96" s="59">
        <f t="shared" si="1"/>
        <v>89</v>
      </c>
      <c r="B96" s="141" t="s">
        <v>281</v>
      </c>
      <c r="C96" s="143" t="s">
        <v>188</v>
      </c>
      <c r="D96" s="143"/>
      <c r="E96" s="143"/>
      <c r="F96" s="143"/>
      <c r="G96" s="143"/>
      <c r="H96" s="46">
        <f>'LPLPO GUDANG'!H103</f>
        <v>0</v>
      </c>
      <c r="I96" s="86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</row>
    <row r="97" spans="1:56" s="68" customFormat="1" ht="20.149999999999999" customHeight="1" x14ac:dyDescent="0.45">
      <c r="A97" s="59">
        <f t="shared" si="1"/>
        <v>90</v>
      </c>
      <c r="B97" s="141" t="s">
        <v>76</v>
      </c>
      <c r="C97" s="143" t="s">
        <v>4</v>
      </c>
      <c r="D97" s="143"/>
      <c r="E97" s="143"/>
      <c r="F97" s="143"/>
      <c r="G97" s="143"/>
      <c r="H97" s="46">
        <f>'LPLPO GUDANG'!H104</f>
        <v>0</v>
      </c>
      <c r="I97" s="86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</row>
    <row r="98" spans="1:56" s="68" customFormat="1" ht="20.149999999999999" customHeight="1" x14ac:dyDescent="0.45">
      <c r="A98" s="59">
        <f t="shared" si="1"/>
        <v>91</v>
      </c>
      <c r="B98" s="141" t="s">
        <v>77</v>
      </c>
      <c r="C98" s="143" t="s">
        <v>64</v>
      </c>
      <c r="D98" s="143"/>
      <c r="E98" s="143"/>
      <c r="F98" s="143"/>
      <c r="G98" s="143"/>
      <c r="H98" s="46">
        <f>'LPLPO GUDANG'!H105</f>
        <v>0</v>
      </c>
      <c r="I98" s="86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</row>
    <row r="99" spans="1:56" s="68" customFormat="1" ht="20.149999999999999" customHeight="1" x14ac:dyDescent="0.45">
      <c r="A99" s="59">
        <f t="shared" si="1"/>
        <v>92</v>
      </c>
      <c r="B99" s="141" t="s">
        <v>78</v>
      </c>
      <c r="C99" s="143" t="s">
        <v>345</v>
      </c>
      <c r="D99" s="143"/>
      <c r="E99" s="143"/>
      <c r="F99" s="143"/>
      <c r="G99" s="143"/>
      <c r="H99" s="46">
        <f>'LPLPO GUDANG'!H106</f>
        <v>1100</v>
      </c>
      <c r="I99" s="86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</row>
    <row r="100" spans="1:56" s="68" customFormat="1" ht="20.149999999999999" customHeight="1" x14ac:dyDescent="0.45">
      <c r="A100" s="59">
        <f t="shared" si="1"/>
        <v>93</v>
      </c>
      <c r="B100" s="141" t="s">
        <v>79</v>
      </c>
      <c r="C100" s="143" t="s">
        <v>4</v>
      </c>
      <c r="D100" s="143"/>
      <c r="E100" s="143"/>
      <c r="F100" s="143"/>
      <c r="G100" s="143"/>
      <c r="H100" s="46">
        <f>'LPLPO GUDANG'!H107</f>
        <v>0</v>
      </c>
      <c r="I100" s="86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</row>
    <row r="101" spans="1:56" s="68" customFormat="1" ht="20.149999999999999" customHeight="1" x14ac:dyDescent="0.45">
      <c r="A101" s="59">
        <f t="shared" si="1"/>
        <v>94</v>
      </c>
      <c r="B101" s="141" t="s">
        <v>80</v>
      </c>
      <c r="C101" s="143" t="s">
        <v>350</v>
      </c>
      <c r="D101" s="143"/>
      <c r="E101" s="143"/>
      <c r="F101" s="143"/>
      <c r="G101" s="143"/>
      <c r="H101" s="46">
        <f>'LPLPO GUDANG'!H108</f>
        <v>750</v>
      </c>
      <c r="I101" s="86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</row>
    <row r="102" spans="1:56" s="68" customFormat="1" ht="20.149999999999999" customHeight="1" x14ac:dyDescent="0.45">
      <c r="A102" s="59">
        <f t="shared" si="1"/>
        <v>95</v>
      </c>
      <c r="B102" s="141" t="s">
        <v>263</v>
      </c>
      <c r="C102" s="143" t="s">
        <v>48</v>
      </c>
      <c r="D102" s="143"/>
      <c r="E102" s="143"/>
      <c r="F102" s="143"/>
      <c r="G102" s="143"/>
      <c r="H102" s="46">
        <f>'LPLPO GUDANG'!H109</f>
        <v>0</v>
      </c>
      <c r="I102" s="86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</row>
    <row r="103" spans="1:56" s="68" customFormat="1" ht="20.149999999999999" customHeight="1" x14ac:dyDescent="0.45">
      <c r="A103" s="59">
        <f t="shared" si="1"/>
        <v>96</v>
      </c>
      <c r="B103" s="141" t="s">
        <v>81</v>
      </c>
      <c r="C103" s="143" t="s">
        <v>48</v>
      </c>
      <c r="D103" s="143"/>
      <c r="E103" s="143"/>
      <c r="F103" s="143"/>
      <c r="G103" s="143"/>
      <c r="H103" s="46">
        <f>'LPLPO GUDANG'!H110</f>
        <v>40</v>
      </c>
      <c r="I103" s="86"/>
    </row>
    <row r="104" spans="1:56" s="68" customFormat="1" ht="20.149999999999999" customHeight="1" x14ac:dyDescent="0.45">
      <c r="A104" s="59">
        <f t="shared" si="1"/>
        <v>97</v>
      </c>
      <c r="B104" s="141" t="s">
        <v>82</v>
      </c>
      <c r="C104" s="143" t="s">
        <v>327</v>
      </c>
      <c r="D104" s="143"/>
      <c r="E104" s="143"/>
      <c r="F104" s="143"/>
      <c r="G104" s="143"/>
      <c r="H104" s="46">
        <f>'LPLPO GUDANG'!H111</f>
        <v>0</v>
      </c>
      <c r="I104" s="86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</row>
    <row r="105" spans="1:56" s="68" customFormat="1" ht="20.149999999999999" customHeight="1" x14ac:dyDescent="0.45">
      <c r="A105" s="59">
        <f t="shared" si="1"/>
        <v>98</v>
      </c>
      <c r="B105" s="141" t="s">
        <v>83</v>
      </c>
      <c r="C105" s="143" t="s">
        <v>188</v>
      </c>
      <c r="D105" s="143"/>
      <c r="E105" s="143"/>
      <c r="F105" s="143"/>
      <c r="G105" s="143"/>
      <c r="H105" s="46">
        <f>'LPLPO GUDANG'!H112</f>
        <v>2</v>
      </c>
      <c r="I105" s="86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</row>
    <row r="106" spans="1:56" s="68" customFormat="1" ht="18" x14ac:dyDescent="0.45">
      <c r="A106" s="59">
        <f t="shared" si="1"/>
        <v>99</v>
      </c>
      <c r="B106" s="141" t="s">
        <v>84</v>
      </c>
      <c r="C106" s="143" t="s">
        <v>188</v>
      </c>
      <c r="D106" s="143"/>
      <c r="E106" s="143"/>
      <c r="F106" s="143"/>
      <c r="G106" s="143"/>
      <c r="H106" s="46">
        <f>'LPLPO GUDANG'!H113</f>
        <v>20</v>
      </c>
      <c r="I106" s="86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</row>
    <row r="107" spans="1:56" s="68" customFormat="1" ht="20.149999999999999" customHeight="1" x14ac:dyDescent="0.45">
      <c r="A107" s="59">
        <f t="shared" si="1"/>
        <v>100</v>
      </c>
      <c r="B107" s="141" t="s">
        <v>85</v>
      </c>
      <c r="C107" s="143" t="s">
        <v>327</v>
      </c>
      <c r="D107" s="143"/>
      <c r="E107" s="143"/>
      <c r="F107" s="143"/>
      <c r="G107" s="143"/>
      <c r="H107" s="46">
        <f>'LPLPO GUDANG'!H114</f>
        <v>0</v>
      </c>
      <c r="I107" s="86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</row>
    <row r="108" spans="1:56" s="68" customFormat="1" ht="20.149999999999999" customHeight="1" x14ac:dyDescent="0.45">
      <c r="A108" s="59">
        <f t="shared" si="1"/>
        <v>101</v>
      </c>
      <c r="B108" s="141" t="s">
        <v>86</v>
      </c>
      <c r="C108" s="143" t="s">
        <v>327</v>
      </c>
      <c r="D108" s="143"/>
      <c r="E108" s="143"/>
      <c r="F108" s="143"/>
      <c r="G108" s="143"/>
      <c r="H108" s="46">
        <f>'LPLPO GUDANG'!H115</f>
        <v>100</v>
      </c>
      <c r="I108" s="86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</row>
    <row r="109" spans="1:56" s="68" customFormat="1" ht="20.149999999999999" customHeight="1" x14ac:dyDescent="0.45">
      <c r="A109" s="59">
        <f t="shared" si="1"/>
        <v>102</v>
      </c>
      <c r="B109" s="141" t="s">
        <v>87</v>
      </c>
      <c r="C109" s="143" t="s">
        <v>327</v>
      </c>
      <c r="D109" s="143"/>
      <c r="E109" s="143"/>
      <c r="F109" s="143"/>
      <c r="G109" s="143"/>
      <c r="H109" s="46">
        <f>'LPLPO GUDANG'!H116</f>
        <v>100</v>
      </c>
      <c r="I109" s="86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</row>
    <row r="110" spans="1:56" s="68" customFormat="1" ht="20.149999999999999" customHeight="1" x14ac:dyDescent="0.45">
      <c r="A110" s="59">
        <f t="shared" si="1"/>
        <v>103</v>
      </c>
      <c r="B110" s="141" t="s">
        <v>88</v>
      </c>
      <c r="C110" s="143" t="s">
        <v>327</v>
      </c>
      <c r="D110" s="143"/>
      <c r="E110" s="143"/>
      <c r="F110" s="143"/>
      <c r="G110" s="143"/>
      <c r="H110" s="46">
        <f>'LPLPO GUDANG'!H117</f>
        <v>100</v>
      </c>
      <c r="I110" s="86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</row>
    <row r="111" spans="1:56" s="68" customFormat="1" ht="18" x14ac:dyDescent="0.45">
      <c r="A111" s="59">
        <f t="shared" si="1"/>
        <v>104</v>
      </c>
      <c r="B111" s="141" t="s">
        <v>89</v>
      </c>
      <c r="C111" s="143" t="s">
        <v>327</v>
      </c>
      <c r="D111" s="143"/>
      <c r="E111" s="143"/>
      <c r="F111" s="143"/>
      <c r="G111" s="143"/>
      <c r="H111" s="46">
        <f>'LPLPO GUDANG'!H118</f>
        <v>0</v>
      </c>
      <c r="I111" s="86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</row>
    <row r="112" spans="1:56" s="68" customFormat="1" ht="20.149999999999999" customHeight="1" x14ac:dyDescent="0.45">
      <c r="A112" s="59">
        <f t="shared" si="1"/>
        <v>105</v>
      </c>
      <c r="B112" s="141" t="s">
        <v>90</v>
      </c>
      <c r="C112" s="143" t="s">
        <v>322</v>
      </c>
      <c r="D112" s="143"/>
      <c r="E112" s="143"/>
      <c r="F112" s="143"/>
      <c r="G112" s="143"/>
      <c r="H112" s="46">
        <f>'LPLPO GUDANG'!H119</f>
        <v>0</v>
      </c>
      <c r="I112" s="86"/>
    </row>
    <row r="113" spans="1:56" s="68" customFormat="1" ht="18" x14ac:dyDescent="0.45">
      <c r="A113" s="59">
        <f t="shared" si="1"/>
        <v>106</v>
      </c>
      <c r="B113" s="141" t="s">
        <v>443</v>
      </c>
      <c r="C113" s="143" t="s">
        <v>327</v>
      </c>
      <c r="D113" s="143"/>
      <c r="E113" s="143"/>
      <c r="F113" s="143"/>
      <c r="G113" s="143"/>
      <c r="H113" s="46">
        <f>'LPLPO GUDANG'!H120</f>
        <v>300</v>
      </c>
      <c r="I113" s="86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</row>
    <row r="114" spans="1:56" s="68" customFormat="1" ht="20.149999999999999" customHeight="1" x14ac:dyDescent="0.45">
      <c r="A114" s="59">
        <f t="shared" si="1"/>
        <v>107</v>
      </c>
      <c r="B114" s="141" t="s">
        <v>325</v>
      </c>
      <c r="C114" s="143" t="s">
        <v>4</v>
      </c>
      <c r="D114" s="143"/>
      <c r="E114" s="143"/>
      <c r="F114" s="143"/>
      <c r="G114" s="143"/>
      <c r="H114" s="46">
        <f>'LPLPO GUDANG'!H121</f>
        <v>0</v>
      </c>
      <c r="I114" s="86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</row>
    <row r="115" spans="1:56" s="68" customFormat="1" ht="20.149999999999999" customHeight="1" x14ac:dyDescent="0.45">
      <c r="A115" s="59">
        <f t="shared" si="1"/>
        <v>108</v>
      </c>
      <c r="B115" s="141" t="s">
        <v>91</v>
      </c>
      <c r="C115" s="143" t="s">
        <v>327</v>
      </c>
      <c r="D115" s="143"/>
      <c r="E115" s="143"/>
      <c r="F115" s="143"/>
      <c r="G115" s="143"/>
      <c r="H115" s="46">
        <f>'LPLPO GUDANG'!H122</f>
        <v>0</v>
      </c>
      <c r="I115" s="86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</row>
    <row r="116" spans="1:56" s="68" customFormat="1" ht="20.149999999999999" customHeight="1" x14ac:dyDescent="0.45">
      <c r="A116" s="59">
        <f t="shared" si="1"/>
        <v>109</v>
      </c>
      <c r="B116" s="141" t="s">
        <v>92</v>
      </c>
      <c r="C116" s="143" t="s">
        <v>351</v>
      </c>
      <c r="D116" s="143"/>
      <c r="E116" s="143"/>
      <c r="F116" s="143"/>
      <c r="G116" s="143"/>
      <c r="H116" s="46">
        <f>'LPLPO GUDANG'!H123</f>
        <v>36</v>
      </c>
      <c r="I116" s="86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</row>
    <row r="117" spans="1:56" s="68" customFormat="1" ht="20.149999999999999" customHeight="1" x14ac:dyDescent="0.45">
      <c r="A117" s="59">
        <f t="shared" si="1"/>
        <v>110</v>
      </c>
      <c r="B117" s="141" t="s">
        <v>93</v>
      </c>
      <c r="C117" s="143" t="s">
        <v>327</v>
      </c>
      <c r="D117" s="143"/>
      <c r="E117" s="143"/>
      <c r="F117" s="143"/>
      <c r="G117" s="143"/>
      <c r="H117" s="46">
        <f>'LPLPO GUDANG'!H124</f>
        <v>1300</v>
      </c>
      <c r="I117" s="86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</row>
    <row r="118" spans="1:56" s="68" customFormat="1" ht="18" x14ac:dyDescent="0.45">
      <c r="A118" s="59">
        <f t="shared" si="1"/>
        <v>111</v>
      </c>
      <c r="B118" s="141" t="s">
        <v>94</v>
      </c>
      <c r="C118" s="143" t="s">
        <v>64</v>
      </c>
      <c r="D118" s="143"/>
      <c r="E118" s="143"/>
      <c r="F118" s="143"/>
      <c r="G118" s="143"/>
      <c r="H118" s="46">
        <f>'LPLPO GUDANG'!H125</f>
        <v>140</v>
      </c>
      <c r="I118" s="86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</row>
    <row r="119" spans="1:56" s="68" customFormat="1" ht="20.149999999999999" customHeight="1" x14ac:dyDescent="0.45">
      <c r="A119" s="59">
        <f t="shared" si="1"/>
        <v>112</v>
      </c>
      <c r="B119" s="141" t="s">
        <v>95</v>
      </c>
      <c r="C119" s="143" t="s">
        <v>48</v>
      </c>
      <c r="D119" s="143"/>
      <c r="E119" s="143"/>
      <c r="F119" s="143"/>
      <c r="G119" s="143"/>
      <c r="H119" s="46">
        <f>'LPLPO GUDANG'!H126</f>
        <v>50</v>
      </c>
      <c r="I119" s="86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</row>
    <row r="120" spans="1:56" s="68" customFormat="1" ht="20.149999999999999" customHeight="1" x14ac:dyDescent="0.45">
      <c r="A120" s="59">
        <f t="shared" si="1"/>
        <v>113</v>
      </c>
      <c r="B120" s="141" t="s">
        <v>96</v>
      </c>
      <c r="C120" s="143" t="s">
        <v>327</v>
      </c>
      <c r="D120" s="143"/>
      <c r="E120" s="143"/>
      <c r="F120" s="143"/>
      <c r="G120" s="143"/>
      <c r="H120" s="46">
        <f>'LPLPO GUDANG'!H127</f>
        <v>800</v>
      </c>
      <c r="I120" s="86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</row>
    <row r="121" spans="1:56" s="68" customFormat="1" ht="20.149999999999999" customHeight="1" x14ac:dyDescent="0.45">
      <c r="A121" s="59">
        <f t="shared" si="1"/>
        <v>114</v>
      </c>
      <c r="B121" s="141" t="s">
        <v>97</v>
      </c>
      <c r="C121" s="143" t="s">
        <v>4</v>
      </c>
      <c r="D121" s="143"/>
      <c r="E121" s="143"/>
      <c r="F121" s="143"/>
      <c r="G121" s="143"/>
      <c r="H121" s="46">
        <f>'LPLPO GUDANG'!H128</f>
        <v>0</v>
      </c>
      <c r="I121" s="86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</row>
    <row r="122" spans="1:56" s="68" customFormat="1" ht="18" x14ac:dyDescent="0.45">
      <c r="A122" s="59">
        <f t="shared" si="1"/>
        <v>115</v>
      </c>
      <c r="B122" s="141" t="s">
        <v>98</v>
      </c>
      <c r="C122" s="143" t="s">
        <v>327</v>
      </c>
      <c r="D122" s="143"/>
      <c r="E122" s="143"/>
      <c r="F122" s="143"/>
      <c r="G122" s="143"/>
      <c r="H122" s="46">
        <f>'LPLPO GUDANG'!H129</f>
        <v>0</v>
      </c>
      <c r="I122" s="86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</row>
    <row r="123" spans="1:56" s="68" customFormat="1" ht="20.149999999999999" customHeight="1" x14ac:dyDescent="0.45">
      <c r="A123" s="59">
        <f t="shared" si="1"/>
        <v>116</v>
      </c>
      <c r="B123" s="141" t="s">
        <v>99</v>
      </c>
      <c r="C123" s="143" t="s">
        <v>327</v>
      </c>
      <c r="D123" s="143"/>
      <c r="E123" s="143"/>
      <c r="F123" s="143"/>
      <c r="G123" s="143"/>
      <c r="H123" s="46">
        <f>'LPLPO GUDANG'!H130</f>
        <v>900</v>
      </c>
      <c r="I123" s="86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</row>
    <row r="124" spans="1:56" s="68" customFormat="1" ht="20.149999999999999" customHeight="1" x14ac:dyDescent="0.45">
      <c r="A124" s="59">
        <f t="shared" si="1"/>
        <v>117</v>
      </c>
      <c r="B124" s="141" t="s">
        <v>424</v>
      </c>
      <c r="C124" s="143"/>
      <c r="D124" s="143"/>
      <c r="E124" s="143"/>
      <c r="F124" s="143"/>
      <c r="G124" s="143"/>
      <c r="H124" s="46">
        <f>'LPLPO GUDANG'!H131</f>
        <v>0</v>
      </c>
      <c r="I124" s="86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</row>
    <row r="125" spans="1:56" s="68" customFormat="1" ht="20.149999999999999" customHeight="1" x14ac:dyDescent="0.45">
      <c r="A125" s="59">
        <f t="shared" si="1"/>
        <v>118</v>
      </c>
      <c r="B125" s="141" t="s">
        <v>100</v>
      </c>
      <c r="C125" s="143" t="s">
        <v>327</v>
      </c>
      <c r="D125" s="143"/>
      <c r="E125" s="143"/>
      <c r="F125" s="143"/>
      <c r="G125" s="143"/>
      <c r="H125" s="46">
        <f>'LPLPO GUDANG'!H132</f>
        <v>2700</v>
      </c>
      <c r="I125" s="86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</row>
    <row r="126" spans="1:56" s="68" customFormat="1" ht="20.149999999999999" customHeight="1" x14ac:dyDescent="0.45">
      <c r="A126" s="59">
        <f t="shared" si="1"/>
        <v>119</v>
      </c>
      <c r="B126" s="141" t="s">
        <v>258</v>
      </c>
      <c r="C126" s="143" t="s">
        <v>352</v>
      </c>
      <c r="D126" s="143"/>
      <c r="E126" s="143"/>
      <c r="F126" s="143"/>
      <c r="G126" s="143"/>
      <c r="H126" s="46">
        <f>'LPLPO GUDANG'!H133</f>
        <v>0</v>
      </c>
      <c r="I126" s="86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</row>
    <row r="127" spans="1:56" s="68" customFormat="1" ht="20.149999999999999" customHeight="1" x14ac:dyDescent="0.45">
      <c r="A127" s="59">
        <f t="shared" si="1"/>
        <v>120</v>
      </c>
      <c r="B127" s="141" t="s">
        <v>101</v>
      </c>
      <c r="C127" s="143" t="s">
        <v>327</v>
      </c>
      <c r="D127" s="143"/>
      <c r="E127" s="143"/>
      <c r="F127" s="143"/>
      <c r="G127" s="143"/>
      <c r="H127" s="46">
        <f>'LPLPO GUDANG'!H134</f>
        <v>0</v>
      </c>
      <c r="I127" s="86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</row>
    <row r="128" spans="1:56" s="68" customFormat="1" ht="20.149999999999999" customHeight="1" x14ac:dyDescent="0.45">
      <c r="A128" s="59">
        <f t="shared" si="1"/>
        <v>121</v>
      </c>
      <c r="B128" s="141" t="s">
        <v>102</v>
      </c>
      <c r="C128" s="143" t="s">
        <v>327</v>
      </c>
      <c r="D128" s="143"/>
      <c r="E128" s="143"/>
      <c r="F128" s="143"/>
      <c r="G128" s="143"/>
      <c r="H128" s="46">
        <f>'LPLPO GUDANG'!H135</f>
        <v>0</v>
      </c>
      <c r="I128" s="86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</row>
    <row r="129" spans="1:56" s="68" customFormat="1" ht="20.149999999999999" customHeight="1" x14ac:dyDescent="0.45">
      <c r="A129" s="59">
        <f t="shared" si="1"/>
        <v>122</v>
      </c>
      <c r="B129" s="141" t="s">
        <v>103</v>
      </c>
      <c r="C129" s="143" t="s">
        <v>48</v>
      </c>
      <c r="D129" s="143"/>
      <c r="E129" s="143"/>
      <c r="F129" s="143"/>
      <c r="G129" s="143"/>
      <c r="H129" s="46">
        <f>'LPLPO GUDANG'!H136</f>
        <v>80</v>
      </c>
      <c r="I129" s="86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</row>
    <row r="130" spans="1:56" s="68" customFormat="1" ht="20.149999999999999" customHeight="1" x14ac:dyDescent="0.45">
      <c r="A130" s="59">
        <f t="shared" si="1"/>
        <v>123</v>
      </c>
      <c r="B130" s="141" t="s">
        <v>107</v>
      </c>
      <c r="C130" s="143" t="s">
        <v>108</v>
      </c>
      <c r="D130" s="143"/>
      <c r="E130" s="143"/>
      <c r="F130" s="143"/>
      <c r="G130" s="143"/>
      <c r="H130" s="46">
        <f>'LPLPO GUDANG'!H137</f>
        <v>80</v>
      </c>
      <c r="I130" s="86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</row>
    <row r="131" spans="1:56" s="68" customFormat="1" ht="20.149999999999999" customHeight="1" x14ac:dyDescent="0.45">
      <c r="A131" s="59">
        <f t="shared" si="1"/>
        <v>124</v>
      </c>
      <c r="B131" s="141" t="s">
        <v>107</v>
      </c>
      <c r="C131" s="143" t="s">
        <v>108</v>
      </c>
      <c r="D131" s="143"/>
      <c r="E131" s="143"/>
      <c r="F131" s="143"/>
      <c r="G131" s="143"/>
      <c r="H131" s="46">
        <f>'LPLPO GUDANG'!H138</f>
        <v>0</v>
      </c>
      <c r="I131" s="86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</row>
    <row r="132" spans="1:56" s="68" customFormat="1" ht="20.149999999999999" customHeight="1" x14ac:dyDescent="0.45">
      <c r="A132" s="59">
        <f t="shared" si="1"/>
        <v>125</v>
      </c>
      <c r="B132" s="141" t="s">
        <v>111</v>
      </c>
      <c r="C132" s="143" t="s">
        <v>108</v>
      </c>
      <c r="D132" s="143"/>
      <c r="E132" s="143"/>
      <c r="F132" s="143"/>
      <c r="G132" s="143"/>
      <c r="H132" s="46">
        <f>'LPLPO GUDANG'!H139</f>
        <v>0</v>
      </c>
      <c r="I132" s="86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</row>
    <row r="133" spans="1:56" s="68" customFormat="1" ht="18" x14ac:dyDescent="0.45">
      <c r="A133" s="59">
        <f t="shared" si="1"/>
        <v>126</v>
      </c>
      <c r="B133" s="141" t="s">
        <v>109</v>
      </c>
      <c r="C133" s="143" t="s">
        <v>108</v>
      </c>
      <c r="D133" s="143"/>
      <c r="E133" s="143"/>
      <c r="F133" s="143"/>
      <c r="G133" s="143"/>
      <c r="H133" s="46">
        <f>'LPLPO GUDANG'!H140</f>
        <v>265</v>
      </c>
      <c r="I133" s="86"/>
    </row>
    <row r="134" spans="1:56" s="68" customFormat="1" ht="20.149999999999999" customHeight="1" x14ac:dyDescent="0.45">
      <c r="A134" s="59">
        <f t="shared" si="1"/>
        <v>127</v>
      </c>
      <c r="B134" s="141" t="s">
        <v>109</v>
      </c>
      <c r="C134" s="143" t="s">
        <v>108</v>
      </c>
      <c r="D134" s="143"/>
      <c r="E134" s="143"/>
      <c r="F134" s="143"/>
      <c r="G134" s="143"/>
      <c r="H134" s="46">
        <f>'LPLPO GUDANG'!H141</f>
        <v>0</v>
      </c>
      <c r="I134" s="86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</row>
    <row r="135" spans="1:56" s="68" customFormat="1" ht="20.149999999999999" customHeight="1" x14ac:dyDescent="0.45">
      <c r="A135" s="59">
        <f t="shared" si="1"/>
        <v>128</v>
      </c>
      <c r="B135" s="141" t="s">
        <v>110</v>
      </c>
      <c r="C135" s="143" t="s">
        <v>108</v>
      </c>
      <c r="D135" s="143"/>
      <c r="E135" s="143"/>
      <c r="F135" s="143"/>
      <c r="G135" s="143"/>
      <c r="H135" s="46">
        <f>'LPLPO GUDANG'!H142</f>
        <v>0</v>
      </c>
      <c r="I135" s="86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</row>
    <row r="136" spans="1:56" s="68" customFormat="1" ht="20.149999999999999" customHeight="1" x14ac:dyDescent="0.45">
      <c r="A136" s="59">
        <f t="shared" si="1"/>
        <v>129</v>
      </c>
      <c r="B136" s="141" t="s">
        <v>112</v>
      </c>
      <c r="C136" s="143" t="s">
        <v>108</v>
      </c>
      <c r="D136" s="143"/>
      <c r="E136" s="143"/>
      <c r="F136" s="143"/>
      <c r="G136" s="143"/>
      <c r="H136" s="46">
        <f>'LPLPO GUDANG'!H143</f>
        <v>2000</v>
      </c>
      <c r="I136" s="86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</row>
    <row r="137" spans="1:56" s="68" customFormat="1" ht="20.149999999999999" customHeight="1" x14ac:dyDescent="0.45">
      <c r="A137" s="59">
        <f t="shared" si="1"/>
        <v>130</v>
      </c>
      <c r="B137" s="141" t="s">
        <v>113</v>
      </c>
      <c r="C137" s="143" t="s">
        <v>48</v>
      </c>
      <c r="D137" s="143"/>
      <c r="E137" s="143"/>
      <c r="F137" s="143"/>
      <c r="G137" s="143"/>
      <c r="H137" s="46">
        <f>'LPLPO GUDANG'!H144</f>
        <v>6</v>
      </c>
      <c r="I137" s="86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</row>
    <row r="138" spans="1:56" ht="20.149999999999999" customHeight="1" x14ac:dyDescent="0.45">
      <c r="A138" s="59">
        <f t="shared" ref="A138:A174" si="2">A137+1</f>
        <v>131</v>
      </c>
      <c r="B138" s="141" t="s">
        <v>16</v>
      </c>
      <c r="C138" s="143" t="s">
        <v>48</v>
      </c>
      <c r="D138" s="143"/>
      <c r="E138" s="143"/>
      <c r="F138" s="143"/>
      <c r="G138" s="143"/>
      <c r="H138" s="46">
        <f>'LPLPO GUDANG'!H145</f>
        <v>0</v>
      </c>
      <c r="I138" s="86"/>
    </row>
    <row r="139" spans="1:56" s="69" customFormat="1" ht="20.149999999999999" customHeight="1" x14ac:dyDescent="0.45">
      <c r="A139" s="59">
        <f t="shared" si="2"/>
        <v>132</v>
      </c>
      <c r="B139" s="141" t="s">
        <v>425</v>
      </c>
      <c r="C139" s="143"/>
      <c r="D139" s="143"/>
      <c r="E139" s="143"/>
      <c r="F139" s="143"/>
      <c r="G139" s="143"/>
      <c r="H139" s="46">
        <f>'LPLPO GUDANG'!H146</f>
        <v>0</v>
      </c>
      <c r="I139" s="86"/>
      <c r="J139" s="68"/>
      <c r="K139" s="68"/>
      <c r="L139" s="68"/>
      <c r="M139" s="68"/>
      <c r="N139" s="68"/>
      <c r="O139" s="68"/>
      <c r="P139" s="68"/>
      <c r="Q139" s="68"/>
    </row>
    <row r="140" spans="1:56" ht="20.149999999999999" customHeight="1" x14ac:dyDescent="0.45">
      <c r="A140" s="59">
        <f t="shared" si="2"/>
        <v>133</v>
      </c>
      <c r="B140" s="141" t="s">
        <v>114</v>
      </c>
      <c r="C140" s="143" t="s">
        <v>108</v>
      </c>
      <c r="D140" s="143"/>
      <c r="E140" s="143"/>
      <c r="F140" s="143"/>
      <c r="G140" s="143"/>
      <c r="H140" s="46">
        <f>'LPLPO GUDANG'!H147</f>
        <v>0</v>
      </c>
      <c r="I140" s="86"/>
    </row>
    <row r="141" spans="1:56" ht="20.149999999999999" customHeight="1" x14ac:dyDescent="0.45">
      <c r="A141" s="59">
        <f t="shared" si="2"/>
        <v>134</v>
      </c>
      <c r="B141" s="141" t="s">
        <v>115</v>
      </c>
      <c r="C141" s="143" t="s">
        <v>48</v>
      </c>
      <c r="D141" s="143"/>
      <c r="E141" s="143"/>
      <c r="F141" s="143"/>
      <c r="G141" s="143"/>
      <c r="H141" s="46">
        <f>'LPLPO GUDANG'!H148</f>
        <v>4</v>
      </c>
      <c r="I141" s="86"/>
    </row>
    <row r="142" spans="1:56" ht="20.149999999999999" customHeight="1" x14ac:dyDescent="0.45">
      <c r="A142" s="59">
        <f t="shared" si="2"/>
        <v>135</v>
      </c>
      <c r="B142" s="141" t="s">
        <v>116</v>
      </c>
      <c r="C142" s="143" t="s">
        <v>48</v>
      </c>
      <c r="D142" s="143"/>
      <c r="E142" s="143"/>
      <c r="F142" s="143"/>
      <c r="G142" s="143"/>
      <c r="H142" s="46">
        <f>'LPLPO GUDANG'!H149</f>
        <v>0</v>
      </c>
      <c r="I142" s="86"/>
    </row>
    <row r="143" spans="1:56" ht="20.149999999999999" customHeight="1" x14ac:dyDescent="0.45">
      <c r="A143" s="59">
        <f t="shared" si="2"/>
        <v>136</v>
      </c>
      <c r="B143" s="141" t="s">
        <v>117</v>
      </c>
      <c r="C143" s="143" t="s">
        <v>108</v>
      </c>
      <c r="D143" s="143"/>
      <c r="E143" s="143"/>
      <c r="F143" s="143"/>
      <c r="G143" s="143"/>
      <c r="H143" s="46">
        <f>'LPLPO GUDANG'!H150</f>
        <v>15</v>
      </c>
      <c r="I143" s="86"/>
    </row>
    <row r="144" spans="1:56" ht="20.149999999999999" customHeight="1" x14ac:dyDescent="0.45">
      <c r="A144" s="59">
        <f t="shared" si="2"/>
        <v>137</v>
      </c>
      <c r="B144" s="141" t="s">
        <v>118</v>
      </c>
      <c r="C144" s="143" t="s">
        <v>108</v>
      </c>
      <c r="D144" s="143"/>
      <c r="E144" s="143"/>
      <c r="F144" s="143"/>
      <c r="G144" s="143"/>
      <c r="H144" s="46">
        <f>'LPLPO GUDANG'!H151</f>
        <v>10</v>
      </c>
      <c r="I144" s="86"/>
    </row>
    <row r="145" spans="1:17" ht="20.149999999999999" customHeight="1" x14ac:dyDescent="0.45">
      <c r="A145" s="59">
        <f t="shared" si="2"/>
        <v>138</v>
      </c>
      <c r="B145" s="141" t="s">
        <v>326</v>
      </c>
      <c r="C145" s="143" t="s">
        <v>108</v>
      </c>
      <c r="D145" s="143"/>
      <c r="E145" s="143"/>
      <c r="F145" s="143"/>
      <c r="G145" s="143"/>
      <c r="H145" s="46">
        <f>'LPLPO GUDANG'!H152</f>
        <v>50</v>
      </c>
      <c r="I145" s="86"/>
    </row>
    <row r="146" spans="1:17" s="69" customFormat="1" ht="20.149999999999999" customHeight="1" x14ac:dyDescent="0.45">
      <c r="A146" s="59">
        <f t="shared" si="2"/>
        <v>139</v>
      </c>
      <c r="B146" s="141" t="s">
        <v>119</v>
      </c>
      <c r="C146" s="143" t="s">
        <v>108</v>
      </c>
      <c r="D146" s="143"/>
      <c r="E146" s="143"/>
      <c r="F146" s="143"/>
      <c r="G146" s="143"/>
      <c r="H146" s="46">
        <f>'LPLPO GUDANG'!H153</f>
        <v>40</v>
      </c>
      <c r="I146" s="86"/>
      <c r="J146" s="68"/>
      <c r="K146" s="68"/>
      <c r="L146" s="68"/>
      <c r="M146" s="68"/>
      <c r="N146" s="68"/>
      <c r="O146" s="68"/>
      <c r="P146" s="68"/>
      <c r="Q146" s="68"/>
    </row>
    <row r="147" spans="1:17" ht="20.149999999999999" customHeight="1" x14ac:dyDescent="0.45">
      <c r="A147" s="59">
        <f t="shared" si="2"/>
        <v>140</v>
      </c>
      <c r="B147" s="141" t="s">
        <v>120</v>
      </c>
      <c r="C147" s="143" t="s">
        <v>108</v>
      </c>
      <c r="D147" s="143"/>
      <c r="E147" s="143"/>
      <c r="F147" s="143"/>
      <c r="G147" s="143"/>
      <c r="H147" s="46">
        <f>'LPLPO GUDANG'!H154</f>
        <v>0</v>
      </c>
      <c r="I147" s="86"/>
    </row>
    <row r="148" spans="1:17" ht="20.149999999999999" customHeight="1" x14ac:dyDescent="0.45">
      <c r="A148" s="59">
        <f t="shared" si="2"/>
        <v>141</v>
      </c>
      <c r="B148" s="141" t="s">
        <v>121</v>
      </c>
      <c r="C148" s="143" t="s">
        <v>108</v>
      </c>
      <c r="D148" s="143"/>
      <c r="E148" s="143"/>
      <c r="F148" s="143"/>
      <c r="G148" s="143"/>
      <c r="H148" s="46">
        <f>'LPLPO GUDANG'!H155</f>
        <v>150</v>
      </c>
      <c r="I148" s="86"/>
    </row>
    <row r="149" spans="1:17" ht="20.149999999999999" customHeight="1" x14ac:dyDescent="0.45">
      <c r="A149" s="59">
        <f t="shared" si="2"/>
        <v>142</v>
      </c>
      <c r="B149" s="141" t="s">
        <v>122</v>
      </c>
      <c r="C149" s="143" t="s">
        <v>108</v>
      </c>
      <c r="D149" s="143"/>
      <c r="E149" s="143"/>
      <c r="F149" s="143"/>
      <c r="G149" s="143"/>
      <c r="H149" s="46">
        <f>'LPLPO GUDANG'!H156</f>
        <v>0</v>
      </c>
      <c r="I149" s="86"/>
    </row>
    <row r="150" spans="1:17" ht="20.149999999999999" customHeight="1" x14ac:dyDescent="0.45">
      <c r="A150" s="59">
        <f t="shared" si="2"/>
        <v>143</v>
      </c>
      <c r="B150" s="141" t="s">
        <v>122</v>
      </c>
      <c r="C150" s="143" t="s">
        <v>108</v>
      </c>
      <c r="D150" s="143"/>
      <c r="E150" s="143"/>
      <c r="F150" s="143"/>
      <c r="G150" s="143"/>
      <c r="H150" s="46">
        <f>'LPLPO GUDANG'!H157</f>
        <v>0</v>
      </c>
      <c r="I150" s="86"/>
    </row>
    <row r="151" spans="1:17" ht="20.149999999999999" customHeight="1" x14ac:dyDescent="0.45">
      <c r="A151" s="59">
        <f t="shared" si="2"/>
        <v>144</v>
      </c>
      <c r="B151" s="141" t="s">
        <v>123</v>
      </c>
      <c r="C151" s="143" t="s">
        <v>108</v>
      </c>
      <c r="D151" s="143"/>
      <c r="E151" s="143"/>
      <c r="F151" s="143"/>
      <c r="G151" s="143"/>
      <c r="H151" s="46">
        <f>'LPLPO GUDANG'!H158</f>
        <v>0</v>
      </c>
      <c r="I151" s="86"/>
    </row>
    <row r="152" spans="1:17" s="69" customFormat="1" ht="20.149999999999999" customHeight="1" x14ac:dyDescent="0.45">
      <c r="A152" s="59">
        <f t="shared" si="2"/>
        <v>145</v>
      </c>
      <c r="B152" s="141" t="s">
        <v>124</v>
      </c>
      <c r="C152" s="143" t="s">
        <v>108</v>
      </c>
      <c r="D152" s="143"/>
      <c r="E152" s="143"/>
      <c r="F152" s="143"/>
      <c r="G152" s="143"/>
      <c r="H152" s="46">
        <f>'LPLPO GUDANG'!H159</f>
        <v>0</v>
      </c>
      <c r="I152" s="86"/>
      <c r="J152" s="68"/>
      <c r="K152" s="68"/>
      <c r="L152" s="68"/>
      <c r="M152" s="68"/>
      <c r="N152" s="68"/>
      <c r="O152" s="68"/>
      <c r="P152" s="68"/>
      <c r="Q152" s="68"/>
    </row>
    <row r="153" spans="1:17" ht="20.149999999999999" customHeight="1" x14ac:dyDescent="0.45">
      <c r="A153" s="59">
        <f t="shared" si="2"/>
        <v>146</v>
      </c>
      <c r="B153" s="141" t="s">
        <v>125</v>
      </c>
      <c r="C153" s="143" t="s">
        <v>126</v>
      </c>
      <c r="D153" s="143"/>
      <c r="E153" s="143"/>
      <c r="F153" s="143"/>
      <c r="G153" s="143"/>
      <c r="H153" s="46">
        <f>'LPLPO GUDANG'!H160</f>
        <v>7</v>
      </c>
      <c r="I153" s="86"/>
    </row>
    <row r="154" spans="1:17" ht="20.149999999999999" customHeight="1" x14ac:dyDescent="0.45">
      <c r="A154" s="59">
        <f t="shared" si="2"/>
        <v>147</v>
      </c>
      <c r="B154" s="141" t="s">
        <v>127</v>
      </c>
      <c r="C154" s="143" t="s">
        <v>255</v>
      </c>
      <c r="D154" s="143"/>
      <c r="E154" s="143"/>
      <c r="F154" s="143"/>
      <c r="G154" s="143"/>
      <c r="H154" s="46">
        <f>'LPLPO GUDANG'!H161</f>
        <v>130</v>
      </c>
      <c r="I154" s="86"/>
    </row>
    <row r="155" spans="1:17" ht="20.149999999999999" customHeight="1" x14ac:dyDescent="0.45">
      <c r="A155" s="59">
        <f t="shared" si="2"/>
        <v>148</v>
      </c>
      <c r="B155" s="141" t="s">
        <v>128</v>
      </c>
      <c r="C155" s="143" t="s">
        <v>126</v>
      </c>
      <c r="D155" s="143"/>
      <c r="E155" s="143"/>
      <c r="F155" s="143"/>
      <c r="G155" s="143"/>
      <c r="H155" s="46">
        <f>'LPLPO GUDANG'!H162</f>
        <v>0</v>
      </c>
      <c r="I155" s="86"/>
    </row>
    <row r="156" spans="1:17" ht="20.149999999999999" customHeight="1" x14ac:dyDescent="0.45">
      <c r="A156" s="59">
        <f t="shared" si="2"/>
        <v>149</v>
      </c>
      <c r="B156" s="141" t="s">
        <v>129</v>
      </c>
      <c r="C156" s="143" t="s">
        <v>126</v>
      </c>
      <c r="D156" s="143"/>
      <c r="E156" s="143"/>
      <c r="F156" s="143"/>
      <c r="G156" s="143"/>
      <c r="H156" s="46">
        <f>'LPLPO GUDANG'!H163</f>
        <v>100</v>
      </c>
      <c r="I156" s="86"/>
    </row>
    <row r="157" spans="1:17" ht="20.149999999999999" customHeight="1" x14ac:dyDescent="0.45">
      <c r="A157" s="59">
        <f t="shared" si="2"/>
        <v>150</v>
      </c>
      <c r="B157" s="141" t="s">
        <v>130</v>
      </c>
      <c r="C157" s="143" t="s">
        <v>323</v>
      </c>
      <c r="D157" s="143"/>
      <c r="E157" s="143"/>
      <c r="F157" s="143"/>
      <c r="G157" s="143"/>
      <c r="H157" s="46">
        <f>'LPLPO GUDANG'!H164</f>
        <v>0</v>
      </c>
      <c r="I157" s="86"/>
    </row>
    <row r="158" spans="1:17" ht="20.149999999999999" customHeight="1" x14ac:dyDescent="0.45">
      <c r="A158" s="59">
        <f t="shared" si="2"/>
        <v>151</v>
      </c>
      <c r="B158" s="141" t="s">
        <v>131</v>
      </c>
      <c r="C158" s="143" t="s">
        <v>256</v>
      </c>
      <c r="D158" s="143"/>
      <c r="E158" s="143"/>
      <c r="F158" s="143"/>
      <c r="G158" s="143"/>
      <c r="H158" s="46">
        <f>'LPLPO GUDANG'!H165</f>
        <v>0</v>
      </c>
      <c r="I158" s="86"/>
    </row>
    <row r="159" spans="1:17" ht="20.149999999999999" customHeight="1" x14ac:dyDescent="0.45">
      <c r="A159" s="59">
        <f t="shared" si="2"/>
        <v>152</v>
      </c>
      <c r="B159" s="141" t="s">
        <v>132</v>
      </c>
      <c r="C159" s="143" t="s">
        <v>256</v>
      </c>
      <c r="D159" s="143"/>
      <c r="E159" s="143"/>
      <c r="F159" s="143"/>
      <c r="G159" s="143"/>
      <c r="H159" s="46">
        <f>'LPLPO GUDANG'!H166</f>
        <v>0</v>
      </c>
      <c r="I159" s="86"/>
    </row>
    <row r="160" spans="1:17" ht="20.149999999999999" customHeight="1" x14ac:dyDescent="0.45">
      <c r="A160" s="59">
        <f t="shared" si="2"/>
        <v>153</v>
      </c>
      <c r="B160" s="141" t="s">
        <v>135</v>
      </c>
      <c r="C160" s="143" t="s">
        <v>108</v>
      </c>
      <c r="D160" s="143"/>
      <c r="E160" s="143"/>
      <c r="F160" s="143"/>
      <c r="G160" s="143"/>
      <c r="H160" s="46">
        <f>'LPLPO GUDANG'!H167</f>
        <v>25</v>
      </c>
      <c r="I160" s="86"/>
    </row>
    <row r="161" spans="1:56" s="69" customFormat="1" ht="20.149999999999999" customHeight="1" x14ac:dyDescent="0.45">
      <c r="A161" s="59">
        <f t="shared" si="2"/>
        <v>154</v>
      </c>
      <c r="B161" s="141" t="s">
        <v>134</v>
      </c>
      <c r="C161" s="143" t="s">
        <v>108</v>
      </c>
      <c r="D161" s="143"/>
      <c r="E161" s="143"/>
      <c r="F161" s="143"/>
      <c r="G161" s="143"/>
      <c r="H161" s="46">
        <f>'LPLPO GUDANG'!H168</f>
        <v>10</v>
      </c>
      <c r="I161" s="86"/>
      <c r="J161" s="68"/>
      <c r="K161" s="68"/>
      <c r="L161" s="68"/>
      <c r="M161" s="68"/>
      <c r="N161" s="68"/>
      <c r="O161" s="68"/>
      <c r="P161" s="68"/>
      <c r="Q161" s="68"/>
    </row>
    <row r="162" spans="1:56" ht="20.149999999999999" customHeight="1" x14ac:dyDescent="0.45">
      <c r="A162" s="59">
        <f t="shared" si="2"/>
        <v>155</v>
      </c>
      <c r="B162" s="141" t="s">
        <v>133</v>
      </c>
      <c r="C162" s="143" t="s">
        <v>108</v>
      </c>
      <c r="D162" s="143"/>
      <c r="E162" s="143"/>
      <c r="F162" s="143"/>
      <c r="G162" s="143"/>
      <c r="H162" s="46">
        <f>'LPLPO GUDANG'!H169</f>
        <v>0</v>
      </c>
      <c r="I162" s="86"/>
    </row>
    <row r="163" spans="1:56" ht="20.149999999999999" customHeight="1" x14ac:dyDescent="0.45">
      <c r="A163" s="59">
        <f t="shared" si="2"/>
        <v>156</v>
      </c>
      <c r="B163" s="141" t="s">
        <v>136</v>
      </c>
      <c r="C163" s="143" t="s">
        <v>126</v>
      </c>
      <c r="D163" s="143"/>
      <c r="E163" s="143"/>
      <c r="F163" s="143"/>
      <c r="G163" s="143"/>
      <c r="H163" s="46">
        <f>'LPLPO GUDANG'!H170</f>
        <v>10</v>
      </c>
      <c r="I163" s="86"/>
    </row>
    <row r="164" spans="1:56" ht="20.149999999999999" customHeight="1" x14ac:dyDescent="0.45">
      <c r="A164" s="59">
        <f t="shared" si="2"/>
        <v>157</v>
      </c>
      <c r="B164" s="141" t="s">
        <v>137</v>
      </c>
      <c r="C164" s="143" t="s">
        <v>48</v>
      </c>
      <c r="D164" s="143"/>
      <c r="E164" s="143"/>
      <c r="F164" s="143"/>
      <c r="G164" s="143"/>
      <c r="H164" s="46">
        <f>'LPLPO GUDANG'!H171</f>
        <v>5</v>
      </c>
      <c r="I164" s="86"/>
    </row>
    <row r="165" spans="1:56" ht="20.149999999999999" customHeight="1" x14ac:dyDescent="0.45">
      <c r="A165" s="59">
        <f t="shared" si="2"/>
        <v>158</v>
      </c>
      <c r="B165" s="141" t="s">
        <v>138</v>
      </c>
      <c r="C165" s="143" t="s">
        <v>108</v>
      </c>
      <c r="D165" s="143"/>
      <c r="E165" s="143"/>
      <c r="F165" s="143"/>
      <c r="G165" s="143"/>
      <c r="H165" s="46">
        <f>'LPLPO GUDANG'!H172</f>
        <v>0</v>
      </c>
      <c r="I165" s="86"/>
    </row>
    <row r="166" spans="1:56" ht="20.149999999999999" customHeight="1" x14ac:dyDescent="0.45">
      <c r="A166" s="59">
        <f t="shared" si="2"/>
        <v>159</v>
      </c>
      <c r="B166" s="141" t="s">
        <v>139</v>
      </c>
      <c r="C166" s="143" t="s">
        <v>108</v>
      </c>
      <c r="D166" s="143"/>
      <c r="E166" s="143"/>
      <c r="F166" s="143"/>
      <c r="G166" s="143"/>
      <c r="H166" s="46">
        <f>'LPLPO GUDANG'!H173</f>
        <v>50</v>
      </c>
      <c r="I166" s="86"/>
    </row>
    <row r="167" spans="1:56" ht="20.149999999999999" customHeight="1" x14ac:dyDescent="0.45">
      <c r="A167" s="59">
        <f t="shared" si="2"/>
        <v>160</v>
      </c>
      <c r="B167" s="141" t="s">
        <v>140</v>
      </c>
      <c r="C167" s="143" t="s">
        <v>108</v>
      </c>
      <c r="D167" s="143"/>
      <c r="E167" s="143"/>
      <c r="F167" s="143"/>
      <c r="G167" s="143"/>
      <c r="H167" s="46">
        <f>'LPLPO GUDANG'!H174</f>
        <v>25</v>
      </c>
      <c r="I167" s="86"/>
    </row>
    <row r="168" spans="1:56" ht="20.149999999999999" customHeight="1" x14ac:dyDescent="0.45">
      <c r="A168" s="59">
        <f t="shared" si="2"/>
        <v>161</v>
      </c>
      <c r="B168" s="141" t="s">
        <v>141</v>
      </c>
      <c r="C168" s="143" t="s">
        <v>108</v>
      </c>
      <c r="D168" s="143"/>
      <c r="E168" s="143"/>
      <c r="F168" s="143"/>
      <c r="G168" s="143"/>
      <c r="H168" s="46">
        <f>'LPLPO GUDANG'!H175</f>
        <v>0</v>
      </c>
      <c r="I168" s="86"/>
    </row>
    <row r="169" spans="1:56" ht="20.149999999999999" customHeight="1" x14ac:dyDescent="0.45">
      <c r="A169" s="59">
        <f t="shared" si="2"/>
        <v>162</v>
      </c>
      <c r="B169" s="141" t="s">
        <v>144</v>
      </c>
      <c r="C169" s="143" t="s">
        <v>108</v>
      </c>
      <c r="D169" s="143"/>
      <c r="E169" s="143"/>
      <c r="F169" s="143"/>
      <c r="G169" s="143"/>
      <c r="H169" s="46">
        <f>'LPLPO GUDANG'!H176</f>
        <v>400</v>
      </c>
      <c r="I169" s="86"/>
    </row>
    <row r="170" spans="1:56" s="68" customFormat="1" ht="20.149999999999999" customHeight="1" x14ac:dyDescent="0.45">
      <c r="A170" s="59">
        <f t="shared" si="2"/>
        <v>163</v>
      </c>
      <c r="B170" s="141" t="s">
        <v>143</v>
      </c>
      <c r="C170" s="143" t="s">
        <v>108</v>
      </c>
      <c r="D170" s="143"/>
      <c r="E170" s="143"/>
      <c r="F170" s="143"/>
      <c r="G170" s="143"/>
      <c r="H170" s="46">
        <f>'LPLPO GUDANG'!H177</f>
        <v>0</v>
      </c>
      <c r="I170" s="86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</row>
    <row r="171" spans="1:56" s="68" customFormat="1" ht="20.149999999999999" customHeight="1" x14ac:dyDescent="0.45">
      <c r="A171" s="59">
        <f t="shared" si="2"/>
        <v>164</v>
      </c>
      <c r="B171" s="141" t="s">
        <v>142</v>
      </c>
      <c r="C171" s="143" t="s">
        <v>108</v>
      </c>
      <c r="D171" s="143"/>
      <c r="E171" s="143"/>
      <c r="F171" s="143"/>
      <c r="G171" s="143"/>
      <c r="H171" s="46">
        <f>'LPLPO GUDANG'!H178</f>
        <v>0</v>
      </c>
      <c r="I171" s="86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</row>
    <row r="172" spans="1:56" s="68" customFormat="1" ht="20.149999999999999" customHeight="1" x14ac:dyDescent="0.45">
      <c r="A172" s="59">
        <f t="shared" si="2"/>
        <v>165</v>
      </c>
      <c r="B172" s="141" t="s">
        <v>145</v>
      </c>
      <c r="C172" s="143" t="s">
        <v>212</v>
      </c>
      <c r="D172" s="143"/>
      <c r="E172" s="143"/>
      <c r="F172" s="143"/>
      <c r="G172" s="143"/>
      <c r="H172" s="46">
        <f>'LPLPO GUDANG'!H179</f>
        <v>1000</v>
      </c>
      <c r="I172" s="86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</row>
    <row r="173" spans="1:56" s="68" customFormat="1" ht="20.149999999999999" customHeight="1" x14ac:dyDescent="0.45">
      <c r="A173" s="59">
        <f t="shared" si="2"/>
        <v>166</v>
      </c>
      <c r="B173" s="141" t="s">
        <v>146</v>
      </c>
      <c r="C173" s="143" t="s">
        <v>212</v>
      </c>
      <c r="D173" s="143"/>
      <c r="E173" s="143"/>
      <c r="F173" s="143"/>
      <c r="G173" s="143"/>
      <c r="H173" s="46">
        <f>'LPLPO GUDANG'!H180</f>
        <v>40</v>
      </c>
      <c r="I173" s="86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</row>
    <row r="174" spans="1:56" s="68" customFormat="1" ht="19.5" customHeight="1" x14ac:dyDescent="0.45">
      <c r="A174" s="59">
        <f t="shared" si="2"/>
        <v>167</v>
      </c>
      <c r="B174" s="142" t="s">
        <v>147</v>
      </c>
      <c r="C174" s="11" t="s">
        <v>212</v>
      </c>
      <c r="D174" s="11"/>
      <c r="E174" s="11"/>
      <c r="F174" s="11"/>
      <c r="G174" s="11"/>
      <c r="H174" s="46">
        <f>'LPLPO GUDANG'!H181</f>
        <v>5</v>
      </c>
      <c r="I174" s="86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</row>
  </sheetData>
  <mergeCells count="11">
    <mergeCell ref="F5:F6"/>
    <mergeCell ref="A1:H1"/>
    <mergeCell ref="A2:H2"/>
    <mergeCell ref="A3:B3"/>
    <mergeCell ref="A5:A6"/>
    <mergeCell ref="B5:B6"/>
    <mergeCell ref="C5:C6"/>
    <mergeCell ref="H5:H6"/>
    <mergeCell ref="D5:D6"/>
    <mergeCell ref="E5:E6"/>
    <mergeCell ref="G5:G6"/>
  </mergeCells>
  <pageMargins left="0.70866141732283472" right="0.70866141732283472" top="0.74803149606299213" bottom="0.74803149606299213" header="0.31496062992125984" footer="0.31496062992125984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PENERIMAAN OBAT PKD</vt:lpstr>
      <vt:lpstr>PENERIMAAN OBAT PROGRAM</vt:lpstr>
      <vt:lpstr>DISTRIBUSI</vt:lpstr>
      <vt:lpstr>STOK OPNAME GUDANG</vt:lpstr>
      <vt:lpstr>STOK OPNAME PROGRAM</vt:lpstr>
      <vt:lpstr>LPLPO GUDANG</vt:lpstr>
      <vt:lpstr>LPLPO PROGRAM</vt:lpstr>
      <vt:lpstr>PEMAKAIAN UNIT</vt:lpstr>
      <vt:lpstr>SISA STOK UNIT</vt:lpstr>
      <vt:lpstr>LPLPO REKAPAN</vt:lpstr>
      <vt:lpstr>REKAPAN PROGRAM</vt:lpstr>
      <vt:lpstr>APOTIK</vt:lpstr>
      <vt:lpstr>APOTIK!Print_Titles</vt:lpstr>
      <vt:lpstr>DISTRIBUSI!Print_Titles</vt:lpstr>
      <vt:lpstr>'LPLPO GUDANG'!Print_Titles</vt:lpstr>
      <vt:lpstr>'LPLPO PROGRAM'!Print_Titles</vt:lpstr>
      <vt:lpstr>'LPLPO REKAPAN'!Print_Titles</vt:lpstr>
      <vt:lpstr>'PEMAKAIAN UNIT'!Print_Titles</vt:lpstr>
      <vt:lpstr>'PENERIMAAN OBAT PKD'!Print_Titles</vt:lpstr>
      <vt:lpstr>'PENERIMAAN OBAT PROGRAM'!Print_Titles</vt:lpstr>
      <vt:lpstr>'REKAPAN PROGRAM'!Print_Titles</vt:lpstr>
      <vt:lpstr>'SISA STOK UNIT'!Print_Titles</vt:lpstr>
      <vt:lpstr>'STOK OPNAME GUDANG'!Print_Titles</vt:lpstr>
      <vt:lpstr>'STOK OPNAME PROGRAM'!Print_Titles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Dinas Kesehatan</cp:lastModifiedBy>
  <cp:lastPrinted>2026-03-18T20:44:22Z</cp:lastPrinted>
  <dcterms:created xsi:type="dcterms:W3CDTF">2021-07-31T04:35:42Z</dcterms:created>
  <dcterms:modified xsi:type="dcterms:W3CDTF">2026-03-18T20:52:02Z</dcterms:modified>
</cp:coreProperties>
</file>